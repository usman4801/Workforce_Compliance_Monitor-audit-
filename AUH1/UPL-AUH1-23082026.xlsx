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AUH1\"/>
    </mc:Choice>
  </mc:AlternateContent>
  <xr:revisionPtr revIDLastSave="0" documentId="13_ncr:1_{12825E44-139C-47A6-9A36-F7FF1951A51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AL18" i="2"/>
  <c r="H18" i="2" l="1"/>
  <c r="I16" i="2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E32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G32" i="2" l="1"/>
  <c r="M19" i="2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E30" i="2" l="1"/>
  <c r="G30" i="2"/>
  <c r="N23" i="2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E31" i="2" l="1"/>
  <c r="G31" i="2"/>
  <c r="Z9" i="2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Ur Rehman, Ibad</author>
    <author>Zia, Mohammed</author>
  </authors>
  <commentList>
    <comment ref="J680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4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5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6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5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24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1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3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5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0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7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1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2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11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4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5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0" authorId="1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71" authorId="2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72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6" authorId="2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  <comment ref="J1337" authorId="2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</commentList>
</comments>
</file>

<file path=xl/sharedStrings.xml><?xml version="1.0" encoding="utf-8"?>
<sst xmlns="http://schemas.openxmlformats.org/spreadsheetml/2006/main" count="25472" uniqueCount="3026">
  <si>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</si>
  <si>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</si>
  <si>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</si>
  <si>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</si>
  <si>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</si>
  <si>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</si>
  <si>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</si>
  <si>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</si>
  <si>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</si>
  <si>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</si>
  <si>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</si>
  <si>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</si>
  <si>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</si>
  <si>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</si>
  <si>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</si>
  <si>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</si>
  <si>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</si>
  <si>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</si>
  <si>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</si>
  <si>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</si>
  <si>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</si>
  <si>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</si>
  <si>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</si>
  <si>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</si>
  <si>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</si>
  <si>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</si>
  <si>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</si>
  <si>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</si>
  <si>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</si>
  <si>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</si>
  <si>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</si>
  <si>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</si>
  <si>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</si>
  <si>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</si>
  <si>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</si>
  <si>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</si>
  <si>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</si>
  <si>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</si>
  <si>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</si>
  <si>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</si>
  <si>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</si>
  <si>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</si>
  <si>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</si>
  <si>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</si>
  <si>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</si>
  <si>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</si>
  <si>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</si>
  <si>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</si>
  <si>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</si>
  <si>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</si>
  <si>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</si>
  <si>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</si>
  <si>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</si>
  <si>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</si>
  <si>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</si>
  <si>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</si>
  <si>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</si>
  <si>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</si>
  <si>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</si>
  <si>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</si>
  <si>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</si>
  <si>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</si>
  <si>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</si>
  <si>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</si>
  <si>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</si>
  <si>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</si>
  <si>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</si>
  <si>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</si>
  <si>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</si>
  <si>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</si>
  <si>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</si>
  <si>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</si>
  <si>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</si>
  <si>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</si>
  <si>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</si>
  <si>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</si>
  <si>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</si>
  <si>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</si>
  <si>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</si>
  <si>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</si>
  <si>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</si>
  <si>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</si>
  <si>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</si>
  <si>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</si>
  <si>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</si>
  <si>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</si>
  <si>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</si>
  <si>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</si>
  <si>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</si>
  <si>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</si>
  <si>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</si>
  <si>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</si>
  <si>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</si>
  <si>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</si>
  <si>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</si>
  <si>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</si>
  <si>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</si>
  <si>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</si>
  <si>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</si>
  <si>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</si>
  <si>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</si>
  <si>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</si>
  <si>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</si>
  <si>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</si>
  <si>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</si>
  <si>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</si>
  <si>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</si>
  <si>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</si>
  <si>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</si>
  <si>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</si>
  <si>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</si>
  <si>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</si>
  <si>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</si>
  <si>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</si>
  <si>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</si>
  <si>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</si>
  <si>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</si>
  <si>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</si>
  <si>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</si>
  <si>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</si>
  <si>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</si>
  <si>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</si>
  <si>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</si>
  <si>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</si>
  <si>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</si>
  <si>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</si>
  <si>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</si>
  <si>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</si>
  <si>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</si>
  <si>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</si>
  <si>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</si>
  <si>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</si>
  <si>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</si>
  <si>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</si>
  <si>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</si>
  <si>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</si>
  <si>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</si>
  <si>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</si>
  <si>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</si>
  <si>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</si>
  <si>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</si>
  <si>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</si>
  <si>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</si>
  <si>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</si>
  <si>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</si>
  <si>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</si>
  <si>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</si>
  <si>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</si>
  <si>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</si>
  <si>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</si>
  <si>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</si>
  <si>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</si>
  <si>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</si>
  <si>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</si>
  <si>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</si>
  <si>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</si>
  <si>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</si>
  <si>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</si>
  <si>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</si>
  <si>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</si>
  <si>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</si>
  <si>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</si>
  <si>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</si>
  <si>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</si>
  <si>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</si>
  <si>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</si>
  <si>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</si>
  <si>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</si>
  <si>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</si>
  <si>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</si>
  <si>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</si>
  <si>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</si>
  <si>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</si>
  <si>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</si>
  <si>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</si>
  <si>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</si>
  <si>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</si>
  <si>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</si>
  <si>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</si>
  <si>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</si>
  <si>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</si>
  <si>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</si>
  <si>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</si>
  <si>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</si>
  <si>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</si>
  <si>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</si>
  <si>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</si>
  <si>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</si>
  <si>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</si>
  <si>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</si>
  <si>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</si>
  <si>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</si>
  <si>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</si>
  <si>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</si>
  <si>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</si>
  <si>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</si>
  <si>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</si>
  <si>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</si>
  <si>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</si>
  <si>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</si>
  <si>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</si>
  <si>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</si>
  <si>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</si>
  <si>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</si>
  <si>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</si>
  <si>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</si>
  <si>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</si>
  <si>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</si>
  <si>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</si>
  <si>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</si>
  <si>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</si>
  <si>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</si>
  <si>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</si>
  <si>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</si>
  <si>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</si>
  <si>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</si>
  <si>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</si>
  <si>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</si>
  <si>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</si>
  <si>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</si>
  <si>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</si>
  <si>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</si>
  <si>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</si>
  <si>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</si>
  <si>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</si>
  <si>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</si>
  <si>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</si>
  <si>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</si>
  <si>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</si>
  <si>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</si>
  <si>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</si>
  <si>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</si>
  <si>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</si>
  <si>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</si>
  <si>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</si>
  <si>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</si>
  <si>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</si>
  <si>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</si>
  <si>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</si>
  <si>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</si>
  <si>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</si>
  <si>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</si>
  <si>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</si>
  <si>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</si>
  <si>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</si>
  <si>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</si>
  <si>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</si>
  <si>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</si>
  <si>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</si>
  <si>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</si>
  <si>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</si>
  <si>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</si>
  <si>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</si>
  <si>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</si>
  <si>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</si>
  <si>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</si>
  <si>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</si>
  <si>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</si>
  <si>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</si>
  <si>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</si>
  <si>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</si>
  <si>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</si>
  <si>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</si>
  <si>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</si>
  <si>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</si>
  <si>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</si>
  <si>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</si>
  <si>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</si>
  <si>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</si>
  <si>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</si>
  <si>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</si>
  <si>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</si>
  <si>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</si>
  <si>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</si>
  <si>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</si>
  <si>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</si>
  <si>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</si>
  <si>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</si>
  <si>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</si>
  <si>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</si>
  <si>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</si>
  <si>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</si>
  <si>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</si>
  <si>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</si>
  <si>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</si>
  <si>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</si>
  <si>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</si>
  <si>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</si>
  <si>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</si>
  <si>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</si>
  <si>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</si>
  <si>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</si>
  <si>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</si>
  <si>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</si>
  <si>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</si>
  <si>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</si>
  <si>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</si>
  <si>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</si>
  <si>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</si>
  <si>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</si>
  <si>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</si>
  <si>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</si>
  <si>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</si>
  <si>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</si>
  <si>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</si>
  <si>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</si>
  <si>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</si>
  <si>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</si>
  <si>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</si>
  <si>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</si>
  <si>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</si>
  <si>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</si>
  <si>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</si>
  <si>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</si>
  <si>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</si>
  <si>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</si>
  <si>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</si>
  <si>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</si>
  <si>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</si>
  <si>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</si>
  <si>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</si>
  <si>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</si>
  <si>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</si>
  <si>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</si>
  <si>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</si>
  <si>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</si>
  <si>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</si>
  <si>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</si>
  <si>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</si>
  <si>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</si>
  <si>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</si>
  <si>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</si>
  <si>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</si>
  <si>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</si>
  <si>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</si>
  <si>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</si>
  <si>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</si>
  <si>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</si>
  <si>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</si>
  <si>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</si>
  <si>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</si>
  <si>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</si>
  <si>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</si>
  <si>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</si>
  <si>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</si>
  <si>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</si>
  <si>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</si>
  <si>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</si>
  <si>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</si>
  <si>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</si>
  <si>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</si>
  <si>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</si>
  <si>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</si>
  <si>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</si>
  <si>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</si>
  <si>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</si>
  <si>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</si>
  <si>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</si>
  <si>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</si>
  <si>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</si>
  <si>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</si>
  <si>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</si>
  <si>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</si>
  <si>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</si>
  <si>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</si>
  <si>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</si>
  <si>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</si>
  <si>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</si>
  <si>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</si>
  <si>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</si>
  <si>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</si>
  <si>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</si>
  <si>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</si>
  <si>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</si>
  <si>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</si>
  <si>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</si>
  <si>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</si>
  <si>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</si>
  <si>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</si>
  <si>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</si>
  <si>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</si>
  <si>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</si>
  <si>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</si>
  <si>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</si>
  <si>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</si>
  <si>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</si>
  <si>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</si>
  <si>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</si>
  <si>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</si>
  <si>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</si>
  <si>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</si>
  <si>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</si>
  <si>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</si>
  <si>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</si>
  <si>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</si>
  <si>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</si>
  <si>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</si>
  <si>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</si>
  <si>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</si>
  <si>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</si>
  <si>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</si>
  <si>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</si>
  <si>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</si>
  <si>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</si>
  <si>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</si>
  <si>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</si>
  <si>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</si>
  <si>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</si>
  <si>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</si>
  <si>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</si>
  <si>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</si>
  <si>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</si>
  <si>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</si>
  <si>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</si>
  <si>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</si>
  <si>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</si>
  <si>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</si>
  <si>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</si>
  <si>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</si>
  <si>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</si>
  <si>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</si>
  <si>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</si>
  <si>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</si>
  <si>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</si>
  <si>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</si>
  <si>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</si>
  <si>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</si>
  <si>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</si>
  <si>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</si>
  <si>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</si>
  <si>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</si>
  <si>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</si>
  <si>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</si>
  <si>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</si>
  <si>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</si>
  <si>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</si>
  <si>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</si>
  <si>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</si>
  <si>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</si>
  <si>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</si>
  <si>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</si>
  <si>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</si>
  <si>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</si>
  <si>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</si>
  <si>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</si>
  <si>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</si>
  <si>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</si>
  <si>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</si>
  <si>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</si>
  <si>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</si>
  <si>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</si>
  <si>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</si>
  <si>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</si>
  <si>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</si>
  <si>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</si>
  <si>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</si>
  <si>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</si>
  <si>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</si>
  <si>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</si>
  <si>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</si>
  <si>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</si>
  <si>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</si>
  <si>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</si>
  <si>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</si>
  <si>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</si>
  <si>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</si>
  <si>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</si>
  <si>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</si>
  <si>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</si>
  <si>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</si>
  <si>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</si>
  <si>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</si>
  <si>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</si>
  <si>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</si>
  <si>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</si>
  <si>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</si>
  <si>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</si>
  <si>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</si>
  <si>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</si>
  <si>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</si>
  <si>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</si>
  <si>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</si>
  <si>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</si>
  <si>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</si>
  <si>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</si>
  <si>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</si>
  <si>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</si>
  <si>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</si>
  <si>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</si>
  <si>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</si>
  <si>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</si>
  <si>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</si>
  <si>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</si>
  <si>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</si>
  <si>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</si>
  <si>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</si>
  <si>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</si>
  <si>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</si>
  <si>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</si>
  <si>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</si>
  <si>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</si>
  <si>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</si>
  <si>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</si>
  <si>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</si>
  <si>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</si>
  <si>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</si>
  <si>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</si>
  <si>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</si>
  <si>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</si>
  <si>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</si>
  <si>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</si>
  <si>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</si>
  <si>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</si>
  <si>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</si>
  <si>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</si>
  <si>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</si>
  <si>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</si>
  <si>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</si>
  <si>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</si>
  <si>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</si>
  <si>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</si>
  <si>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</si>
  <si>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</si>
  <si>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</si>
  <si>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</si>
  <si>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</si>
  <si>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</si>
  <si>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</si>
  <si>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</si>
  <si>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</si>
  <si>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</si>
  <si>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</si>
  <si>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</si>
  <si>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</si>
  <si>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</si>
  <si>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</si>
  <si>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</si>
  <si>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</si>
  <si>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</si>
  <si>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</si>
  <si>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</si>
  <si>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</si>
  <si>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</si>
  <si>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</si>
  <si>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</si>
  <si>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</si>
  <si>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</si>
  <si>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</si>
  <si>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</si>
  <si>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</si>
  <si>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</si>
  <si>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</si>
  <si>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</si>
  <si>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</si>
  <si>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</si>
  <si>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</si>
  <si>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</si>
  <si>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</si>
  <si>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</si>
  <si>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</si>
  <si>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</si>
  <si>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</si>
  <si>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</si>
  <si>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</si>
  <si>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</si>
  <si>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</si>
  <si>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</si>
  <si>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</si>
  <si>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</si>
  <si>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</si>
  <si>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</si>
  <si>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</si>
  <si>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</si>
  <si>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</si>
  <si>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</si>
  <si>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</si>
  <si>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</si>
  <si>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</si>
  <si>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</si>
  <si>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</si>
  <si>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</si>
  <si>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</si>
  <si>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</si>
  <si>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</si>
  <si>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</si>
  <si>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</si>
  <si>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</si>
  <si>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</si>
  <si>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</si>
  <si>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</si>
  <si>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</si>
  <si>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</si>
  <si>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</si>
  <si>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</si>
  <si>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</si>
  <si>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</si>
  <si>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</si>
  <si>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</si>
  <si>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</si>
  <si>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</si>
  <si>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</si>
  <si>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</si>
  <si>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</si>
  <si>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</si>
  <si>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</si>
  <si>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</si>
  <si>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</si>
  <si>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</si>
  <si>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</si>
  <si>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</si>
  <si>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</si>
  <si>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</si>
  <si>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</si>
  <si>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</si>
  <si>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</si>
  <si>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</si>
  <si>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</si>
  <si>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</si>
  <si>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</si>
  <si>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</si>
  <si>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</si>
  <si>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</si>
  <si>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</si>
  <si>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</si>
  <si>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</si>
  <si>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</si>
  <si>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</si>
  <si>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</si>
  <si>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</si>
  <si>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</si>
  <si>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</si>
  <si>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</si>
  <si>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</si>
  <si>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</si>
  <si>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</si>
  <si>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</si>
  <si>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</si>
  <si>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</si>
  <si>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</si>
  <si>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</si>
  <si>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</si>
  <si>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</si>
  <si>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</si>
  <si>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</si>
  <si>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</si>
  <si>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</si>
  <si>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</si>
  <si>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</si>
  <si>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</si>
  <si>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</si>
  <si>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</si>
  <si>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</si>
  <si>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</si>
  <si>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</si>
  <si>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</si>
  <si>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</si>
  <si>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</si>
  <si>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</si>
  <si>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</si>
  <si>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</si>
  <si>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</si>
  <si>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</si>
  <si>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</si>
  <si>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</si>
  <si>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</si>
  <si>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</si>
  <si>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</si>
  <si>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</si>
  <si>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</si>
  <si>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</si>
  <si>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</si>
  <si>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</si>
  <si>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</si>
  <si>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</si>
  <si>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</si>
  <si>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</si>
  <si>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</si>
  <si>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</si>
  <si>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</si>
  <si>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</si>
  <si>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</si>
  <si>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</si>
  <si>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</si>
  <si>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</si>
  <si>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</si>
  <si>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</si>
  <si>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</si>
  <si>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</si>
  <si>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</si>
  <si>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</si>
  <si>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</si>
  <si>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</si>
  <si>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</si>
  <si>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</si>
  <si>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</si>
  <si>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</si>
  <si>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</si>
  <si>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</si>
  <si>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</si>
  <si>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</si>
  <si>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</si>
  <si>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</si>
  <si>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</si>
  <si>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</si>
  <si>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</si>
  <si>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</si>
  <si>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</si>
  <si>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</si>
  <si>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</si>
  <si>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</si>
  <si>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</si>
  <si>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</si>
  <si>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</si>
  <si>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</si>
  <si>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</si>
  <si>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</si>
  <si>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</si>
  <si>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</si>
  <si>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</si>
  <si>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</si>
  <si>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</si>
  <si>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</si>
  <si>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</si>
  <si>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</si>
  <si>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</si>
  <si>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</si>
  <si>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</si>
  <si>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</si>
  <si>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</si>
  <si>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</si>
  <si>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</si>
  <si>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</si>
  <si>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</si>
  <si>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</si>
  <si>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</si>
  <si>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</si>
  <si>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</si>
  <si>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</si>
  <si>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</si>
  <si>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</si>
  <si>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</si>
  <si>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</si>
  <si>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</si>
  <si>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</si>
  <si>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</si>
  <si>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</si>
  <si>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</si>
  <si>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</si>
  <si>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</si>
  <si>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</si>
  <si>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</si>
  <si>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</si>
  <si>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</si>
  <si>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</si>
  <si>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</si>
  <si>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</si>
  <si>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</si>
  <si>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</si>
  <si>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</si>
  <si>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</si>
  <si>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</si>
  <si>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</si>
  <si>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</si>
  <si>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</si>
  <si>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</si>
  <si>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</si>
  <si>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</si>
  <si>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</si>
  <si>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</si>
  <si>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</si>
  <si>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</si>
  <si>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</si>
  <si>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</si>
  <si>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</si>
  <si>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</si>
  <si>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</si>
  <si>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</si>
  <si>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</si>
  <si>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</si>
  <si>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</si>
  <si>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</si>
  <si>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</si>
  <si>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</si>
  <si>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</si>
  <si>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</si>
  <si>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</si>
  <si>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</si>
  <si>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</si>
  <si>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</si>
  <si>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</si>
  <si>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</si>
  <si>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</si>
  <si>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</si>
  <si>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</si>
  <si>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</si>
  <si>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</si>
  <si>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</si>
  <si>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</si>
  <si>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</si>
  <si>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</si>
  <si>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</si>
  <si>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</si>
  <si>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</si>
  <si>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</si>
  <si>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</si>
  <si>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</si>
  <si>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</si>
  <si>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</si>
  <si>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</si>
  <si>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</si>
  <si>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</si>
  <si>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</si>
  <si>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</si>
  <si>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</si>
  <si>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</si>
  <si>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</si>
  <si>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</si>
  <si>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</si>
  <si>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</si>
  <si>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</si>
  <si>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</si>
  <si>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</si>
  <si>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</si>
  <si>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</si>
  <si>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</si>
  <si>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</si>
  <si>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</si>
  <si>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</si>
  <si>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</si>
  <si>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</si>
  <si>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</si>
  <si>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</si>
  <si>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</si>
  <si>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</si>
  <si>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</si>
  <si>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</si>
  <si>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</si>
  <si>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</si>
  <si>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</si>
  <si>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</si>
  <si>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</si>
  <si>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</si>
  <si>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</si>
  <si>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</si>
  <si>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</si>
  <si>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</si>
  <si>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</si>
  <si>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</si>
  <si>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</si>
  <si>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</si>
  <si>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</si>
  <si>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</si>
  <si>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</si>
  <si>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</si>
  <si>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</si>
  <si>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</si>
  <si>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</si>
  <si>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</si>
  <si>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</si>
  <si>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</si>
  <si>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</si>
  <si>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</si>
  <si>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</si>
  <si>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</si>
  <si>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</si>
  <si>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</si>
  <si>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</si>
  <si>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</si>
  <si>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</si>
  <si>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</si>
  <si>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</si>
  <si>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</si>
  <si>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</si>
  <si>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</si>
  <si>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</si>
  <si>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</si>
  <si>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</si>
  <si>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</si>
  <si>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</si>
  <si>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</si>
  <si>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</si>
  <si>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</si>
  <si>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</si>
  <si>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</si>
  <si>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</si>
  <si>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</si>
  <si>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</si>
  <si>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</si>
  <si>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</si>
  <si>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</si>
  <si>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</si>
  <si>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</si>
  <si>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</si>
  <si>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</si>
  <si>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</si>
  <si>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</si>
  <si>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</si>
  <si>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</si>
  <si>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</si>
  <si>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</si>
  <si>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</si>
  <si>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</si>
  <si>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</si>
  <si>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</si>
  <si>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</si>
  <si>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</si>
  <si>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</si>
  <si>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</si>
  <si>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</si>
  <si>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</si>
  <si>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</si>
  <si>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</si>
  <si>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</si>
  <si>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</si>
  <si>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</si>
  <si>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</si>
  <si>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</si>
  <si>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</si>
  <si>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</si>
  <si>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</si>
  <si>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</si>
  <si>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</si>
  <si>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</si>
  <si>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</si>
  <si>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</si>
  <si>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</si>
  <si>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</si>
  <si>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</si>
  <si>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</si>
  <si>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</si>
  <si>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</si>
  <si>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</si>
  <si>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</si>
  <si>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</si>
  <si>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</si>
  <si>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</si>
  <si>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</si>
  <si>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</si>
  <si>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</si>
  <si>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</si>
  <si>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</si>
  <si>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</si>
  <si>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</si>
  <si>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</si>
  <si>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</si>
  <si>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</si>
  <si>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</si>
  <si>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</si>
  <si>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</si>
  <si>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</si>
  <si>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</si>
  <si>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</si>
  <si>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</si>
  <si>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</si>
  <si>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</si>
  <si>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</si>
  <si>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</si>
  <si>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</si>
  <si>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</si>
  <si>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</si>
  <si>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</si>
  <si>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</si>
  <si>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</si>
  <si>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</si>
  <si>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</si>
  <si>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</si>
  <si>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</si>
  <si>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</si>
  <si>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</si>
  <si>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</si>
  <si>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</si>
  <si>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</si>
  <si>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</si>
  <si>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</si>
  <si>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</si>
  <si>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</si>
  <si>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</si>
  <si>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</si>
  <si>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</si>
  <si>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</si>
  <si>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</si>
  <si>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</si>
  <si>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</si>
  <si>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</si>
  <si>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</si>
  <si>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</si>
  <si>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</si>
  <si>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</si>
  <si>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</si>
  <si>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</si>
  <si>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</si>
  <si>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</si>
  <si>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</si>
  <si>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</si>
  <si>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</si>
  <si>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</si>
  <si>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</si>
  <si>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</si>
  <si>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</si>
  <si>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</si>
  <si>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</si>
  <si>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</si>
  <si>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</si>
  <si>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</si>
  <si>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</si>
  <si>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</si>
  <si>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</si>
  <si>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</si>
  <si>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</si>
  <si>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</si>
  <si>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</si>
  <si>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</si>
  <si>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</si>
  <si>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</si>
  <si>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</si>
  <si>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</si>
  <si>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</si>
  <si>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</si>
  <si>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</si>
  <si>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</si>
  <si>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</si>
  <si>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</si>
  <si>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</si>
  <si>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</si>
  <si>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</si>
  <si>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</si>
  <si>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</si>
  <si>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</si>
  <si>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</si>
  <si>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</si>
  <si>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</si>
  <si>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</si>
  <si>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</si>
  <si>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</si>
  <si>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</si>
  <si>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</si>
  <si>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</si>
  <si>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</si>
  <si>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</si>
  <si>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</si>
  <si>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</si>
  <si>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</si>
  <si>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</si>
  <si>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</si>
  <si>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</si>
  <si>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</si>
  <si>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</si>
  <si>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</si>
  <si>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</si>
  <si>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</si>
  <si>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</si>
  <si>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</si>
  <si>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</si>
  <si>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</si>
  <si>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</si>
  <si>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</si>
  <si>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</si>
  <si>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</si>
  <si>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</si>
  <si>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</si>
  <si>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</si>
  <si>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</si>
  <si>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</si>
  <si>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</si>
  <si>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</si>
  <si>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</si>
  <si>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</si>
  <si>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</si>
  <si>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</si>
  <si>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</si>
  <si>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</si>
  <si>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</si>
  <si>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</si>
  <si>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</si>
  <si>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</si>
  <si>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</si>
  <si>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</si>
  <si>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</si>
  <si>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</si>
  <si>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</si>
  <si>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</si>
  <si>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</si>
  <si>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</si>
  <si>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</si>
  <si>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</si>
  <si>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</si>
  <si>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</si>
  <si>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</si>
  <si>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</si>
  <si>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</si>
  <si>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</si>
  <si>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</si>
  <si>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</si>
  <si>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</si>
  <si>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</si>
  <si>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</si>
  <si>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</si>
  <si>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</si>
  <si>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</si>
  <si>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</si>
  <si>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</si>
  <si>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</si>
  <si>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</si>
  <si>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</si>
  <si>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</si>
  <si>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</si>
  <si>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</si>
  <si>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</si>
  <si>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</si>
  <si>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</si>
  <si>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</si>
  <si>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</si>
  <si>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</si>
  <si>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</si>
  <si>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</si>
  <si>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</si>
  <si>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</si>
  <si>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</si>
  <si>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</si>
  <si>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</si>
  <si>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</si>
  <si>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</si>
  <si>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</si>
  <si>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</si>
  <si>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</si>
  <si>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</si>
  <si>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</si>
  <si>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</si>
  <si>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</si>
  <si>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</si>
  <si>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</si>
  <si>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</si>
  <si>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</si>
  <si>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</si>
  <si>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</si>
  <si>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</si>
  <si>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</si>
  <si>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</si>
  <si>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</si>
  <si>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</si>
  <si>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</si>
  <si>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</si>
  <si>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</si>
  <si>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</si>
  <si>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</si>
  <si>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</si>
  <si>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</si>
  <si>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</si>
  <si>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</si>
  <si>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</si>
  <si>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</si>
  <si>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</si>
  <si>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</si>
  <si>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</si>
  <si>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</si>
  <si>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</si>
  <si>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</si>
  <si>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</si>
  <si>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</si>
  <si>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</si>
  <si>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</si>
  <si>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</si>
  <si>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</si>
  <si>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</si>
  <si>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</si>
  <si>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</si>
  <si>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</si>
  <si>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</si>
  <si>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</si>
  <si>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</si>
  <si>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</si>
  <si>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</si>
  <si>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</si>
  <si>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</si>
  <si>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</si>
  <si>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</si>
  <si>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</si>
  <si>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</si>
  <si>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</si>
  <si>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</si>
  <si>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</si>
  <si>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</si>
  <si>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</si>
  <si>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</si>
  <si>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</si>
  <si>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</si>
  <si>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</si>
  <si>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</si>
  <si>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</si>
  <si>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</si>
  <si>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</si>
  <si>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</si>
  <si>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</si>
  <si>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</si>
  <si>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</si>
  <si>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</si>
  <si>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</si>
  <si>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</si>
  <si>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</si>
  <si>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</si>
  <si>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</si>
  <si>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</si>
  <si>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</si>
  <si>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</si>
  <si>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</si>
  <si>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</si>
  <si>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</si>
  <si>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</si>
  <si>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</si>
  <si>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</si>
  <si>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</si>
  <si>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</si>
  <si>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</si>
  <si>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</si>
  <si>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</si>
  <si>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</si>
  <si>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</si>
  <si>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</si>
  <si>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</si>
  <si>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</si>
  <si>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</si>
  <si>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</si>
  <si>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</si>
  <si>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</si>
  <si>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</si>
  <si>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</si>
  <si>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</si>
  <si>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</si>
  <si>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</si>
  <si>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</si>
  <si>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</si>
  <si>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</si>
  <si>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</si>
  <si>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</si>
  <si>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</si>
  <si>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</si>
  <si>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</si>
  <si>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</si>
  <si>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</si>
  <si>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</si>
  <si>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</si>
  <si>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</si>
  <si>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</si>
  <si>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</si>
  <si>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</si>
  <si>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</si>
  <si>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</si>
  <si>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</si>
  <si>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</si>
  <si>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</si>
  <si>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</si>
  <si>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</si>
  <si>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</si>
  <si>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</si>
  <si>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</si>
  <si>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</si>
  <si>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</si>
  <si>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</si>
  <si>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</si>
  <si>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</si>
  <si>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</si>
  <si>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</si>
  <si>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</si>
  <si>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</si>
  <si>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</si>
  <si>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</si>
  <si>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</si>
  <si>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</si>
  <si>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</si>
  <si>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</si>
  <si>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</si>
  <si>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</si>
  <si>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</si>
  <si>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</si>
  <si>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</si>
  <si>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</si>
  <si>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</si>
  <si>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</si>
  <si>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</si>
  <si>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</si>
  <si>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</si>
  <si>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</si>
  <si>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</si>
  <si>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</si>
  <si>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</si>
  <si>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</si>
  <si>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</si>
  <si>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</si>
  <si>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</si>
  <si>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</si>
  <si>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</si>
  <si>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</si>
  <si>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</si>
  <si>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</si>
  <si>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</si>
  <si>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</si>
  <si>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</si>
  <si>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</si>
  <si>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</si>
  <si>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</si>
  <si>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</si>
  <si>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</si>
  <si>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</si>
  <si>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</si>
  <si>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</si>
  <si>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</si>
  <si>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</si>
  <si>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</si>
  <si>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</si>
  <si>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</si>
  <si>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</si>
  <si>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</si>
  <si>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</si>
  <si>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</si>
  <si>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</si>
  <si>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</si>
  <si>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</si>
  <si>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</si>
  <si>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</si>
  <si>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</si>
  <si>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</si>
  <si>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</si>
  <si>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</si>
  <si>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</si>
  <si>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</si>
  <si>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</si>
  <si>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</si>
  <si>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</si>
  <si>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</si>
  <si>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</si>
  <si>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</si>
  <si>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</si>
  <si>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</si>
  <si>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</si>
  <si>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</si>
  <si>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</si>
  <si>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</si>
  <si>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</si>
  <si>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</si>
  <si>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</si>
  <si>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</si>
  <si>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</si>
  <si>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</si>
  <si>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</si>
  <si>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</si>
  <si>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</si>
  <si>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</si>
  <si>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</si>
  <si>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</si>
  <si>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</si>
  <si>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</si>
  <si>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</si>
  <si>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</si>
  <si>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</si>
  <si>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</si>
  <si>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</si>
  <si>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</si>
  <si>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</si>
  <si>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</si>
  <si>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</si>
  <si>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</si>
  <si>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</si>
  <si>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</si>
  <si>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</si>
  <si>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</si>
  <si>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</si>
  <si>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</si>
  <si>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</si>
  <si>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</si>
  <si>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</si>
  <si>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</si>
  <si>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</si>
  <si>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</si>
  <si>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</si>
  <si>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</si>
  <si>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</si>
  <si>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</si>
  <si>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</si>
  <si>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</si>
  <si>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</si>
  <si>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</si>
  <si>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</si>
  <si>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</si>
  <si>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</si>
  <si>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</si>
  <si>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</si>
  <si>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</si>
  <si>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</si>
  <si>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</si>
  <si>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</si>
  <si>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</si>
  <si>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</si>
  <si>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</si>
  <si>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</si>
  <si>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</si>
  <si>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</si>
  <si>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</si>
  <si>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</si>
  <si>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</si>
  <si>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</si>
  <si>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</si>
  <si>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</si>
  <si>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</si>
  <si>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</si>
  <si>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</si>
  <si>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</si>
  <si>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</si>
  <si>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</si>
  <si>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</si>
  <si>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</si>
  <si>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</si>
  <si>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</si>
  <si>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</si>
  <si>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</si>
  <si>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</si>
  <si>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</si>
  <si>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</si>
  <si>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</si>
  <si>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</si>
  <si>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</si>
  <si>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</si>
  <si>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</si>
  <si>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</si>
  <si>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</si>
  <si>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</si>
  <si>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</si>
  <si>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</si>
  <si>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</si>
  <si>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</si>
  <si>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</si>
  <si>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</si>
  <si>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</si>
  <si>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</si>
  <si>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</si>
  <si>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</si>
  <si>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</si>
  <si>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</si>
  <si>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</si>
  <si>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</si>
  <si>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</si>
  <si>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</si>
  <si>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</si>
  <si>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</si>
  <si>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</si>
  <si>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</si>
  <si>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</si>
  <si>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</si>
  <si>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</si>
  <si>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</si>
  <si>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</si>
  <si>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</si>
  <si>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</si>
  <si>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</si>
  <si>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</si>
  <si>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</si>
  <si>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</si>
  <si>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</si>
  <si>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</si>
  <si>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</si>
  <si>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</si>
  <si>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</si>
  <si>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</si>
  <si>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</si>
  <si>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</si>
  <si>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</si>
  <si>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</si>
  <si>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</si>
  <si>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</si>
  <si>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</si>
  <si>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</si>
  <si>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</si>
  <si>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</si>
  <si>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</si>
  <si>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</si>
  <si>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</si>
  <si>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</si>
  <si>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</si>
  <si>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</si>
  <si>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</si>
  <si>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</si>
  <si>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</si>
  <si>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</si>
  <si>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</si>
  <si>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</si>
  <si>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</si>
  <si>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</si>
  <si>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</si>
  <si>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</si>
  <si>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</si>
  <si>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</si>
  <si>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</si>
  <si>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</si>
  <si>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</si>
  <si>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</si>
  <si>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</si>
  <si>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</si>
  <si>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</si>
  <si>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</si>
  <si>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</si>
  <si>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</si>
  <si>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</si>
  <si>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</si>
  <si>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</si>
  <si>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</si>
  <si>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</si>
  <si>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</si>
  <si>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</si>
  <si>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</si>
  <si>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</si>
  <si>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</si>
  <si>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</si>
  <si>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</si>
  <si>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</si>
  <si>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</si>
  <si>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</si>
  <si>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</si>
  <si>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</si>
  <si>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</si>
  <si>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</si>
  <si>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</si>
  <si>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</si>
  <si>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</si>
  <si>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</si>
  <si>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</si>
  <si>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</si>
  <si>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</si>
  <si>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</si>
  <si>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</si>
  <si>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</si>
  <si>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</si>
  <si>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</si>
  <si>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</si>
  <si>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</si>
  <si>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</si>
  <si>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</si>
  <si>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</si>
  <si>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</si>
  <si>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</si>
  <si>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</si>
  <si>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</si>
  <si>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</si>
  <si>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</si>
  <si>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</si>
  <si>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</si>
  <si>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</si>
  <si>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</si>
  <si>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</si>
  <si>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</si>
  <si>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</si>
  <si>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</si>
  <si>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</si>
  <si>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</si>
  <si>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</si>
  <si>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</si>
  <si>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</si>
  <si>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</si>
  <si>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</si>
  <si>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</si>
  <si>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</si>
  <si>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</si>
  <si>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</si>
  <si>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</si>
  <si>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</si>
  <si>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</si>
  <si>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</si>
  <si>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</si>
  <si>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</si>
  <si>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</si>
  <si>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</si>
  <si>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</si>
  <si>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</si>
  <si>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</si>
  <si>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</si>
  <si>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</si>
  <si>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</si>
  <si>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</si>
  <si>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</si>
  <si>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</si>
  <si>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</si>
  <si>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</si>
  <si>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</si>
  <si>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</si>
  <si>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</si>
  <si>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</si>
  <si>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</si>
  <si>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</si>
  <si>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</si>
  <si>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</si>
  <si>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</si>
  <si>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</si>
  <si>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</si>
  <si>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</si>
  <si>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</si>
  <si>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</si>
  <si>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</si>
  <si>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</si>
  <si>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</si>
  <si>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</si>
  <si>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</si>
  <si>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</si>
  <si>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</si>
  <si>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</si>
  <si>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</si>
  <si>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</si>
  <si>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</si>
  <si>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</si>
  <si>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</si>
  <si>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</si>
  <si>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</si>
  <si>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</si>
  <si>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</si>
  <si>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</si>
  <si>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</si>
  <si>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</si>
  <si>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</si>
  <si>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</si>
  <si>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</si>
  <si>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</si>
  <si>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</si>
  <si>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</si>
  <si>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</si>
  <si>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</si>
  <si>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</si>
  <si>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</si>
  <si>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</si>
  <si>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</si>
  <si>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</si>
  <si>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</si>
  <si>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</si>
  <si>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</si>
  <si>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</si>
  <si>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</si>
  <si>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</si>
  <si>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</si>
  <si>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</si>
  <si>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</si>
  <si>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</si>
  <si>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</si>
  <si>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</si>
  <si>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</si>
  <si>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</si>
  <si>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</si>
  <si>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</si>
  <si>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</si>
  <si>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</si>
  <si>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</si>
  <si>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</si>
  <si>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</si>
  <si>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</si>
  <si>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</si>
  <si>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</si>
  <si>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</si>
  <si>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</si>
  <si>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</si>
  <si>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</si>
  <si>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</si>
  <si>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</si>
  <si>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</si>
  <si>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</si>
  <si>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</si>
  <si>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</si>
  <si>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</si>
  <si>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</si>
  <si>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</si>
  <si>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</si>
  <si>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</si>
  <si>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</si>
  <si>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</si>
  <si>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</si>
  <si>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</si>
  <si>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</si>
  <si>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</si>
  <si>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</si>
  <si>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</si>
  <si>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</si>
  <si>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</si>
  <si>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</si>
  <si>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</si>
  <si>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</si>
  <si>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</si>
  <si>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</si>
  <si>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</si>
  <si>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</si>
  <si>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</si>
  <si>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</si>
  <si>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</si>
  <si>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</si>
  <si>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</si>
  <si>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</si>
  <si>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</si>
  <si>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</si>
  <si>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</si>
  <si>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</si>
  <si>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</si>
  <si>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</si>
  <si>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</si>
  <si>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</si>
  <si>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</si>
  <si>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</si>
  <si>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</si>
  <si>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</si>
  <si>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</si>
  <si>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</si>
  <si>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</si>
  <si>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</si>
  <si>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</si>
  <si>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</si>
  <si>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</si>
  <si>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</si>
  <si>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</si>
  <si>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</si>
  <si>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</si>
  <si>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</si>
  <si>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</si>
  <si>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</si>
  <si>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</si>
  <si>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</si>
  <si>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</si>
  <si>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</si>
  <si>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</si>
  <si>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</si>
  <si>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</si>
  <si>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</si>
  <si>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</si>
  <si>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</si>
  <si>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</si>
  <si>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</si>
  <si>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</si>
  <si>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</si>
  <si>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</si>
  <si>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</si>
  <si>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</si>
  <si>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</si>
  <si>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</si>
  <si>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</si>
  <si>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</si>
  <si>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</si>
  <si>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</si>
  <si>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</si>
  <si>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</si>
  <si>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</si>
  <si>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</si>
  <si>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</si>
  <si>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</si>
  <si>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</si>
  <si>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</si>
  <si>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</si>
  <si>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</si>
  <si>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</si>
  <si>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</si>
  <si>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</si>
  <si>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</si>
  <si>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</si>
  <si>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</si>
  <si>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</si>
  <si>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</si>
  <si>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</si>
  <si>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</si>
  <si>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</si>
  <si>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</si>
  <si>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</si>
  <si>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</si>
  <si>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</si>
  <si>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</si>
  <si>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</si>
  <si>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</si>
  <si>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</si>
  <si>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</si>
  <si>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</si>
  <si>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</si>
  <si>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</si>
  <si>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</si>
  <si>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</si>
  <si>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</si>
  <si>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</si>
  <si>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</si>
  <si>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</si>
  <si>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</si>
  <si>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</si>
  <si>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</si>
  <si>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</si>
  <si>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</si>
  <si>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</si>
  <si>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</si>
  <si>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</si>
  <si>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</si>
  <si>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</si>
  <si>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</si>
  <si>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</si>
  <si>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</si>
  <si>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</si>
  <si>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</si>
  <si>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</si>
  <si>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</si>
  <si>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</si>
  <si>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</si>
  <si>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</si>
  <si>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</si>
  <si>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</si>
  <si>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</si>
  <si>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</si>
  <si>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</si>
  <si>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</si>
  <si>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</si>
  <si>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</si>
  <si>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</si>
  <si>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</si>
  <si>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</si>
  <si>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</si>
  <si>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</si>
  <si>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</si>
  <si>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</si>
  <si>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</si>
  <si>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</si>
  <si>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</si>
  <si>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</si>
  <si>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</si>
  <si>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</si>
  <si>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</si>
  <si>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</si>
  <si>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</si>
  <si>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</si>
  <si>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</si>
  <si>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</si>
  <si>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</si>
  <si>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</si>
  <si>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</si>
  <si>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</si>
  <si>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</si>
  <si>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</si>
  <si>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</si>
  <si>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</si>
  <si>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</si>
  <si>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</si>
  <si>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</si>
  <si>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</si>
  <si>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</si>
  <si>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</si>
  <si>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</si>
  <si>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</si>
  <si>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</si>
  <si>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</si>
  <si>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</si>
  <si>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</si>
  <si>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</si>
  <si>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</si>
  <si>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</si>
  <si>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</si>
  <si>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</si>
  <si>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</si>
  <si>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</si>
  <si>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</si>
  <si>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</si>
  <si>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</si>
  <si>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</si>
  <si>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</si>
  <si>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</si>
  <si>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</si>
  <si>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</si>
  <si>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</si>
  <si>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</si>
  <si>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</si>
  <si>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</si>
  <si>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</si>
  <si>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</si>
  <si>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</si>
  <si>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</si>
  <si>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</si>
  <si>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</si>
  <si>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</si>
  <si>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</si>
  <si>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</si>
  <si>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</si>
  <si>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</si>
  <si>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</si>
  <si>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</si>
  <si>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</si>
  <si>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</si>
  <si>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</si>
  <si>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</si>
  <si>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</si>
  <si>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</si>
  <si>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</si>
  <si>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</si>
  <si>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</si>
  <si>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</si>
  <si>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</si>
  <si>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</si>
  <si>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</si>
  <si>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</si>
  <si>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</si>
  <si>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</si>
  <si>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</si>
  <si>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</si>
  <si>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</si>
  <si>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</si>
  <si>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</si>
  <si>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</si>
  <si>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</si>
  <si>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</si>
  <si>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</si>
  <si>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</si>
  <si>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</si>
  <si>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</si>
  <si>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</si>
  <si>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</si>
  <si>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</si>
  <si>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</si>
  <si>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</si>
  <si>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</si>
  <si>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</si>
  <si>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</si>
  <si>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</si>
  <si>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</si>
  <si>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</si>
  <si>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</si>
  <si>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</si>
  <si>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</si>
  <si>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</si>
  <si>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</si>
  <si>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</si>
  <si>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</si>
  <si>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</si>
  <si>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</si>
  <si>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</si>
  <si>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</si>
  <si>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</si>
  <si>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</si>
  <si>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</si>
  <si>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</si>
  <si>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</si>
  <si>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</si>
  <si>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</si>
  <si>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</si>
  <si>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</si>
  <si>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</si>
  <si>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</si>
  <si>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</si>
  <si>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</si>
  <si>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</si>
  <si>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</si>
  <si>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</si>
  <si>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</si>
  <si>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</si>
  <si>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</si>
  <si>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</si>
  <si>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</si>
  <si>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</si>
  <si>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</si>
  <si>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</si>
  <si>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</si>
  <si>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</si>
  <si>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</si>
  <si>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</si>
  <si>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</si>
  <si>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</si>
  <si>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</si>
  <si>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</si>
  <si>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</si>
  <si>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</si>
  <si>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</si>
  <si>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</si>
  <si>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</si>
  <si>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</si>
  <si>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</si>
  <si>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</si>
  <si>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</si>
  <si>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</si>
  <si>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</si>
  <si>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</si>
  <si>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</si>
  <si>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</si>
  <si>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</si>
  <si>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</si>
  <si>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</si>
  <si>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</si>
  <si>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</si>
  <si>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</si>
  <si>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</si>
  <si>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</si>
  <si>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</si>
  <si>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</si>
  <si>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</si>
  <si>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</si>
  <si>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</si>
  <si>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</si>
  <si>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</si>
  <si>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</si>
  <si>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</si>
  <si>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</si>
  <si>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</si>
  <si>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</si>
  <si>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</si>
  <si>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</si>
  <si>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</si>
  <si>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</si>
  <si>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</si>
  <si>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</si>
  <si>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</si>
  <si>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</si>
  <si>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</si>
  <si>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</si>
  <si>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</si>
  <si>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</si>
  <si>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</si>
  <si>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</si>
  <si>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</si>
  <si>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</si>
  <si>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</si>
  <si>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</si>
  <si>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</si>
  <si>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</si>
  <si>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</si>
  <si>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</si>
  <si>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</si>
  <si>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</si>
  <si>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</si>
  <si>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</si>
  <si>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</si>
  <si>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</si>
  <si>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</si>
  <si>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</si>
  <si>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</si>
  <si>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</si>
  <si>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</si>
  <si>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</si>
  <si>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</si>
  <si>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</si>
  <si>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</si>
  <si>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</si>
  <si>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</si>
  <si>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</si>
  <si>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</si>
  <si>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</si>
  <si>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</si>
  <si>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</si>
  <si>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</si>
  <si>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</si>
  <si>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</si>
  <si>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</si>
  <si>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</si>
  <si>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</si>
  <si>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</si>
  <si>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</si>
  <si>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</si>
  <si>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</si>
  <si>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</si>
  <si>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</si>
  <si>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</si>
  <si>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</si>
  <si>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</si>
  <si>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</si>
  <si>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</si>
  <si>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</si>
  <si>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</si>
  <si>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</si>
  <si>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</si>
  <si>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</si>
  <si>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</si>
  <si>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</si>
  <si>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</si>
  <si>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</si>
  <si>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</si>
  <si>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</si>
  <si>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</si>
  <si>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</si>
  <si>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</si>
  <si>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</si>
  <si>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</si>
  <si>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</si>
  <si>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</si>
  <si>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</si>
  <si>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</si>
  <si>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</si>
  <si>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</si>
  <si>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</si>
  <si>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</si>
  <si>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</si>
  <si>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</si>
  <si>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</si>
  <si>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</si>
  <si>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</si>
  <si>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</si>
  <si>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</si>
  <si>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</si>
  <si>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</si>
  <si>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</si>
  <si>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</si>
  <si>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</si>
  <si>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</si>
  <si>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</si>
  <si>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</si>
  <si>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</si>
  <si>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</si>
  <si>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</si>
  <si>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</si>
  <si>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</si>
  <si>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</si>
  <si>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</si>
  <si>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</si>
  <si>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</si>
  <si>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</si>
  <si>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</si>
  <si>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</si>
  <si>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</si>
  <si>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</si>
  <si>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</si>
  <si>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</si>
  <si>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</si>
  <si>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</si>
  <si>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</si>
  <si>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</si>
  <si>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</si>
  <si>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</si>
  <si>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</si>
  <si>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</si>
  <si>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</si>
  <si>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</si>
  <si>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</si>
  <si>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</si>
  <si>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</si>
  <si>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</si>
  <si>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</si>
  <si>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</si>
  <si>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</si>
  <si>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</si>
  <si>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</si>
  <si>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</si>
  <si>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</si>
  <si>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</si>
  <si>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</si>
  <si>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</si>
  <si>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</si>
  <si>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</si>
  <si>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</si>
  <si>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</si>
  <si>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</si>
  <si>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</si>
  <si>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</si>
  <si>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</si>
  <si>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</si>
  <si>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</si>
  <si>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</si>
  <si>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</si>
  <si>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</si>
  <si>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</si>
  <si>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</si>
  <si>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</si>
  <si>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</si>
  <si>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</si>
  <si>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</si>
  <si>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</si>
  <si>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</si>
  <si>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</si>
  <si>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</si>
  <si>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</si>
  <si>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</si>
  <si>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</si>
  <si>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</si>
  <si>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</si>
  <si>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</si>
  <si>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</si>
  <si>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</si>
  <si>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</si>
  <si>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</si>
  <si>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</si>
  <si>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</si>
  <si>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</si>
  <si>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</si>
  <si>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</si>
  <si>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</si>
  <si>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</si>
  <si>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</si>
  <si>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</si>
  <si>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</si>
  <si>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</si>
  <si>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</si>
  <si>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</si>
  <si>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</si>
  <si>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</si>
  <si>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</si>
  <si>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</si>
  <si>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</si>
  <si>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</si>
  <si>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</si>
  <si>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</si>
  <si>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</si>
  <si>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</si>
  <si>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</si>
  <si>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</si>
  <si>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</si>
  <si>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</si>
  <si>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</si>
  <si>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</si>
  <si>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</si>
  <si>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</si>
  <si>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</si>
  <si>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</si>
  <si>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</si>
  <si>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</si>
  <si>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</si>
  <si>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</si>
  <si>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</si>
  <si>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</si>
  <si>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</si>
  <si>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</si>
  <si>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</si>
  <si>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</si>
  <si>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</si>
  <si>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</si>
  <si>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</si>
  <si>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</si>
  <si>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</si>
  <si>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</si>
  <si>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</si>
  <si>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</si>
  <si>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</si>
  <si>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</si>
  <si>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</si>
  <si>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</si>
  <si>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</si>
  <si>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</si>
  <si>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</si>
  <si>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</si>
  <si>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</si>
  <si>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</si>
  <si>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</si>
  <si>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</si>
  <si>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</si>
  <si>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</si>
  <si>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</si>
  <si>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</si>
  <si>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</si>
  <si>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</si>
  <si>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</si>
  <si>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</si>
  <si>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</si>
  <si>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</si>
  <si>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</si>
  <si>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</si>
  <si>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</si>
  <si>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</si>
  <si>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</si>
  <si>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</si>
  <si>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</si>
  <si>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</si>
  <si>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</si>
  <si>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</si>
  <si>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</si>
  <si>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</si>
  <si>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</si>
  <si>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</si>
  <si>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</si>
  <si>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</si>
  <si>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</si>
  <si>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</si>
  <si>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</si>
  <si>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</si>
  <si>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</si>
  <si>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</si>
  <si>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</si>
  <si>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</si>
  <si>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</si>
  <si>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</si>
  <si>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</si>
  <si>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</si>
  <si>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</si>
  <si>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</si>
  <si>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</si>
  <si>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</si>
  <si>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</si>
  <si>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</si>
  <si>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</si>
  <si>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</si>
  <si>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</si>
  <si>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</si>
  <si>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</si>
  <si>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</si>
  <si>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</si>
  <si>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</si>
  <si>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</si>
  <si>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</si>
  <si>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</si>
  <si>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</si>
  <si>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</si>
  <si>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</si>
  <si>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</si>
  <si>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</si>
  <si>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</si>
  <si>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</si>
  <si>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</si>
  <si>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</si>
  <si>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</si>
  <si>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</si>
  <si>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</si>
  <si>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</si>
  <si>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</si>
  <si>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</si>
  <si>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</si>
  <si>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</si>
  <si>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</si>
  <si>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</si>
  <si>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</si>
  <si>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</si>
  <si>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</si>
  <si>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</si>
  <si>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</si>
  <si>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</si>
  <si>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</si>
  <si>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</si>
  <si>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</si>
  <si>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</si>
  <si>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</si>
  <si>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</si>
  <si>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</si>
  <si>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</si>
  <si>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</si>
  <si>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</si>
  <si>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</si>
  <si>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</si>
  <si>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</si>
  <si>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</si>
  <si>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</si>
  <si>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</si>
  <si>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</si>
  <si>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</si>
  <si>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</si>
  <si>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</si>
  <si>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</si>
  <si>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</si>
  <si>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</si>
  <si>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</si>
  <si>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</si>
  <si>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</si>
  <si>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</si>
  <si>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</si>
  <si>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</si>
  <si>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</si>
  <si>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</si>
  <si>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</si>
  <si>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</si>
  <si>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</si>
  <si>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</si>
  <si>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</si>
  <si>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</si>
  <si>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</si>
  <si>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</si>
  <si>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</si>
  <si>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</si>
  <si>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</si>
  <si>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</si>
  <si>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</si>
  <si>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</si>
  <si>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</si>
  <si>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</si>
  <si>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</si>
  <si>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</si>
  <si>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</si>
  <si>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</si>
  <si>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</si>
  <si>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</si>
  <si>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</si>
  <si>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</si>
  <si>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</si>
  <si>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</si>
  <si>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</si>
  <si>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</si>
  <si>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</si>
  <si>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</si>
  <si>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</si>
  <si>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</si>
  <si>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</si>
  <si>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</si>
  <si>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</si>
  <si>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</si>
  <si>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</si>
  <si>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</si>
  <si>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</si>
  <si>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</si>
  <si>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</si>
  <si>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</si>
  <si>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</si>
  <si>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</si>
  <si>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</si>
  <si>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</si>
  <si>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</si>
  <si>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</si>
  <si>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</si>
  <si>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</si>
  <si>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</si>
  <si>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</si>
  <si>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</si>
  <si>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</si>
  <si>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</si>
  <si>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</si>
  <si>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</si>
  <si>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</si>
  <si>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</si>
  <si>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</si>
  <si>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</si>
  <si>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</si>
  <si>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</si>
  <si>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</si>
  <si>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</si>
  <si>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</si>
  <si>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</si>
  <si>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</si>
  <si>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</si>
  <si>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</si>
  <si>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</si>
  <si>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</si>
  <si>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</si>
  <si>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</si>
  <si>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</si>
  <si>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</si>
  <si>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</si>
  <si>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</si>
  <si>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</si>
  <si>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</si>
  <si>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</si>
  <si>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</si>
  <si>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</si>
  <si>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</si>
  <si>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</si>
  <si>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</si>
  <si>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</si>
  <si>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</si>
  <si>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</si>
  <si>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</si>
  <si>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</si>
  <si>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</si>
  <si>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</si>
  <si>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</si>
  <si>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</si>
  <si>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</si>
  <si>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</si>
  <si>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</si>
  <si>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</si>
  <si>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</si>
  <si>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</si>
  <si>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</si>
  <si>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</si>
  <si>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</si>
  <si>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</si>
  <si>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</si>
  <si>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</si>
  <si>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</si>
  <si>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</si>
  <si>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</si>
  <si>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</si>
  <si>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</si>
  <si>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</si>
  <si>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</si>
  <si>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</si>
  <si>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</si>
  <si>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</si>
  <si>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</si>
  <si>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</si>
  <si>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</si>
  <si>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</si>
  <si>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</si>
  <si>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</si>
  <si>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</si>
  <si>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</si>
  <si>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</si>
  <si>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</si>
  <si>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</si>
  <si>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</si>
  <si>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</si>
  <si>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</si>
  <si>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</si>
  <si>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</si>
  <si>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</si>
  <si>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</si>
  <si>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</si>
  <si>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</si>
  <si>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</si>
  <si>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</si>
  <si>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</si>
  <si>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</si>
  <si>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</si>
  <si>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</si>
  <si>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</si>
  <si>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</si>
  <si>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</si>
  <si>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</si>
  <si>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</si>
  <si>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</si>
  <si>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</si>
  <si>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</si>
  <si>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</si>
  <si>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</si>
  <si>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</si>
  <si>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</si>
  <si>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</si>
  <si>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</si>
  <si>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</si>
  <si>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</si>
  <si>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</si>
  <si>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</si>
  <si>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</si>
  <si>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</si>
  <si>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</si>
  <si>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</si>
  <si>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</si>
  <si>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</si>
  <si>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</si>
  <si>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</si>
  <si>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</si>
  <si>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</si>
  <si>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</si>
  <si>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</si>
  <si>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</si>
  <si>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</si>
  <si>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</si>
  <si>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</si>
  <si>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</si>
  <si>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</si>
  <si>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</si>
  <si>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</si>
  <si>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</si>
  <si>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</si>
  <si>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</si>
  <si>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</si>
  <si>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</si>
  <si>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</si>
  <si>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</si>
  <si>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</si>
  <si>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</si>
  <si>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</si>
  <si>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</si>
  <si>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</si>
  <si>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</si>
  <si>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</si>
  <si>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</si>
  <si>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</si>
  <si>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</si>
  <si>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</si>
  <si>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</si>
  <si>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</si>
  <si>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</si>
  <si>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</si>
  <si>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</si>
  <si>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</si>
  <si>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</si>
  <si>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</si>
  <si>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</si>
  <si>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</si>
  <si>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</si>
  <si>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</si>
  <si>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</si>
  <si>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</si>
  <si>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</si>
  <si>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</si>
  <si>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</si>
  <si>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</si>
  <si>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</si>
  <si>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</si>
  <si>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</si>
  <si>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</si>
  <si>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</si>
  <si>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</si>
  <si>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</si>
  <si>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</si>
  <si>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</si>
  <si>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</si>
  <si>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</si>
  <si>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</si>
  <si>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</si>
  <si>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</si>
  <si>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</si>
  <si>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</si>
  <si>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</si>
  <si>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</si>
  <si>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</si>
  <si>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</si>
  <si>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</si>
  <si>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</si>
  <si>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</si>
  <si>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</si>
  <si>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</si>
  <si>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</si>
  <si>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</si>
  <si>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</si>
  <si>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</si>
  <si>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</si>
  <si>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</si>
  <si>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</si>
  <si>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</si>
  <si>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</si>
  <si>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</si>
  <si>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</si>
  <si>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</si>
  <si>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</si>
  <si>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</si>
  <si>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</si>
  <si>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</si>
  <si>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</si>
  <si>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</si>
  <si>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</si>
  <si>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</si>
  <si>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</si>
  <si>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</si>
  <si>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</si>
  <si>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</si>
  <si>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</si>
  <si>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</si>
  <si>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</si>
  <si>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</si>
  <si>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</si>
  <si>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</si>
  <si>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</si>
  <si>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</si>
  <si>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</si>
  <si>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</si>
  <si>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</si>
  <si>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</si>
  <si>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</si>
  <si>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</si>
  <si>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</si>
  <si>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</si>
  <si>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</si>
  <si>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</si>
  <si>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</si>
  <si>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</si>
  <si>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</si>
  <si>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</si>
  <si>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</si>
  <si>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</si>
  <si>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</si>
  <si>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</si>
  <si>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</si>
  <si>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</si>
  <si>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</si>
  <si>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</si>
  <si>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</si>
  <si>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</si>
  <si>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</si>
  <si>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</si>
  <si>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</si>
  <si>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</si>
  <si>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</si>
  <si>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</si>
  <si>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</si>
  <si>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</si>
  <si>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</si>
  <si>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</si>
  <si>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</si>
  <si>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</si>
  <si>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</si>
  <si>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</si>
  <si>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</si>
  <si>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</si>
  <si>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</si>
  <si>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</si>
  <si>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</si>
  <si>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</si>
  <si>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</si>
  <si>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</si>
  <si>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</si>
  <si>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</si>
  <si>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</si>
  <si>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</si>
  <si>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</si>
  <si>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</si>
  <si>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</si>
  <si>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</si>
  <si>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</si>
  <si>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</si>
  <si>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</si>
  <si>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</si>
  <si>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</si>
  <si>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</si>
  <si>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</si>
  <si>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</si>
  <si>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</si>
  <si>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</si>
  <si>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</si>
  <si>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</si>
  <si>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</si>
  <si>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</si>
  <si>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</si>
  <si>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</si>
  <si>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</si>
  <si>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</si>
  <si>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</si>
  <si>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</si>
  <si>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</si>
  <si>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</si>
  <si>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</si>
  <si>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</si>
  <si>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</si>
  <si>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</si>
  <si>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</si>
  <si>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</si>
  <si>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</si>
  <si>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</si>
  <si>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</si>
  <si>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</si>
  <si>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</si>
  <si>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</si>
  <si>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</si>
  <si>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</si>
  <si>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</si>
  <si>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</si>
  <si>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</si>
  <si>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</si>
  <si>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</si>
  <si>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</si>
  <si>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</si>
  <si>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</si>
  <si>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</si>
  <si>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</si>
  <si>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</si>
  <si>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</si>
  <si>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</si>
  <si>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</si>
  <si>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</si>
  <si>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</si>
  <si>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</si>
  <si>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</si>
  <si>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</si>
  <si>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</si>
  <si>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</si>
  <si>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</si>
  <si>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</si>
  <si>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</si>
  <si>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</si>
  <si>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</si>
  <si>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</si>
  <si>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</si>
  <si>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</si>
  <si>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</si>
  <si>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</si>
  <si>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</si>
  <si>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</si>
  <si>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</si>
  <si>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</si>
  <si>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</si>
  <si>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</si>
  <si>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</si>
  <si>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</si>
  <si>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</si>
  <si>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</si>
  <si>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</si>
  <si>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</si>
  <si>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</si>
  <si>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</si>
  <si>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</si>
  <si>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</si>
  <si>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affulben</t>
  </si>
  <si>
    <t>BENJAMIN AFFUL</t>
  </si>
  <si>
    <t>dpbikram</t>
  </si>
  <si>
    <t>BIKRAM DHAKAL</t>
  </si>
  <si>
    <t>biseswak</t>
  </si>
  <si>
    <t>BISESWAR KUMAR THAKUR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</si>
  <si>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</si>
  <si>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</si>
  <si>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</si>
  <si>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</si>
  <si>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</si>
  <si>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</si>
  <si>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</si>
  <si>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</si>
  <si>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</si>
  <si>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</si>
  <si>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</si>
  <si>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</si>
  <si>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</si>
  <si>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</si>
  <si>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</si>
  <si>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</si>
  <si>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</si>
  <si>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</si>
  <si>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</si>
  <si>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</si>
  <si>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</si>
  <si>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</si>
  <si>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</si>
  <si>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</si>
  <si>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</si>
  <si>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</si>
  <si>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</si>
  <si>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</si>
  <si>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</si>
  <si>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</si>
  <si>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</si>
  <si>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</si>
  <si>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</si>
  <si>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</si>
  <si>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</si>
  <si>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</si>
  <si>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</si>
  <si>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</si>
  <si>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</si>
  <si>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</si>
  <si>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</si>
  <si>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</si>
  <si>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</si>
  <si>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</si>
  <si>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</si>
  <si>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</si>
  <si>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</si>
  <si>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</si>
  <si>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</si>
  <si>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</si>
  <si>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</si>
  <si>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</si>
  <si>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</si>
  <si>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</si>
  <si>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</si>
  <si>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</si>
  <si>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</si>
  <si>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</si>
  <si>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</si>
  <si>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</si>
  <si>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</si>
  <si>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</si>
  <si>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</si>
  <si>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</si>
  <si>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</si>
  <si>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</si>
  <si>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</si>
  <si>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</si>
  <si>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</si>
  <si>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</si>
  <si>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</si>
  <si>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</si>
  <si>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</si>
  <si>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</si>
  <si>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</si>
  <si>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</si>
  <si>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</si>
  <si>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</si>
  <si>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</si>
  <si>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</si>
  <si>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</si>
  <si>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</si>
  <si>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</si>
  <si>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</si>
  <si>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</si>
  <si>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</si>
  <si>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</si>
  <si>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</si>
  <si>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</si>
  <si>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</si>
  <si>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</si>
  <si>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</si>
  <si>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</si>
  <si>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</si>
  <si>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</si>
  <si>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</si>
  <si>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</si>
  <si>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</si>
  <si>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</si>
  <si>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</si>
  <si>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</si>
  <si>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</si>
  <si>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</si>
  <si>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</si>
  <si>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</si>
  <si>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</si>
  <si>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</si>
  <si>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</si>
  <si>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</si>
  <si>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</si>
  <si>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</si>
  <si>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</si>
  <si>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</si>
  <si>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</si>
  <si>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</si>
  <si>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</si>
  <si>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</si>
  <si>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</si>
  <si>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</si>
  <si>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</si>
  <si>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</si>
  <si>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</si>
  <si>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</si>
  <si>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</si>
  <si>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</si>
  <si>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</si>
  <si>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</si>
  <si>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</si>
  <si>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aloielia</t>
  </si>
  <si>
    <t>ALOI,ELIAS</t>
  </si>
  <si>
    <t>chakkumm</t>
  </si>
  <si>
    <t>Chakkumkandath,Midhun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</si>
  <si>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</si>
  <si>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</si>
  <si>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</si>
  <si>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</si>
  <si>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</si>
  <si>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</si>
  <si>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</si>
  <si>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</si>
  <si>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</si>
  <si>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</si>
  <si>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</si>
  <si>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</si>
  <si>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</si>
  <si>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</si>
  <si>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</si>
  <si>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</si>
  <si>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</si>
  <si>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</si>
  <si>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</si>
  <si>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</si>
  <si>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</si>
  <si>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</si>
  <si>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</si>
  <si>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</si>
  <si>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</si>
  <si>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</si>
  <si>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</si>
  <si>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</si>
  <si>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</si>
  <si>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</si>
  <si>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</si>
  <si>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</si>
  <si>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</si>
  <si>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</si>
  <si>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</si>
  <si>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</si>
  <si>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</si>
  <si>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</si>
  <si>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</si>
  <si>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kanyoalb</t>
  </si>
  <si>
    <t>nbashali</t>
  </si>
  <si>
    <t>tabiayuj</t>
  </si>
  <si>
    <t>echubobo</t>
  </si>
  <si>
    <t>kuncarol</t>
  </si>
  <si>
    <t>addlchri</t>
  </si>
  <si>
    <t>amukclin</t>
  </si>
  <si>
    <t>cosmkibe</t>
  </si>
  <si>
    <t>rseremda</t>
  </si>
  <si>
    <t>wedwinki</t>
  </si>
  <si>
    <t>emmaunea</t>
  </si>
  <si>
    <t>kourever</t>
  </si>
  <si>
    <t>fjefaith</t>
  </si>
  <si>
    <t>mnengnfl</t>
  </si>
  <si>
    <t>fredrimw</t>
  </si>
  <si>
    <t>fuissaka</t>
  </si>
  <si>
    <t>globquan</t>
  </si>
  <si>
    <t>commeygs</t>
  </si>
  <si>
    <t>cheropeg</t>
  </si>
  <si>
    <t>htameklo</t>
  </si>
  <si>
    <t>efhayfor</t>
  </si>
  <si>
    <t>kusiisa</t>
  </si>
  <si>
    <t>jopkolin</t>
  </si>
  <si>
    <t>rjwanjir</t>
  </si>
  <si>
    <t>knkumbuj</t>
  </si>
  <si>
    <t>chjoycec</t>
  </si>
  <si>
    <t>ngumaryw</t>
  </si>
  <si>
    <t>bushirna</t>
  </si>
  <si>
    <t>gakyeaop</t>
  </si>
  <si>
    <t>phoeboli</t>
  </si>
  <si>
    <t>ritjuoke</t>
  </si>
  <si>
    <t>samoluwa</t>
  </si>
  <si>
    <t>jerstelt</t>
  </si>
  <si>
    <t>sydoneye</t>
  </si>
  <si>
    <t>ikitusyl</t>
  </si>
  <si>
    <t>ellvicen</t>
  </si>
  <si>
    <t>violjepk</t>
  </si>
  <si>
    <t>vivianjb</t>
  </si>
  <si>
    <t>Fondwhit</t>
  </si>
  <si>
    <t>Albert Kanyoro</t>
  </si>
  <si>
    <t>ALI BASHIR KASAGA</t>
  </si>
  <si>
    <t>Arrey Tabiayuk Brandon</t>
  </si>
  <si>
    <t>BORIS ECHUBOU NANA</t>
  </si>
  <si>
    <t>CAROLINE WANJA</t>
  </si>
  <si>
    <t>CHRISTIANA ADDO</t>
  </si>
  <si>
    <t>Clinton Amukhoywa</t>
  </si>
  <si>
    <t>Cosmas Kirwa Kibet</t>
  </si>
  <si>
    <t>DAISY CHEPKEMBOI SEREM</t>
  </si>
  <si>
    <t>Edwin Kimani Wandui</t>
  </si>
  <si>
    <t>EMMAUNEL AYENSU</t>
  </si>
  <si>
    <t>Everline Nyamoita Ouru</t>
  </si>
  <si>
    <t>FAITH JEROP</t>
  </si>
  <si>
    <t>FLAVIN NENG NKHAN</t>
  </si>
  <si>
    <t>FREDRICK MWENDWA MWANIKI</t>
  </si>
  <si>
    <t>Fullera Issaka</t>
  </si>
  <si>
    <t>GLORIA QUANSAH</t>
  </si>
  <si>
    <t xml:space="preserve">Grace Kaaley Commey </t>
  </si>
  <si>
    <t>GRASHA CHEROP</t>
  </si>
  <si>
    <t>Happy Tamekloe</t>
  </si>
  <si>
    <t>Hayford Effah</t>
  </si>
  <si>
    <t>ISAAC KUSI MENSAH</t>
  </si>
  <si>
    <t>JOPKOEECH,LINDAH</t>
  </si>
  <si>
    <t>JOSEPH NJUGUNA WANJIRU</t>
  </si>
  <si>
    <t>JOSEPHINE NKUMBU CHI</t>
  </si>
  <si>
    <t>JOYCE CHEROP CHERUIYOT</t>
  </si>
  <si>
    <t>Mary wambui nguru</t>
  </si>
  <si>
    <t>Nassonko Bushirah</t>
  </si>
  <si>
    <t>OWUSU AKYEA OPARE</t>
  </si>
  <si>
    <t>PHOEBE OLINDO</t>
  </si>
  <si>
    <t>RITA JUO KEDZE</t>
  </si>
  <si>
    <t>SAMUEL OLUWALE LANGLEY</t>
  </si>
  <si>
    <t>STELLAH JEROP</t>
  </si>
  <si>
    <t>SYDONIE EYE TANGE</t>
  </si>
  <si>
    <t>SYLYN CHEROP KITUR</t>
  </si>
  <si>
    <t>VICENTIA ELLEN IDUN</t>
  </si>
  <si>
    <t>Violah Jepkemei</t>
  </si>
  <si>
    <t>Vivian chepchumba</t>
  </si>
  <si>
    <t>Whitney-Lois Fenui Fondanui</t>
  </si>
  <si>
    <t xml:space="preserve">Monday </t>
  </si>
  <si>
    <t xml:space="preserve">Tuesday </t>
  </si>
  <si>
    <t xml:space="preserve">Wednesday </t>
  </si>
  <si>
    <t xml:space="preserve">Sunday </t>
  </si>
  <si>
    <t xml:space="preserve">Thursday </t>
  </si>
  <si>
    <t xml:space="preserve">Friday </t>
  </si>
  <si>
    <t xml:space="preserve">Saturday </t>
  </si>
  <si>
    <t>DS</t>
  </si>
  <si>
    <t>Overall</t>
  </si>
  <si>
    <t>NS</t>
  </si>
  <si>
    <t>Annual Leave</t>
  </si>
  <si>
    <t xml:space="preserve">Attendance </t>
  </si>
  <si>
    <t>6th day OT</t>
  </si>
  <si>
    <t>6th Day OT</t>
  </si>
  <si>
    <t>p</t>
  </si>
  <si>
    <t>Maternity Leave</t>
  </si>
  <si>
    <t>DWD Dashboard</t>
  </si>
  <si>
    <t>GB LEAVES</t>
  </si>
  <si>
    <t>Miss SOS punch</t>
  </si>
  <si>
    <t xml:space="preserve">Long Sick Leave </t>
  </si>
  <si>
    <t>Not mapped with workevent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</si>
</sst>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  <numFmt numFmtId="171" formatCode="[$-F800]dddd\,\ mmmm\ dd\,\ 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  <font>
      <sz val="9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78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" fontId="19" fillId="0" borderId="1" xfId="1" applyNumberFormat="1" applyFont="1" applyFill="1" applyBorder="1" applyAlignment="1">
      <alignment horizontal="center" vertical="center"/>
    </xf>
    <xf numFmtId="43" fontId="19" fillId="0" borderId="1" xfId="5" applyFont="1" applyFill="1" applyBorder="1" applyAlignment="1">
      <alignment horizontal="center" vertical="center"/>
    </xf>
    <xf numFmtId="9" fontId="16" fillId="0" borderId="1" xfId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4" fontId="4" fillId="8" borderId="5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6" fontId="10" fillId="0" borderId="30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9" fontId="2" fillId="0" borderId="0" xfId="1" applyFont="1"/>
    <xf numFmtId="14" fontId="4" fillId="5" borderId="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0" fontId="0" fillId="0" borderId="0" xfId="0" applyNumberFormat="1"/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1204"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1203"/>
    </tableStyle>
    <tableStyle name="Table Style 2" pivot="0" count="2" xr9:uid="{18C1CFA2-D327-418D-9CE3-705B1B857C1A}">
      <tableStyleElement type="headerRow" dxfId="1202"/>
      <tableStyleElement type="firstRowStripe" dxfId="1201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navedk/Downloads/Roster_178750328793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ster_1787503287932"/>
    </sheetNames>
    <sheetDataSet>
      <sheetData sheetId="0">
        <row r="2">
          <cell r="D2" t="str">
            <v>abaaamon</v>
          </cell>
          <cell r="E2">
            <v>203800382</v>
          </cell>
          <cell r="F2" t="str">
            <v>A</v>
          </cell>
          <cell r="G2" t="str">
            <v>GREEN</v>
          </cell>
          <cell r="H2" t="str">
            <v>FULL_TIME</v>
          </cell>
          <cell r="I2">
            <v>900234</v>
          </cell>
          <cell r="J2" t="str">
            <v>Dulsco L.L.C.</v>
          </cell>
          <cell r="K2" t="str">
            <v>AMON ABAASA</v>
          </cell>
          <cell r="L2" t="str">
            <v>Warehouse Associate (TEMP)</v>
          </cell>
          <cell r="M2" t="str">
            <v>Warehouse Associate 8W</v>
          </cell>
          <cell r="N2" t="str">
            <v>aanso</v>
          </cell>
          <cell r="O2">
            <v>1299</v>
          </cell>
          <cell r="P2" t="str">
            <v>AUH1</v>
          </cell>
          <cell r="Q2" t="str">
            <v>ARE</v>
          </cell>
          <cell r="R2" t="str">
            <v>FC159</v>
          </cell>
          <cell r="S2" t="str">
            <v>Day Shift</v>
          </cell>
          <cell r="T2">
            <v>99</v>
          </cell>
          <cell r="U2" t="str">
            <v>MENA_UAE_FC</v>
          </cell>
          <cell r="V2">
            <v>46257.331944444442</v>
          </cell>
          <cell r="W2">
            <v>46257.748611111114</v>
          </cell>
          <cell r="X2">
            <v>46257.333333333336</v>
          </cell>
          <cell r="Y2">
            <v>46257.75</v>
          </cell>
          <cell r="AA2" t="str">
            <v>Scheduled</v>
          </cell>
          <cell r="AB2" t="str">
            <v>Present</v>
          </cell>
          <cell r="AC2" t="str">
            <v>Customer returns</v>
          </cell>
          <cell r="AD2" t="str">
            <v>Customer Returns</v>
          </cell>
          <cell r="AE2" t="str">
            <v>Customer returns</v>
          </cell>
          <cell r="AF2" t="str">
            <v>Thursday</v>
          </cell>
          <cell r="AG2" t="str">
            <v>Friday</v>
          </cell>
          <cell r="AH2">
            <v>22</v>
          </cell>
          <cell r="AJ2">
            <v>45515</v>
          </cell>
          <cell r="AM2" t="str">
            <v>TEMP</v>
          </cell>
          <cell r="AN2" t="str">
            <v>3P Onsite Worker</v>
          </cell>
          <cell r="AO2" t="str">
            <v>A</v>
          </cell>
          <cell r="AP2">
            <v>9</v>
          </cell>
          <cell r="AQ2">
            <v>0</v>
          </cell>
          <cell r="AR2">
            <v>1</v>
          </cell>
          <cell r="AS2">
            <v>1</v>
          </cell>
          <cell r="AT2">
            <v>0</v>
          </cell>
          <cell r="AU2">
            <v>0</v>
          </cell>
        </row>
        <row r="3">
          <cell r="D3" t="str">
            <v>abanebar</v>
          </cell>
          <cell r="E3">
            <v>206791751</v>
          </cell>
          <cell r="F3" t="str">
            <v>A</v>
          </cell>
          <cell r="G3" t="str">
            <v>GREEN</v>
          </cell>
          <cell r="H3" t="str">
            <v>FULL_TIME</v>
          </cell>
          <cell r="I3">
            <v>900234</v>
          </cell>
          <cell r="J3" t="str">
            <v>Dulsco L.L.C.</v>
          </cell>
          <cell r="K3" t="str">
            <v>NEBART ABAHO</v>
          </cell>
          <cell r="L3" t="str">
            <v>Warehouse Associate (TEMP)</v>
          </cell>
          <cell r="M3" t="str">
            <v>Warehouse Associate 8W</v>
          </cell>
          <cell r="N3" t="str">
            <v>pparsin</v>
          </cell>
          <cell r="O3">
            <v>1299</v>
          </cell>
          <cell r="P3" t="str">
            <v>AUH1</v>
          </cell>
          <cell r="Q3" t="str">
            <v>ARE</v>
          </cell>
          <cell r="R3" t="str">
            <v>FC059</v>
          </cell>
          <cell r="S3" t="str">
            <v>Day Shift</v>
          </cell>
          <cell r="T3">
            <v>99</v>
          </cell>
          <cell r="U3" t="str">
            <v>MENA_UAE_FC</v>
          </cell>
          <cell r="X3">
            <v>46257.333333333336</v>
          </cell>
          <cell r="Y3">
            <v>46257.75</v>
          </cell>
          <cell r="Z3" t="str">
            <v>Rest Day</v>
          </cell>
          <cell r="AA3" t="str">
            <v>Not Scheduled</v>
          </cell>
          <cell r="AB3" t="str">
            <v>Not Present</v>
          </cell>
          <cell r="AC3" t="str">
            <v>Inbound</v>
          </cell>
          <cell r="AD3" t="str">
            <v>Inbound Stow</v>
          </cell>
          <cell r="AE3" t="str">
            <v>Stow</v>
          </cell>
          <cell r="AF3" t="str">
            <v>Sunday</v>
          </cell>
          <cell r="AG3" t="str">
            <v>Monday</v>
          </cell>
          <cell r="AH3">
            <v>3</v>
          </cell>
          <cell r="AJ3">
            <v>45998</v>
          </cell>
          <cell r="AM3" t="str">
            <v>TEMP</v>
          </cell>
          <cell r="AN3" t="str">
            <v>3P Onsite Worker</v>
          </cell>
          <cell r="AO3" t="str">
            <v>A</v>
          </cell>
          <cell r="AP3">
            <v>9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</row>
        <row r="4">
          <cell r="D4" t="str">
            <v>abasarud</v>
          </cell>
          <cell r="E4">
            <v>203964989</v>
          </cell>
          <cell r="F4" t="str">
            <v>A</v>
          </cell>
          <cell r="G4" t="str">
            <v>GREEN</v>
          </cell>
          <cell r="H4" t="str">
            <v>FULL_TIME</v>
          </cell>
          <cell r="I4">
            <v>900234</v>
          </cell>
          <cell r="J4" t="str">
            <v>Adecco</v>
          </cell>
          <cell r="K4" t="str">
            <v>Asarudeen Abdul Razak</v>
          </cell>
          <cell r="L4" t="str">
            <v>Warehouse Associate (TEMP)</v>
          </cell>
          <cell r="M4" t="str">
            <v>Warehouse Associate 24M</v>
          </cell>
          <cell r="N4" t="str">
            <v>lraghava</v>
          </cell>
          <cell r="O4">
            <v>1299</v>
          </cell>
          <cell r="P4" t="str">
            <v>AUH1</v>
          </cell>
          <cell r="Q4" t="str">
            <v>ARE</v>
          </cell>
          <cell r="R4" t="str">
            <v>FC109</v>
          </cell>
          <cell r="S4" t="str">
            <v>Day Shift</v>
          </cell>
          <cell r="T4">
            <v>99</v>
          </cell>
          <cell r="U4" t="str">
            <v>MENA_UAE_FC</v>
          </cell>
          <cell r="V4">
            <v>46257.332638888889</v>
          </cell>
          <cell r="W4">
            <v>46257.745833333334</v>
          </cell>
          <cell r="X4">
            <v>46257.333333333336</v>
          </cell>
          <cell r="Y4">
            <v>46257.75</v>
          </cell>
          <cell r="AA4" t="str">
            <v>Scheduled</v>
          </cell>
          <cell r="AB4" t="str">
            <v>Present</v>
          </cell>
          <cell r="AC4" t="str">
            <v>Outbound</v>
          </cell>
          <cell r="AD4" t="str">
            <v>Picking</v>
          </cell>
          <cell r="AE4" t="str">
            <v>Pick</v>
          </cell>
          <cell r="AF4" t="str">
            <v>Tuesday</v>
          </cell>
          <cell r="AG4" t="str">
            <v>Wednesday</v>
          </cell>
          <cell r="AH4">
            <v>13</v>
          </cell>
          <cell r="AJ4">
            <v>45543</v>
          </cell>
          <cell r="AM4" t="str">
            <v>TEMP</v>
          </cell>
          <cell r="AN4" t="str">
            <v>3P Onsite Worker</v>
          </cell>
          <cell r="AO4" t="str">
            <v>A</v>
          </cell>
          <cell r="AP4">
            <v>9</v>
          </cell>
          <cell r="AQ4">
            <v>0</v>
          </cell>
          <cell r="AR4">
            <v>1</v>
          </cell>
          <cell r="AS4">
            <v>1</v>
          </cell>
          <cell r="AT4">
            <v>0</v>
          </cell>
          <cell r="AU4">
            <v>0</v>
          </cell>
        </row>
        <row r="5">
          <cell r="D5" t="str">
            <v>abdababa</v>
          </cell>
          <cell r="E5">
            <v>206129609</v>
          </cell>
          <cell r="F5" t="str">
            <v>A</v>
          </cell>
          <cell r="G5" t="str">
            <v>GREEN</v>
          </cell>
          <cell r="H5" t="str">
            <v>FULL_TIME</v>
          </cell>
          <cell r="I5">
            <v>900234</v>
          </cell>
          <cell r="J5" t="str">
            <v>Fastlink Outsourcing</v>
          </cell>
          <cell r="K5" t="str">
            <v>Abdulai Babah Turay</v>
          </cell>
          <cell r="L5" t="str">
            <v>Warehouse Associate (TEMP)</v>
          </cell>
          <cell r="M5" t="str">
            <v>Warehouse Associate 12M</v>
          </cell>
          <cell r="N5" t="str">
            <v>ansammar</v>
          </cell>
          <cell r="O5">
            <v>1299</v>
          </cell>
          <cell r="P5" t="str">
            <v>AUH1</v>
          </cell>
          <cell r="Q5" t="str">
            <v>ARE</v>
          </cell>
          <cell r="R5" t="str">
            <v>FC159</v>
          </cell>
          <cell r="S5" t="str">
            <v>Day Shift</v>
          </cell>
          <cell r="T5">
            <v>99</v>
          </cell>
          <cell r="U5" t="str">
            <v>MENA_UAE_FC</v>
          </cell>
          <cell r="V5">
            <v>46257.331944444442</v>
          </cell>
          <cell r="W5">
            <v>46257.749305555553</v>
          </cell>
          <cell r="X5">
            <v>46257.333333333336</v>
          </cell>
          <cell r="Y5">
            <v>46257.75</v>
          </cell>
          <cell r="AA5" t="str">
            <v>Scheduled</v>
          </cell>
          <cell r="AB5" t="str">
            <v>Present</v>
          </cell>
          <cell r="AC5" t="str">
            <v>Outbound</v>
          </cell>
          <cell r="AD5" t="str">
            <v>Picking</v>
          </cell>
          <cell r="AE5" t="str">
            <v>Pick</v>
          </cell>
          <cell r="AF5" t="str">
            <v>Thursday</v>
          </cell>
          <cell r="AG5" t="str">
            <v>Friday</v>
          </cell>
          <cell r="AH5">
            <v>13</v>
          </cell>
          <cell r="AJ5">
            <v>45928</v>
          </cell>
          <cell r="AM5" t="str">
            <v>TEMP</v>
          </cell>
          <cell r="AN5" t="str">
            <v>3P Onsite Worker</v>
          </cell>
          <cell r="AO5" t="str">
            <v>A</v>
          </cell>
          <cell r="AP5">
            <v>9</v>
          </cell>
          <cell r="AQ5">
            <v>0</v>
          </cell>
          <cell r="AR5">
            <v>1</v>
          </cell>
          <cell r="AS5">
            <v>1</v>
          </cell>
          <cell r="AT5">
            <v>0</v>
          </cell>
          <cell r="AU5">
            <v>0</v>
          </cell>
        </row>
        <row r="6">
          <cell r="D6" t="str">
            <v>abdallhg</v>
          </cell>
          <cell r="E6">
            <v>205256720</v>
          </cell>
          <cell r="F6" t="str">
            <v>A</v>
          </cell>
          <cell r="G6" t="str">
            <v>GREEN</v>
          </cell>
          <cell r="H6" t="str">
            <v>FULL_TIME</v>
          </cell>
          <cell r="I6">
            <v>900234</v>
          </cell>
          <cell r="J6" t="str">
            <v>EFS Facilities Services</v>
          </cell>
          <cell r="K6" t="str">
            <v>Abdallah Haza</v>
          </cell>
          <cell r="L6" t="str">
            <v>Warehouse Associate (TEMP)</v>
          </cell>
          <cell r="M6" t="str">
            <v>Warehouse Associate 12M</v>
          </cell>
          <cell r="N6" t="str">
            <v>lraghava</v>
          </cell>
          <cell r="O6">
            <v>1299</v>
          </cell>
          <cell r="P6" t="str">
            <v>AUH1</v>
          </cell>
          <cell r="Q6" t="str">
            <v>ARE</v>
          </cell>
          <cell r="R6" t="str">
            <v>LK013</v>
          </cell>
          <cell r="S6" t="str">
            <v>Night Shift</v>
          </cell>
          <cell r="T6">
            <v>99</v>
          </cell>
          <cell r="U6" t="str">
            <v>MENA_UAE_FC</v>
          </cell>
          <cell r="X6">
            <v>46257.756944444445</v>
          </cell>
          <cell r="Y6">
            <v>46258.173611111109</v>
          </cell>
          <cell r="Z6" t="str">
            <v>Rest Day</v>
          </cell>
          <cell r="AA6" t="str">
            <v>Not Scheduled</v>
          </cell>
          <cell r="AB6" t="str">
            <v>Not Present</v>
          </cell>
          <cell r="AC6" t="str">
            <v>Outbound</v>
          </cell>
          <cell r="AD6" t="str">
            <v>Picking</v>
          </cell>
          <cell r="AE6" t="str">
            <v>Pick</v>
          </cell>
          <cell r="AF6" t="str">
            <v>Sunday</v>
          </cell>
          <cell r="AG6" t="str">
            <v>Monday</v>
          </cell>
          <cell r="AH6">
            <v>13</v>
          </cell>
          <cell r="AJ6">
            <v>45791</v>
          </cell>
          <cell r="AM6" t="str">
            <v>TEMP</v>
          </cell>
          <cell r="AN6" t="str">
            <v>3P Onsite Worker</v>
          </cell>
          <cell r="AO6" t="str">
            <v>A</v>
          </cell>
          <cell r="AP6">
            <v>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</row>
        <row r="7">
          <cell r="D7" t="str">
            <v>abdalomc</v>
          </cell>
          <cell r="E7">
            <v>206137330</v>
          </cell>
          <cell r="F7" t="str">
            <v>A</v>
          </cell>
          <cell r="G7" t="str">
            <v>GREEN</v>
          </cell>
          <cell r="H7" t="str">
            <v>FULL_TIME</v>
          </cell>
          <cell r="I7">
            <v>900234</v>
          </cell>
          <cell r="J7" t="str">
            <v>Fastlink Outsourcing</v>
          </cell>
          <cell r="K7" t="str">
            <v>ABDALLA OMAR</v>
          </cell>
          <cell r="L7" t="str">
            <v>Warehouse Associate (TEMP)</v>
          </cell>
          <cell r="M7" t="str">
            <v>Warehouse Associate 12M</v>
          </cell>
          <cell r="N7" t="str">
            <v>scariav</v>
          </cell>
          <cell r="O7">
            <v>1299</v>
          </cell>
          <cell r="P7" t="str">
            <v>AUH1</v>
          </cell>
          <cell r="Q7" t="str">
            <v>ARE</v>
          </cell>
          <cell r="R7" t="str">
            <v>LK017</v>
          </cell>
          <cell r="S7" t="str">
            <v>Night Shift</v>
          </cell>
          <cell r="T7">
            <v>99</v>
          </cell>
          <cell r="U7" t="str">
            <v>MENA_UAE_FC</v>
          </cell>
          <cell r="V7">
            <v>46257.756249999999</v>
          </cell>
          <cell r="X7">
            <v>46257.756944444445</v>
          </cell>
          <cell r="Y7">
            <v>46258.173611111109</v>
          </cell>
          <cell r="AA7" t="str">
            <v>Scheduled</v>
          </cell>
          <cell r="AB7" t="str">
            <v>Present</v>
          </cell>
          <cell r="AC7" t="str">
            <v>Outbound</v>
          </cell>
          <cell r="AD7" t="str">
            <v>Picking</v>
          </cell>
          <cell r="AE7" t="str">
            <v>Pick</v>
          </cell>
          <cell r="AF7" t="str">
            <v>Thursday</v>
          </cell>
          <cell r="AG7" t="str">
            <v>Friday</v>
          </cell>
          <cell r="AH7">
            <v>13</v>
          </cell>
          <cell r="AJ7">
            <v>45928</v>
          </cell>
          <cell r="AM7" t="str">
            <v>TEMP</v>
          </cell>
          <cell r="AN7" t="str">
            <v>3P Onsite Worker</v>
          </cell>
          <cell r="AO7" t="str">
            <v>A</v>
          </cell>
          <cell r="AP7">
            <v>9</v>
          </cell>
          <cell r="AQ7">
            <v>0</v>
          </cell>
          <cell r="AR7">
            <v>1</v>
          </cell>
          <cell r="AS7">
            <v>1</v>
          </cell>
          <cell r="AT7">
            <v>0</v>
          </cell>
          <cell r="AU7">
            <v>0</v>
          </cell>
        </row>
        <row r="8">
          <cell r="D8" t="str">
            <v>abdwaak</v>
          </cell>
          <cell r="E8">
            <v>204172240</v>
          </cell>
          <cell r="F8" t="str">
            <v>A</v>
          </cell>
          <cell r="G8" t="str">
            <v>GREEN</v>
          </cell>
          <cell r="H8" t="str">
            <v>FULL_TIME</v>
          </cell>
          <cell r="I8">
            <v>900234</v>
          </cell>
          <cell r="J8" t="str">
            <v>Dulsco L.L.C.</v>
          </cell>
          <cell r="K8" t="str">
            <v>ABDUL WAAKO</v>
          </cell>
          <cell r="L8" t="str">
            <v>Warehouse Associate (TEMP)</v>
          </cell>
          <cell r="M8" t="str">
            <v>Warehouse Associate 24M</v>
          </cell>
          <cell r="N8" t="str">
            <v>mnarshad</v>
          </cell>
          <cell r="O8">
            <v>1299</v>
          </cell>
          <cell r="P8" t="str">
            <v>AUH1</v>
          </cell>
          <cell r="Q8" t="str">
            <v>ARE</v>
          </cell>
          <cell r="R8" t="str">
            <v>LK016</v>
          </cell>
          <cell r="S8" t="str">
            <v>Night Shift</v>
          </cell>
          <cell r="T8">
            <v>99</v>
          </cell>
          <cell r="U8" t="str">
            <v>MENA_UAE_FC</v>
          </cell>
          <cell r="V8">
            <v>46257.756944444445</v>
          </cell>
          <cell r="X8">
            <v>46257.756944444445</v>
          </cell>
          <cell r="Y8">
            <v>46258.173611111109</v>
          </cell>
          <cell r="AA8" t="str">
            <v>Scheduled</v>
          </cell>
          <cell r="AB8" t="str">
            <v>Present</v>
          </cell>
          <cell r="AC8" t="str">
            <v>Outbound</v>
          </cell>
          <cell r="AD8" t="str">
            <v>Sort - Batch</v>
          </cell>
          <cell r="AE8" t="str">
            <v>Sort</v>
          </cell>
          <cell r="AF8" t="str">
            <v>Wednesday</v>
          </cell>
          <cell r="AG8" t="str">
            <v>Thursday</v>
          </cell>
          <cell r="AH8">
            <v>15</v>
          </cell>
          <cell r="AJ8">
            <v>45567</v>
          </cell>
          <cell r="AM8" t="str">
            <v>TEMP</v>
          </cell>
          <cell r="AN8" t="str">
            <v>3P Onsite Worker</v>
          </cell>
          <cell r="AO8" t="str">
            <v>A</v>
          </cell>
          <cell r="AP8">
            <v>9</v>
          </cell>
          <cell r="AQ8">
            <v>0</v>
          </cell>
          <cell r="AR8">
            <v>1</v>
          </cell>
          <cell r="AS8">
            <v>1</v>
          </cell>
          <cell r="AT8">
            <v>0</v>
          </cell>
          <cell r="AU8">
            <v>0</v>
          </cell>
        </row>
        <row r="9">
          <cell r="D9" t="str">
            <v>abdxmulu</v>
          </cell>
          <cell r="E9">
            <v>203908320</v>
          </cell>
          <cell r="F9" t="str">
            <v>A</v>
          </cell>
          <cell r="G9" t="str">
            <v>GREEN</v>
          </cell>
          <cell r="H9" t="str">
            <v>FULL_TIME</v>
          </cell>
          <cell r="I9">
            <v>900234</v>
          </cell>
          <cell r="J9" t="str">
            <v>Dulsco L.L.C.</v>
          </cell>
          <cell r="K9" t="str">
            <v>ABDULHAKIM MULUMBA</v>
          </cell>
          <cell r="L9" t="str">
            <v>Warehouse Associate (TEMP)</v>
          </cell>
          <cell r="M9" t="str">
            <v>Warehouse Associate 24M</v>
          </cell>
          <cell r="N9" t="str">
            <v>lraghava</v>
          </cell>
          <cell r="O9">
            <v>1299</v>
          </cell>
          <cell r="P9" t="str">
            <v>AUH1</v>
          </cell>
          <cell r="Q9" t="str">
            <v>ARE</v>
          </cell>
          <cell r="R9" t="str">
            <v>LK014</v>
          </cell>
          <cell r="S9" t="str">
            <v>Night Shift</v>
          </cell>
          <cell r="T9">
            <v>99</v>
          </cell>
          <cell r="U9" t="str">
            <v>MENA_UAE_FC</v>
          </cell>
          <cell r="V9">
            <v>46257.754861111112</v>
          </cell>
          <cell r="X9">
            <v>46257.756944444445</v>
          </cell>
          <cell r="Y9">
            <v>46258.173611111109</v>
          </cell>
          <cell r="AA9" t="str">
            <v>Scheduled</v>
          </cell>
          <cell r="AB9" t="str">
            <v>Present</v>
          </cell>
          <cell r="AC9" t="str">
            <v>Outbound</v>
          </cell>
          <cell r="AD9" t="str">
            <v>Picking</v>
          </cell>
          <cell r="AE9" t="str">
            <v>Pick</v>
          </cell>
          <cell r="AF9" t="str">
            <v>Monday</v>
          </cell>
          <cell r="AG9" t="str">
            <v>Tuesday</v>
          </cell>
          <cell r="AH9">
            <v>13</v>
          </cell>
          <cell r="AJ9">
            <v>45536</v>
          </cell>
          <cell r="AM9" t="str">
            <v>TEMP</v>
          </cell>
          <cell r="AN9" t="str">
            <v>3P Onsite Worker</v>
          </cell>
          <cell r="AO9" t="str">
            <v>A</v>
          </cell>
          <cell r="AP9">
            <v>9</v>
          </cell>
          <cell r="AQ9">
            <v>0</v>
          </cell>
          <cell r="AR9">
            <v>1</v>
          </cell>
          <cell r="AS9">
            <v>1</v>
          </cell>
          <cell r="AT9">
            <v>0</v>
          </cell>
          <cell r="AU9">
            <v>0</v>
          </cell>
        </row>
        <row r="10">
          <cell r="D10" t="str">
            <v>abedmkas</v>
          </cell>
          <cell r="E10">
            <v>205647583</v>
          </cell>
          <cell r="F10" t="str">
            <v>A</v>
          </cell>
          <cell r="G10" t="str">
            <v>GREEN</v>
          </cell>
          <cell r="H10" t="str">
            <v>FULL_TIME</v>
          </cell>
          <cell r="I10">
            <v>900234</v>
          </cell>
          <cell r="J10" t="str">
            <v>EFS Facilities Services</v>
          </cell>
          <cell r="K10" t="str">
            <v>Mkasi  Mwalimu Abedi</v>
          </cell>
          <cell r="L10" t="str">
            <v>Warehouse Associate (TEMP)</v>
          </cell>
          <cell r="M10" t="str">
            <v>Warehouse Associate 8W</v>
          </cell>
          <cell r="N10" t="str">
            <v>bavameer</v>
          </cell>
          <cell r="O10">
            <v>1299</v>
          </cell>
          <cell r="P10" t="str">
            <v>AUH1</v>
          </cell>
          <cell r="Q10" t="str">
            <v>ARE</v>
          </cell>
          <cell r="R10" t="str">
            <v>LK012</v>
          </cell>
          <cell r="S10" t="str">
            <v>Night Shift</v>
          </cell>
          <cell r="T10">
            <v>99</v>
          </cell>
          <cell r="U10" t="str">
            <v>MENA_UAE_FC</v>
          </cell>
          <cell r="X10">
            <v>46257.756944444445</v>
          </cell>
          <cell r="Y10">
            <v>46258.173611111109</v>
          </cell>
          <cell r="Z10" t="str">
            <v>Rest Day</v>
          </cell>
          <cell r="AA10" t="str">
            <v>Not Scheduled</v>
          </cell>
          <cell r="AB10" t="str">
            <v>Not Present</v>
          </cell>
          <cell r="AC10" t="str">
            <v>Customer returns</v>
          </cell>
          <cell r="AD10" t="str">
            <v>Customer Returns</v>
          </cell>
          <cell r="AE10" t="str">
            <v>Customer returns</v>
          </cell>
          <cell r="AF10" t="str">
            <v>Saturday</v>
          </cell>
          <cell r="AG10" t="str">
            <v>Sunday</v>
          </cell>
          <cell r="AH10">
            <v>22</v>
          </cell>
          <cell r="AJ10">
            <v>45851</v>
          </cell>
          <cell r="AM10" t="str">
            <v>TEMP</v>
          </cell>
          <cell r="AN10" t="str">
            <v>3P Onsite Worker</v>
          </cell>
          <cell r="AO10" t="str">
            <v>A</v>
          </cell>
          <cell r="AP10">
            <v>9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</row>
        <row r="11">
          <cell r="D11" t="str">
            <v>abeltaan</v>
          </cell>
          <cell r="E11">
            <v>206897550</v>
          </cell>
          <cell r="F11" t="str">
            <v>A</v>
          </cell>
          <cell r="G11" t="str">
            <v>GREEN</v>
          </cell>
          <cell r="H11" t="str">
            <v>FULL_TIME</v>
          </cell>
          <cell r="I11">
            <v>900234</v>
          </cell>
          <cell r="J11" t="str">
            <v>Fastlink Outsourcing</v>
          </cell>
          <cell r="K11" t="str">
            <v>ANESU ABEL TAKARUVA</v>
          </cell>
          <cell r="L11" t="str">
            <v>Warehouse Associate (TEMP)</v>
          </cell>
          <cell r="M11" t="str">
            <v>Warehouse Associate 8W</v>
          </cell>
          <cell r="N11" t="str">
            <v>mnarshad</v>
          </cell>
          <cell r="O11">
            <v>1299</v>
          </cell>
          <cell r="P11" t="str">
            <v>AUH1</v>
          </cell>
          <cell r="Q11" t="str">
            <v>ARE</v>
          </cell>
          <cell r="R11" t="str">
            <v>LK012</v>
          </cell>
          <cell r="S11" t="str">
            <v>Night Shift</v>
          </cell>
          <cell r="T11">
            <v>99</v>
          </cell>
          <cell r="U11" t="str">
            <v>MENA_UAE_FC</v>
          </cell>
          <cell r="X11">
            <v>46257.756944444445</v>
          </cell>
          <cell r="Y11">
            <v>46258.173611111109</v>
          </cell>
          <cell r="Z11" t="str">
            <v>Rest Day</v>
          </cell>
          <cell r="AA11" t="str">
            <v>Not Scheduled</v>
          </cell>
          <cell r="AB11" t="str">
            <v>Not Present</v>
          </cell>
          <cell r="AC11" t="str">
            <v>Outbound</v>
          </cell>
          <cell r="AD11" t="str">
            <v>Picking</v>
          </cell>
          <cell r="AE11" t="str">
            <v>Pick</v>
          </cell>
          <cell r="AF11" t="str">
            <v>Saturday</v>
          </cell>
          <cell r="AG11" t="str">
            <v>Sunday</v>
          </cell>
          <cell r="AH11">
            <v>13</v>
          </cell>
          <cell r="AJ11">
            <v>46029</v>
          </cell>
          <cell r="AM11" t="str">
            <v>TEMP</v>
          </cell>
          <cell r="AN11" t="str">
            <v>3P Onsite Worker</v>
          </cell>
          <cell r="AO11" t="str">
            <v>A</v>
          </cell>
          <cell r="AP11">
            <v>9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D12" t="str">
            <v>aberiaj</v>
          </cell>
          <cell r="E12">
            <v>104277448</v>
          </cell>
          <cell r="F12" t="str">
            <v>A</v>
          </cell>
          <cell r="G12" t="str">
            <v>BLUE</v>
          </cell>
          <cell r="H12" t="str">
            <v>FULL_TIME</v>
          </cell>
          <cell r="I12" t="str">
            <v>P03231</v>
          </cell>
          <cell r="K12" t="str">
            <v>jennifer aberia</v>
          </cell>
          <cell r="L12" t="str">
            <v>FC Associate III</v>
          </cell>
          <cell r="M12" t="str">
            <v>Operations Supervisor</v>
          </cell>
          <cell r="N12" t="str">
            <v>bizthoma</v>
          </cell>
          <cell r="O12">
            <v>1299</v>
          </cell>
          <cell r="P12" t="str">
            <v>AUH1</v>
          </cell>
          <cell r="Q12" t="str">
            <v>ARE</v>
          </cell>
          <cell r="R12" t="str">
            <v>FC059</v>
          </cell>
          <cell r="S12" t="str">
            <v>Day Shift</v>
          </cell>
          <cell r="T12">
            <v>3</v>
          </cell>
          <cell r="U12" t="str">
            <v>MENA_UAE_FC</v>
          </cell>
          <cell r="V12">
            <v>46257.323611111111</v>
          </cell>
          <cell r="W12">
            <v>46257.753472222219</v>
          </cell>
          <cell r="X12">
            <v>46257.333333333336</v>
          </cell>
          <cell r="Y12">
            <v>46257.75</v>
          </cell>
          <cell r="Z12" t="str">
            <v>Rest Day</v>
          </cell>
          <cell r="AA12" t="str">
            <v>Not Scheduled</v>
          </cell>
          <cell r="AB12" t="str">
            <v>Present</v>
          </cell>
          <cell r="AC12" t="str">
            <v>Outbound</v>
          </cell>
          <cell r="AD12" t="str">
            <v>OB Lead/PA</v>
          </cell>
          <cell r="AE12" t="str">
            <v>Pack</v>
          </cell>
          <cell r="AF12" t="str">
            <v>Sunday</v>
          </cell>
          <cell r="AG12" t="str">
            <v>Monday</v>
          </cell>
          <cell r="AH12">
            <v>19</v>
          </cell>
          <cell r="AJ12">
            <v>44066</v>
          </cell>
          <cell r="AM12" t="str">
            <v>FC</v>
          </cell>
          <cell r="AN12" t="str">
            <v>Regular Full Time</v>
          </cell>
          <cell r="AO12" t="str">
            <v>A</v>
          </cell>
          <cell r="AP12">
            <v>9</v>
          </cell>
          <cell r="AQ12">
            <v>1</v>
          </cell>
          <cell r="AR12">
            <v>1</v>
          </cell>
          <cell r="AS12">
            <v>0</v>
          </cell>
          <cell r="AT12">
            <v>0</v>
          </cell>
          <cell r="AU12">
            <v>0</v>
          </cell>
        </row>
        <row r="13">
          <cell r="D13" t="str">
            <v>abfsesay</v>
          </cell>
          <cell r="E13">
            <v>203468743</v>
          </cell>
          <cell r="F13" t="str">
            <v>A</v>
          </cell>
          <cell r="G13" t="str">
            <v>GREEN</v>
          </cell>
          <cell r="H13" t="str">
            <v>FULL_TIME</v>
          </cell>
          <cell r="I13">
            <v>900234</v>
          </cell>
          <cell r="J13" t="str">
            <v>Fastlink Outsourcing</v>
          </cell>
          <cell r="K13" t="str">
            <v>Abu Sesay</v>
          </cell>
          <cell r="L13" t="str">
            <v>Warehouse Associate (TEMP)</v>
          </cell>
          <cell r="M13" t="str">
            <v>Warehouse Associate 12M</v>
          </cell>
          <cell r="N13" t="str">
            <v>bizthoma</v>
          </cell>
          <cell r="O13">
            <v>1299</v>
          </cell>
          <cell r="P13" t="str">
            <v>AUH1</v>
          </cell>
          <cell r="Q13" t="str">
            <v>ARE</v>
          </cell>
          <cell r="R13" t="str">
            <v>LK015</v>
          </cell>
          <cell r="S13" t="str">
            <v>Night Shift</v>
          </cell>
          <cell r="T13">
            <v>99</v>
          </cell>
          <cell r="U13" t="str">
            <v>MENA_UAE_FC</v>
          </cell>
          <cell r="V13">
            <v>46257.754861111112</v>
          </cell>
          <cell r="X13">
            <v>46257.756944444445</v>
          </cell>
          <cell r="Y13">
            <v>46258.173611111109</v>
          </cell>
          <cell r="AA13" t="str">
            <v>Scheduled</v>
          </cell>
          <cell r="AB13" t="str">
            <v>Present</v>
          </cell>
          <cell r="AC13" t="str">
            <v>Outbound</v>
          </cell>
          <cell r="AD13" t="str">
            <v>Pack - Single</v>
          </cell>
          <cell r="AE13" t="str">
            <v>Pack</v>
          </cell>
          <cell r="AF13" t="str">
            <v>Tuesday</v>
          </cell>
          <cell r="AG13" t="str">
            <v>Wednesday</v>
          </cell>
          <cell r="AH13">
            <v>18</v>
          </cell>
          <cell r="AJ13">
            <v>45455</v>
          </cell>
          <cell r="AM13" t="str">
            <v>TEMP</v>
          </cell>
          <cell r="AN13" t="str">
            <v>3P Onsite Worker</v>
          </cell>
          <cell r="AO13" t="str">
            <v>A</v>
          </cell>
          <cell r="AP13">
            <v>9</v>
          </cell>
          <cell r="AQ13">
            <v>0</v>
          </cell>
          <cell r="AR13">
            <v>1</v>
          </cell>
          <cell r="AS13">
            <v>1</v>
          </cell>
          <cell r="AT13">
            <v>0</v>
          </cell>
          <cell r="AU13">
            <v>0</v>
          </cell>
        </row>
        <row r="14">
          <cell r="D14" t="str">
            <v>abhiybab</v>
          </cell>
          <cell r="E14">
            <v>203816837</v>
          </cell>
          <cell r="F14" t="str">
            <v>A</v>
          </cell>
          <cell r="G14" t="str">
            <v>GREEN</v>
          </cell>
          <cell r="H14" t="str">
            <v>FULL_TIME</v>
          </cell>
          <cell r="I14">
            <v>900234</v>
          </cell>
          <cell r="J14" t="str">
            <v>Adecco</v>
          </cell>
          <cell r="K14" t="str">
            <v>ABHITH BABU</v>
          </cell>
          <cell r="L14" t="str">
            <v>Warehouse Associate (TEMP)</v>
          </cell>
          <cell r="M14" t="str">
            <v>Warehouse Associate 24M</v>
          </cell>
          <cell r="N14" t="str">
            <v>abbaszoo</v>
          </cell>
          <cell r="O14">
            <v>1299</v>
          </cell>
          <cell r="P14" t="str">
            <v>AUH1</v>
          </cell>
          <cell r="Q14" t="str">
            <v>ARE</v>
          </cell>
          <cell r="R14" t="str">
            <v>FC059</v>
          </cell>
          <cell r="S14" t="str">
            <v>Day Shift</v>
          </cell>
          <cell r="T14">
            <v>99</v>
          </cell>
          <cell r="U14" t="str">
            <v>MENA_UAE_FC</v>
          </cell>
          <cell r="X14">
            <v>46257.333333333336</v>
          </cell>
          <cell r="Y14">
            <v>46257.75</v>
          </cell>
          <cell r="Z14" t="str">
            <v>Rest Day</v>
          </cell>
          <cell r="AA14" t="str">
            <v>Not Scheduled</v>
          </cell>
          <cell r="AB14" t="str">
            <v>Not Present</v>
          </cell>
          <cell r="AC14" t="str">
            <v>Inbound</v>
          </cell>
          <cell r="AD14" t="str">
            <v>Inbound Stow</v>
          </cell>
          <cell r="AE14" t="str">
            <v>Stow</v>
          </cell>
          <cell r="AF14" t="str">
            <v>Sunday</v>
          </cell>
          <cell r="AG14" t="str">
            <v>Monday</v>
          </cell>
          <cell r="AH14">
            <v>3</v>
          </cell>
          <cell r="AJ14">
            <v>45516</v>
          </cell>
          <cell r="AM14" t="str">
            <v>TEMP</v>
          </cell>
          <cell r="AN14" t="str">
            <v>3P Onsite Worker</v>
          </cell>
          <cell r="AO14" t="str">
            <v>A</v>
          </cell>
          <cell r="AP14">
            <v>9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D15" t="str">
            <v>abiadcon</v>
          </cell>
          <cell r="E15">
            <v>206065200</v>
          </cell>
          <cell r="F15" t="str">
            <v>A</v>
          </cell>
          <cell r="G15" t="str">
            <v>GREEN</v>
          </cell>
          <cell r="H15" t="str">
            <v>FULL_TIME</v>
          </cell>
          <cell r="I15">
            <v>900234</v>
          </cell>
          <cell r="J15" t="str">
            <v>Fastlink Outsourcing</v>
          </cell>
          <cell r="K15" t="str">
            <v>Constance Abiadoo Bentum</v>
          </cell>
          <cell r="L15" t="str">
            <v>Warehouse Associate (TEMP)</v>
          </cell>
          <cell r="M15" t="str">
            <v>Warehouse Associate 12M</v>
          </cell>
          <cell r="N15" t="str">
            <v>nnahla</v>
          </cell>
          <cell r="O15">
            <v>1299</v>
          </cell>
          <cell r="P15" t="str">
            <v>AUH1</v>
          </cell>
          <cell r="Q15" t="str">
            <v>ARE</v>
          </cell>
          <cell r="R15" t="str">
            <v>FC059</v>
          </cell>
          <cell r="S15" t="str">
            <v>Day Shift</v>
          </cell>
          <cell r="T15">
            <v>99</v>
          </cell>
          <cell r="U15" t="str">
            <v>MENA_UAE_FC</v>
          </cell>
          <cell r="X15">
            <v>46257.333333333336</v>
          </cell>
          <cell r="Y15">
            <v>46257.75</v>
          </cell>
          <cell r="Z15" t="str">
            <v>Rest Day</v>
          </cell>
          <cell r="AA15" t="str">
            <v>Not Scheduled</v>
          </cell>
          <cell r="AB15" t="str">
            <v>Not Present</v>
          </cell>
          <cell r="AC15" t="str">
            <v>Inbound</v>
          </cell>
          <cell r="AD15" t="str">
            <v>Vendor Receive</v>
          </cell>
          <cell r="AE15" t="str">
            <v>Receive</v>
          </cell>
          <cell r="AF15" t="str">
            <v>Sunday</v>
          </cell>
          <cell r="AG15" t="str">
            <v>Monday</v>
          </cell>
          <cell r="AH15">
            <v>1</v>
          </cell>
          <cell r="AJ15">
            <v>45921</v>
          </cell>
          <cell r="AM15" t="str">
            <v>TEMP</v>
          </cell>
          <cell r="AN15" t="str">
            <v>3P Onsite Worker</v>
          </cell>
          <cell r="AO15" t="str">
            <v>A</v>
          </cell>
          <cell r="AP15">
            <v>9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</row>
        <row r="16">
          <cell r="D16" t="str">
            <v>abigaboi</v>
          </cell>
          <cell r="E16">
            <v>205845553</v>
          </cell>
          <cell r="F16" t="str">
            <v>A</v>
          </cell>
          <cell r="G16" t="str">
            <v>GREEN</v>
          </cell>
          <cell r="H16" t="str">
            <v>FULL_TIME</v>
          </cell>
          <cell r="I16">
            <v>900234</v>
          </cell>
          <cell r="J16" t="str">
            <v>Dulsco L.L.C.</v>
          </cell>
          <cell r="K16" t="str">
            <v>ONESMAS ABIGABA</v>
          </cell>
          <cell r="L16" t="str">
            <v>Warehouse Associate (TEMP)</v>
          </cell>
          <cell r="M16" t="str">
            <v>Warehouse Associate 24M</v>
          </cell>
          <cell r="N16" t="str">
            <v>bizthoma</v>
          </cell>
          <cell r="O16">
            <v>1299</v>
          </cell>
          <cell r="P16" t="str">
            <v>AUH1</v>
          </cell>
          <cell r="Q16" t="str">
            <v>ARE</v>
          </cell>
          <cell r="R16" t="str">
            <v>FC034</v>
          </cell>
          <cell r="S16" t="str">
            <v>Day Shift</v>
          </cell>
          <cell r="T16">
            <v>99</v>
          </cell>
          <cell r="U16" t="str">
            <v>MENA_UAE_FC</v>
          </cell>
          <cell r="X16">
            <v>46257.333333333336</v>
          </cell>
          <cell r="Y16">
            <v>46257.75</v>
          </cell>
          <cell r="Z16" t="str">
            <v>Rest Day</v>
          </cell>
          <cell r="AA16" t="str">
            <v>Not Scheduled</v>
          </cell>
          <cell r="AB16" t="str">
            <v>Not Present</v>
          </cell>
          <cell r="AC16" t="str">
            <v>Outbound</v>
          </cell>
          <cell r="AD16" t="str">
            <v>Picking</v>
          </cell>
          <cell r="AE16" t="str">
            <v>Pick</v>
          </cell>
          <cell r="AF16" t="str">
            <v>Saturday</v>
          </cell>
          <cell r="AG16" t="str">
            <v>Sunday</v>
          </cell>
          <cell r="AH16">
            <v>13</v>
          </cell>
          <cell r="AJ16">
            <v>45893</v>
          </cell>
          <cell r="AM16" t="str">
            <v>TEMP</v>
          </cell>
          <cell r="AN16" t="str">
            <v>3P Onsite Worker</v>
          </cell>
          <cell r="AO16" t="str">
            <v>A</v>
          </cell>
          <cell r="AP16">
            <v>9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abkasawu</v>
          </cell>
          <cell r="E17">
            <v>203850647</v>
          </cell>
          <cell r="F17" t="str">
            <v>A</v>
          </cell>
          <cell r="G17" t="str">
            <v>GREEN</v>
          </cell>
          <cell r="H17" t="str">
            <v>FULL_TIME</v>
          </cell>
          <cell r="I17">
            <v>900234</v>
          </cell>
          <cell r="J17" t="str">
            <v>Dulsco L.L.C.</v>
          </cell>
          <cell r="K17" t="str">
            <v>Abdumalik Kasawuli</v>
          </cell>
          <cell r="L17" t="str">
            <v>Warehouse Associate (TEMP)</v>
          </cell>
          <cell r="M17" t="str">
            <v>Warehouse Associate 24M</v>
          </cell>
          <cell r="N17" t="str">
            <v>pparsin</v>
          </cell>
          <cell r="O17">
            <v>1299</v>
          </cell>
          <cell r="P17" t="str">
            <v>AUH1</v>
          </cell>
          <cell r="Q17" t="str">
            <v>ARE</v>
          </cell>
          <cell r="R17" t="str">
            <v>FC059</v>
          </cell>
          <cell r="S17" t="str">
            <v>Day Shift</v>
          </cell>
          <cell r="T17">
            <v>99</v>
          </cell>
          <cell r="U17" t="str">
            <v>MENA_UAE_FC</v>
          </cell>
          <cell r="X17">
            <v>46257.333333333336</v>
          </cell>
          <cell r="Y17">
            <v>46257.75</v>
          </cell>
          <cell r="Z17" t="str">
            <v>Rest Day</v>
          </cell>
          <cell r="AA17" t="str">
            <v>Not Scheduled</v>
          </cell>
          <cell r="AB17" t="str">
            <v>Not Present</v>
          </cell>
          <cell r="AC17" t="str">
            <v>Inbound</v>
          </cell>
          <cell r="AD17" t="str">
            <v>Vendor Receive</v>
          </cell>
          <cell r="AE17" t="str">
            <v>Receive</v>
          </cell>
          <cell r="AF17" t="str">
            <v>Sunday</v>
          </cell>
          <cell r="AG17" t="str">
            <v>Monday</v>
          </cell>
          <cell r="AH17">
            <v>1</v>
          </cell>
          <cell r="AJ17">
            <v>45523</v>
          </cell>
          <cell r="AM17" t="str">
            <v>TEMP</v>
          </cell>
          <cell r="AN17" t="str">
            <v>3P Onsite Worker</v>
          </cell>
          <cell r="AO17" t="str">
            <v>A</v>
          </cell>
          <cell r="AP17">
            <v>9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</row>
        <row r="18">
          <cell r="D18" t="str">
            <v>aboaerne</v>
          </cell>
          <cell r="E18">
            <v>206239522</v>
          </cell>
          <cell r="F18" t="str">
            <v>A</v>
          </cell>
          <cell r="G18" t="str">
            <v>GREEN</v>
          </cell>
          <cell r="H18" t="str">
            <v>FULL_TIME</v>
          </cell>
          <cell r="I18">
            <v>900234</v>
          </cell>
          <cell r="J18" t="str">
            <v>Dulsco L.L.C.</v>
          </cell>
          <cell r="K18" t="str">
            <v>ABOAGYE ERNEST</v>
          </cell>
          <cell r="L18" t="str">
            <v>Warehouse Associate (TEMP)</v>
          </cell>
          <cell r="M18" t="str">
            <v>Warehouse Associate 8W</v>
          </cell>
          <cell r="N18" t="str">
            <v>scariav</v>
          </cell>
          <cell r="O18">
            <v>1299</v>
          </cell>
          <cell r="P18" t="str">
            <v>AUH1</v>
          </cell>
          <cell r="Q18" t="str">
            <v>ARE</v>
          </cell>
          <cell r="R18" t="str">
            <v>LK016</v>
          </cell>
          <cell r="S18" t="str">
            <v>Night Shift</v>
          </cell>
          <cell r="T18">
            <v>99</v>
          </cell>
          <cell r="U18" t="str">
            <v>MENA_UAE_FC</v>
          </cell>
          <cell r="V18">
            <v>46257.755555555559</v>
          </cell>
          <cell r="X18">
            <v>46257.756944444445</v>
          </cell>
          <cell r="Y18">
            <v>46258.173611111109</v>
          </cell>
          <cell r="AA18" t="str">
            <v>Scheduled</v>
          </cell>
          <cell r="AB18" t="str">
            <v>Present</v>
          </cell>
          <cell r="AC18" t="str">
            <v>Outbound</v>
          </cell>
          <cell r="AD18" t="str">
            <v>Sort - Batch</v>
          </cell>
          <cell r="AE18" t="str">
            <v>Sort</v>
          </cell>
          <cell r="AF18" t="str">
            <v>Wednesday</v>
          </cell>
          <cell r="AG18" t="str">
            <v>Thursday</v>
          </cell>
          <cell r="AH18">
            <v>15</v>
          </cell>
          <cell r="AJ18">
            <v>45942</v>
          </cell>
          <cell r="AM18" t="str">
            <v>TEMP</v>
          </cell>
          <cell r="AN18" t="str">
            <v>3P Onsite Worker</v>
          </cell>
          <cell r="AO18" t="str">
            <v>A</v>
          </cell>
          <cell r="AP18">
            <v>9</v>
          </cell>
          <cell r="AQ18">
            <v>0</v>
          </cell>
          <cell r="AR18">
            <v>1</v>
          </cell>
          <cell r="AS18">
            <v>1</v>
          </cell>
          <cell r="AT18">
            <v>0</v>
          </cell>
          <cell r="AU18">
            <v>0</v>
          </cell>
        </row>
        <row r="19">
          <cell r="D19" t="str">
            <v>abonekay</v>
          </cell>
          <cell r="E19">
            <v>203816755</v>
          </cell>
          <cell r="F19" t="str">
            <v>A</v>
          </cell>
          <cell r="G19" t="str">
            <v>GREEN</v>
          </cell>
          <cell r="H19" t="str">
            <v>FULL_TIME</v>
          </cell>
          <cell r="I19">
            <v>900234</v>
          </cell>
          <cell r="J19" t="str">
            <v>Dulsco L.L.C.</v>
          </cell>
          <cell r="K19" t="str">
            <v>YAKUBU ABONEKA</v>
          </cell>
          <cell r="L19" t="str">
            <v>Warehouse Associate (TEMP)</v>
          </cell>
          <cell r="M19" t="str">
            <v>Warehouse Associate 8W</v>
          </cell>
          <cell r="N19" t="str">
            <v>bavameer</v>
          </cell>
          <cell r="O19">
            <v>1299</v>
          </cell>
          <cell r="P19" t="str">
            <v>AUH1</v>
          </cell>
          <cell r="Q19" t="str">
            <v>ARE</v>
          </cell>
          <cell r="R19" t="str">
            <v>LK013</v>
          </cell>
          <cell r="S19" t="str">
            <v>Night Shift</v>
          </cell>
          <cell r="T19">
            <v>99</v>
          </cell>
          <cell r="U19" t="str">
            <v>MENA_UAE_FC</v>
          </cell>
          <cell r="X19">
            <v>46257.756944444445</v>
          </cell>
          <cell r="Y19">
            <v>46258.173611111109</v>
          </cell>
          <cell r="Z19" t="str">
            <v>Rest Day</v>
          </cell>
          <cell r="AA19" t="str">
            <v>Not Scheduled</v>
          </cell>
          <cell r="AB19" t="str">
            <v>Not Present</v>
          </cell>
          <cell r="AC19" t="str">
            <v>Customer returns</v>
          </cell>
          <cell r="AD19" t="str">
            <v>Customer Returns</v>
          </cell>
          <cell r="AE19" t="str">
            <v>Customer returns</v>
          </cell>
          <cell r="AF19" t="str">
            <v>Sunday</v>
          </cell>
          <cell r="AG19" t="str">
            <v>Monday</v>
          </cell>
          <cell r="AH19">
            <v>22</v>
          </cell>
          <cell r="AJ19">
            <v>45517</v>
          </cell>
          <cell r="AM19" t="str">
            <v>TEMP</v>
          </cell>
          <cell r="AN19" t="str">
            <v>3P Onsite Worker</v>
          </cell>
          <cell r="AO19" t="str">
            <v>A</v>
          </cell>
          <cell r="AP19">
            <v>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>abongger</v>
          </cell>
          <cell r="E20">
            <v>203965496</v>
          </cell>
          <cell r="F20" t="str">
            <v>A</v>
          </cell>
          <cell r="G20" t="str">
            <v>GREEN</v>
          </cell>
          <cell r="H20" t="str">
            <v>FULL_TIME</v>
          </cell>
          <cell r="I20">
            <v>900234</v>
          </cell>
          <cell r="J20" t="str">
            <v>Fastlink Outsourcing</v>
          </cell>
          <cell r="K20" t="str">
            <v>Erica Abong Ghogah</v>
          </cell>
          <cell r="L20" t="str">
            <v>Warehouse Associate (TEMP)</v>
          </cell>
          <cell r="M20" t="str">
            <v>Warehouse Associate 12M</v>
          </cell>
          <cell r="N20" t="str">
            <v>pparsin</v>
          </cell>
          <cell r="O20">
            <v>1299</v>
          </cell>
          <cell r="P20" t="str">
            <v>AUH1</v>
          </cell>
          <cell r="Q20" t="str">
            <v>ARE</v>
          </cell>
          <cell r="R20" t="str">
            <v>LK015</v>
          </cell>
          <cell r="S20" t="str">
            <v>Night Shift</v>
          </cell>
          <cell r="T20">
            <v>99</v>
          </cell>
          <cell r="U20" t="str">
            <v>MENA_UAE_FC</v>
          </cell>
          <cell r="V20">
            <v>46257.756249999999</v>
          </cell>
          <cell r="X20">
            <v>46257.756944444445</v>
          </cell>
          <cell r="Y20">
            <v>46258.173611111109</v>
          </cell>
          <cell r="AA20" t="str">
            <v>Scheduled</v>
          </cell>
          <cell r="AB20" t="str">
            <v>Present</v>
          </cell>
          <cell r="AC20" t="str">
            <v>Inbound</v>
          </cell>
          <cell r="AD20" t="str">
            <v>Inbound Stow</v>
          </cell>
          <cell r="AE20" t="str">
            <v>Stow</v>
          </cell>
          <cell r="AF20" t="str">
            <v>Tuesday</v>
          </cell>
          <cell r="AG20" t="str">
            <v>Wednesday</v>
          </cell>
          <cell r="AH20">
            <v>3</v>
          </cell>
          <cell r="AJ20">
            <v>45543</v>
          </cell>
          <cell r="AM20" t="str">
            <v>TEMP</v>
          </cell>
          <cell r="AN20" t="str">
            <v>3P Onsite Worker</v>
          </cell>
          <cell r="AO20" t="str">
            <v>A</v>
          </cell>
          <cell r="AP20">
            <v>9</v>
          </cell>
          <cell r="AQ20">
            <v>0</v>
          </cell>
          <cell r="AR20">
            <v>1</v>
          </cell>
          <cell r="AS20">
            <v>1</v>
          </cell>
          <cell r="AT20">
            <v>0</v>
          </cell>
          <cell r="AU20">
            <v>0</v>
          </cell>
        </row>
        <row r="21">
          <cell r="D21" t="str">
            <v>abraalfo</v>
          </cell>
          <cell r="E21">
            <v>203965455</v>
          </cell>
          <cell r="F21" t="str">
            <v>A</v>
          </cell>
          <cell r="G21" t="str">
            <v>GREEN</v>
          </cell>
          <cell r="H21" t="str">
            <v>FULL_TIME</v>
          </cell>
          <cell r="I21">
            <v>900234</v>
          </cell>
          <cell r="J21" t="str">
            <v>Fastlink Outsourcing</v>
          </cell>
          <cell r="K21" t="str">
            <v>Abrahim AL Fofana</v>
          </cell>
          <cell r="L21" t="str">
            <v>Warehouse Associate (TEMP)</v>
          </cell>
          <cell r="M21" t="str">
            <v>Warehouse Associate 12M</v>
          </cell>
          <cell r="N21" t="str">
            <v>mnarshad</v>
          </cell>
          <cell r="O21">
            <v>1299</v>
          </cell>
          <cell r="P21" t="str">
            <v>AUH1</v>
          </cell>
          <cell r="Q21" t="str">
            <v>ARE</v>
          </cell>
          <cell r="R21" t="str">
            <v>LK017</v>
          </cell>
          <cell r="S21" t="str">
            <v>Night Shift</v>
          </cell>
          <cell r="T21">
            <v>99</v>
          </cell>
          <cell r="U21" t="str">
            <v>MENA_UAE_FC</v>
          </cell>
          <cell r="V21">
            <v>46257.757638888892</v>
          </cell>
          <cell r="X21">
            <v>46257.756944444445</v>
          </cell>
          <cell r="Y21">
            <v>46258.173611111109</v>
          </cell>
          <cell r="AA21" t="str">
            <v>Scheduled</v>
          </cell>
          <cell r="AB21" t="str">
            <v>Present</v>
          </cell>
          <cell r="AC21" t="str">
            <v>Outbound</v>
          </cell>
          <cell r="AD21" t="str">
            <v>Sort - Batch</v>
          </cell>
          <cell r="AE21" t="str">
            <v>Sort</v>
          </cell>
          <cell r="AF21" t="str">
            <v>Thursday</v>
          </cell>
          <cell r="AG21" t="str">
            <v>Friday</v>
          </cell>
          <cell r="AH21">
            <v>15</v>
          </cell>
          <cell r="AJ21">
            <v>45543</v>
          </cell>
          <cell r="AM21" t="str">
            <v>TEMP</v>
          </cell>
          <cell r="AN21" t="str">
            <v>3P Onsite Worker</v>
          </cell>
          <cell r="AO21" t="str">
            <v>A</v>
          </cell>
          <cell r="AP21">
            <v>9</v>
          </cell>
          <cell r="AQ21">
            <v>0</v>
          </cell>
          <cell r="AR21">
            <v>1</v>
          </cell>
          <cell r="AS21">
            <v>1</v>
          </cell>
          <cell r="AT21">
            <v>0</v>
          </cell>
          <cell r="AU21">
            <v>0</v>
          </cell>
        </row>
        <row r="22">
          <cell r="D22" t="str">
            <v>abrajnse</v>
          </cell>
          <cell r="E22">
            <v>203850646</v>
          </cell>
          <cell r="F22" t="str">
            <v>A</v>
          </cell>
          <cell r="G22" t="str">
            <v>GREEN</v>
          </cell>
          <cell r="H22" t="str">
            <v>FULL_TIME</v>
          </cell>
          <cell r="I22">
            <v>900234</v>
          </cell>
          <cell r="J22" t="str">
            <v>Dulsco L.L.C.</v>
          </cell>
          <cell r="K22" t="str">
            <v>Abraham Nsengiunva</v>
          </cell>
          <cell r="L22" t="str">
            <v>Warehouse Associate (TEMP)</v>
          </cell>
          <cell r="M22" t="str">
            <v>Warehouse Associate 24M</v>
          </cell>
          <cell r="N22" t="str">
            <v>vkkatyal</v>
          </cell>
          <cell r="O22">
            <v>1299</v>
          </cell>
          <cell r="P22" t="str">
            <v>AUH1</v>
          </cell>
          <cell r="Q22" t="str">
            <v>ARE</v>
          </cell>
          <cell r="R22" t="str">
            <v>FC159</v>
          </cell>
          <cell r="S22" t="str">
            <v>Day Shift</v>
          </cell>
          <cell r="T22">
            <v>99</v>
          </cell>
          <cell r="U22" t="str">
            <v>MENA_UAE_FC</v>
          </cell>
          <cell r="V22">
            <v>46257.332638888889</v>
          </cell>
          <cell r="W22">
            <v>46257.753472222219</v>
          </cell>
          <cell r="X22">
            <v>46257.333333333336</v>
          </cell>
          <cell r="Y22">
            <v>46257.75</v>
          </cell>
          <cell r="AA22" t="str">
            <v>Scheduled</v>
          </cell>
          <cell r="AB22" t="str">
            <v>Present</v>
          </cell>
          <cell r="AC22" t="str">
            <v>Inbound</v>
          </cell>
          <cell r="AD22" t="str">
            <v>Vendor Receive</v>
          </cell>
          <cell r="AE22" t="str">
            <v>Receive</v>
          </cell>
          <cell r="AF22" t="str">
            <v>Thursday</v>
          </cell>
          <cell r="AG22" t="str">
            <v>Friday</v>
          </cell>
          <cell r="AH22">
            <v>1</v>
          </cell>
          <cell r="AJ22">
            <v>45523</v>
          </cell>
          <cell r="AM22" t="str">
            <v>TEMP</v>
          </cell>
          <cell r="AN22" t="str">
            <v>3P Onsite Worker</v>
          </cell>
          <cell r="AO22" t="str">
            <v>A</v>
          </cell>
          <cell r="AP22">
            <v>9</v>
          </cell>
          <cell r="AQ22">
            <v>0</v>
          </cell>
          <cell r="AR22">
            <v>1</v>
          </cell>
          <cell r="AS22">
            <v>1</v>
          </cell>
          <cell r="AT22">
            <v>0</v>
          </cell>
          <cell r="AU22">
            <v>0</v>
          </cell>
        </row>
        <row r="23">
          <cell r="D23" t="str">
            <v>abrighta</v>
          </cell>
          <cell r="E23">
            <v>201502749</v>
          </cell>
          <cell r="F23" t="str">
            <v>A</v>
          </cell>
          <cell r="G23" t="str">
            <v>GREEN</v>
          </cell>
          <cell r="H23" t="str">
            <v>FULL_TIME</v>
          </cell>
          <cell r="I23">
            <v>900234</v>
          </cell>
          <cell r="J23" t="str">
            <v>Quesscorp</v>
          </cell>
          <cell r="K23" t="str">
            <v>Bright Adu Adu</v>
          </cell>
          <cell r="L23" t="str">
            <v>Warehouse Associate (TEMP)</v>
          </cell>
          <cell r="M23" t="str">
            <v>Warehouse Associate 24M</v>
          </cell>
          <cell r="N23" t="str">
            <v>helrashd</v>
          </cell>
          <cell r="O23">
            <v>1299</v>
          </cell>
          <cell r="P23" t="str">
            <v>AUH1</v>
          </cell>
          <cell r="Q23" t="str">
            <v>ARE</v>
          </cell>
          <cell r="R23" t="str">
            <v>FC034</v>
          </cell>
          <cell r="S23" t="str">
            <v>Day Shift</v>
          </cell>
          <cell r="T23">
            <v>99</v>
          </cell>
          <cell r="U23" t="str">
            <v>MENA_UAE_FC</v>
          </cell>
          <cell r="X23">
            <v>46257.333333333336</v>
          </cell>
          <cell r="Y23">
            <v>46257.75</v>
          </cell>
          <cell r="Z23" t="str">
            <v>Rest Day</v>
          </cell>
          <cell r="AA23" t="str">
            <v>Not Scheduled</v>
          </cell>
          <cell r="AB23" t="str">
            <v>Not Present</v>
          </cell>
          <cell r="AC23" t="str">
            <v>Outbound</v>
          </cell>
          <cell r="AD23" t="str">
            <v>Sort - Batch</v>
          </cell>
          <cell r="AE23" t="str">
            <v>Sort</v>
          </cell>
          <cell r="AF23" t="str">
            <v>Saturday</v>
          </cell>
          <cell r="AG23" t="str">
            <v>Sunday</v>
          </cell>
          <cell r="AH23">
            <v>15</v>
          </cell>
          <cell r="AJ23">
            <v>45560</v>
          </cell>
          <cell r="AM23" t="str">
            <v>TEMP</v>
          </cell>
          <cell r="AN23" t="str">
            <v>3P Onsite Worker</v>
          </cell>
          <cell r="AO23" t="str">
            <v>A</v>
          </cell>
          <cell r="AP23">
            <v>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>abubodon</v>
          </cell>
          <cell r="E24">
            <v>206953791</v>
          </cell>
          <cell r="F24" t="str">
            <v>A</v>
          </cell>
          <cell r="G24" t="str">
            <v>GREEN</v>
          </cell>
          <cell r="H24" t="str">
            <v>FULL_TIME</v>
          </cell>
          <cell r="I24">
            <v>900234</v>
          </cell>
          <cell r="J24" t="str">
            <v>Dulsco L.L.C.</v>
          </cell>
          <cell r="K24" t="str">
            <v>ABUBAKAESWIDIQ ODONGO</v>
          </cell>
          <cell r="L24" t="str">
            <v>Warehouse Associate (TEMP)</v>
          </cell>
          <cell r="M24" t="str">
            <v>Warehouse Associate 24M</v>
          </cell>
          <cell r="N24" t="str">
            <v>aanso</v>
          </cell>
          <cell r="O24">
            <v>1299</v>
          </cell>
          <cell r="P24" t="str">
            <v>AUH1</v>
          </cell>
          <cell r="Q24" t="str">
            <v>ARE</v>
          </cell>
          <cell r="R24" t="str">
            <v>FC159</v>
          </cell>
          <cell r="S24" t="str">
            <v>Day Shift</v>
          </cell>
          <cell r="T24">
            <v>99</v>
          </cell>
          <cell r="U24" t="str">
            <v>MENA_UAE_FC</v>
          </cell>
          <cell r="V24">
            <v>46257.331250000003</v>
          </cell>
          <cell r="W24">
            <v>46257.75</v>
          </cell>
          <cell r="X24">
            <v>46257.333333333336</v>
          </cell>
          <cell r="Y24">
            <v>46257.75</v>
          </cell>
          <cell r="AA24" t="str">
            <v>Scheduled</v>
          </cell>
          <cell r="AB24" t="str">
            <v>Present</v>
          </cell>
          <cell r="AC24" t="str">
            <v>Customer returns</v>
          </cell>
          <cell r="AD24" t="str">
            <v>Customer Returns</v>
          </cell>
          <cell r="AE24" t="str">
            <v>Customer returns</v>
          </cell>
          <cell r="AF24" t="str">
            <v>Thursday</v>
          </cell>
          <cell r="AG24" t="str">
            <v>Friday</v>
          </cell>
          <cell r="AH24">
            <v>22</v>
          </cell>
          <cell r="AJ24">
            <v>46047</v>
          </cell>
          <cell r="AM24" t="str">
            <v>TEMP</v>
          </cell>
          <cell r="AN24" t="str">
            <v>3P Onsite Worker</v>
          </cell>
          <cell r="AO24" t="str">
            <v>A</v>
          </cell>
          <cell r="AP24">
            <v>9</v>
          </cell>
          <cell r="AQ24">
            <v>0</v>
          </cell>
          <cell r="AR24">
            <v>1</v>
          </cell>
          <cell r="AS24">
            <v>1</v>
          </cell>
          <cell r="AT24">
            <v>0</v>
          </cell>
          <cell r="AU24">
            <v>0</v>
          </cell>
        </row>
        <row r="25">
          <cell r="D25" t="str">
            <v>abwlinda</v>
          </cell>
          <cell r="E25">
            <v>203850775</v>
          </cell>
          <cell r="F25" t="str">
            <v>A</v>
          </cell>
          <cell r="G25" t="str">
            <v>GREEN</v>
          </cell>
          <cell r="H25" t="str">
            <v>FULL_TIME</v>
          </cell>
          <cell r="I25">
            <v>900234</v>
          </cell>
          <cell r="J25" t="str">
            <v>Fastlink Outsourcing</v>
          </cell>
          <cell r="K25" t="str">
            <v>Linda Abit</v>
          </cell>
          <cell r="L25" t="str">
            <v>Warehouse Associate (TEMP)</v>
          </cell>
          <cell r="M25" t="str">
            <v>Warehouse Associate 12M</v>
          </cell>
          <cell r="N25" t="str">
            <v>bavameer</v>
          </cell>
          <cell r="O25">
            <v>1299</v>
          </cell>
          <cell r="P25" t="str">
            <v>AUH1</v>
          </cell>
          <cell r="Q25" t="str">
            <v>ARE</v>
          </cell>
          <cell r="R25" t="str">
            <v>FC159</v>
          </cell>
          <cell r="S25" t="str">
            <v>Day Shift</v>
          </cell>
          <cell r="T25">
            <v>99</v>
          </cell>
          <cell r="U25" t="str">
            <v>MENA_UAE_FC</v>
          </cell>
          <cell r="V25">
            <v>46257.333333333336</v>
          </cell>
          <cell r="W25">
            <v>46257.749305555553</v>
          </cell>
          <cell r="X25">
            <v>46257.333333333336</v>
          </cell>
          <cell r="Y25">
            <v>46257.75</v>
          </cell>
          <cell r="AA25" t="str">
            <v>Scheduled</v>
          </cell>
          <cell r="AB25" t="str">
            <v>Present</v>
          </cell>
          <cell r="AC25" t="str">
            <v>Customer returns</v>
          </cell>
          <cell r="AD25" t="str">
            <v>Customer Returns</v>
          </cell>
          <cell r="AE25" t="str">
            <v>Customer returns</v>
          </cell>
          <cell r="AF25" t="str">
            <v>Thursday</v>
          </cell>
          <cell r="AG25" t="str">
            <v>Friday</v>
          </cell>
          <cell r="AH25">
            <v>22</v>
          </cell>
          <cell r="AJ25">
            <v>45523</v>
          </cell>
          <cell r="AM25" t="str">
            <v>TEMP</v>
          </cell>
          <cell r="AN25" t="str">
            <v>3P Onsite Worker</v>
          </cell>
          <cell r="AO25" t="str">
            <v>A</v>
          </cell>
          <cell r="AP25">
            <v>9</v>
          </cell>
          <cell r="AQ25">
            <v>0</v>
          </cell>
          <cell r="AR25">
            <v>1</v>
          </cell>
          <cell r="AS25">
            <v>1</v>
          </cell>
          <cell r="AT25">
            <v>0</v>
          </cell>
          <cell r="AU25">
            <v>0</v>
          </cell>
        </row>
        <row r="26">
          <cell r="D26" t="str">
            <v>achedith</v>
          </cell>
          <cell r="E26">
            <v>203741316</v>
          </cell>
          <cell r="F26" t="str">
            <v>A</v>
          </cell>
          <cell r="G26" t="str">
            <v>GREEN</v>
          </cell>
          <cell r="H26" t="str">
            <v>FULL_TIME</v>
          </cell>
          <cell r="I26">
            <v>900234</v>
          </cell>
          <cell r="J26" t="str">
            <v>Fastlink Outsourcing</v>
          </cell>
          <cell r="K26" t="str">
            <v>EDITH ACHEAMPONG</v>
          </cell>
          <cell r="L26" t="str">
            <v>Warehouse Associate (TEMP)</v>
          </cell>
          <cell r="M26" t="str">
            <v>Warehouse Associate 12M</v>
          </cell>
          <cell r="N26" t="str">
            <v>amanmish</v>
          </cell>
          <cell r="O26">
            <v>1299</v>
          </cell>
          <cell r="P26" t="str">
            <v>AUH1</v>
          </cell>
          <cell r="Q26" t="str">
            <v>ARE</v>
          </cell>
          <cell r="R26" t="str">
            <v>FC059</v>
          </cell>
          <cell r="S26" t="str">
            <v>Day Shift</v>
          </cell>
          <cell r="T26">
            <v>99</v>
          </cell>
          <cell r="U26" t="str">
            <v>MENA_UAE_FC</v>
          </cell>
          <cell r="X26">
            <v>46257.333333333336</v>
          </cell>
          <cell r="Y26">
            <v>46257.75</v>
          </cell>
          <cell r="Z26" t="str">
            <v>Rest Day</v>
          </cell>
          <cell r="AA26" t="str">
            <v>Not Scheduled</v>
          </cell>
          <cell r="AB26" t="str">
            <v>Not Present</v>
          </cell>
          <cell r="AC26" t="str">
            <v>Outbound</v>
          </cell>
          <cell r="AD26" t="str">
            <v>Picking</v>
          </cell>
          <cell r="AE26" t="str">
            <v>Pick</v>
          </cell>
          <cell r="AF26" t="str">
            <v>Sunday</v>
          </cell>
          <cell r="AG26" t="str">
            <v>Monday</v>
          </cell>
          <cell r="AH26">
            <v>13</v>
          </cell>
          <cell r="AJ26">
            <v>45501</v>
          </cell>
          <cell r="AM26" t="str">
            <v>TEMP</v>
          </cell>
          <cell r="AN26" t="str">
            <v>3P Onsite Worker</v>
          </cell>
          <cell r="AO26" t="str">
            <v>A</v>
          </cell>
          <cell r="AP26">
            <v>9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</row>
        <row r="27">
          <cell r="D27" t="str">
            <v>achemuta</v>
          </cell>
          <cell r="E27">
            <v>205846579</v>
          </cell>
          <cell r="F27" t="str">
            <v>A</v>
          </cell>
          <cell r="G27" t="str">
            <v>GREEN</v>
          </cell>
          <cell r="H27" t="str">
            <v>FULL_TIME</v>
          </cell>
          <cell r="I27">
            <v>900234</v>
          </cell>
          <cell r="J27" t="str">
            <v>EFS Facilities Services</v>
          </cell>
          <cell r="K27" t="str">
            <v>ALICE CHEMUTAI</v>
          </cell>
          <cell r="L27" t="str">
            <v>Warehouse Associate (TEMP)</v>
          </cell>
          <cell r="M27" t="str">
            <v>Warehouse Associate 8W</v>
          </cell>
          <cell r="N27" t="str">
            <v>scariav</v>
          </cell>
          <cell r="O27">
            <v>1299</v>
          </cell>
          <cell r="P27" t="str">
            <v>AUH1</v>
          </cell>
          <cell r="Q27" t="str">
            <v>ARE</v>
          </cell>
          <cell r="R27" t="str">
            <v>LK017</v>
          </cell>
          <cell r="S27" t="str">
            <v>Night Shift</v>
          </cell>
          <cell r="T27">
            <v>99</v>
          </cell>
          <cell r="U27" t="str">
            <v>MENA_UAE_FC</v>
          </cell>
          <cell r="V27">
            <v>46257.757638888892</v>
          </cell>
          <cell r="X27">
            <v>46257.756944444445</v>
          </cell>
          <cell r="Y27">
            <v>46258.173611111109</v>
          </cell>
          <cell r="AA27" t="str">
            <v>Scheduled</v>
          </cell>
          <cell r="AB27" t="str">
            <v>Present</v>
          </cell>
          <cell r="AC27" t="str">
            <v>Outbound</v>
          </cell>
          <cell r="AD27" t="str">
            <v>Picking</v>
          </cell>
          <cell r="AE27" t="str">
            <v>Pick</v>
          </cell>
          <cell r="AF27" t="str">
            <v>Thursday</v>
          </cell>
          <cell r="AG27" t="str">
            <v>Friday</v>
          </cell>
          <cell r="AH27">
            <v>13</v>
          </cell>
          <cell r="AJ27">
            <v>45893</v>
          </cell>
          <cell r="AM27" t="str">
            <v>TEMP</v>
          </cell>
          <cell r="AN27" t="str">
            <v>3P Onsite Worker</v>
          </cell>
          <cell r="AO27" t="str">
            <v>A</v>
          </cell>
          <cell r="AP27">
            <v>9</v>
          </cell>
          <cell r="AQ27">
            <v>0</v>
          </cell>
          <cell r="AR27">
            <v>1</v>
          </cell>
          <cell r="AS27">
            <v>1</v>
          </cell>
          <cell r="AT27">
            <v>0</v>
          </cell>
          <cell r="AU27">
            <v>0</v>
          </cell>
        </row>
        <row r="28">
          <cell r="D28" t="str">
            <v>achungak</v>
          </cell>
          <cell r="E28">
            <v>203965520</v>
          </cell>
          <cell r="F28" t="str">
            <v>A</v>
          </cell>
          <cell r="G28" t="str">
            <v>GREEN</v>
          </cell>
          <cell r="H28" t="str">
            <v>FULL_TIME</v>
          </cell>
          <cell r="I28">
            <v>900234</v>
          </cell>
          <cell r="J28" t="str">
            <v>Fastlink Outsourcing</v>
          </cell>
          <cell r="K28" t="str">
            <v>Chelsea Achu Ngako</v>
          </cell>
          <cell r="L28" t="str">
            <v>Warehouse Associate (TEMP)</v>
          </cell>
          <cell r="M28" t="str">
            <v>Warehouse Associate 12M</v>
          </cell>
          <cell r="N28" t="str">
            <v>pparsin</v>
          </cell>
          <cell r="O28">
            <v>1299</v>
          </cell>
          <cell r="P28" t="str">
            <v>AUH1</v>
          </cell>
          <cell r="Q28" t="str">
            <v>ARE</v>
          </cell>
          <cell r="R28" t="str">
            <v>LK013</v>
          </cell>
          <cell r="S28" t="str">
            <v>Night Shift</v>
          </cell>
          <cell r="T28">
            <v>99</v>
          </cell>
          <cell r="U28" t="str">
            <v>MENA_UAE_FC</v>
          </cell>
          <cell r="X28">
            <v>46257.756944444445</v>
          </cell>
          <cell r="Y28">
            <v>46258.173611111109</v>
          </cell>
          <cell r="Z28" t="str">
            <v>Rest Day</v>
          </cell>
          <cell r="AA28" t="str">
            <v>Not Scheduled</v>
          </cell>
          <cell r="AB28" t="str">
            <v>Not Present</v>
          </cell>
          <cell r="AC28" t="str">
            <v>Inbound</v>
          </cell>
          <cell r="AD28" t="str">
            <v>Inbound Stow</v>
          </cell>
          <cell r="AE28" t="str">
            <v>Stow</v>
          </cell>
          <cell r="AF28" t="str">
            <v>Sunday</v>
          </cell>
          <cell r="AG28" t="str">
            <v>Monday</v>
          </cell>
          <cell r="AH28">
            <v>3</v>
          </cell>
          <cell r="AJ28">
            <v>45543</v>
          </cell>
          <cell r="AM28" t="str">
            <v>TEMP</v>
          </cell>
          <cell r="AN28" t="str">
            <v>3P Onsite Worker</v>
          </cell>
          <cell r="AO28" t="str">
            <v>A</v>
          </cell>
          <cell r="AP28">
            <v>9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D29" t="str">
            <v>adarkwno</v>
          </cell>
          <cell r="E29">
            <v>204864416</v>
          </cell>
          <cell r="F29" t="str">
            <v>A</v>
          </cell>
          <cell r="G29" t="str">
            <v>GREEN</v>
          </cell>
          <cell r="H29" t="str">
            <v>FULL_TIME</v>
          </cell>
          <cell r="I29">
            <v>900234</v>
          </cell>
          <cell r="J29" t="str">
            <v>Dulsco L.L.C.</v>
          </cell>
          <cell r="K29" t="str">
            <v>NOAH ADARKWAH</v>
          </cell>
          <cell r="L29" t="str">
            <v>Warehouse Associate (TEMP)</v>
          </cell>
          <cell r="M29" t="str">
            <v>Warehouse Associate 8W</v>
          </cell>
          <cell r="N29" t="str">
            <v>bavameer</v>
          </cell>
          <cell r="O29">
            <v>1299</v>
          </cell>
          <cell r="P29" t="str">
            <v>AUH1</v>
          </cell>
          <cell r="Q29" t="str">
            <v>ARE</v>
          </cell>
          <cell r="R29" t="str">
            <v>FC134</v>
          </cell>
          <cell r="S29" t="str">
            <v>Day Shift</v>
          </cell>
          <cell r="T29">
            <v>99</v>
          </cell>
          <cell r="U29" t="str">
            <v>MENA_UAE_FC</v>
          </cell>
          <cell r="V29">
            <v>46257.332638888889</v>
          </cell>
          <cell r="W29">
            <v>46257.75</v>
          </cell>
          <cell r="X29">
            <v>46257.333333333336</v>
          </cell>
          <cell r="Y29">
            <v>46257.75</v>
          </cell>
          <cell r="AA29" t="str">
            <v>Scheduled</v>
          </cell>
          <cell r="AB29" t="str">
            <v>Present</v>
          </cell>
          <cell r="AC29" t="str">
            <v>Customer returns</v>
          </cell>
          <cell r="AD29" t="str">
            <v>Customer Returns</v>
          </cell>
          <cell r="AE29" t="str">
            <v>Customer returns</v>
          </cell>
          <cell r="AF29" t="str">
            <v>Wednesday</v>
          </cell>
          <cell r="AG29" t="str">
            <v>Thursday</v>
          </cell>
          <cell r="AH29">
            <v>22</v>
          </cell>
          <cell r="AJ29">
            <v>45683</v>
          </cell>
          <cell r="AM29" t="str">
            <v>TEMP</v>
          </cell>
          <cell r="AN29" t="str">
            <v>3P Onsite Worker</v>
          </cell>
          <cell r="AO29" t="str">
            <v>A</v>
          </cell>
          <cell r="AP29">
            <v>9</v>
          </cell>
          <cell r="AQ29">
            <v>0</v>
          </cell>
          <cell r="AR29">
            <v>1</v>
          </cell>
          <cell r="AS29">
            <v>1</v>
          </cell>
          <cell r="AT29">
            <v>0</v>
          </cell>
          <cell r="AU29">
            <v>0</v>
          </cell>
        </row>
        <row r="30">
          <cell r="D30" t="str">
            <v>addevely</v>
          </cell>
          <cell r="E30">
            <v>205854275</v>
          </cell>
          <cell r="F30" t="str">
            <v>A</v>
          </cell>
          <cell r="G30" t="str">
            <v>GREEN</v>
          </cell>
          <cell r="H30" t="str">
            <v>FULL_TIME</v>
          </cell>
          <cell r="I30">
            <v>900234</v>
          </cell>
          <cell r="J30" t="str">
            <v>EFS Facilities Services</v>
          </cell>
          <cell r="K30" t="str">
            <v>Evelyn Addo</v>
          </cell>
          <cell r="L30" t="str">
            <v>Warehouse Associate (TEMP)</v>
          </cell>
          <cell r="M30" t="str">
            <v>Warehouse Associate 12M</v>
          </cell>
          <cell r="N30" t="str">
            <v>scariav</v>
          </cell>
          <cell r="O30">
            <v>1299</v>
          </cell>
          <cell r="P30" t="str">
            <v>AUH1</v>
          </cell>
          <cell r="Q30" t="str">
            <v>ARE</v>
          </cell>
          <cell r="R30" t="str">
            <v>LK015</v>
          </cell>
          <cell r="S30" t="str">
            <v>Night Shift</v>
          </cell>
          <cell r="T30">
            <v>99</v>
          </cell>
          <cell r="U30" t="str">
            <v>MENA_UAE_FC</v>
          </cell>
          <cell r="V30">
            <v>46257.756249999999</v>
          </cell>
          <cell r="X30">
            <v>46257.756944444445</v>
          </cell>
          <cell r="Y30">
            <v>46258.173611111109</v>
          </cell>
          <cell r="AA30" t="str">
            <v>Scheduled</v>
          </cell>
          <cell r="AB30" t="str">
            <v>Present</v>
          </cell>
          <cell r="AC30" t="str">
            <v>Outbound</v>
          </cell>
          <cell r="AD30" t="str">
            <v>Picking</v>
          </cell>
          <cell r="AE30" t="str">
            <v>Pick</v>
          </cell>
          <cell r="AF30" t="str">
            <v>Tuesday</v>
          </cell>
          <cell r="AG30" t="str">
            <v>Wednesday</v>
          </cell>
          <cell r="AH30">
            <v>13</v>
          </cell>
          <cell r="AJ30">
            <v>45893</v>
          </cell>
          <cell r="AM30" t="str">
            <v>TEMP</v>
          </cell>
          <cell r="AN30" t="str">
            <v>3P Onsite Worker</v>
          </cell>
          <cell r="AO30" t="str">
            <v>A</v>
          </cell>
          <cell r="AP30">
            <v>9</v>
          </cell>
          <cell r="AQ30">
            <v>0</v>
          </cell>
          <cell r="AR30">
            <v>1</v>
          </cell>
          <cell r="AS30">
            <v>1</v>
          </cell>
          <cell r="AT30">
            <v>0</v>
          </cell>
          <cell r="AU30">
            <v>0</v>
          </cell>
        </row>
        <row r="31">
          <cell r="D31" t="str">
            <v>addlchri</v>
          </cell>
          <cell r="E31">
            <v>205854276</v>
          </cell>
          <cell r="F31" t="str">
            <v>A</v>
          </cell>
          <cell r="G31" t="str">
            <v>GREEN</v>
          </cell>
          <cell r="H31" t="str">
            <v>REDUCED</v>
          </cell>
          <cell r="I31">
            <v>900234</v>
          </cell>
          <cell r="J31" t="str">
            <v>EFS Facilities Services</v>
          </cell>
          <cell r="K31" t="str">
            <v>CHRISTIANA ADDO</v>
          </cell>
          <cell r="L31" t="str">
            <v>Warehouse Associate (TEMP)</v>
          </cell>
          <cell r="M31" t="str">
            <v>Warehouse Associate 8W</v>
          </cell>
          <cell r="N31" t="str">
            <v>scariav</v>
          </cell>
          <cell r="O31">
            <v>1299</v>
          </cell>
          <cell r="P31" t="str">
            <v>AUH1</v>
          </cell>
          <cell r="Q31" t="str">
            <v>ARE</v>
          </cell>
          <cell r="R31" t="str">
            <v>FC556</v>
          </cell>
          <cell r="S31" t="str">
            <v>Night Shift</v>
          </cell>
          <cell r="T31">
            <v>99</v>
          </cell>
          <cell r="U31" t="str">
            <v>MENA_UAE_FC</v>
          </cell>
          <cell r="V31">
            <v>46257.755555555559</v>
          </cell>
          <cell r="X31">
            <v>46257.756944444445</v>
          </cell>
          <cell r="Y31">
            <v>46258.090277777781</v>
          </cell>
          <cell r="AA31" t="str">
            <v>Scheduled</v>
          </cell>
          <cell r="AB31" t="str">
            <v>Present</v>
          </cell>
          <cell r="AC31" t="str">
            <v>Outbound</v>
          </cell>
          <cell r="AD31" t="str">
            <v>Picking</v>
          </cell>
          <cell r="AE31" t="str">
            <v>Pick</v>
          </cell>
          <cell r="AF31" t="str">
            <v>Tuesday</v>
          </cell>
          <cell r="AG31" t="str">
            <v>Wednesday</v>
          </cell>
          <cell r="AH31">
            <v>13</v>
          </cell>
          <cell r="AJ31">
            <v>46251</v>
          </cell>
          <cell r="AM31" t="str">
            <v>TEMP</v>
          </cell>
          <cell r="AN31" t="str">
            <v>3P Onsite Worker</v>
          </cell>
          <cell r="AO31" t="str">
            <v>A</v>
          </cell>
          <cell r="AP31">
            <v>7</v>
          </cell>
          <cell r="AQ31">
            <v>0</v>
          </cell>
          <cell r="AR31">
            <v>1</v>
          </cell>
          <cell r="AS31">
            <v>1</v>
          </cell>
          <cell r="AT31">
            <v>0</v>
          </cell>
          <cell r="AU31">
            <v>0</v>
          </cell>
        </row>
        <row r="32">
          <cell r="D32" t="str">
            <v>adebugar</v>
          </cell>
          <cell r="E32">
            <v>206513281</v>
          </cell>
          <cell r="F32" t="str">
            <v>A</v>
          </cell>
          <cell r="G32" t="str">
            <v>GREEN</v>
          </cell>
          <cell r="H32" t="str">
            <v>FULL_TIME</v>
          </cell>
          <cell r="I32">
            <v>900234</v>
          </cell>
          <cell r="J32" t="str">
            <v>Dulsco L.L.C.</v>
          </cell>
          <cell r="K32" t="str">
            <v>RAHUMATA ADEBUGA</v>
          </cell>
          <cell r="L32" t="str">
            <v>Warehouse Associate (TEMP)</v>
          </cell>
          <cell r="M32" t="str">
            <v>Warehouse Associate 8W</v>
          </cell>
          <cell r="N32" t="str">
            <v>vkkatyal</v>
          </cell>
          <cell r="O32">
            <v>1299</v>
          </cell>
          <cell r="P32" t="str">
            <v>AUH1</v>
          </cell>
          <cell r="Q32" t="str">
            <v>ARE</v>
          </cell>
          <cell r="R32" t="str">
            <v>FC059</v>
          </cell>
          <cell r="S32" t="str">
            <v>Day Shift</v>
          </cell>
          <cell r="T32">
            <v>99</v>
          </cell>
          <cell r="U32" t="str">
            <v>MENA_UAE_FC</v>
          </cell>
          <cell r="X32">
            <v>46257.333333333336</v>
          </cell>
          <cell r="Y32">
            <v>46257.75</v>
          </cell>
          <cell r="Z32" t="str">
            <v>Rest Day</v>
          </cell>
          <cell r="AA32" t="str">
            <v>Not Scheduled</v>
          </cell>
          <cell r="AB32" t="str">
            <v>Not Present</v>
          </cell>
          <cell r="AC32" t="str">
            <v>Inbound</v>
          </cell>
          <cell r="AD32" t="str">
            <v>Inbound Stow</v>
          </cell>
          <cell r="AE32" t="str">
            <v>Stow</v>
          </cell>
          <cell r="AF32" t="str">
            <v>Sunday</v>
          </cell>
          <cell r="AG32" t="str">
            <v>Monday</v>
          </cell>
          <cell r="AH32">
            <v>3</v>
          </cell>
          <cell r="AJ32">
            <v>45970</v>
          </cell>
          <cell r="AM32" t="str">
            <v>TEMP</v>
          </cell>
          <cell r="AN32" t="str">
            <v>3P Onsite Worker</v>
          </cell>
          <cell r="AO32" t="str">
            <v>A</v>
          </cell>
          <cell r="AP32">
            <v>9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</row>
        <row r="33">
          <cell r="D33" t="str">
            <v>adimuham</v>
          </cell>
          <cell r="E33">
            <v>102206211</v>
          </cell>
          <cell r="F33" t="str">
            <v>A</v>
          </cell>
          <cell r="G33" t="str">
            <v>BLUE</v>
          </cell>
          <cell r="H33" t="str">
            <v>FULL_TIME</v>
          </cell>
          <cell r="I33" t="str">
            <v>P03251</v>
          </cell>
          <cell r="K33" t="str">
            <v>Muhammad Adil</v>
          </cell>
          <cell r="L33" t="str">
            <v>FC Associate I</v>
          </cell>
          <cell r="M33" t="str">
            <v>FC Associate I</v>
          </cell>
          <cell r="N33" t="str">
            <v>aanso</v>
          </cell>
          <cell r="O33">
            <v>1299</v>
          </cell>
          <cell r="P33" t="str">
            <v>AUH1</v>
          </cell>
          <cell r="Q33" t="str">
            <v>ARE</v>
          </cell>
          <cell r="R33" t="str">
            <v>FC034</v>
          </cell>
          <cell r="S33" t="str">
            <v>Day Shift</v>
          </cell>
          <cell r="T33">
            <v>1</v>
          </cell>
          <cell r="U33" t="str">
            <v>MENA_UAE_FC</v>
          </cell>
          <cell r="X33">
            <v>46257.333333333336</v>
          </cell>
          <cell r="Y33">
            <v>46257.75</v>
          </cell>
          <cell r="Z33" t="str">
            <v>Rest Day</v>
          </cell>
          <cell r="AA33" t="str">
            <v>Not Scheduled</v>
          </cell>
          <cell r="AB33" t="str">
            <v>Not Present</v>
          </cell>
          <cell r="AC33" t="str">
            <v>Customer returns</v>
          </cell>
          <cell r="AD33" t="str">
            <v>Customer Returns</v>
          </cell>
          <cell r="AE33" t="str">
            <v>Customer returns</v>
          </cell>
          <cell r="AF33" t="str">
            <v>Saturday</v>
          </cell>
          <cell r="AG33" t="str">
            <v>Sunday</v>
          </cell>
          <cell r="AH33">
            <v>22</v>
          </cell>
          <cell r="AJ33">
            <v>42867</v>
          </cell>
          <cell r="AM33" t="str">
            <v>FC</v>
          </cell>
          <cell r="AN33" t="str">
            <v>Regular Full Time</v>
          </cell>
          <cell r="AO33" t="str">
            <v>A</v>
          </cell>
          <cell r="AP33">
            <v>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</row>
        <row r="34">
          <cell r="D34" t="str">
            <v>adjahpri</v>
          </cell>
          <cell r="E34">
            <v>204137711</v>
          </cell>
          <cell r="F34" t="str">
            <v>A</v>
          </cell>
          <cell r="G34" t="str">
            <v>GREEN</v>
          </cell>
          <cell r="H34" t="str">
            <v>FULL_TIME</v>
          </cell>
          <cell r="I34">
            <v>900234</v>
          </cell>
          <cell r="J34" t="str">
            <v>Quesscorp</v>
          </cell>
          <cell r="K34" t="str">
            <v>Prince Adjah</v>
          </cell>
          <cell r="L34" t="str">
            <v>Warehouse Associate (TEMP)</v>
          </cell>
          <cell r="M34" t="str">
            <v>Warehouse Associate 24M</v>
          </cell>
          <cell r="N34" t="str">
            <v>bizthoma</v>
          </cell>
          <cell r="O34">
            <v>1299</v>
          </cell>
          <cell r="P34" t="str">
            <v>AUH1</v>
          </cell>
          <cell r="Q34" t="str">
            <v>ARE</v>
          </cell>
          <cell r="R34" t="str">
            <v>LK017</v>
          </cell>
          <cell r="S34" t="str">
            <v>Night Shift</v>
          </cell>
          <cell r="T34">
            <v>99</v>
          </cell>
          <cell r="U34" t="str">
            <v>MENA_UAE_FC</v>
          </cell>
          <cell r="V34">
            <v>46257.756249999999</v>
          </cell>
          <cell r="X34">
            <v>46257.756944444445</v>
          </cell>
          <cell r="Y34">
            <v>46258.173611111109</v>
          </cell>
          <cell r="AA34" t="str">
            <v>Scheduled</v>
          </cell>
          <cell r="AB34" t="str">
            <v>Present</v>
          </cell>
          <cell r="AC34" t="str">
            <v>Outbound</v>
          </cell>
          <cell r="AD34" t="str">
            <v>Picking</v>
          </cell>
          <cell r="AE34" t="str">
            <v>Pick</v>
          </cell>
          <cell r="AF34" t="str">
            <v>Thursday</v>
          </cell>
          <cell r="AG34" t="str">
            <v>Friday</v>
          </cell>
          <cell r="AH34">
            <v>13</v>
          </cell>
          <cell r="AJ34">
            <v>45564</v>
          </cell>
          <cell r="AM34" t="str">
            <v>TEMP</v>
          </cell>
          <cell r="AN34" t="str">
            <v>3P Onsite Worker</v>
          </cell>
          <cell r="AO34" t="str">
            <v>A</v>
          </cell>
          <cell r="AP34">
            <v>9</v>
          </cell>
          <cell r="AQ34">
            <v>0</v>
          </cell>
          <cell r="AR34">
            <v>1</v>
          </cell>
          <cell r="AS34">
            <v>1</v>
          </cell>
          <cell r="AT34">
            <v>0</v>
          </cell>
          <cell r="AU34">
            <v>0</v>
          </cell>
        </row>
        <row r="35">
          <cell r="D35" t="str">
            <v>adjsusan</v>
          </cell>
          <cell r="E35">
            <v>203512964</v>
          </cell>
          <cell r="F35" t="str">
            <v>A</v>
          </cell>
          <cell r="G35" t="str">
            <v>GREEN</v>
          </cell>
          <cell r="H35" t="str">
            <v>FULL_TIME</v>
          </cell>
          <cell r="I35">
            <v>900234</v>
          </cell>
          <cell r="J35" t="str">
            <v>Fastlink Outsourcing</v>
          </cell>
          <cell r="K35" t="str">
            <v>Susana Adjei</v>
          </cell>
          <cell r="L35" t="str">
            <v>Warehouse Associate (TEMP)</v>
          </cell>
          <cell r="M35" t="str">
            <v>Warehouse Associate 12M</v>
          </cell>
          <cell r="N35" t="str">
            <v>mnarshad</v>
          </cell>
          <cell r="O35">
            <v>1299</v>
          </cell>
          <cell r="P35" t="str">
            <v>AUH1</v>
          </cell>
          <cell r="Q35" t="str">
            <v>ARE</v>
          </cell>
          <cell r="R35" t="str">
            <v>LK011</v>
          </cell>
          <cell r="S35" t="str">
            <v>Night Shift</v>
          </cell>
          <cell r="T35">
            <v>99</v>
          </cell>
          <cell r="U35" t="str">
            <v>MENA_UAE_FC</v>
          </cell>
          <cell r="V35">
            <v>46257.755555555559</v>
          </cell>
          <cell r="X35">
            <v>46257.756944444445</v>
          </cell>
          <cell r="Y35">
            <v>46258.173611111109</v>
          </cell>
          <cell r="AA35" t="str">
            <v>Scheduled</v>
          </cell>
          <cell r="AB35" t="str">
            <v>Present</v>
          </cell>
          <cell r="AC35" t="str">
            <v>Outbound</v>
          </cell>
          <cell r="AD35" t="str">
            <v>Picking</v>
          </cell>
          <cell r="AE35" t="str">
            <v>Pick</v>
          </cell>
          <cell r="AF35" t="str">
            <v>Friday</v>
          </cell>
          <cell r="AG35" t="str">
            <v>Saturday</v>
          </cell>
          <cell r="AH35">
            <v>13</v>
          </cell>
          <cell r="AJ35">
            <v>45462</v>
          </cell>
          <cell r="AM35" t="str">
            <v>TEMP</v>
          </cell>
          <cell r="AN35" t="str">
            <v>3P Onsite Worker</v>
          </cell>
          <cell r="AO35" t="str">
            <v>A</v>
          </cell>
          <cell r="AP35">
            <v>9</v>
          </cell>
          <cell r="AQ35">
            <v>0</v>
          </cell>
          <cell r="AR35">
            <v>1</v>
          </cell>
          <cell r="AS35">
            <v>1</v>
          </cell>
          <cell r="AT35">
            <v>0</v>
          </cell>
          <cell r="AU35">
            <v>0</v>
          </cell>
        </row>
        <row r="36">
          <cell r="D36" t="str">
            <v>adorrabq</v>
          </cell>
          <cell r="E36">
            <v>206129616</v>
          </cell>
          <cell r="F36" t="str">
            <v>A</v>
          </cell>
          <cell r="G36" t="str">
            <v>GREEN</v>
          </cell>
          <cell r="H36" t="str">
            <v>FULL_TIME</v>
          </cell>
          <cell r="I36">
            <v>900234</v>
          </cell>
          <cell r="J36" t="str">
            <v>Fastlink Outsourcing</v>
          </cell>
          <cell r="K36" t="str">
            <v>Rabbi Ador</v>
          </cell>
          <cell r="L36" t="str">
            <v>Warehouse Associate (TEMP)</v>
          </cell>
          <cell r="M36" t="str">
            <v>Warehouse Associate 12M</v>
          </cell>
          <cell r="N36" t="str">
            <v>ansammar</v>
          </cell>
          <cell r="O36">
            <v>1299</v>
          </cell>
          <cell r="P36" t="str">
            <v>AUH1</v>
          </cell>
          <cell r="Q36" t="str">
            <v>ARE</v>
          </cell>
          <cell r="R36" t="str">
            <v>FC109</v>
          </cell>
          <cell r="S36" t="str">
            <v>Day Shift</v>
          </cell>
          <cell r="T36">
            <v>99</v>
          </cell>
          <cell r="U36" t="str">
            <v>MENA_UAE_FC</v>
          </cell>
          <cell r="V36">
            <v>46257.331250000003</v>
          </cell>
          <cell r="W36">
            <v>46257.74722222222</v>
          </cell>
          <cell r="X36">
            <v>46257.333333333336</v>
          </cell>
          <cell r="Y36">
            <v>46257.75</v>
          </cell>
          <cell r="AA36" t="str">
            <v>Scheduled</v>
          </cell>
          <cell r="AB36" t="str">
            <v>Present</v>
          </cell>
          <cell r="AC36" t="str">
            <v>Outbound</v>
          </cell>
          <cell r="AD36" t="str">
            <v>Picking</v>
          </cell>
          <cell r="AE36" t="str">
            <v>Pick</v>
          </cell>
          <cell r="AF36" t="str">
            <v>Tuesday</v>
          </cell>
          <cell r="AG36" t="str">
            <v>Wednesday</v>
          </cell>
          <cell r="AH36">
            <v>13</v>
          </cell>
          <cell r="AJ36">
            <v>45928</v>
          </cell>
          <cell r="AM36" t="str">
            <v>TEMP</v>
          </cell>
          <cell r="AN36" t="str">
            <v>3P Onsite Worker</v>
          </cell>
          <cell r="AO36" t="str">
            <v>A</v>
          </cell>
          <cell r="AP36">
            <v>9</v>
          </cell>
          <cell r="AQ36">
            <v>0</v>
          </cell>
          <cell r="AR36">
            <v>1</v>
          </cell>
          <cell r="AS36">
            <v>1</v>
          </cell>
          <cell r="AT36">
            <v>0</v>
          </cell>
          <cell r="AU36">
            <v>0</v>
          </cell>
        </row>
        <row r="37">
          <cell r="D37" t="str">
            <v>adufbrig</v>
          </cell>
          <cell r="E37">
            <v>203965524</v>
          </cell>
          <cell r="F37" t="str">
            <v>A</v>
          </cell>
          <cell r="G37" t="str">
            <v>GREEN</v>
          </cell>
          <cell r="H37" t="str">
            <v>FULL_TIME</v>
          </cell>
          <cell r="I37">
            <v>900234</v>
          </cell>
          <cell r="J37" t="str">
            <v>Fastlink Outsourcing</v>
          </cell>
          <cell r="K37" t="str">
            <v>Bright Adu</v>
          </cell>
          <cell r="L37" t="str">
            <v>Warehouse Associate (TEMP)</v>
          </cell>
          <cell r="M37" t="str">
            <v>Warehouse Associate 12M</v>
          </cell>
          <cell r="N37" t="str">
            <v>abbaszoo</v>
          </cell>
          <cell r="O37">
            <v>1299</v>
          </cell>
          <cell r="P37" t="str">
            <v>AUH1</v>
          </cell>
          <cell r="Q37" t="str">
            <v>ARE</v>
          </cell>
          <cell r="R37" t="str">
            <v>FC009</v>
          </cell>
          <cell r="S37" t="str">
            <v>Day Shift</v>
          </cell>
          <cell r="T37">
            <v>99</v>
          </cell>
          <cell r="U37" t="str">
            <v>MENA_UAE_FC</v>
          </cell>
          <cell r="V37">
            <v>46257.331944444442</v>
          </cell>
          <cell r="W37">
            <v>46257.75277777778</v>
          </cell>
          <cell r="X37">
            <v>46257.333333333336</v>
          </cell>
          <cell r="Y37">
            <v>46257.75</v>
          </cell>
          <cell r="AA37" t="str">
            <v>Scheduled</v>
          </cell>
          <cell r="AB37" t="str">
            <v>Present</v>
          </cell>
          <cell r="AC37" t="str">
            <v>Inbound</v>
          </cell>
          <cell r="AD37" t="str">
            <v>Inbound Stow</v>
          </cell>
          <cell r="AE37" t="str">
            <v>Stow</v>
          </cell>
          <cell r="AF37" t="str">
            <v>Friday</v>
          </cell>
          <cell r="AG37" t="str">
            <v>Saturday</v>
          </cell>
          <cell r="AH37">
            <v>3</v>
          </cell>
          <cell r="AJ37">
            <v>45543</v>
          </cell>
          <cell r="AM37" t="str">
            <v>TEMP</v>
          </cell>
          <cell r="AN37" t="str">
            <v>3P Onsite Worker</v>
          </cell>
          <cell r="AO37" t="str">
            <v>A</v>
          </cell>
          <cell r="AP37">
            <v>9</v>
          </cell>
          <cell r="AQ37">
            <v>0</v>
          </cell>
          <cell r="AR37">
            <v>1</v>
          </cell>
          <cell r="AS37">
            <v>1</v>
          </cell>
          <cell r="AT37">
            <v>0</v>
          </cell>
          <cell r="AU37">
            <v>0</v>
          </cell>
        </row>
        <row r="38">
          <cell r="D38" t="str">
            <v>adusahpr</v>
          </cell>
          <cell r="E38">
            <v>203851101</v>
          </cell>
          <cell r="F38" t="str">
            <v>A</v>
          </cell>
          <cell r="G38" t="str">
            <v>GREEN</v>
          </cell>
          <cell r="H38" t="str">
            <v>FULL_TIME</v>
          </cell>
          <cell r="I38">
            <v>900234</v>
          </cell>
          <cell r="J38" t="str">
            <v>Fastlink Outsourcing</v>
          </cell>
          <cell r="K38" t="str">
            <v>Prince Adusah</v>
          </cell>
          <cell r="L38" t="str">
            <v>Warehouse Associate (TEMP)</v>
          </cell>
          <cell r="M38" t="str">
            <v>Warehouse Associate 12M</v>
          </cell>
          <cell r="N38" t="str">
            <v>mnarshad</v>
          </cell>
          <cell r="O38">
            <v>1299</v>
          </cell>
          <cell r="P38" t="str">
            <v>AUH1</v>
          </cell>
          <cell r="Q38" t="str">
            <v>ARE</v>
          </cell>
          <cell r="R38" t="str">
            <v>FC034</v>
          </cell>
          <cell r="S38" t="str">
            <v>Day Shift</v>
          </cell>
          <cell r="T38">
            <v>99</v>
          </cell>
          <cell r="U38" t="str">
            <v>MENA_UAE_FC</v>
          </cell>
          <cell r="X38">
            <v>46257.333333333336</v>
          </cell>
          <cell r="Y38">
            <v>46257.75</v>
          </cell>
          <cell r="Z38" t="str">
            <v>Rest Day</v>
          </cell>
          <cell r="AA38" t="str">
            <v>Not Scheduled</v>
          </cell>
          <cell r="AB38" t="str">
            <v>Not Present</v>
          </cell>
          <cell r="AC38" t="str">
            <v>Outbound</v>
          </cell>
          <cell r="AD38" t="str">
            <v>Pack - Single</v>
          </cell>
          <cell r="AE38" t="str">
            <v>Pack</v>
          </cell>
          <cell r="AF38" t="str">
            <v>Saturday</v>
          </cell>
          <cell r="AG38" t="str">
            <v>Sunday</v>
          </cell>
          <cell r="AH38">
            <v>18</v>
          </cell>
          <cell r="AJ38">
            <v>45523</v>
          </cell>
          <cell r="AM38" t="str">
            <v>TEMP</v>
          </cell>
          <cell r="AN38" t="str">
            <v>3P Onsite Worker</v>
          </cell>
          <cell r="AO38" t="str">
            <v>A</v>
          </cell>
          <cell r="AP38">
            <v>9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</row>
        <row r="39">
          <cell r="D39" t="str">
            <v>adutwumt</v>
          </cell>
          <cell r="E39">
            <v>206073368</v>
          </cell>
          <cell r="F39" t="str">
            <v>A</v>
          </cell>
          <cell r="G39" t="str">
            <v>GREEN</v>
          </cell>
          <cell r="H39" t="str">
            <v>FULL_TIME</v>
          </cell>
          <cell r="I39">
            <v>900234</v>
          </cell>
          <cell r="J39" t="str">
            <v>Fastlink Outsourcing</v>
          </cell>
          <cell r="K39" t="str">
            <v>Tony Adutwum Duah</v>
          </cell>
          <cell r="L39" t="str">
            <v>Warehouse Associate (TEMP)</v>
          </cell>
          <cell r="M39" t="str">
            <v>Warehouse Associate 12M</v>
          </cell>
          <cell r="N39" t="str">
            <v>helrashd</v>
          </cell>
          <cell r="O39">
            <v>1299</v>
          </cell>
          <cell r="P39" t="str">
            <v>AUH1</v>
          </cell>
          <cell r="Q39" t="str">
            <v>ARE</v>
          </cell>
          <cell r="R39" t="str">
            <v>LK016</v>
          </cell>
          <cell r="S39" t="str">
            <v>Night Shift</v>
          </cell>
          <cell r="T39">
            <v>99</v>
          </cell>
          <cell r="U39" t="str">
            <v>MENA_UAE_FC</v>
          </cell>
          <cell r="V39">
            <v>46257.756944444445</v>
          </cell>
          <cell r="X39">
            <v>46257.756944444445</v>
          </cell>
          <cell r="Y39">
            <v>46258.173611111109</v>
          </cell>
          <cell r="AA39" t="str">
            <v>Scheduled</v>
          </cell>
          <cell r="AB39" t="str">
            <v>Present</v>
          </cell>
          <cell r="AC39" t="str">
            <v>Outbound</v>
          </cell>
          <cell r="AD39" t="str">
            <v>Picking</v>
          </cell>
          <cell r="AE39" t="str">
            <v>Pick</v>
          </cell>
          <cell r="AF39" t="str">
            <v>Wednesday</v>
          </cell>
          <cell r="AG39" t="str">
            <v>Thursday</v>
          </cell>
          <cell r="AH39">
            <v>13</v>
          </cell>
          <cell r="AJ39">
            <v>45921</v>
          </cell>
          <cell r="AM39" t="str">
            <v>TEMP</v>
          </cell>
          <cell r="AN39" t="str">
            <v>3P Onsite Worker</v>
          </cell>
          <cell r="AO39" t="str">
            <v>A</v>
          </cell>
          <cell r="AP39">
            <v>9</v>
          </cell>
          <cell r="AQ39">
            <v>0</v>
          </cell>
          <cell r="AR39">
            <v>1</v>
          </cell>
          <cell r="AS39">
            <v>1</v>
          </cell>
          <cell r="AT39">
            <v>0</v>
          </cell>
          <cell r="AU39">
            <v>0</v>
          </cell>
        </row>
        <row r="40">
          <cell r="D40" t="str">
            <v>aetelahf</v>
          </cell>
          <cell r="E40">
            <v>203993303</v>
          </cell>
          <cell r="F40" t="str">
            <v>A</v>
          </cell>
          <cell r="G40" t="str">
            <v>GREEN</v>
          </cell>
          <cell r="H40" t="str">
            <v>FULL_TIME</v>
          </cell>
          <cell r="I40">
            <v>900234</v>
          </cell>
          <cell r="J40" t="str">
            <v>Fastlink Outsourcing</v>
          </cell>
          <cell r="K40" t="str">
            <v>Ngwemah Etelah Fru</v>
          </cell>
          <cell r="L40" t="str">
            <v>Warehouse Associate (TEMP)</v>
          </cell>
          <cell r="M40" t="str">
            <v>Warehouse Associate 12M</v>
          </cell>
          <cell r="N40" t="str">
            <v>bizthoma</v>
          </cell>
          <cell r="O40">
            <v>1299</v>
          </cell>
          <cell r="P40" t="str">
            <v>AUH1</v>
          </cell>
          <cell r="Q40" t="str">
            <v>ARE</v>
          </cell>
          <cell r="R40" t="str">
            <v>LK013</v>
          </cell>
          <cell r="S40" t="str">
            <v>Night Shift</v>
          </cell>
          <cell r="T40">
            <v>99</v>
          </cell>
          <cell r="U40" t="str">
            <v>MENA_UAE_FC</v>
          </cell>
          <cell r="X40">
            <v>46257.756944444445</v>
          </cell>
          <cell r="Y40">
            <v>46258.173611111109</v>
          </cell>
          <cell r="Z40" t="str">
            <v>Rest Day</v>
          </cell>
          <cell r="AA40" t="str">
            <v>Not Scheduled</v>
          </cell>
          <cell r="AB40" t="str">
            <v>Not Present</v>
          </cell>
          <cell r="AC40" t="str">
            <v>Outbound</v>
          </cell>
          <cell r="AD40" t="str">
            <v>Picking</v>
          </cell>
          <cell r="AE40" t="str">
            <v>Pick</v>
          </cell>
          <cell r="AF40" t="str">
            <v>Sunday</v>
          </cell>
          <cell r="AG40" t="str">
            <v>Monday</v>
          </cell>
          <cell r="AH40">
            <v>13</v>
          </cell>
          <cell r="AJ40">
            <v>45546</v>
          </cell>
          <cell r="AM40" t="str">
            <v>TEMP</v>
          </cell>
          <cell r="AN40" t="str">
            <v>3P Onsite Worker</v>
          </cell>
          <cell r="AO40" t="str">
            <v>A</v>
          </cell>
          <cell r="AP40">
            <v>9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</row>
        <row r="41">
          <cell r="D41" t="str">
            <v>affulben</v>
          </cell>
          <cell r="E41">
            <v>205848051</v>
          </cell>
          <cell r="F41" t="str">
            <v>A</v>
          </cell>
          <cell r="G41" t="str">
            <v>GREEN</v>
          </cell>
          <cell r="H41" t="str">
            <v>FULL_TIME</v>
          </cell>
          <cell r="I41">
            <v>900234</v>
          </cell>
          <cell r="J41" t="str">
            <v>EFS Facilities Services</v>
          </cell>
          <cell r="K41" t="str">
            <v>BENJAMIN AFFUL</v>
          </cell>
          <cell r="L41" t="str">
            <v>Warehouse Associate (TEMP)</v>
          </cell>
          <cell r="M41" t="str">
            <v>Warehouse Associate 8W</v>
          </cell>
          <cell r="N41" t="str">
            <v>lraghava</v>
          </cell>
          <cell r="O41">
            <v>1299</v>
          </cell>
          <cell r="P41" t="str">
            <v>AUH1</v>
          </cell>
          <cell r="Q41" t="str">
            <v>ARE</v>
          </cell>
          <cell r="R41" t="str">
            <v>LK014</v>
          </cell>
          <cell r="S41" t="str">
            <v>Night Shift</v>
          </cell>
          <cell r="T41">
            <v>99</v>
          </cell>
          <cell r="U41" t="str">
            <v>MENA_UAE_FC</v>
          </cell>
          <cell r="V41">
            <v>46257.754166666666</v>
          </cell>
          <cell r="X41">
            <v>46257.756944444445</v>
          </cell>
          <cell r="Y41">
            <v>46258.173611111109</v>
          </cell>
          <cell r="AA41" t="str">
            <v>Scheduled</v>
          </cell>
          <cell r="AB41" t="str">
            <v>Present</v>
          </cell>
          <cell r="AC41" t="str">
            <v>Outbound</v>
          </cell>
          <cell r="AD41" t="str">
            <v>Picking</v>
          </cell>
          <cell r="AE41" t="str">
            <v>Pick</v>
          </cell>
          <cell r="AF41" t="str">
            <v>Monday</v>
          </cell>
          <cell r="AG41" t="str">
            <v>Tuesday</v>
          </cell>
          <cell r="AH41">
            <v>13</v>
          </cell>
          <cell r="AJ41">
            <v>45893</v>
          </cell>
          <cell r="AM41" t="str">
            <v>TEMP</v>
          </cell>
          <cell r="AN41" t="str">
            <v>3P Onsite Worker</v>
          </cell>
          <cell r="AO41" t="str">
            <v>A</v>
          </cell>
          <cell r="AP41">
            <v>9</v>
          </cell>
          <cell r="AQ41">
            <v>0</v>
          </cell>
          <cell r="AR41">
            <v>1</v>
          </cell>
          <cell r="AS41">
            <v>1</v>
          </cell>
          <cell r="AT41">
            <v>0</v>
          </cell>
          <cell r="AU41">
            <v>0</v>
          </cell>
        </row>
        <row r="42">
          <cell r="D42" t="str">
            <v>afrbakun</v>
          </cell>
          <cell r="E42">
            <v>206846113</v>
          </cell>
          <cell r="F42" t="str">
            <v>A</v>
          </cell>
          <cell r="G42" t="str">
            <v>GREEN</v>
          </cell>
          <cell r="H42" t="str">
            <v>FULL_TIME</v>
          </cell>
          <cell r="I42">
            <v>900234</v>
          </cell>
          <cell r="J42" t="str">
            <v>Dulsco L.L.C.</v>
          </cell>
          <cell r="K42" t="str">
            <v>FRED BAKUNDANA</v>
          </cell>
          <cell r="L42" t="str">
            <v>Warehouse Associate (TEMP)</v>
          </cell>
          <cell r="M42" t="str">
            <v>Warehouse Associate 8W</v>
          </cell>
          <cell r="N42" t="str">
            <v>aanso</v>
          </cell>
          <cell r="O42">
            <v>1299</v>
          </cell>
          <cell r="P42" t="str">
            <v>AUH1</v>
          </cell>
          <cell r="Q42" t="str">
            <v>ARE</v>
          </cell>
          <cell r="R42" t="str">
            <v>FC134</v>
          </cell>
          <cell r="S42" t="str">
            <v>Day Shift</v>
          </cell>
          <cell r="T42">
            <v>99</v>
          </cell>
          <cell r="U42" t="str">
            <v>MENA_UAE_FC</v>
          </cell>
          <cell r="V42">
            <v>46257.332638888889</v>
          </cell>
          <cell r="W42">
            <v>46257.746527777781</v>
          </cell>
          <cell r="X42">
            <v>46257.333333333336</v>
          </cell>
          <cell r="Y42">
            <v>46257.75</v>
          </cell>
          <cell r="AA42" t="str">
            <v>Scheduled</v>
          </cell>
          <cell r="AB42" t="str">
            <v>Present</v>
          </cell>
          <cell r="AC42" t="str">
            <v>Customer returns</v>
          </cell>
          <cell r="AD42" t="str">
            <v>Customer Returns</v>
          </cell>
          <cell r="AE42" t="str">
            <v>Customer returns</v>
          </cell>
          <cell r="AF42" t="str">
            <v>Wednesday</v>
          </cell>
          <cell r="AG42" t="str">
            <v>Thursday</v>
          </cell>
          <cell r="AH42">
            <v>22</v>
          </cell>
          <cell r="AJ42">
            <v>46019</v>
          </cell>
          <cell r="AM42" t="str">
            <v>TEMP</v>
          </cell>
          <cell r="AN42" t="str">
            <v>3P Onsite Worker</v>
          </cell>
          <cell r="AO42" t="str">
            <v>A</v>
          </cell>
          <cell r="AP42">
            <v>9</v>
          </cell>
          <cell r="AQ42">
            <v>0</v>
          </cell>
          <cell r="AR42">
            <v>1</v>
          </cell>
          <cell r="AS42">
            <v>1</v>
          </cell>
          <cell r="AT42">
            <v>0</v>
          </cell>
          <cell r="AU42">
            <v>0</v>
          </cell>
        </row>
        <row r="43">
          <cell r="D43" t="str">
            <v>agabamag</v>
          </cell>
          <cell r="E43">
            <v>203800602</v>
          </cell>
          <cell r="F43" t="str">
            <v>A</v>
          </cell>
          <cell r="G43" t="str">
            <v>GREEN</v>
          </cell>
          <cell r="H43" t="str">
            <v>FULL_TIME</v>
          </cell>
          <cell r="I43">
            <v>900234</v>
          </cell>
          <cell r="J43" t="str">
            <v>Dulsco L.L.C.</v>
          </cell>
          <cell r="K43" t="str">
            <v>MARTIN AGABA</v>
          </cell>
          <cell r="L43" t="str">
            <v>Warehouse Associate (TEMP)</v>
          </cell>
          <cell r="M43" t="str">
            <v>Warehouse Associate 8W</v>
          </cell>
          <cell r="N43" t="str">
            <v>bavameer</v>
          </cell>
          <cell r="O43">
            <v>1299</v>
          </cell>
          <cell r="P43" t="str">
            <v>AUH1</v>
          </cell>
          <cell r="Q43" t="str">
            <v>ARE</v>
          </cell>
          <cell r="R43" t="str">
            <v>LK014</v>
          </cell>
          <cell r="S43" t="str">
            <v>Night Shift</v>
          </cell>
          <cell r="T43">
            <v>99</v>
          </cell>
          <cell r="U43" t="str">
            <v>MENA_UAE_FC</v>
          </cell>
          <cell r="V43">
            <v>46257.756249999999</v>
          </cell>
          <cell r="X43">
            <v>46257.756944444445</v>
          </cell>
          <cell r="Y43">
            <v>46258.173611111109</v>
          </cell>
          <cell r="AA43" t="str">
            <v>Scheduled</v>
          </cell>
          <cell r="AB43" t="str">
            <v>Present</v>
          </cell>
          <cell r="AC43" t="str">
            <v>Customer returns</v>
          </cell>
          <cell r="AD43" t="str">
            <v>Customer Returns</v>
          </cell>
          <cell r="AE43" t="str">
            <v>Customer returns</v>
          </cell>
          <cell r="AF43" t="str">
            <v>Monday</v>
          </cell>
          <cell r="AG43" t="str">
            <v>Tuesday</v>
          </cell>
          <cell r="AH43">
            <v>22</v>
          </cell>
          <cell r="AJ43">
            <v>45515</v>
          </cell>
          <cell r="AM43" t="str">
            <v>TEMP</v>
          </cell>
          <cell r="AN43" t="str">
            <v>3P Onsite Worker</v>
          </cell>
          <cell r="AO43" t="str">
            <v>A</v>
          </cell>
          <cell r="AP43">
            <v>9</v>
          </cell>
          <cell r="AQ43">
            <v>0</v>
          </cell>
          <cell r="AR43">
            <v>1</v>
          </cell>
          <cell r="AS43">
            <v>1</v>
          </cell>
          <cell r="AT43">
            <v>0</v>
          </cell>
          <cell r="AU43">
            <v>0</v>
          </cell>
        </row>
        <row r="44">
          <cell r="D44" t="str">
            <v>aglagopr</v>
          </cell>
          <cell r="E44">
            <v>205608627</v>
          </cell>
          <cell r="F44" t="str">
            <v>A</v>
          </cell>
          <cell r="G44" t="str">
            <v>GREEN</v>
          </cell>
          <cell r="H44" t="str">
            <v>FULL_TIME</v>
          </cell>
          <cell r="I44">
            <v>900234</v>
          </cell>
          <cell r="J44" t="str">
            <v>Dulsco L.L.C.</v>
          </cell>
          <cell r="K44" t="str">
            <v>PRINCE AGLAGOVI</v>
          </cell>
          <cell r="L44" t="str">
            <v>Warehouse Associate (TEMP)</v>
          </cell>
          <cell r="M44" t="str">
            <v>Warehouse Associate 24M</v>
          </cell>
          <cell r="N44" t="str">
            <v>nnahla</v>
          </cell>
          <cell r="O44">
            <v>1299</v>
          </cell>
          <cell r="P44" t="str">
            <v>AUH1</v>
          </cell>
          <cell r="Q44" t="str">
            <v>ARE</v>
          </cell>
          <cell r="R44" t="str">
            <v>FC159</v>
          </cell>
          <cell r="S44" t="str">
            <v>Day Shift</v>
          </cell>
          <cell r="T44">
            <v>99</v>
          </cell>
          <cell r="U44" t="str">
            <v>MENA_UAE_FC</v>
          </cell>
          <cell r="V44">
            <v>46257.331944444442</v>
          </cell>
          <cell r="W44">
            <v>46257.748611111114</v>
          </cell>
          <cell r="X44">
            <v>46257.333333333336</v>
          </cell>
          <cell r="Y44">
            <v>46257.75</v>
          </cell>
          <cell r="AA44" t="str">
            <v>Scheduled</v>
          </cell>
          <cell r="AB44" t="str">
            <v>Present</v>
          </cell>
          <cell r="AC44" t="str">
            <v>Inbound</v>
          </cell>
          <cell r="AD44" t="str">
            <v>Inbound Stow</v>
          </cell>
          <cell r="AE44" t="str">
            <v>Stow</v>
          </cell>
          <cell r="AF44" t="str">
            <v>Thursday</v>
          </cell>
          <cell r="AG44" t="str">
            <v>Friday</v>
          </cell>
          <cell r="AH44">
            <v>3</v>
          </cell>
          <cell r="AJ44">
            <v>45844</v>
          </cell>
          <cell r="AM44" t="str">
            <v>TEMP</v>
          </cell>
          <cell r="AN44" t="str">
            <v>3P Onsite Worker</v>
          </cell>
          <cell r="AO44" t="str">
            <v>A</v>
          </cell>
          <cell r="AP44">
            <v>9</v>
          </cell>
          <cell r="AQ44">
            <v>0</v>
          </cell>
          <cell r="AR44">
            <v>1</v>
          </cell>
          <cell r="AS44">
            <v>1</v>
          </cell>
          <cell r="AT44">
            <v>0</v>
          </cell>
          <cell r="AU44">
            <v>0</v>
          </cell>
        </row>
        <row r="45">
          <cell r="D45" t="str">
            <v>agnestwu</v>
          </cell>
          <cell r="E45">
            <v>203741314</v>
          </cell>
          <cell r="F45" t="str">
            <v>A</v>
          </cell>
          <cell r="G45" t="str">
            <v>GREEN</v>
          </cell>
          <cell r="H45" t="str">
            <v>FULL_TIME</v>
          </cell>
          <cell r="I45">
            <v>900234</v>
          </cell>
          <cell r="J45" t="str">
            <v>Fastlink Outsourcing</v>
          </cell>
          <cell r="K45" t="str">
            <v>AGNES TWUMWAA</v>
          </cell>
          <cell r="L45" t="str">
            <v>Warehouse Associate (TEMP)</v>
          </cell>
          <cell r="M45" t="str">
            <v>Warehouse Associate 12M</v>
          </cell>
          <cell r="N45" t="str">
            <v>pparsin</v>
          </cell>
          <cell r="O45">
            <v>1299</v>
          </cell>
          <cell r="P45" t="str">
            <v>AUH1</v>
          </cell>
          <cell r="Q45" t="str">
            <v>ARE</v>
          </cell>
          <cell r="R45" t="str">
            <v>FC034</v>
          </cell>
          <cell r="S45" t="str">
            <v>Day Shift</v>
          </cell>
          <cell r="T45">
            <v>99</v>
          </cell>
          <cell r="U45" t="str">
            <v>MENA_UAE_FC</v>
          </cell>
          <cell r="X45">
            <v>46257.333333333336</v>
          </cell>
          <cell r="Y45">
            <v>46257.75</v>
          </cell>
          <cell r="Z45" t="str">
            <v>Rest Day</v>
          </cell>
          <cell r="AA45" t="str">
            <v>Not Scheduled</v>
          </cell>
          <cell r="AB45" t="str">
            <v>Not Present</v>
          </cell>
          <cell r="AC45" t="str">
            <v>Inbound</v>
          </cell>
          <cell r="AD45" t="str">
            <v>Inbound Stow</v>
          </cell>
          <cell r="AE45" t="str">
            <v>Stow</v>
          </cell>
          <cell r="AF45" t="str">
            <v>Saturday</v>
          </cell>
          <cell r="AG45" t="str">
            <v>Sunday</v>
          </cell>
          <cell r="AH45">
            <v>3</v>
          </cell>
          <cell r="AJ45">
            <v>45501</v>
          </cell>
          <cell r="AM45" t="str">
            <v>TEMP</v>
          </cell>
          <cell r="AN45" t="str">
            <v>3P Onsite Worker</v>
          </cell>
          <cell r="AO45" t="str">
            <v>A</v>
          </cell>
          <cell r="AP45">
            <v>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</row>
        <row r="46">
          <cell r="D46" t="str">
            <v>agorgije</v>
          </cell>
          <cell r="E46">
            <v>203521525</v>
          </cell>
          <cell r="F46" t="str">
            <v>A</v>
          </cell>
          <cell r="G46" t="str">
            <v>GREEN</v>
          </cell>
          <cell r="H46" t="str">
            <v>FULL_TIME</v>
          </cell>
          <cell r="I46">
            <v>900234</v>
          </cell>
          <cell r="J46" t="str">
            <v>Fastlink Outsourcing</v>
          </cell>
          <cell r="K46" t="str">
            <v>Jonathan Agorgi</v>
          </cell>
          <cell r="L46" t="str">
            <v>Warehouse Associate (TEMP)</v>
          </cell>
          <cell r="M46" t="str">
            <v>Warehouse Associate 12M</v>
          </cell>
          <cell r="N46" t="str">
            <v>pparsin</v>
          </cell>
          <cell r="O46">
            <v>1299</v>
          </cell>
          <cell r="P46" t="str">
            <v>AUH1</v>
          </cell>
          <cell r="Q46" t="str">
            <v>ARE</v>
          </cell>
          <cell r="R46" t="str">
            <v>FC159</v>
          </cell>
          <cell r="S46" t="str">
            <v>Day Shift</v>
          </cell>
          <cell r="T46">
            <v>99</v>
          </cell>
          <cell r="U46" t="str">
            <v>MENA_UAE_FC</v>
          </cell>
          <cell r="V46">
            <v>46257.332638888889</v>
          </cell>
          <cell r="W46">
            <v>46257.750694444447</v>
          </cell>
          <cell r="X46">
            <v>46257.333333333336</v>
          </cell>
          <cell r="Y46">
            <v>46257.75</v>
          </cell>
          <cell r="AA46" t="str">
            <v>Scheduled</v>
          </cell>
          <cell r="AB46" t="str">
            <v>Present</v>
          </cell>
          <cell r="AC46" t="str">
            <v>Inbound</v>
          </cell>
          <cell r="AD46" t="str">
            <v>Inbound Prep</v>
          </cell>
          <cell r="AE46" t="str">
            <v>Prep</v>
          </cell>
          <cell r="AF46" t="str">
            <v>Thursday</v>
          </cell>
          <cell r="AG46" t="str">
            <v>Friday</v>
          </cell>
          <cell r="AH46">
            <v>36</v>
          </cell>
          <cell r="AJ46">
            <v>45462</v>
          </cell>
          <cell r="AM46" t="str">
            <v>TEMP</v>
          </cell>
          <cell r="AN46" t="str">
            <v>3P Onsite Worker</v>
          </cell>
          <cell r="AO46" t="str">
            <v>A</v>
          </cell>
          <cell r="AP46">
            <v>9</v>
          </cell>
          <cell r="AQ46">
            <v>0</v>
          </cell>
          <cell r="AR46">
            <v>1</v>
          </cell>
          <cell r="AS46">
            <v>1</v>
          </cell>
          <cell r="AT46">
            <v>0</v>
          </cell>
          <cell r="AU46">
            <v>0</v>
          </cell>
        </row>
        <row r="47">
          <cell r="D47" t="str">
            <v>agsamue</v>
          </cell>
          <cell r="E47">
            <v>110804937</v>
          </cell>
          <cell r="F47" t="str">
            <v>A</v>
          </cell>
          <cell r="G47" t="str">
            <v>BLUE</v>
          </cell>
          <cell r="H47" t="str">
            <v>FULL_TIME</v>
          </cell>
          <cell r="I47" t="str">
            <v>P03231</v>
          </cell>
          <cell r="K47" t="str">
            <v>Samuel Agyemang</v>
          </cell>
          <cell r="L47" t="str">
            <v>FC Associate III</v>
          </cell>
          <cell r="M47" t="str">
            <v>Operations Supervisor</v>
          </cell>
          <cell r="N47" t="str">
            <v>lraghava</v>
          </cell>
          <cell r="O47">
            <v>1299</v>
          </cell>
          <cell r="P47" t="str">
            <v>AUH1</v>
          </cell>
          <cell r="Q47" t="str">
            <v>ARE</v>
          </cell>
          <cell r="R47" t="str">
            <v>LK016</v>
          </cell>
          <cell r="S47" t="str">
            <v>Night Shift</v>
          </cell>
          <cell r="T47">
            <v>3</v>
          </cell>
          <cell r="U47" t="str">
            <v>MENA_UAE_FC</v>
          </cell>
          <cell r="V47">
            <v>46257.740277777775</v>
          </cell>
          <cell r="X47">
            <v>46257.756944444445</v>
          </cell>
          <cell r="Y47">
            <v>46258.173611111109</v>
          </cell>
          <cell r="AA47" t="str">
            <v>Scheduled</v>
          </cell>
          <cell r="AB47" t="str">
            <v>Present</v>
          </cell>
          <cell r="AC47" t="str">
            <v>Outbound</v>
          </cell>
          <cell r="AD47" t="str">
            <v>OB Lead/PA</v>
          </cell>
          <cell r="AE47" t="str">
            <v>Pack</v>
          </cell>
          <cell r="AF47" t="str">
            <v>Wednesday</v>
          </cell>
          <cell r="AG47" t="str">
            <v>Thursday</v>
          </cell>
          <cell r="AH47">
            <v>19</v>
          </cell>
          <cell r="AJ47">
            <v>44830</v>
          </cell>
          <cell r="AM47" t="str">
            <v>FC</v>
          </cell>
          <cell r="AN47" t="str">
            <v>Regular Full Time</v>
          </cell>
          <cell r="AO47" t="str">
            <v>A</v>
          </cell>
          <cell r="AP47">
            <v>9</v>
          </cell>
          <cell r="AQ47">
            <v>0</v>
          </cell>
          <cell r="AR47">
            <v>1</v>
          </cell>
          <cell r="AS47">
            <v>1</v>
          </cell>
          <cell r="AT47">
            <v>0</v>
          </cell>
          <cell r="AU47">
            <v>0</v>
          </cell>
        </row>
        <row r="48">
          <cell r="D48" t="str">
            <v>agthanka</v>
          </cell>
          <cell r="E48">
            <v>203964995</v>
          </cell>
          <cell r="F48" t="str">
            <v>A</v>
          </cell>
          <cell r="G48" t="str">
            <v>GREEN</v>
          </cell>
          <cell r="H48" t="str">
            <v>FULL_TIME</v>
          </cell>
          <cell r="I48">
            <v>900234</v>
          </cell>
          <cell r="J48" t="str">
            <v>Adecco</v>
          </cell>
          <cell r="K48" t="str">
            <v>Ashil Thankachan</v>
          </cell>
          <cell r="L48" t="str">
            <v>Warehouse Associate (TEMP)</v>
          </cell>
          <cell r="M48" t="str">
            <v>Warehouse Associate 24M</v>
          </cell>
          <cell r="N48" t="str">
            <v>mnarshad</v>
          </cell>
          <cell r="O48">
            <v>1299</v>
          </cell>
          <cell r="P48" t="str">
            <v>AUH1</v>
          </cell>
          <cell r="Q48" t="str">
            <v>ARE</v>
          </cell>
          <cell r="R48" t="str">
            <v>FC059</v>
          </cell>
          <cell r="S48" t="str">
            <v>Day Shift</v>
          </cell>
          <cell r="T48">
            <v>99</v>
          </cell>
          <cell r="U48" t="str">
            <v>MENA_UAE_FC</v>
          </cell>
          <cell r="X48">
            <v>46257.333333333336</v>
          </cell>
          <cell r="Y48">
            <v>46257.75</v>
          </cell>
          <cell r="Z48" t="str">
            <v>Rest Day</v>
          </cell>
          <cell r="AA48" t="str">
            <v>Not Scheduled</v>
          </cell>
          <cell r="AB48" t="str">
            <v>Not Present</v>
          </cell>
          <cell r="AC48" t="str">
            <v>Outbound</v>
          </cell>
          <cell r="AD48" t="str">
            <v>Picking</v>
          </cell>
          <cell r="AE48" t="str">
            <v>Pick</v>
          </cell>
          <cell r="AF48" t="str">
            <v>Sunday</v>
          </cell>
          <cell r="AG48" t="str">
            <v>Monday</v>
          </cell>
          <cell r="AH48">
            <v>13</v>
          </cell>
          <cell r="AJ48">
            <v>45543</v>
          </cell>
          <cell r="AM48" t="str">
            <v>TEMP</v>
          </cell>
          <cell r="AN48" t="str">
            <v>3P Onsite Worker</v>
          </cell>
          <cell r="AO48" t="str">
            <v>A</v>
          </cell>
          <cell r="AP48">
            <v>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</row>
        <row r="49">
          <cell r="D49" t="str">
            <v>agyarjac</v>
          </cell>
          <cell r="E49">
            <v>206006079</v>
          </cell>
          <cell r="F49" t="str">
            <v>A</v>
          </cell>
          <cell r="G49" t="str">
            <v>GREEN</v>
          </cell>
          <cell r="H49" t="str">
            <v>FULL_TIME</v>
          </cell>
          <cell r="I49">
            <v>900234</v>
          </cell>
          <cell r="J49" t="str">
            <v>Fastlink Outsourcing</v>
          </cell>
          <cell r="K49" t="str">
            <v>JACOBEL AGYARE</v>
          </cell>
          <cell r="L49" t="str">
            <v>Warehouse Associate (TEMP)</v>
          </cell>
          <cell r="M49" t="str">
            <v>Warehouse Associate 12M</v>
          </cell>
          <cell r="N49" t="str">
            <v>aanso</v>
          </cell>
          <cell r="O49">
            <v>1299</v>
          </cell>
          <cell r="P49" t="str">
            <v>AUH1</v>
          </cell>
          <cell r="Q49" t="str">
            <v>ARE</v>
          </cell>
          <cell r="R49" t="str">
            <v>LK014</v>
          </cell>
          <cell r="S49" t="str">
            <v>Night Shift</v>
          </cell>
          <cell r="T49">
            <v>99</v>
          </cell>
          <cell r="U49" t="str">
            <v>MENA_UAE_FC</v>
          </cell>
          <cell r="V49">
            <v>46257.754166666666</v>
          </cell>
          <cell r="X49">
            <v>46257.756944444445</v>
          </cell>
          <cell r="Y49">
            <v>46258.173611111109</v>
          </cell>
          <cell r="AA49" t="str">
            <v>Scheduled</v>
          </cell>
          <cell r="AB49" t="str">
            <v>Present</v>
          </cell>
          <cell r="AC49" t="str">
            <v>Customer returns</v>
          </cell>
          <cell r="AD49" t="str">
            <v>Customer Returns</v>
          </cell>
          <cell r="AE49" t="str">
            <v>Customer returns</v>
          </cell>
          <cell r="AF49" t="str">
            <v>Monday</v>
          </cell>
          <cell r="AG49" t="str">
            <v>Tuesday</v>
          </cell>
          <cell r="AH49">
            <v>22</v>
          </cell>
          <cell r="AJ49">
            <v>45914</v>
          </cell>
          <cell r="AM49" t="str">
            <v>TEMP</v>
          </cell>
          <cell r="AN49" t="str">
            <v>3P Onsite Worker</v>
          </cell>
          <cell r="AO49" t="str">
            <v>A</v>
          </cell>
          <cell r="AP49">
            <v>9</v>
          </cell>
          <cell r="AQ49">
            <v>0</v>
          </cell>
          <cell r="AR49">
            <v>1</v>
          </cell>
          <cell r="AS49">
            <v>1</v>
          </cell>
          <cell r="AT49">
            <v>0</v>
          </cell>
          <cell r="AU49">
            <v>0</v>
          </cell>
        </row>
        <row r="50">
          <cell r="D50" t="str">
            <v>agyemafy</v>
          </cell>
          <cell r="E50">
            <v>203965176</v>
          </cell>
          <cell r="F50" t="str">
            <v>A</v>
          </cell>
          <cell r="G50" t="str">
            <v>GREEN</v>
          </cell>
          <cell r="H50" t="str">
            <v>FULL_TIME</v>
          </cell>
          <cell r="I50">
            <v>900234</v>
          </cell>
          <cell r="J50" t="str">
            <v>Fastlink Outsourcing</v>
          </cell>
          <cell r="K50" t="str">
            <v>Freduah Agyemang</v>
          </cell>
          <cell r="L50" t="str">
            <v>Warehouse Associate (TEMP)</v>
          </cell>
          <cell r="M50" t="str">
            <v>Warehouse Associate 12M</v>
          </cell>
          <cell r="N50" t="str">
            <v>amanmish</v>
          </cell>
          <cell r="O50">
            <v>1299</v>
          </cell>
          <cell r="P50" t="str">
            <v>AUH1</v>
          </cell>
          <cell r="Q50" t="str">
            <v>ARE</v>
          </cell>
          <cell r="R50" t="str">
            <v>FC034</v>
          </cell>
          <cell r="S50" t="str">
            <v>Day Shift</v>
          </cell>
          <cell r="T50">
            <v>99</v>
          </cell>
          <cell r="U50" t="str">
            <v>MENA_UAE_FC</v>
          </cell>
          <cell r="X50">
            <v>46257.333333333336</v>
          </cell>
          <cell r="Y50">
            <v>46257.75</v>
          </cell>
          <cell r="Z50" t="str">
            <v>Rest Day</v>
          </cell>
          <cell r="AA50" t="str">
            <v>Not Scheduled</v>
          </cell>
          <cell r="AB50" t="str">
            <v>Not Present</v>
          </cell>
          <cell r="AC50" t="str">
            <v>Outbound</v>
          </cell>
          <cell r="AD50" t="str">
            <v>Picking</v>
          </cell>
          <cell r="AE50" t="str">
            <v>Pick</v>
          </cell>
          <cell r="AF50" t="str">
            <v>Saturday</v>
          </cell>
          <cell r="AG50" t="str">
            <v>Sunday</v>
          </cell>
          <cell r="AH50">
            <v>13</v>
          </cell>
          <cell r="AJ50">
            <v>45543</v>
          </cell>
          <cell r="AM50" t="str">
            <v>TEMP</v>
          </cell>
          <cell r="AN50" t="str">
            <v>3P Onsite Worker</v>
          </cell>
          <cell r="AO50" t="str">
            <v>A</v>
          </cell>
          <cell r="AP50">
            <v>9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</row>
        <row r="51">
          <cell r="D51" t="str">
            <v>ahiakosa</v>
          </cell>
          <cell r="E51">
            <v>206873654</v>
          </cell>
          <cell r="F51" t="str">
            <v>A</v>
          </cell>
          <cell r="G51" t="str">
            <v>GREEN</v>
          </cell>
          <cell r="H51" t="str">
            <v>FULL_TIME</v>
          </cell>
          <cell r="I51">
            <v>900234</v>
          </cell>
          <cell r="J51" t="str">
            <v>Fastlink Outsourcing</v>
          </cell>
          <cell r="K51" t="str">
            <v>SANDRA AHIAKOR</v>
          </cell>
          <cell r="L51" t="str">
            <v>Warehouse Associate (TEMP)</v>
          </cell>
          <cell r="M51" t="str">
            <v>Warehouse Associate 12M</v>
          </cell>
          <cell r="N51" t="str">
            <v>nnahla</v>
          </cell>
          <cell r="O51">
            <v>1299</v>
          </cell>
          <cell r="P51" t="str">
            <v>AUH1</v>
          </cell>
          <cell r="Q51" t="str">
            <v>ARE</v>
          </cell>
          <cell r="R51" t="str">
            <v>FC059</v>
          </cell>
          <cell r="S51" t="str">
            <v>Day Shift</v>
          </cell>
          <cell r="T51">
            <v>99</v>
          </cell>
          <cell r="U51" t="str">
            <v>MENA_UAE_FC</v>
          </cell>
          <cell r="X51">
            <v>46257.333333333336</v>
          </cell>
          <cell r="Y51">
            <v>46257.75</v>
          </cell>
          <cell r="Z51" t="str">
            <v>Rest Day</v>
          </cell>
          <cell r="AA51" t="str">
            <v>Not Scheduled</v>
          </cell>
          <cell r="AB51" t="str">
            <v>Not Present</v>
          </cell>
          <cell r="AC51" t="str">
            <v>Inbound</v>
          </cell>
          <cell r="AD51" t="str">
            <v>Vendor Receive</v>
          </cell>
          <cell r="AE51" t="str">
            <v>Receive</v>
          </cell>
          <cell r="AF51" t="str">
            <v>Sunday</v>
          </cell>
          <cell r="AG51" t="str">
            <v>Monday</v>
          </cell>
          <cell r="AH51">
            <v>1</v>
          </cell>
          <cell r="AJ51">
            <v>46019</v>
          </cell>
          <cell r="AM51" t="str">
            <v>TEMP</v>
          </cell>
          <cell r="AN51" t="str">
            <v>3P Onsite Worker</v>
          </cell>
          <cell r="AO51" t="str">
            <v>A</v>
          </cell>
          <cell r="AP51">
            <v>9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D52" t="str">
            <v>ahmeumef</v>
          </cell>
          <cell r="E52">
            <v>204299542</v>
          </cell>
          <cell r="F52" t="str">
            <v>A</v>
          </cell>
          <cell r="G52" t="str">
            <v>GREEN</v>
          </cell>
          <cell r="H52" t="str">
            <v>FULL_TIME</v>
          </cell>
          <cell r="I52">
            <v>900234</v>
          </cell>
          <cell r="J52" t="str">
            <v>Quesscorp</v>
          </cell>
          <cell r="K52" t="str">
            <v>Ahmed Tidjan Mefire Nchankou</v>
          </cell>
          <cell r="L52" t="str">
            <v>Warehouse Associate (TEMP)</v>
          </cell>
          <cell r="M52" t="str">
            <v>Warehouse Associate 8W</v>
          </cell>
          <cell r="N52" t="str">
            <v>aanso</v>
          </cell>
          <cell r="O52">
            <v>1299</v>
          </cell>
          <cell r="P52" t="str">
            <v>AUH1</v>
          </cell>
          <cell r="Q52" t="str">
            <v>ARE</v>
          </cell>
          <cell r="R52" t="str">
            <v>LK017</v>
          </cell>
          <cell r="S52" t="str">
            <v>Night Shift</v>
          </cell>
          <cell r="T52">
            <v>99</v>
          </cell>
          <cell r="U52" t="str">
            <v>MENA_UAE_FC</v>
          </cell>
          <cell r="V52">
            <v>46257.756249999999</v>
          </cell>
          <cell r="X52">
            <v>46257.756944444445</v>
          </cell>
          <cell r="Y52">
            <v>46258.173611111109</v>
          </cell>
          <cell r="AA52" t="str">
            <v>Scheduled</v>
          </cell>
          <cell r="AB52" t="str">
            <v>Present</v>
          </cell>
          <cell r="AC52" t="str">
            <v>Customer returns</v>
          </cell>
          <cell r="AD52" t="str">
            <v>Customer Returns</v>
          </cell>
          <cell r="AE52" t="str">
            <v>Customer returns</v>
          </cell>
          <cell r="AF52" t="str">
            <v>Thursday</v>
          </cell>
          <cell r="AG52" t="str">
            <v>Friday</v>
          </cell>
          <cell r="AH52">
            <v>22</v>
          </cell>
          <cell r="AJ52">
            <v>45585</v>
          </cell>
          <cell r="AM52" t="str">
            <v>TEMP</v>
          </cell>
          <cell r="AN52" t="str">
            <v>3P Onsite Worker</v>
          </cell>
          <cell r="AO52" t="str">
            <v>A</v>
          </cell>
          <cell r="AP52">
            <v>9</v>
          </cell>
          <cell r="AQ52">
            <v>0</v>
          </cell>
          <cell r="AR52">
            <v>1</v>
          </cell>
          <cell r="AS52">
            <v>1</v>
          </cell>
          <cell r="AT52">
            <v>0</v>
          </cell>
          <cell r="AU52">
            <v>0</v>
          </cell>
        </row>
        <row r="53">
          <cell r="D53" t="str">
            <v>aijsimoj</v>
          </cell>
          <cell r="E53">
            <v>205845546</v>
          </cell>
          <cell r="F53" t="str">
            <v>A</v>
          </cell>
          <cell r="G53" t="str">
            <v>GREEN</v>
          </cell>
          <cell r="H53" t="str">
            <v>FULL_TIME</v>
          </cell>
          <cell r="I53">
            <v>900234</v>
          </cell>
          <cell r="J53" t="str">
            <v>Dulsco L.L.C.</v>
          </cell>
          <cell r="K53" t="str">
            <v>SIMON AIJUKA</v>
          </cell>
          <cell r="L53" t="str">
            <v>Warehouse Associate (TEMP)</v>
          </cell>
          <cell r="M53" t="str">
            <v>Warehouse Associate 24M</v>
          </cell>
          <cell r="N53" t="str">
            <v>ansammar</v>
          </cell>
          <cell r="O53">
            <v>1299</v>
          </cell>
          <cell r="P53" t="str">
            <v>AUH1</v>
          </cell>
          <cell r="Q53" t="str">
            <v>ARE</v>
          </cell>
          <cell r="R53" t="str">
            <v>FC134</v>
          </cell>
          <cell r="S53" t="str">
            <v>Day Shift</v>
          </cell>
          <cell r="T53">
            <v>99</v>
          </cell>
          <cell r="U53" t="str">
            <v>MENA_UAE_FC</v>
          </cell>
          <cell r="V53">
            <v>46257.329861111109</v>
          </cell>
          <cell r="W53">
            <v>46257.74722222222</v>
          </cell>
          <cell r="X53">
            <v>46257.333333333336</v>
          </cell>
          <cell r="Y53">
            <v>46257.75</v>
          </cell>
          <cell r="AA53" t="str">
            <v>Scheduled</v>
          </cell>
          <cell r="AB53" t="str">
            <v>Present</v>
          </cell>
          <cell r="AC53" t="str">
            <v>Outbound</v>
          </cell>
          <cell r="AD53" t="str">
            <v>Picking</v>
          </cell>
          <cell r="AE53" t="str">
            <v>Pick</v>
          </cell>
          <cell r="AF53" t="str">
            <v>Wednesday</v>
          </cell>
          <cell r="AG53" t="str">
            <v>Thursday</v>
          </cell>
          <cell r="AH53">
            <v>13</v>
          </cell>
          <cell r="AJ53">
            <v>45893</v>
          </cell>
          <cell r="AM53" t="str">
            <v>TEMP</v>
          </cell>
          <cell r="AN53" t="str">
            <v>3P Onsite Worker</v>
          </cell>
          <cell r="AO53" t="str">
            <v>A</v>
          </cell>
          <cell r="AP53">
            <v>9</v>
          </cell>
          <cell r="AQ53">
            <v>0</v>
          </cell>
          <cell r="AR53">
            <v>1</v>
          </cell>
          <cell r="AS53">
            <v>1</v>
          </cell>
          <cell r="AT53">
            <v>0</v>
          </cell>
          <cell r="AU53">
            <v>0</v>
          </cell>
        </row>
        <row r="54">
          <cell r="D54" t="str">
            <v>ainisaac</v>
          </cell>
          <cell r="E54">
            <v>203816298</v>
          </cell>
          <cell r="F54" t="str">
            <v>A</v>
          </cell>
          <cell r="G54" t="str">
            <v>GREEN</v>
          </cell>
          <cell r="H54" t="str">
            <v>FULL_TIME</v>
          </cell>
          <cell r="I54">
            <v>900234</v>
          </cell>
          <cell r="J54" t="str">
            <v>Dulsco L.L.C.</v>
          </cell>
          <cell r="K54" t="str">
            <v>Isaac Ainebyona</v>
          </cell>
          <cell r="L54" t="str">
            <v>Warehouse Associate (TEMP)</v>
          </cell>
          <cell r="M54" t="str">
            <v>Warehouse Associate 24M</v>
          </cell>
          <cell r="N54" t="str">
            <v>nnahla</v>
          </cell>
          <cell r="O54">
            <v>1299</v>
          </cell>
          <cell r="P54" t="str">
            <v>AUH1</v>
          </cell>
          <cell r="Q54" t="str">
            <v>ARE</v>
          </cell>
          <cell r="R54" t="str">
            <v>FC059</v>
          </cell>
          <cell r="S54" t="str">
            <v>Day Shift</v>
          </cell>
          <cell r="T54">
            <v>99</v>
          </cell>
          <cell r="U54" t="str">
            <v>MENA_UAE_FC</v>
          </cell>
          <cell r="X54">
            <v>46257.333333333336</v>
          </cell>
          <cell r="Y54">
            <v>46257.75</v>
          </cell>
          <cell r="Z54" t="str">
            <v>Rest Day</v>
          </cell>
          <cell r="AA54" t="str">
            <v>Not Scheduled</v>
          </cell>
          <cell r="AB54" t="str">
            <v>Not Present</v>
          </cell>
          <cell r="AC54" t="str">
            <v>Inbound</v>
          </cell>
          <cell r="AD54" t="str">
            <v>Inbound Stow</v>
          </cell>
          <cell r="AE54" t="str">
            <v>Stow</v>
          </cell>
          <cell r="AF54" t="str">
            <v>Sunday</v>
          </cell>
          <cell r="AG54" t="str">
            <v>Monday</v>
          </cell>
          <cell r="AH54">
            <v>3</v>
          </cell>
          <cell r="AJ54">
            <v>45825</v>
          </cell>
          <cell r="AM54" t="str">
            <v>TEMP</v>
          </cell>
          <cell r="AN54" t="str">
            <v>3P Onsite Worker</v>
          </cell>
          <cell r="AO54" t="str">
            <v>A</v>
          </cell>
          <cell r="AP54">
            <v>9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</row>
        <row r="55">
          <cell r="D55" t="str">
            <v>aivamule</v>
          </cell>
          <cell r="E55">
            <v>203800481</v>
          </cell>
          <cell r="F55" t="str">
            <v>A</v>
          </cell>
          <cell r="G55" t="str">
            <v>GREEN</v>
          </cell>
          <cell r="H55" t="str">
            <v>FULL_TIME</v>
          </cell>
          <cell r="I55">
            <v>900234</v>
          </cell>
          <cell r="J55" t="str">
            <v>Dulsco L.L.C.</v>
          </cell>
          <cell r="K55" t="str">
            <v>IVAN MULEMA</v>
          </cell>
          <cell r="L55" t="str">
            <v>Warehouse Associate (TEMP)</v>
          </cell>
          <cell r="M55" t="str">
            <v>Warehouse Associate 24M</v>
          </cell>
          <cell r="N55" t="str">
            <v>nnahla</v>
          </cell>
          <cell r="O55">
            <v>1299</v>
          </cell>
          <cell r="P55" t="str">
            <v>AUH1</v>
          </cell>
          <cell r="Q55" t="str">
            <v>ARE</v>
          </cell>
          <cell r="R55" t="str">
            <v>FC059</v>
          </cell>
          <cell r="S55" t="str">
            <v>Day Shift</v>
          </cell>
          <cell r="T55">
            <v>99</v>
          </cell>
          <cell r="U55" t="str">
            <v>MENA_UAE_FC</v>
          </cell>
          <cell r="X55">
            <v>46257.333333333336</v>
          </cell>
          <cell r="Y55">
            <v>46257.75</v>
          </cell>
          <cell r="Z55" t="str">
            <v>Rest Day</v>
          </cell>
          <cell r="AA55" t="str">
            <v>Not Scheduled</v>
          </cell>
          <cell r="AB55" t="str">
            <v>Not Present</v>
          </cell>
          <cell r="AC55" t="str">
            <v>Inbound</v>
          </cell>
          <cell r="AD55" t="str">
            <v>Inbound Stow</v>
          </cell>
          <cell r="AE55" t="str">
            <v>Stow</v>
          </cell>
          <cell r="AF55" t="str">
            <v>Sunday</v>
          </cell>
          <cell r="AG55" t="str">
            <v>Monday</v>
          </cell>
          <cell r="AH55">
            <v>3</v>
          </cell>
          <cell r="AJ55">
            <v>45515</v>
          </cell>
          <cell r="AM55" t="str">
            <v>TEMP</v>
          </cell>
          <cell r="AN55" t="str">
            <v>3P Onsite Worker</v>
          </cell>
          <cell r="AO55" t="str">
            <v>A</v>
          </cell>
          <cell r="AP55">
            <v>9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</row>
        <row r="56">
          <cell r="D56" t="str">
            <v>ajmalaa</v>
          </cell>
          <cell r="E56">
            <v>111231851</v>
          </cell>
          <cell r="F56" t="str">
            <v>A</v>
          </cell>
          <cell r="G56" t="str">
            <v>BLUE</v>
          </cell>
          <cell r="H56" t="str">
            <v>FULL_TIME</v>
          </cell>
          <cell r="I56" t="str">
            <v>P03251</v>
          </cell>
          <cell r="K56" t="str">
            <v>ABDUL QADIR MUHAMMAD AJMAL</v>
          </cell>
          <cell r="L56" t="str">
            <v>FC Associate I</v>
          </cell>
          <cell r="M56" t="str">
            <v>FC Associate I</v>
          </cell>
          <cell r="N56" t="str">
            <v>pparsin</v>
          </cell>
          <cell r="O56">
            <v>1299</v>
          </cell>
          <cell r="P56" t="str">
            <v>AUH1</v>
          </cell>
          <cell r="Q56" t="str">
            <v>ARE</v>
          </cell>
          <cell r="R56" t="str">
            <v>FC159</v>
          </cell>
          <cell r="S56" t="str">
            <v>Day Shift</v>
          </cell>
          <cell r="T56">
            <v>1</v>
          </cell>
          <cell r="U56" t="str">
            <v>MENA_UAE_FC</v>
          </cell>
          <cell r="V56">
            <v>46257.329861111109</v>
          </cell>
          <cell r="W56">
            <v>46257.752083333333</v>
          </cell>
          <cell r="X56">
            <v>46257.333333333336</v>
          </cell>
          <cell r="Y56">
            <v>46257.75</v>
          </cell>
          <cell r="AA56" t="str">
            <v>Scheduled</v>
          </cell>
          <cell r="AB56" t="str">
            <v>Present</v>
          </cell>
          <cell r="AC56" t="str">
            <v>Inbound</v>
          </cell>
          <cell r="AD56" t="str">
            <v>IB Problem Solve</v>
          </cell>
          <cell r="AE56" t="str">
            <v>Receive</v>
          </cell>
          <cell r="AF56" t="str">
            <v>Thursday</v>
          </cell>
          <cell r="AG56" t="str">
            <v>Friday</v>
          </cell>
          <cell r="AH56">
            <v>6</v>
          </cell>
          <cell r="AJ56">
            <v>44781</v>
          </cell>
          <cell r="AM56" t="str">
            <v>FC</v>
          </cell>
          <cell r="AN56" t="str">
            <v>Regular Full Time</v>
          </cell>
          <cell r="AO56" t="str">
            <v>A</v>
          </cell>
          <cell r="AP56">
            <v>9</v>
          </cell>
          <cell r="AQ56">
            <v>0</v>
          </cell>
          <cell r="AR56">
            <v>1</v>
          </cell>
          <cell r="AS56">
            <v>1</v>
          </cell>
          <cell r="AT56">
            <v>0</v>
          </cell>
          <cell r="AU56">
            <v>0</v>
          </cell>
        </row>
        <row r="57">
          <cell r="D57" t="str">
            <v>akaminno</v>
          </cell>
          <cell r="E57">
            <v>206850964</v>
          </cell>
          <cell r="F57" t="str">
            <v>A</v>
          </cell>
          <cell r="G57" t="str">
            <v>GREEN</v>
          </cell>
          <cell r="H57" t="str">
            <v>FULL_TIME</v>
          </cell>
          <cell r="I57">
            <v>900234</v>
          </cell>
          <cell r="J57" t="str">
            <v>Dulsco L.L.C.</v>
          </cell>
          <cell r="K57" t="str">
            <v>INNOCENT AKAMPA</v>
          </cell>
          <cell r="L57" t="str">
            <v>Warehouse Associate (TEMP)</v>
          </cell>
          <cell r="M57" t="str">
            <v>Warehouse Associate 8W</v>
          </cell>
          <cell r="N57" t="str">
            <v>mnarshad</v>
          </cell>
          <cell r="O57">
            <v>1299</v>
          </cell>
          <cell r="P57" t="str">
            <v>AUH1</v>
          </cell>
          <cell r="Q57" t="str">
            <v>ARE</v>
          </cell>
          <cell r="R57" t="str">
            <v>LK017</v>
          </cell>
          <cell r="S57" t="str">
            <v>Night Shift</v>
          </cell>
          <cell r="T57">
            <v>99</v>
          </cell>
          <cell r="U57" t="str">
            <v>MENA_UAE_FC</v>
          </cell>
          <cell r="V57">
            <v>46257.755555555559</v>
          </cell>
          <cell r="X57">
            <v>46257.756944444445</v>
          </cell>
          <cell r="Y57">
            <v>46258.173611111109</v>
          </cell>
          <cell r="AA57" t="str">
            <v>Scheduled</v>
          </cell>
          <cell r="AB57" t="str">
            <v>Present</v>
          </cell>
          <cell r="AC57" t="str">
            <v>Outbound</v>
          </cell>
          <cell r="AD57" t="str">
            <v>Picking</v>
          </cell>
          <cell r="AE57" t="str">
            <v>Pick</v>
          </cell>
          <cell r="AF57" t="str">
            <v>Thursday</v>
          </cell>
          <cell r="AG57" t="str">
            <v>Friday</v>
          </cell>
          <cell r="AH57">
            <v>13</v>
          </cell>
          <cell r="AJ57">
            <v>46012</v>
          </cell>
          <cell r="AM57" t="str">
            <v>TEMP</v>
          </cell>
          <cell r="AN57" t="str">
            <v>3P Onsite Worker</v>
          </cell>
          <cell r="AO57" t="str">
            <v>A</v>
          </cell>
          <cell r="AP57">
            <v>9</v>
          </cell>
          <cell r="AQ57">
            <v>0</v>
          </cell>
          <cell r="AR57">
            <v>1</v>
          </cell>
          <cell r="AS57">
            <v>1</v>
          </cell>
          <cell r="AT57">
            <v>0</v>
          </cell>
          <cell r="AU57">
            <v>0</v>
          </cell>
        </row>
        <row r="58">
          <cell r="D58" t="str">
            <v>akanbria</v>
          </cell>
          <cell r="E58">
            <v>206850851</v>
          </cell>
          <cell r="F58" t="str">
            <v>A</v>
          </cell>
          <cell r="G58" t="str">
            <v>GREEN</v>
          </cell>
          <cell r="H58" t="str">
            <v>FULL_TIME</v>
          </cell>
          <cell r="I58">
            <v>900234</v>
          </cell>
          <cell r="J58" t="str">
            <v>Dulsco L.L.C.</v>
          </cell>
          <cell r="K58" t="str">
            <v>AKANKWATSA BRIAN</v>
          </cell>
          <cell r="L58" t="str">
            <v>Warehouse Associate (TEMP)</v>
          </cell>
          <cell r="M58" t="str">
            <v>Warehouse Associate 8W</v>
          </cell>
          <cell r="N58" t="str">
            <v>lraghava</v>
          </cell>
          <cell r="O58">
            <v>1299</v>
          </cell>
          <cell r="P58" t="str">
            <v>AUH1</v>
          </cell>
          <cell r="Q58" t="str">
            <v>ARE</v>
          </cell>
          <cell r="R58" t="str">
            <v>FC109</v>
          </cell>
          <cell r="S58" t="str">
            <v>Day Shift</v>
          </cell>
          <cell r="T58">
            <v>99</v>
          </cell>
          <cell r="U58" t="str">
            <v>MENA_UAE_FC</v>
          </cell>
          <cell r="V58">
            <v>46257.331944444442</v>
          </cell>
          <cell r="W58">
            <v>46257.747916666667</v>
          </cell>
          <cell r="X58">
            <v>46257.333333333336</v>
          </cell>
          <cell r="Y58">
            <v>46257.75</v>
          </cell>
          <cell r="AA58" t="str">
            <v>Scheduled</v>
          </cell>
          <cell r="AB58" t="str">
            <v>Present</v>
          </cell>
          <cell r="AC58" t="str">
            <v>Outbound</v>
          </cell>
          <cell r="AD58" t="str">
            <v>Picking</v>
          </cell>
          <cell r="AE58" t="str">
            <v>Pick</v>
          </cell>
          <cell r="AF58" t="str">
            <v>Tuesday</v>
          </cell>
          <cell r="AG58" t="str">
            <v>Wednesday</v>
          </cell>
          <cell r="AH58">
            <v>13</v>
          </cell>
          <cell r="AJ58">
            <v>46012</v>
          </cell>
          <cell r="AM58" t="str">
            <v>TEMP</v>
          </cell>
          <cell r="AN58" t="str">
            <v>3P Onsite Worker</v>
          </cell>
          <cell r="AO58" t="str">
            <v>A</v>
          </cell>
          <cell r="AP58">
            <v>9</v>
          </cell>
          <cell r="AQ58">
            <v>0</v>
          </cell>
          <cell r="AR58">
            <v>1</v>
          </cell>
          <cell r="AS58">
            <v>1</v>
          </cell>
          <cell r="AT58">
            <v>0</v>
          </cell>
          <cell r="AU58">
            <v>0</v>
          </cell>
        </row>
        <row r="59">
          <cell r="D59" t="str">
            <v>akonelso</v>
          </cell>
          <cell r="E59">
            <v>203801393</v>
          </cell>
          <cell r="F59" t="str">
            <v>A</v>
          </cell>
          <cell r="G59" t="str">
            <v>GREEN</v>
          </cell>
          <cell r="H59" t="str">
            <v>FULL_TIME</v>
          </cell>
          <cell r="I59">
            <v>900234</v>
          </cell>
          <cell r="J59" t="str">
            <v>Fastlink Outsourcing</v>
          </cell>
          <cell r="K59" t="str">
            <v>NELSON NDIM AKO</v>
          </cell>
          <cell r="L59" t="str">
            <v>Warehouse Associate (TEMP)</v>
          </cell>
          <cell r="M59" t="str">
            <v>Warehouse Associate 12M</v>
          </cell>
          <cell r="N59" t="str">
            <v>bavameer</v>
          </cell>
          <cell r="O59">
            <v>1299</v>
          </cell>
          <cell r="P59" t="str">
            <v>AUH1</v>
          </cell>
          <cell r="Q59" t="str">
            <v>ARE</v>
          </cell>
          <cell r="R59" t="str">
            <v>FC084</v>
          </cell>
          <cell r="S59" t="str">
            <v>Day Shift</v>
          </cell>
          <cell r="T59">
            <v>99</v>
          </cell>
          <cell r="U59" t="str">
            <v>MENA_UAE_FC</v>
          </cell>
          <cell r="V59">
            <v>46257.332638888889</v>
          </cell>
          <cell r="W59">
            <v>46257.750694444447</v>
          </cell>
          <cell r="X59">
            <v>46257.333333333336</v>
          </cell>
          <cell r="Y59">
            <v>46257.75</v>
          </cell>
          <cell r="AA59" t="str">
            <v>Scheduled</v>
          </cell>
          <cell r="AB59" t="str">
            <v>Present</v>
          </cell>
          <cell r="AC59" t="str">
            <v>Customer returns</v>
          </cell>
          <cell r="AD59" t="str">
            <v>Customer Returns</v>
          </cell>
          <cell r="AE59" t="str">
            <v>Customer returns</v>
          </cell>
          <cell r="AF59" t="str">
            <v>Monday</v>
          </cell>
          <cell r="AG59" t="str">
            <v>Tuesday</v>
          </cell>
          <cell r="AH59">
            <v>22</v>
          </cell>
          <cell r="AJ59">
            <v>45516</v>
          </cell>
          <cell r="AM59" t="str">
            <v>TEMP</v>
          </cell>
          <cell r="AN59" t="str">
            <v>3P Onsite Worker</v>
          </cell>
          <cell r="AO59" t="str">
            <v>A</v>
          </cell>
          <cell r="AP59">
            <v>9</v>
          </cell>
          <cell r="AQ59">
            <v>0</v>
          </cell>
          <cell r="AR59">
            <v>1</v>
          </cell>
          <cell r="AS59">
            <v>1</v>
          </cell>
          <cell r="AT59">
            <v>0</v>
          </cell>
          <cell r="AU59">
            <v>0</v>
          </cell>
        </row>
        <row r="60">
          <cell r="D60" t="str">
            <v>alamavis</v>
          </cell>
          <cell r="E60">
            <v>204252239</v>
          </cell>
          <cell r="F60" t="str">
            <v>A</v>
          </cell>
          <cell r="G60" t="str">
            <v>GREEN</v>
          </cell>
          <cell r="H60" t="str">
            <v>FULL_TIME</v>
          </cell>
          <cell r="I60">
            <v>900234</v>
          </cell>
          <cell r="J60" t="str">
            <v>Quesscorp</v>
          </cell>
          <cell r="K60" t="str">
            <v>Mavis Akua Alabila</v>
          </cell>
          <cell r="L60" t="str">
            <v>Warehouse Associate (TEMP)</v>
          </cell>
          <cell r="M60" t="str">
            <v>Warehouse Associate 24M</v>
          </cell>
          <cell r="N60" t="str">
            <v>abbaszoo</v>
          </cell>
          <cell r="O60">
            <v>1299</v>
          </cell>
          <cell r="P60" t="str">
            <v>AUH1</v>
          </cell>
          <cell r="Q60" t="str">
            <v>ARE</v>
          </cell>
          <cell r="R60" t="str">
            <v>FC134</v>
          </cell>
          <cell r="S60" t="str">
            <v>Day Shift</v>
          </cell>
          <cell r="T60">
            <v>99</v>
          </cell>
          <cell r="U60" t="str">
            <v>MENA_UAE_FC</v>
          </cell>
          <cell r="V60">
            <v>46257.331250000003</v>
          </cell>
          <cell r="W60">
            <v>46257.751388888886</v>
          </cell>
          <cell r="X60">
            <v>46257.333333333336</v>
          </cell>
          <cell r="Y60">
            <v>46257.75</v>
          </cell>
          <cell r="AA60" t="str">
            <v>Scheduled</v>
          </cell>
          <cell r="AB60" t="str">
            <v>Present</v>
          </cell>
          <cell r="AC60" t="str">
            <v>Inbound</v>
          </cell>
          <cell r="AD60" t="str">
            <v>Inbound Stow</v>
          </cell>
          <cell r="AE60" t="str">
            <v>Stow</v>
          </cell>
          <cell r="AF60" t="str">
            <v>Wednesday</v>
          </cell>
          <cell r="AG60" t="str">
            <v>Thursday</v>
          </cell>
          <cell r="AH60">
            <v>3</v>
          </cell>
          <cell r="AJ60">
            <v>45578</v>
          </cell>
          <cell r="AM60" t="str">
            <v>TEMP</v>
          </cell>
          <cell r="AN60" t="str">
            <v>3P Onsite Worker</v>
          </cell>
          <cell r="AO60" t="str">
            <v>A</v>
          </cell>
          <cell r="AP60">
            <v>9</v>
          </cell>
          <cell r="AQ60">
            <v>0</v>
          </cell>
          <cell r="AR60">
            <v>1</v>
          </cell>
          <cell r="AS60">
            <v>1</v>
          </cell>
          <cell r="AT60">
            <v>0</v>
          </cell>
          <cell r="AU60">
            <v>0</v>
          </cell>
        </row>
        <row r="61">
          <cell r="D61" t="str">
            <v>alberokr</v>
          </cell>
          <cell r="E61">
            <v>204883081</v>
          </cell>
          <cell r="F61" t="str">
            <v>A</v>
          </cell>
          <cell r="G61" t="str">
            <v>GREEN</v>
          </cell>
          <cell r="H61" t="str">
            <v>FULL_TIME</v>
          </cell>
          <cell r="I61">
            <v>900234</v>
          </cell>
          <cell r="J61" t="str">
            <v>Quesscorp</v>
          </cell>
          <cell r="K61" t="str">
            <v>Alberta Yuwaah Okrah</v>
          </cell>
          <cell r="L61" t="str">
            <v>Warehouse Associate (TEMP)</v>
          </cell>
          <cell r="M61" t="str">
            <v>Warehouse Associate 24M</v>
          </cell>
          <cell r="N61" t="str">
            <v>abbaszoo</v>
          </cell>
          <cell r="O61">
            <v>1299</v>
          </cell>
          <cell r="P61" t="str">
            <v>AUH1</v>
          </cell>
          <cell r="Q61" t="str">
            <v>ARE</v>
          </cell>
          <cell r="R61" t="str">
            <v>FC109</v>
          </cell>
          <cell r="S61" t="str">
            <v>Day Shift</v>
          </cell>
          <cell r="T61">
            <v>99</v>
          </cell>
          <cell r="U61" t="str">
            <v>MENA_UAE_FC</v>
          </cell>
          <cell r="V61">
            <v>46257.330555555556</v>
          </cell>
          <cell r="W61">
            <v>46257.751388888886</v>
          </cell>
          <cell r="X61">
            <v>46257.333333333336</v>
          </cell>
          <cell r="Y61">
            <v>46257.75</v>
          </cell>
          <cell r="AA61" t="str">
            <v>Scheduled</v>
          </cell>
          <cell r="AB61" t="str">
            <v>Present</v>
          </cell>
          <cell r="AC61" t="str">
            <v>Inbound</v>
          </cell>
          <cell r="AD61" t="str">
            <v>Vendor Receive</v>
          </cell>
          <cell r="AE61" t="str">
            <v>Receive</v>
          </cell>
          <cell r="AF61" t="str">
            <v>Tuesday</v>
          </cell>
          <cell r="AG61" t="str">
            <v>Wednesday</v>
          </cell>
          <cell r="AH61">
            <v>1</v>
          </cell>
          <cell r="AJ61">
            <v>45690</v>
          </cell>
          <cell r="AM61" t="str">
            <v>TEMP</v>
          </cell>
          <cell r="AN61" t="str">
            <v>3P Onsite Worker</v>
          </cell>
          <cell r="AO61" t="str">
            <v>A</v>
          </cell>
          <cell r="AP61">
            <v>9</v>
          </cell>
          <cell r="AQ61">
            <v>0</v>
          </cell>
          <cell r="AR61">
            <v>1</v>
          </cell>
          <cell r="AS61">
            <v>1</v>
          </cell>
          <cell r="AT61">
            <v>0</v>
          </cell>
          <cell r="AU61">
            <v>0</v>
          </cell>
        </row>
        <row r="62">
          <cell r="D62" t="str">
            <v>alectilo</v>
          </cell>
          <cell r="E62">
            <v>204299562</v>
          </cell>
          <cell r="F62" t="str">
            <v>A</v>
          </cell>
          <cell r="G62" t="str">
            <v>GREEN</v>
          </cell>
          <cell r="H62" t="str">
            <v>FULL_TIME</v>
          </cell>
          <cell r="I62">
            <v>900234</v>
          </cell>
          <cell r="J62" t="str">
            <v>Quesscorp</v>
          </cell>
          <cell r="K62" t="str">
            <v>Alec Tilowakuti</v>
          </cell>
          <cell r="L62" t="str">
            <v>Warehouse Associate (TEMP)</v>
          </cell>
          <cell r="M62" t="str">
            <v>Warehouse Associate 24M</v>
          </cell>
          <cell r="N62" t="str">
            <v>aanso</v>
          </cell>
          <cell r="O62">
            <v>1299</v>
          </cell>
          <cell r="P62" t="str">
            <v>AUH1</v>
          </cell>
          <cell r="Q62" t="str">
            <v>ARE</v>
          </cell>
          <cell r="R62" t="str">
            <v>LK014</v>
          </cell>
          <cell r="S62" t="str">
            <v>Night Shift</v>
          </cell>
          <cell r="T62">
            <v>99</v>
          </cell>
          <cell r="U62" t="str">
            <v>MENA_UAE_FC</v>
          </cell>
          <cell r="V62">
            <v>46257.754861111112</v>
          </cell>
          <cell r="X62">
            <v>46257.756944444445</v>
          </cell>
          <cell r="Y62">
            <v>46258.173611111109</v>
          </cell>
          <cell r="AA62" t="str">
            <v>Scheduled</v>
          </cell>
          <cell r="AB62" t="str">
            <v>Present</v>
          </cell>
          <cell r="AC62" t="str">
            <v>Customer returns</v>
          </cell>
          <cell r="AD62" t="str">
            <v>Customer Returns</v>
          </cell>
          <cell r="AE62" t="str">
            <v>Customer returns</v>
          </cell>
          <cell r="AF62" t="str">
            <v>Monday</v>
          </cell>
          <cell r="AG62" t="str">
            <v>Tuesday</v>
          </cell>
          <cell r="AH62">
            <v>22</v>
          </cell>
          <cell r="AJ62">
            <v>45585</v>
          </cell>
          <cell r="AM62" t="str">
            <v>TEMP</v>
          </cell>
          <cell r="AN62" t="str">
            <v>3P Onsite Worker</v>
          </cell>
          <cell r="AO62" t="str">
            <v>A</v>
          </cell>
          <cell r="AP62">
            <v>9</v>
          </cell>
          <cell r="AQ62">
            <v>0</v>
          </cell>
          <cell r="AR62">
            <v>1</v>
          </cell>
          <cell r="AS62">
            <v>1</v>
          </cell>
          <cell r="AT62">
            <v>0</v>
          </cell>
          <cell r="AU62">
            <v>0</v>
          </cell>
        </row>
        <row r="63">
          <cell r="D63" t="str">
            <v>alemuyom</v>
          </cell>
          <cell r="E63">
            <v>206949071</v>
          </cell>
          <cell r="F63" t="str">
            <v>A</v>
          </cell>
          <cell r="G63" t="str">
            <v>GREEN</v>
          </cell>
          <cell r="H63" t="str">
            <v>FULL_TIME</v>
          </cell>
          <cell r="I63">
            <v>900234</v>
          </cell>
          <cell r="J63" t="str">
            <v>Dulsco L.L.C.</v>
          </cell>
          <cell r="K63" t="str">
            <v>ALEX MUYOMBA</v>
          </cell>
          <cell r="L63" t="str">
            <v>Warehouse Associate (TEMP)</v>
          </cell>
          <cell r="M63" t="str">
            <v>Warehouse Associate 24M</v>
          </cell>
          <cell r="N63" t="str">
            <v>aanso</v>
          </cell>
          <cell r="O63">
            <v>1299</v>
          </cell>
          <cell r="P63" t="str">
            <v>AUH1</v>
          </cell>
          <cell r="Q63" t="str">
            <v>ARE</v>
          </cell>
          <cell r="R63" t="str">
            <v>LK017</v>
          </cell>
          <cell r="S63" t="str">
            <v>Night Shift</v>
          </cell>
          <cell r="T63">
            <v>99</v>
          </cell>
          <cell r="U63" t="str">
            <v>MENA_UAE_FC</v>
          </cell>
          <cell r="V63">
            <v>46257.754861111112</v>
          </cell>
          <cell r="X63">
            <v>46257.756944444445</v>
          </cell>
          <cell r="Y63">
            <v>46258.173611111109</v>
          </cell>
          <cell r="AA63" t="str">
            <v>Scheduled</v>
          </cell>
          <cell r="AB63" t="str">
            <v>Present</v>
          </cell>
          <cell r="AC63" t="str">
            <v>Customer returns</v>
          </cell>
          <cell r="AD63" t="str">
            <v>Customer Returns</v>
          </cell>
          <cell r="AE63" t="str">
            <v>Customer returns</v>
          </cell>
          <cell r="AF63" t="str">
            <v>Thursday</v>
          </cell>
          <cell r="AG63" t="str">
            <v>Friday</v>
          </cell>
          <cell r="AH63">
            <v>22</v>
          </cell>
          <cell r="AJ63">
            <v>46047</v>
          </cell>
          <cell r="AM63" t="str">
            <v>TEMP</v>
          </cell>
          <cell r="AN63" t="str">
            <v>3P Onsite Worker</v>
          </cell>
          <cell r="AO63" t="str">
            <v>A</v>
          </cell>
          <cell r="AP63">
            <v>9</v>
          </cell>
          <cell r="AQ63">
            <v>0</v>
          </cell>
          <cell r="AR63">
            <v>1</v>
          </cell>
          <cell r="AS63">
            <v>1</v>
          </cell>
          <cell r="AT63">
            <v>0</v>
          </cell>
          <cell r="AU63">
            <v>0</v>
          </cell>
        </row>
        <row r="64">
          <cell r="D64" t="str">
            <v>alfazan</v>
          </cell>
          <cell r="E64">
            <v>105485458</v>
          </cell>
          <cell r="F64" t="str">
            <v>A</v>
          </cell>
          <cell r="G64" t="str">
            <v>BLUE</v>
          </cell>
          <cell r="H64" t="str">
            <v>FULL_TIME</v>
          </cell>
          <cell r="I64" t="str">
            <v>P03231</v>
          </cell>
          <cell r="K64" t="str">
            <v>Faizan Ali</v>
          </cell>
          <cell r="L64" t="str">
            <v>FC Associate III</v>
          </cell>
          <cell r="M64" t="str">
            <v>Operations Supervisor</v>
          </cell>
          <cell r="N64" t="str">
            <v>ansammar</v>
          </cell>
          <cell r="O64">
            <v>1299</v>
          </cell>
          <cell r="P64" t="str">
            <v>AUH1</v>
          </cell>
          <cell r="Q64" t="str">
            <v>ARE</v>
          </cell>
          <cell r="R64" t="str">
            <v>FC159</v>
          </cell>
          <cell r="S64" t="str">
            <v>Day Shift</v>
          </cell>
          <cell r="T64">
            <v>3</v>
          </cell>
          <cell r="U64" t="str">
            <v>MENA_UAE_FC</v>
          </cell>
          <cell r="V64">
            <v>46257.322916666664</v>
          </cell>
          <cell r="W64">
            <v>46257.756944444445</v>
          </cell>
          <cell r="X64">
            <v>46257.333333333336</v>
          </cell>
          <cell r="Y64">
            <v>46257.75</v>
          </cell>
          <cell r="AA64" t="str">
            <v>Scheduled</v>
          </cell>
          <cell r="AB64" t="str">
            <v>Present</v>
          </cell>
          <cell r="AC64" t="str">
            <v>Outbound</v>
          </cell>
          <cell r="AD64" t="str">
            <v>OB Lead/PA</v>
          </cell>
          <cell r="AE64" t="str">
            <v>Pack</v>
          </cell>
          <cell r="AF64" t="str">
            <v>Thursday</v>
          </cell>
          <cell r="AG64" t="str">
            <v>Friday</v>
          </cell>
          <cell r="AH64">
            <v>19</v>
          </cell>
          <cell r="AJ64">
            <v>44727</v>
          </cell>
          <cell r="AM64" t="str">
            <v>FC</v>
          </cell>
          <cell r="AN64" t="str">
            <v>Regular Full Time</v>
          </cell>
          <cell r="AO64" t="str">
            <v>A</v>
          </cell>
          <cell r="AP64">
            <v>9</v>
          </cell>
          <cell r="AQ64">
            <v>0</v>
          </cell>
          <cell r="AR64">
            <v>1</v>
          </cell>
          <cell r="AS64">
            <v>1</v>
          </cell>
          <cell r="AT64">
            <v>0</v>
          </cell>
          <cell r="AU64">
            <v>0</v>
          </cell>
        </row>
        <row r="65">
          <cell r="D65" t="str">
            <v>alhajban</v>
          </cell>
          <cell r="E65">
            <v>110330601</v>
          </cell>
          <cell r="F65" t="str">
            <v>A</v>
          </cell>
          <cell r="G65" t="str">
            <v>BLUE</v>
          </cell>
          <cell r="H65" t="str">
            <v>FULL_TIME</v>
          </cell>
          <cell r="I65" t="str">
            <v>P03251</v>
          </cell>
          <cell r="K65" t="str">
            <v>Alhaji Amara Rahman Bangura</v>
          </cell>
          <cell r="L65" t="str">
            <v>FC Associate I</v>
          </cell>
          <cell r="M65" t="str">
            <v>FC Associate I</v>
          </cell>
          <cell r="N65" t="str">
            <v>pparsin</v>
          </cell>
          <cell r="O65">
            <v>1299</v>
          </cell>
          <cell r="P65" t="str">
            <v>AUH1</v>
          </cell>
          <cell r="Q65" t="str">
            <v>ARE</v>
          </cell>
          <cell r="R65" t="str">
            <v>LK011</v>
          </cell>
          <cell r="S65" t="str">
            <v>Night Shift</v>
          </cell>
          <cell r="T65">
            <v>1</v>
          </cell>
          <cell r="U65" t="str">
            <v>MENA_UAE_FC</v>
          </cell>
          <cell r="V65">
            <v>46257.756944444445</v>
          </cell>
          <cell r="X65">
            <v>46257.756944444445</v>
          </cell>
          <cell r="Y65">
            <v>46258.173611111109</v>
          </cell>
          <cell r="AA65" t="str">
            <v>Scheduled</v>
          </cell>
          <cell r="AB65" t="str">
            <v>Present</v>
          </cell>
          <cell r="AC65" t="str">
            <v>Inbound</v>
          </cell>
          <cell r="AD65" t="str">
            <v>IB Problem Solve</v>
          </cell>
          <cell r="AE65" t="str">
            <v>Receive</v>
          </cell>
          <cell r="AF65" t="str">
            <v>Friday</v>
          </cell>
          <cell r="AG65" t="str">
            <v>Saturday</v>
          </cell>
          <cell r="AH65">
            <v>6</v>
          </cell>
          <cell r="AJ65">
            <v>44756</v>
          </cell>
          <cell r="AM65" t="str">
            <v>FC</v>
          </cell>
          <cell r="AN65" t="str">
            <v>Regular Full Time</v>
          </cell>
          <cell r="AO65" t="str">
            <v>A</v>
          </cell>
          <cell r="AP65">
            <v>9</v>
          </cell>
          <cell r="AQ65">
            <v>0</v>
          </cell>
          <cell r="AR65">
            <v>1</v>
          </cell>
          <cell r="AS65">
            <v>1</v>
          </cell>
          <cell r="AT65">
            <v>0</v>
          </cell>
          <cell r="AU65">
            <v>0</v>
          </cell>
        </row>
        <row r="66">
          <cell r="D66" t="str">
            <v>alhaslis</v>
          </cell>
          <cell r="E66">
            <v>203796734</v>
          </cell>
          <cell r="F66" t="str">
            <v>A</v>
          </cell>
          <cell r="G66" t="str">
            <v>GREEN</v>
          </cell>
          <cell r="H66" t="str">
            <v>FULL_TIME</v>
          </cell>
          <cell r="I66">
            <v>900234</v>
          </cell>
          <cell r="J66" t="str">
            <v>Fastlink Outsourcing</v>
          </cell>
          <cell r="K66" t="str">
            <v>ALHASSAN ISSAKA</v>
          </cell>
          <cell r="L66" t="str">
            <v>Warehouse Associate (TEMP)</v>
          </cell>
          <cell r="M66" t="str">
            <v>Warehouse Associate 12M</v>
          </cell>
          <cell r="N66" t="str">
            <v>nnahla</v>
          </cell>
          <cell r="O66">
            <v>1299</v>
          </cell>
          <cell r="P66" t="str">
            <v>AUH1</v>
          </cell>
          <cell r="Q66" t="str">
            <v>ARE</v>
          </cell>
          <cell r="R66" t="str">
            <v>FC059</v>
          </cell>
          <cell r="S66" t="str">
            <v>Day Shift</v>
          </cell>
          <cell r="T66">
            <v>99</v>
          </cell>
          <cell r="U66" t="str">
            <v>MENA_UAE_FC</v>
          </cell>
          <cell r="X66">
            <v>46257.333333333336</v>
          </cell>
          <cell r="Y66">
            <v>46257.75</v>
          </cell>
          <cell r="Z66" t="str">
            <v>Rest Day</v>
          </cell>
          <cell r="AA66" t="str">
            <v>Not Scheduled</v>
          </cell>
          <cell r="AB66" t="str">
            <v>Not Present</v>
          </cell>
          <cell r="AC66" t="str">
            <v>Inbound</v>
          </cell>
          <cell r="AD66" t="str">
            <v>IB Problem Solve</v>
          </cell>
          <cell r="AE66" t="str">
            <v>Receive</v>
          </cell>
          <cell r="AF66" t="str">
            <v>Sunday</v>
          </cell>
          <cell r="AG66" t="str">
            <v>Monday</v>
          </cell>
          <cell r="AH66">
            <v>6</v>
          </cell>
          <cell r="AJ66">
            <v>45516</v>
          </cell>
          <cell r="AM66" t="str">
            <v>TEMP</v>
          </cell>
          <cell r="AN66" t="str">
            <v>3P Onsite Worker</v>
          </cell>
          <cell r="AO66" t="str">
            <v>A</v>
          </cell>
          <cell r="AP66">
            <v>9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</row>
        <row r="67">
          <cell r="D67" t="str">
            <v>aliallaf</v>
          </cell>
          <cell r="E67">
            <v>203469072</v>
          </cell>
          <cell r="F67" t="str">
            <v>A</v>
          </cell>
          <cell r="G67" t="str">
            <v>GREEN</v>
          </cell>
          <cell r="H67" t="str">
            <v>FULL_TIME</v>
          </cell>
          <cell r="I67">
            <v>900234</v>
          </cell>
          <cell r="J67" t="str">
            <v>Fastlink Outsourcing</v>
          </cell>
          <cell r="K67" t="str">
            <v>Allafha Ali</v>
          </cell>
          <cell r="L67" t="str">
            <v>Warehouse Associate (TEMP)</v>
          </cell>
          <cell r="M67" t="str">
            <v>Warehouse Associate 12M</v>
          </cell>
          <cell r="N67" t="str">
            <v>aanso</v>
          </cell>
          <cell r="O67">
            <v>1299</v>
          </cell>
          <cell r="P67" t="str">
            <v>AUH1</v>
          </cell>
          <cell r="Q67" t="str">
            <v>ARE</v>
          </cell>
          <cell r="R67" t="str">
            <v>LK011</v>
          </cell>
          <cell r="S67" t="str">
            <v>Night Shift</v>
          </cell>
          <cell r="T67">
            <v>99</v>
          </cell>
          <cell r="U67" t="str">
            <v>MENA_UAE_FC</v>
          </cell>
          <cell r="V67">
            <v>46257.754861111112</v>
          </cell>
          <cell r="X67">
            <v>46257.756944444445</v>
          </cell>
          <cell r="Y67">
            <v>46258.173611111109</v>
          </cell>
          <cell r="AA67" t="str">
            <v>Scheduled</v>
          </cell>
          <cell r="AB67" t="str">
            <v>Present</v>
          </cell>
          <cell r="AC67" t="str">
            <v>Customer returns</v>
          </cell>
          <cell r="AD67" t="str">
            <v>Customer Returns</v>
          </cell>
          <cell r="AE67" t="str">
            <v>Customer returns</v>
          </cell>
          <cell r="AF67" t="str">
            <v>Friday</v>
          </cell>
          <cell r="AG67" t="str">
            <v>Saturday</v>
          </cell>
          <cell r="AH67">
            <v>22</v>
          </cell>
          <cell r="AJ67">
            <v>45455</v>
          </cell>
          <cell r="AM67" t="str">
            <v>TEMP</v>
          </cell>
          <cell r="AN67" t="str">
            <v>3P Onsite Worker</v>
          </cell>
          <cell r="AO67" t="str">
            <v>A</v>
          </cell>
          <cell r="AP67">
            <v>9</v>
          </cell>
          <cell r="AQ67">
            <v>0</v>
          </cell>
          <cell r="AR67">
            <v>1</v>
          </cell>
          <cell r="AS67">
            <v>1</v>
          </cell>
          <cell r="AT67">
            <v>0</v>
          </cell>
          <cell r="AU67">
            <v>0</v>
          </cell>
        </row>
        <row r="68">
          <cell r="D68" t="str">
            <v>alicewan</v>
          </cell>
          <cell r="E68">
            <v>206883746</v>
          </cell>
          <cell r="F68" t="str">
            <v>A</v>
          </cell>
          <cell r="G68" t="str">
            <v>GREEN</v>
          </cell>
          <cell r="H68" t="str">
            <v>FULL_TIME</v>
          </cell>
          <cell r="I68">
            <v>900234</v>
          </cell>
          <cell r="J68" t="str">
            <v>EFS Facilities Services</v>
          </cell>
          <cell r="K68" t="str">
            <v>ALICE NJAMBI WANJIKU</v>
          </cell>
          <cell r="L68" t="str">
            <v>Warehouse Associate (TEMP)</v>
          </cell>
          <cell r="M68" t="str">
            <v>Warehouse Associate 8W</v>
          </cell>
          <cell r="N68" t="str">
            <v>vkkatyal</v>
          </cell>
          <cell r="O68">
            <v>1299</v>
          </cell>
          <cell r="P68" t="str">
            <v>AUH1</v>
          </cell>
          <cell r="Q68" t="str">
            <v>ARE</v>
          </cell>
          <cell r="R68" t="str">
            <v>FC059</v>
          </cell>
          <cell r="S68" t="str">
            <v>Day Shift</v>
          </cell>
          <cell r="T68">
            <v>99</v>
          </cell>
          <cell r="U68" t="str">
            <v>MENA_UAE_FC</v>
          </cell>
          <cell r="X68">
            <v>46257.333333333336</v>
          </cell>
          <cell r="Y68">
            <v>46257.75</v>
          </cell>
          <cell r="Z68" t="str">
            <v>Rest Day</v>
          </cell>
          <cell r="AA68" t="str">
            <v>Not Scheduled</v>
          </cell>
          <cell r="AB68" t="str">
            <v>Not Present</v>
          </cell>
          <cell r="AC68" t="str">
            <v>Inbound</v>
          </cell>
          <cell r="AD68" t="str">
            <v>Inbound Stow</v>
          </cell>
          <cell r="AE68" t="str">
            <v>Stow</v>
          </cell>
          <cell r="AF68" t="str">
            <v>Sunday</v>
          </cell>
          <cell r="AG68" t="str">
            <v>Monday</v>
          </cell>
          <cell r="AH68">
            <v>3</v>
          </cell>
          <cell r="AJ68">
            <v>46026</v>
          </cell>
          <cell r="AM68" t="str">
            <v>TEMP</v>
          </cell>
          <cell r="AN68" t="str">
            <v>3P Onsite Worker</v>
          </cell>
          <cell r="AO68" t="str">
            <v>A</v>
          </cell>
          <cell r="AP68">
            <v>9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D69" t="str">
            <v>aliikama</v>
          </cell>
          <cell r="E69">
            <v>204882795</v>
          </cell>
          <cell r="F69" t="str">
            <v>A</v>
          </cell>
          <cell r="G69" t="str">
            <v>GREEN</v>
          </cell>
          <cell r="H69" t="str">
            <v>FULL_TIME</v>
          </cell>
          <cell r="I69">
            <v>900234</v>
          </cell>
          <cell r="J69" t="str">
            <v>Dulsco L.L.C.</v>
          </cell>
          <cell r="K69" t="str">
            <v>ALIE KAMARA</v>
          </cell>
          <cell r="L69" t="str">
            <v>Warehouse Associate (TEMP)</v>
          </cell>
          <cell r="M69" t="str">
            <v>Warehouse Associate 24M</v>
          </cell>
          <cell r="N69" t="str">
            <v>nnahla</v>
          </cell>
          <cell r="O69">
            <v>1299</v>
          </cell>
          <cell r="P69" t="str">
            <v>AUH1</v>
          </cell>
          <cell r="Q69" t="str">
            <v>ARE</v>
          </cell>
          <cell r="R69" t="str">
            <v>LK012</v>
          </cell>
          <cell r="S69" t="str">
            <v>Night Shift</v>
          </cell>
          <cell r="T69">
            <v>99</v>
          </cell>
          <cell r="U69" t="str">
            <v>MENA_UAE_FC</v>
          </cell>
          <cell r="X69">
            <v>46257.756944444445</v>
          </cell>
          <cell r="Y69">
            <v>46258.173611111109</v>
          </cell>
          <cell r="Z69" t="str">
            <v>Rest Day</v>
          </cell>
          <cell r="AA69" t="str">
            <v>Not Scheduled</v>
          </cell>
          <cell r="AB69" t="str">
            <v>Not Present</v>
          </cell>
          <cell r="AC69" t="str">
            <v>Inbound</v>
          </cell>
          <cell r="AD69" t="str">
            <v>Inbound Stow</v>
          </cell>
          <cell r="AE69" t="str">
            <v>Stow</v>
          </cell>
          <cell r="AF69" t="str">
            <v>Saturday</v>
          </cell>
          <cell r="AG69" t="str">
            <v>Sunday</v>
          </cell>
          <cell r="AH69">
            <v>3</v>
          </cell>
          <cell r="AJ69">
            <v>45825</v>
          </cell>
          <cell r="AM69" t="str">
            <v>TEMP</v>
          </cell>
          <cell r="AN69" t="str">
            <v>3P Onsite Worker</v>
          </cell>
          <cell r="AO69" t="str">
            <v>A</v>
          </cell>
          <cell r="AP69">
            <v>9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</row>
        <row r="70">
          <cell r="D70" t="str">
            <v>aliokorw</v>
          </cell>
          <cell r="E70">
            <v>206926977</v>
          </cell>
          <cell r="F70" t="str">
            <v>A</v>
          </cell>
          <cell r="G70" t="str">
            <v>GREEN</v>
          </cell>
          <cell r="H70" t="str">
            <v>REDUCED</v>
          </cell>
          <cell r="I70">
            <v>900234</v>
          </cell>
          <cell r="J70" t="str">
            <v>Fastlink Outsourcing</v>
          </cell>
          <cell r="K70" t="str">
            <v>ALICE KORWOR</v>
          </cell>
          <cell r="L70" t="str">
            <v>Warehouse Associate (TEMP)</v>
          </cell>
          <cell r="M70" t="str">
            <v>Warehouse Associate 8W</v>
          </cell>
          <cell r="N70" t="str">
            <v>ansammar</v>
          </cell>
          <cell r="O70">
            <v>1299</v>
          </cell>
          <cell r="P70" t="str">
            <v>AUH1</v>
          </cell>
          <cell r="Q70" t="str">
            <v>ARE</v>
          </cell>
          <cell r="R70" t="str">
            <v>FC552</v>
          </cell>
          <cell r="S70" t="str">
            <v>Night Shift</v>
          </cell>
          <cell r="T70">
            <v>99</v>
          </cell>
          <cell r="U70" t="str">
            <v>MENA_UAE_FC</v>
          </cell>
          <cell r="V70">
            <v>46257.756944444445</v>
          </cell>
          <cell r="X70">
            <v>46257.756944444445</v>
          </cell>
          <cell r="Y70">
            <v>46258.090277777781</v>
          </cell>
          <cell r="AA70" t="str">
            <v>Scheduled</v>
          </cell>
          <cell r="AB70" t="str">
            <v>Present</v>
          </cell>
          <cell r="AC70" t="str">
            <v>Outbound</v>
          </cell>
          <cell r="AD70" t="str">
            <v>Pack - Batch</v>
          </cell>
          <cell r="AE70" t="str">
            <v>Pack</v>
          </cell>
          <cell r="AF70" t="str">
            <v>Friday</v>
          </cell>
          <cell r="AG70" t="str">
            <v>Saturday</v>
          </cell>
          <cell r="AH70">
            <v>17</v>
          </cell>
          <cell r="AJ70">
            <v>46246</v>
          </cell>
          <cell r="AM70" t="str">
            <v>TEMP</v>
          </cell>
          <cell r="AN70" t="str">
            <v>3P Onsite Worker</v>
          </cell>
          <cell r="AO70" t="str">
            <v>A</v>
          </cell>
          <cell r="AP70">
            <v>7</v>
          </cell>
          <cell r="AQ70">
            <v>0</v>
          </cell>
          <cell r="AR70">
            <v>1</v>
          </cell>
          <cell r="AS70">
            <v>1</v>
          </cell>
          <cell r="AT70">
            <v>0</v>
          </cell>
          <cell r="AU70">
            <v>0</v>
          </cell>
        </row>
        <row r="71">
          <cell r="D71" t="str">
            <v>alirfanv</v>
          </cell>
          <cell r="E71">
            <v>112649477</v>
          </cell>
          <cell r="F71" t="str">
            <v>A</v>
          </cell>
          <cell r="G71" t="str">
            <v>GREEN</v>
          </cell>
          <cell r="H71" t="str">
            <v>FULL_TIME</v>
          </cell>
          <cell r="I71">
            <v>900234</v>
          </cell>
          <cell r="J71" t="str">
            <v>Quesscorp</v>
          </cell>
          <cell r="K71" t="str">
            <v>Irfan Ali</v>
          </cell>
          <cell r="L71" t="str">
            <v>Warehouse Associate (TEMP)</v>
          </cell>
          <cell r="M71" t="str">
            <v>Warehouse Associate 24M</v>
          </cell>
          <cell r="N71" t="str">
            <v>mnarshad</v>
          </cell>
          <cell r="O71">
            <v>1299</v>
          </cell>
          <cell r="P71" t="str">
            <v>AUH1</v>
          </cell>
          <cell r="Q71" t="str">
            <v>ARE</v>
          </cell>
          <cell r="R71" t="str">
            <v>LK013</v>
          </cell>
          <cell r="S71" t="str">
            <v>Night Shift</v>
          </cell>
          <cell r="T71">
            <v>99</v>
          </cell>
          <cell r="U71" t="str">
            <v>MENA_UAE_FC</v>
          </cell>
          <cell r="V71">
            <v>46257.745138888888</v>
          </cell>
          <cell r="X71">
            <v>46257.756944444445</v>
          </cell>
          <cell r="Y71">
            <v>46258.173611111109</v>
          </cell>
          <cell r="Z71" t="str">
            <v>Rest Day</v>
          </cell>
          <cell r="AA71" t="str">
            <v>Not Scheduled</v>
          </cell>
          <cell r="AB71" t="str">
            <v>Present</v>
          </cell>
          <cell r="AC71" t="str">
            <v>Outbound</v>
          </cell>
          <cell r="AD71" t="str">
            <v>Sort - Batch</v>
          </cell>
          <cell r="AE71" t="str">
            <v>Sort</v>
          </cell>
          <cell r="AF71" t="str">
            <v>Sunday</v>
          </cell>
          <cell r="AG71" t="str">
            <v>Monday</v>
          </cell>
          <cell r="AH71">
            <v>15</v>
          </cell>
          <cell r="AJ71">
            <v>45567</v>
          </cell>
          <cell r="AM71" t="str">
            <v>TEMP</v>
          </cell>
          <cell r="AN71" t="str">
            <v>3P Onsite Worker</v>
          </cell>
          <cell r="AO71" t="str">
            <v>A</v>
          </cell>
          <cell r="AP71">
            <v>9</v>
          </cell>
          <cell r="AQ71">
            <v>1</v>
          </cell>
          <cell r="AR71">
            <v>1</v>
          </cell>
          <cell r="AS71">
            <v>0</v>
          </cell>
          <cell r="AT71">
            <v>0</v>
          </cell>
          <cell r="AU71">
            <v>0</v>
          </cell>
        </row>
        <row r="72">
          <cell r="D72" t="str">
            <v>allanmub</v>
          </cell>
          <cell r="E72">
            <v>206953811</v>
          </cell>
          <cell r="F72" t="str">
            <v>A</v>
          </cell>
          <cell r="G72" t="str">
            <v>GREEN</v>
          </cell>
          <cell r="H72" t="str">
            <v>FULL_TIME</v>
          </cell>
          <cell r="I72">
            <v>900234</v>
          </cell>
          <cell r="J72" t="str">
            <v>Dulsco L.L.C.</v>
          </cell>
          <cell r="K72" t="str">
            <v>ALLAN MUBANGIZI</v>
          </cell>
          <cell r="L72" t="str">
            <v>Warehouse Associate (TEMP)</v>
          </cell>
          <cell r="M72" t="str">
            <v>Warehouse Associate 24M</v>
          </cell>
          <cell r="N72" t="str">
            <v>bavameer</v>
          </cell>
          <cell r="O72">
            <v>1299</v>
          </cell>
          <cell r="P72" t="str">
            <v>AUH1</v>
          </cell>
          <cell r="Q72" t="str">
            <v>ARE</v>
          </cell>
          <cell r="R72" t="str">
            <v>LK017</v>
          </cell>
          <cell r="S72" t="str">
            <v>Night Shift</v>
          </cell>
          <cell r="T72">
            <v>99</v>
          </cell>
          <cell r="U72" t="str">
            <v>MENA_UAE_FC</v>
          </cell>
          <cell r="V72">
            <v>46257.754861111112</v>
          </cell>
          <cell r="X72">
            <v>46257.756944444445</v>
          </cell>
          <cell r="Y72">
            <v>46258.173611111109</v>
          </cell>
          <cell r="AA72" t="str">
            <v>Scheduled</v>
          </cell>
          <cell r="AB72" t="str">
            <v>Present</v>
          </cell>
          <cell r="AC72" t="str">
            <v>Customer returns</v>
          </cell>
          <cell r="AD72" t="str">
            <v>Customer Returns</v>
          </cell>
          <cell r="AE72" t="str">
            <v>Customer returns</v>
          </cell>
          <cell r="AF72" t="str">
            <v>Thursday</v>
          </cell>
          <cell r="AG72" t="str">
            <v>Friday</v>
          </cell>
          <cell r="AH72">
            <v>22</v>
          </cell>
          <cell r="AJ72">
            <v>46047</v>
          </cell>
          <cell r="AM72" t="str">
            <v>TEMP</v>
          </cell>
          <cell r="AN72" t="str">
            <v>3P Onsite Worker</v>
          </cell>
          <cell r="AO72" t="str">
            <v>A</v>
          </cell>
          <cell r="AP72">
            <v>9</v>
          </cell>
          <cell r="AQ72">
            <v>0</v>
          </cell>
          <cell r="AR72">
            <v>1</v>
          </cell>
          <cell r="AS72">
            <v>1</v>
          </cell>
          <cell r="AT72">
            <v>0</v>
          </cell>
          <cell r="AU72">
            <v>0</v>
          </cell>
        </row>
        <row r="73">
          <cell r="D73" t="str">
            <v>almsukwf</v>
          </cell>
          <cell r="E73">
            <v>206915466</v>
          </cell>
          <cell r="F73" t="str">
            <v>A</v>
          </cell>
          <cell r="G73" t="str">
            <v>GREEN</v>
          </cell>
          <cell r="H73" t="str">
            <v>FULL_TIME</v>
          </cell>
          <cell r="I73">
            <v>900234</v>
          </cell>
          <cell r="J73" t="str">
            <v>Dulsco L.L.C.</v>
          </cell>
          <cell r="K73" t="str">
            <v>ALEX MSUKWA</v>
          </cell>
          <cell r="L73" t="str">
            <v>Warehouse Associate (TEMP)</v>
          </cell>
          <cell r="M73" t="str">
            <v>Warehouse Associate 8W</v>
          </cell>
          <cell r="N73" t="str">
            <v>lraghava</v>
          </cell>
          <cell r="O73">
            <v>1299</v>
          </cell>
          <cell r="P73" t="str">
            <v>AUH1</v>
          </cell>
          <cell r="Q73" t="str">
            <v>ARE</v>
          </cell>
          <cell r="R73" t="str">
            <v>LK014</v>
          </cell>
          <cell r="S73" t="str">
            <v>Night Shift</v>
          </cell>
          <cell r="T73">
            <v>99</v>
          </cell>
          <cell r="U73" t="str">
            <v>MENA_UAE_FC</v>
          </cell>
          <cell r="V73">
            <v>46257.759722222225</v>
          </cell>
          <cell r="X73">
            <v>46257.756944444445</v>
          </cell>
          <cell r="Y73">
            <v>46258.173611111109</v>
          </cell>
          <cell r="AA73" t="str">
            <v>Scheduled</v>
          </cell>
          <cell r="AB73" t="str">
            <v>Present</v>
          </cell>
          <cell r="AC73" t="str">
            <v>Outbound</v>
          </cell>
          <cell r="AD73" t="str">
            <v>Pack - Batch</v>
          </cell>
          <cell r="AE73" t="str">
            <v>Pack</v>
          </cell>
          <cell r="AF73" t="str">
            <v>Monday</v>
          </cell>
          <cell r="AG73" t="str">
            <v>Tuesday</v>
          </cell>
          <cell r="AH73">
            <v>17</v>
          </cell>
          <cell r="AJ73">
            <v>46033</v>
          </cell>
          <cell r="AM73" t="str">
            <v>TEMP</v>
          </cell>
          <cell r="AN73" t="str">
            <v>3P Onsite Worker</v>
          </cell>
          <cell r="AO73" t="str">
            <v>A</v>
          </cell>
          <cell r="AP73">
            <v>9</v>
          </cell>
          <cell r="AQ73">
            <v>0</v>
          </cell>
          <cell r="AR73">
            <v>1</v>
          </cell>
          <cell r="AS73">
            <v>1</v>
          </cell>
          <cell r="AT73">
            <v>0</v>
          </cell>
          <cell r="AU73">
            <v>0</v>
          </cell>
        </row>
        <row r="74">
          <cell r="D74" t="str">
            <v>aloielia</v>
          </cell>
          <cell r="E74">
            <v>205852635</v>
          </cell>
          <cell r="F74" t="str">
            <v>A</v>
          </cell>
          <cell r="G74" t="str">
            <v>GREEN</v>
          </cell>
          <cell r="H74" t="str">
            <v>FULL_TIME</v>
          </cell>
          <cell r="I74">
            <v>900234</v>
          </cell>
          <cell r="J74" t="str">
            <v>EFS Facilities Services</v>
          </cell>
          <cell r="K74" t="str">
            <v>ELIAS ALOI</v>
          </cell>
          <cell r="L74" t="str">
            <v>Warehouse Associate (TEMP)</v>
          </cell>
          <cell r="M74" t="str">
            <v>Warehouse Associate 8W</v>
          </cell>
          <cell r="N74" t="str">
            <v>mnarshad</v>
          </cell>
          <cell r="O74">
            <v>1299</v>
          </cell>
          <cell r="P74" t="str">
            <v>AUH1</v>
          </cell>
          <cell r="Q74" t="str">
            <v>ARE</v>
          </cell>
          <cell r="R74" t="str">
            <v>FC557</v>
          </cell>
          <cell r="S74" t="str">
            <v>Night Shift</v>
          </cell>
          <cell r="T74">
            <v>99</v>
          </cell>
          <cell r="U74" t="str">
            <v>MENA_UAE_FC</v>
          </cell>
          <cell r="V74">
            <v>46257.753472222219</v>
          </cell>
          <cell r="X74">
            <v>46257.756944444445</v>
          </cell>
          <cell r="Y74">
            <v>46258.090277777781</v>
          </cell>
          <cell r="AA74" t="str">
            <v>Scheduled</v>
          </cell>
          <cell r="AB74" t="str">
            <v>Present</v>
          </cell>
          <cell r="AC74" t="str">
            <v>Outbound</v>
          </cell>
          <cell r="AD74" t="str">
            <v>Pack - Single</v>
          </cell>
          <cell r="AE74" t="str">
            <v>Pack</v>
          </cell>
          <cell r="AF74" t="str">
            <v>Wednesday</v>
          </cell>
          <cell r="AG74" t="str">
            <v>Thursday</v>
          </cell>
          <cell r="AH74">
            <v>18</v>
          </cell>
          <cell r="AJ74">
            <v>46237</v>
          </cell>
          <cell r="AM74" t="str">
            <v>TEMP</v>
          </cell>
          <cell r="AN74" t="str">
            <v>3P Onsite Worker</v>
          </cell>
          <cell r="AO74" t="str">
            <v>A</v>
          </cell>
          <cell r="AP74">
            <v>7</v>
          </cell>
          <cell r="AQ74">
            <v>0</v>
          </cell>
          <cell r="AR74">
            <v>1</v>
          </cell>
          <cell r="AS74">
            <v>1</v>
          </cell>
          <cell r="AT74">
            <v>0</v>
          </cell>
          <cell r="AU74">
            <v>0</v>
          </cell>
        </row>
        <row r="75">
          <cell r="D75" t="str">
            <v>alphaatk</v>
          </cell>
          <cell r="E75">
            <v>206875146</v>
          </cell>
          <cell r="F75" t="str">
            <v>A</v>
          </cell>
          <cell r="G75" t="str">
            <v>GREEN</v>
          </cell>
          <cell r="H75" t="str">
            <v>FULL_TIME</v>
          </cell>
          <cell r="I75">
            <v>900234</v>
          </cell>
          <cell r="J75" t="str">
            <v>Dulsco L.L.C.</v>
          </cell>
          <cell r="K75" t="str">
            <v>ALPHA ATHANASIO KINYAPALA</v>
          </cell>
          <cell r="L75" t="str">
            <v>Warehouse Associate (TEMP)</v>
          </cell>
          <cell r="M75" t="str">
            <v>Warehouse Associate 8W</v>
          </cell>
          <cell r="N75" t="str">
            <v>aanso</v>
          </cell>
          <cell r="O75">
            <v>1299</v>
          </cell>
          <cell r="P75" t="str">
            <v>AUH1</v>
          </cell>
          <cell r="Q75" t="str">
            <v>ARE</v>
          </cell>
          <cell r="R75" t="str">
            <v>LK012</v>
          </cell>
          <cell r="S75" t="str">
            <v>Night Shift</v>
          </cell>
          <cell r="T75">
            <v>99</v>
          </cell>
          <cell r="U75" t="str">
            <v>MENA_UAE_FC</v>
          </cell>
          <cell r="X75">
            <v>46257.756944444445</v>
          </cell>
          <cell r="Y75">
            <v>46258.173611111109</v>
          </cell>
          <cell r="Z75" t="str">
            <v>Rest Day</v>
          </cell>
          <cell r="AA75" t="str">
            <v>Not Scheduled</v>
          </cell>
          <cell r="AB75" t="str">
            <v>Not Present</v>
          </cell>
          <cell r="AC75" t="str">
            <v>Customer returns</v>
          </cell>
          <cell r="AD75" t="str">
            <v>Customer Returns</v>
          </cell>
          <cell r="AE75" t="str">
            <v>Customer returns</v>
          </cell>
          <cell r="AF75" t="str">
            <v>Saturday</v>
          </cell>
          <cell r="AG75" t="str">
            <v>Sunday</v>
          </cell>
          <cell r="AH75">
            <v>22</v>
          </cell>
          <cell r="AJ75">
            <v>46019</v>
          </cell>
          <cell r="AM75" t="str">
            <v>TEMP</v>
          </cell>
          <cell r="AN75" t="str">
            <v>3P Onsite Worker</v>
          </cell>
          <cell r="AO75" t="str">
            <v>A</v>
          </cell>
          <cell r="AP75">
            <v>9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</row>
        <row r="76">
          <cell r="D76" t="str">
            <v>alusgidf</v>
          </cell>
          <cell r="E76">
            <v>206065204</v>
          </cell>
          <cell r="F76" t="str">
            <v>A</v>
          </cell>
          <cell r="G76" t="str">
            <v>GREEN</v>
          </cell>
          <cell r="H76" t="str">
            <v>FULL_TIME</v>
          </cell>
          <cell r="I76">
            <v>900234</v>
          </cell>
          <cell r="J76" t="str">
            <v>Fastlink Outsourcing</v>
          </cell>
          <cell r="K76" t="str">
            <v>Gideon Alusine Mannah</v>
          </cell>
          <cell r="L76" t="str">
            <v>Warehouse Associate (TEMP)</v>
          </cell>
          <cell r="M76" t="str">
            <v>Warehouse Associate 8W</v>
          </cell>
          <cell r="N76" t="str">
            <v>aanso</v>
          </cell>
          <cell r="O76">
            <v>1299</v>
          </cell>
          <cell r="P76" t="str">
            <v>AUH1</v>
          </cell>
          <cell r="Q76" t="str">
            <v>ARE</v>
          </cell>
          <cell r="R76" t="str">
            <v>FC059</v>
          </cell>
          <cell r="S76" t="str">
            <v>Day Shift</v>
          </cell>
          <cell r="T76">
            <v>99</v>
          </cell>
          <cell r="U76" t="str">
            <v>MENA_UAE_FC</v>
          </cell>
          <cell r="X76">
            <v>46257.333333333336</v>
          </cell>
          <cell r="Y76">
            <v>46257.75</v>
          </cell>
          <cell r="Z76" t="str">
            <v>Rest Day</v>
          </cell>
          <cell r="AA76" t="str">
            <v>Not Scheduled</v>
          </cell>
          <cell r="AB76" t="str">
            <v>Not Present</v>
          </cell>
          <cell r="AC76" t="str">
            <v>Customer returns</v>
          </cell>
          <cell r="AD76" t="str">
            <v>Customer Returns</v>
          </cell>
          <cell r="AE76" t="str">
            <v>Customer returns</v>
          </cell>
          <cell r="AF76" t="str">
            <v>Sunday</v>
          </cell>
          <cell r="AG76" t="str">
            <v>Monday</v>
          </cell>
          <cell r="AH76">
            <v>22</v>
          </cell>
          <cell r="AJ76">
            <v>45921</v>
          </cell>
          <cell r="AM76" t="str">
            <v>TEMP</v>
          </cell>
          <cell r="AN76" t="str">
            <v>3P Onsite Worker</v>
          </cell>
          <cell r="AO76" t="str">
            <v>A</v>
          </cell>
          <cell r="AP76">
            <v>9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</row>
        <row r="77">
          <cell r="D77" t="str">
            <v>amaduga</v>
          </cell>
          <cell r="E77">
            <v>203468508</v>
          </cell>
          <cell r="F77" t="str">
            <v>A</v>
          </cell>
          <cell r="G77" t="str">
            <v>GREEN</v>
          </cell>
          <cell r="H77" t="str">
            <v>FULL_TIME</v>
          </cell>
          <cell r="I77">
            <v>900234</v>
          </cell>
          <cell r="J77" t="str">
            <v>Fastlink Outsourcing</v>
          </cell>
          <cell r="K77" t="str">
            <v>Ganiu Amadu</v>
          </cell>
          <cell r="L77" t="str">
            <v>Warehouse Associate (TEMP)</v>
          </cell>
          <cell r="M77" t="str">
            <v>Warehouse Associate 12M</v>
          </cell>
          <cell r="N77" t="str">
            <v>kebedeed</v>
          </cell>
          <cell r="O77">
            <v>1299</v>
          </cell>
          <cell r="P77" t="str">
            <v>AUH1</v>
          </cell>
          <cell r="Q77" t="str">
            <v>ARE</v>
          </cell>
          <cell r="R77" t="str">
            <v>FC109</v>
          </cell>
          <cell r="S77" t="str">
            <v>Day Shift</v>
          </cell>
          <cell r="T77">
            <v>99</v>
          </cell>
          <cell r="U77" t="str">
            <v>MENA_UAE_FC</v>
          </cell>
          <cell r="V77">
            <v>46257.332638888889</v>
          </cell>
          <cell r="W77">
            <v>46257.747916666667</v>
          </cell>
          <cell r="X77">
            <v>46257.333333333336</v>
          </cell>
          <cell r="Y77">
            <v>46257.75</v>
          </cell>
          <cell r="AA77" t="str">
            <v>Scheduled</v>
          </cell>
          <cell r="AB77" t="str">
            <v>Present</v>
          </cell>
          <cell r="AC77" t="str">
            <v>ICQA</v>
          </cell>
          <cell r="AD77" t="str">
            <v>IC/QA/CS</v>
          </cell>
          <cell r="AE77" t="str">
            <v>Support</v>
          </cell>
          <cell r="AF77" t="str">
            <v>Tuesday</v>
          </cell>
          <cell r="AG77" t="str">
            <v>Wednesday</v>
          </cell>
          <cell r="AH77">
            <v>27</v>
          </cell>
          <cell r="AJ77">
            <v>45455</v>
          </cell>
          <cell r="AM77" t="str">
            <v>TEMP</v>
          </cell>
          <cell r="AN77" t="str">
            <v>3P Onsite Worker</v>
          </cell>
          <cell r="AO77" t="str">
            <v>A</v>
          </cell>
          <cell r="AP77">
            <v>9</v>
          </cell>
          <cell r="AQ77">
            <v>0</v>
          </cell>
          <cell r="AR77">
            <v>1</v>
          </cell>
          <cell r="AS77">
            <v>1</v>
          </cell>
          <cell r="AT77">
            <v>0</v>
          </cell>
          <cell r="AU77">
            <v>0</v>
          </cell>
        </row>
        <row r="78">
          <cell r="D78" t="str">
            <v>amankemq</v>
          </cell>
          <cell r="E78">
            <v>203965409</v>
          </cell>
          <cell r="F78" t="str">
            <v>A</v>
          </cell>
          <cell r="G78" t="str">
            <v>GREEN</v>
          </cell>
          <cell r="H78" t="str">
            <v>FULL_TIME</v>
          </cell>
          <cell r="I78">
            <v>900234</v>
          </cell>
          <cell r="J78" t="str">
            <v>Fastlink Outsourcing</v>
          </cell>
          <cell r="K78" t="str">
            <v>Emmanuel Amankwah Buabeng</v>
          </cell>
          <cell r="L78" t="str">
            <v>Warehouse Associate (TEMP)</v>
          </cell>
          <cell r="M78" t="str">
            <v>Warehouse Associate 12M</v>
          </cell>
          <cell r="N78" t="str">
            <v>lraghava</v>
          </cell>
          <cell r="O78">
            <v>1299</v>
          </cell>
          <cell r="P78" t="str">
            <v>AUH1</v>
          </cell>
          <cell r="Q78" t="str">
            <v>ARE</v>
          </cell>
          <cell r="R78" t="str">
            <v>FC159</v>
          </cell>
          <cell r="S78" t="str">
            <v>Day Shift</v>
          </cell>
          <cell r="T78">
            <v>99</v>
          </cell>
          <cell r="U78" t="str">
            <v>MENA_UAE_FC</v>
          </cell>
          <cell r="V78">
            <v>46257.333333333336</v>
          </cell>
          <cell r="W78">
            <v>46257.75</v>
          </cell>
          <cell r="X78">
            <v>46257.333333333336</v>
          </cell>
          <cell r="Y78">
            <v>46257.75</v>
          </cell>
          <cell r="AA78" t="str">
            <v>Scheduled</v>
          </cell>
          <cell r="AB78" t="str">
            <v>Present</v>
          </cell>
          <cell r="AC78" t="str">
            <v>Outbound</v>
          </cell>
          <cell r="AD78" t="str">
            <v>Picking</v>
          </cell>
          <cell r="AE78" t="str">
            <v>Pick</v>
          </cell>
          <cell r="AF78" t="str">
            <v>Thursday</v>
          </cell>
          <cell r="AG78" t="str">
            <v>Friday</v>
          </cell>
          <cell r="AH78">
            <v>13</v>
          </cell>
          <cell r="AJ78">
            <v>45543</v>
          </cell>
          <cell r="AM78" t="str">
            <v>TEMP</v>
          </cell>
          <cell r="AN78" t="str">
            <v>3P Onsite Worker</v>
          </cell>
          <cell r="AO78" t="str">
            <v>A</v>
          </cell>
          <cell r="AP78">
            <v>9</v>
          </cell>
          <cell r="AQ78">
            <v>0</v>
          </cell>
          <cell r="AR78">
            <v>1</v>
          </cell>
          <cell r="AS78">
            <v>1</v>
          </cell>
          <cell r="AT78">
            <v>0</v>
          </cell>
          <cell r="AU78">
            <v>0</v>
          </cell>
        </row>
        <row r="79">
          <cell r="D79" t="str">
            <v>amanyjog</v>
          </cell>
          <cell r="E79">
            <v>203850806</v>
          </cell>
          <cell r="F79" t="str">
            <v>A</v>
          </cell>
          <cell r="G79" t="str">
            <v>GREEN</v>
          </cell>
          <cell r="H79" t="str">
            <v>FULL_TIME</v>
          </cell>
          <cell r="I79">
            <v>900234</v>
          </cell>
          <cell r="J79" t="str">
            <v>Dulsco L.L.C.</v>
          </cell>
          <cell r="K79" t="str">
            <v>Joab Amanya</v>
          </cell>
          <cell r="L79" t="str">
            <v>Warehouse Associate (TEMP)</v>
          </cell>
          <cell r="M79" t="str">
            <v>Warehouse Associate 24M</v>
          </cell>
          <cell r="N79" t="str">
            <v>lraghava</v>
          </cell>
          <cell r="O79">
            <v>1299</v>
          </cell>
          <cell r="P79" t="str">
            <v>AUH1</v>
          </cell>
          <cell r="Q79" t="str">
            <v>ARE</v>
          </cell>
          <cell r="R79" t="str">
            <v>LK014</v>
          </cell>
          <cell r="S79" t="str">
            <v>Night Shift</v>
          </cell>
          <cell r="T79">
            <v>99</v>
          </cell>
          <cell r="U79" t="str">
            <v>MENA_UAE_FC</v>
          </cell>
          <cell r="V79">
            <v>46257.753472222219</v>
          </cell>
          <cell r="X79">
            <v>46257.756944444445</v>
          </cell>
          <cell r="Y79">
            <v>46258.173611111109</v>
          </cell>
          <cell r="AA79" t="str">
            <v>Scheduled</v>
          </cell>
          <cell r="AB79" t="str">
            <v>Present</v>
          </cell>
          <cell r="AC79" t="str">
            <v>Outbound</v>
          </cell>
          <cell r="AD79" t="str">
            <v>Picking</v>
          </cell>
          <cell r="AE79" t="str">
            <v>Pick</v>
          </cell>
          <cell r="AF79" t="str">
            <v>Monday</v>
          </cell>
          <cell r="AG79" t="str">
            <v>Tuesday</v>
          </cell>
          <cell r="AH79">
            <v>13</v>
          </cell>
          <cell r="AJ79">
            <v>45523</v>
          </cell>
          <cell r="AM79" t="str">
            <v>TEMP</v>
          </cell>
          <cell r="AN79" t="str">
            <v>3P Onsite Worker</v>
          </cell>
          <cell r="AO79" t="str">
            <v>A</v>
          </cell>
          <cell r="AP79">
            <v>9</v>
          </cell>
          <cell r="AQ79">
            <v>0</v>
          </cell>
          <cell r="AR79">
            <v>1</v>
          </cell>
          <cell r="AS79">
            <v>1</v>
          </cell>
          <cell r="AT79">
            <v>0</v>
          </cell>
          <cell r="AU79">
            <v>0</v>
          </cell>
        </row>
        <row r="80">
          <cell r="D80" t="str">
            <v>amativin</v>
          </cell>
          <cell r="E80">
            <v>206915790</v>
          </cell>
          <cell r="F80" t="str">
            <v>A</v>
          </cell>
          <cell r="G80" t="str">
            <v>GREEN</v>
          </cell>
          <cell r="H80" t="str">
            <v>FULL_TIME</v>
          </cell>
          <cell r="I80">
            <v>900234</v>
          </cell>
          <cell r="J80" t="str">
            <v>Dulsco L.L.C.</v>
          </cell>
          <cell r="K80" t="str">
            <v>VINCENT AMATI</v>
          </cell>
          <cell r="L80" t="str">
            <v>Warehouse Associate (TEMP)</v>
          </cell>
          <cell r="M80" t="str">
            <v>Warehouse Associate 8W</v>
          </cell>
          <cell r="N80" t="str">
            <v>helrashd</v>
          </cell>
          <cell r="O80">
            <v>1299</v>
          </cell>
          <cell r="P80" t="str">
            <v>AUH1</v>
          </cell>
          <cell r="Q80" t="str">
            <v>ARE</v>
          </cell>
          <cell r="R80" t="str">
            <v>FC159</v>
          </cell>
          <cell r="S80" t="str">
            <v>Day Shift</v>
          </cell>
          <cell r="T80">
            <v>99</v>
          </cell>
          <cell r="U80" t="str">
            <v>MENA_UAE_FC</v>
          </cell>
          <cell r="V80">
            <v>46257.330555555556</v>
          </cell>
          <cell r="W80">
            <v>46257.74722222222</v>
          </cell>
          <cell r="X80">
            <v>46257.333333333336</v>
          </cell>
          <cell r="Y80">
            <v>46257.75</v>
          </cell>
          <cell r="AA80" t="str">
            <v>Scheduled</v>
          </cell>
          <cell r="AB80" t="str">
            <v>Present</v>
          </cell>
          <cell r="AC80" t="str">
            <v>Outbound</v>
          </cell>
          <cell r="AD80" t="str">
            <v>Picking</v>
          </cell>
          <cell r="AE80" t="str">
            <v>Pick</v>
          </cell>
          <cell r="AF80" t="str">
            <v>Thursday</v>
          </cell>
          <cell r="AG80" t="str">
            <v>Friday</v>
          </cell>
          <cell r="AH80">
            <v>13</v>
          </cell>
          <cell r="AJ80">
            <v>46033</v>
          </cell>
          <cell r="AM80" t="str">
            <v>TEMP</v>
          </cell>
          <cell r="AN80" t="str">
            <v>3P Onsite Worker</v>
          </cell>
          <cell r="AO80" t="str">
            <v>A</v>
          </cell>
          <cell r="AP80">
            <v>9</v>
          </cell>
          <cell r="AQ80">
            <v>0</v>
          </cell>
          <cell r="AR80">
            <v>1</v>
          </cell>
          <cell r="AS80">
            <v>1</v>
          </cell>
          <cell r="AT80">
            <v>0</v>
          </cell>
          <cell r="AU80">
            <v>0</v>
          </cell>
        </row>
        <row r="81">
          <cell r="D81" t="str">
            <v>ambirlau</v>
          </cell>
          <cell r="E81">
            <v>206239216</v>
          </cell>
          <cell r="F81" t="str">
            <v>A</v>
          </cell>
          <cell r="G81" t="str">
            <v>GREEN</v>
          </cell>
          <cell r="H81" t="str">
            <v>FULL_TIME</v>
          </cell>
          <cell r="I81">
            <v>900234</v>
          </cell>
          <cell r="J81" t="str">
            <v>Fastlink Outsourcing</v>
          </cell>
          <cell r="K81" t="str">
            <v>LAURA AMBIRAKUM ANJOYONG</v>
          </cell>
          <cell r="L81" t="str">
            <v>Warehouse Associate (TEMP)</v>
          </cell>
          <cell r="M81" t="str">
            <v>Warehouse Associate 12M</v>
          </cell>
          <cell r="N81" t="str">
            <v>helrashd</v>
          </cell>
          <cell r="O81">
            <v>1299</v>
          </cell>
          <cell r="P81" t="str">
            <v>AUH1</v>
          </cell>
          <cell r="Q81" t="str">
            <v>ARE</v>
          </cell>
          <cell r="R81" t="str">
            <v>FC159</v>
          </cell>
          <cell r="S81" t="str">
            <v>Day Shift</v>
          </cell>
          <cell r="T81">
            <v>99</v>
          </cell>
          <cell r="U81" t="str">
            <v>MENA_UAE_FC</v>
          </cell>
          <cell r="V81">
            <v>46257.331250000003</v>
          </cell>
          <cell r="W81">
            <v>46257.75</v>
          </cell>
          <cell r="X81">
            <v>46257.333333333336</v>
          </cell>
          <cell r="Y81">
            <v>46257.75</v>
          </cell>
          <cell r="AA81" t="str">
            <v>Scheduled</v>
          </cell>
          <cell r="AB81" t="str">
            <v>Present</v>
          </cell>
          <cell r="AC81" t="str">
            <v>Outbound</v>
          </cell>
          <cell r="AD81" t="str">
            <v>Pack - Batch</v>
          </cell>
          <cell r="AE81" t="str">
            <v>Pack</v>
          </cell>
          <cell r="AF81" t="str">
            <v>Thursday</v>
          </cell>
          <cell r="AG81" t="str">
            <v>Friday</v>
          </cell>
          <cell r="AH81">
            <v>17</v>
          </cell>
          <cell r="AJ81">
            <v>45942</v>
          </cell>
          <cell r="AM81" t="str">
            <v>TEMP</v>
          </cell>
          <cell r="AN81" t="str">
            <v>3P Onsite Worker</v>
          </cell>
          <cell r="AO81" t="str">
            <v>A</v>
          </cell>
          <cell r="AP81">
            <v>9</v>
          </cell>
          <cell r="AQ81">
            <v>0</v>
          </cell>
          <cell r="AR81">
            <v>1</v>
          </cell>
          <cell r="AS81">
            <v>1</v>
          </cell>
          <cell r="AT81">
            <v>0</v>
          </cell>
          <cell r="AU81">
            <v>0</v>
          </cell>
        </row>
        <row r="82">
          <cell r="D82" t="str">
            <v>amizmoha</v>
          </cell>
          <cell r="E82">
            <v>204246604</v>
          </cell>
          <cell r="F82" t="str">
            <v>A</v>
          </cell>
          <cell r="G82" t="str">
            <v>GREEN</v>
          </cell>
          <cell r="H82" t="str">
            <v>FULL_TIME</v>
          </cell>
          <cell r="I82">
            <v>900234</v>
          </cell>
          <cell r="J82" t="str">
            <v>Quesscorp</v>
          </cell>
          <cell r="K82" t="str">
            <v>Mohammed Aminu</v>
          </cell>
          <cell r="L82" t="str">
            <v>Warehouse Associate (TEMP)</v>
          </cell>
          <cell r="M82" t="str">
            <v>Warehouse Associate 24M</v>
          </cell>
          <cell r="N82" t="str">
            <v>vkkatyal</v>
          </cell>
          <cell r="O82">
            <v>1299</v>
          </cell>
          <cell r="P82" t="str">
            <v>AUH1</v>
          </cell>
          <cell r="Q82" t="str">
            <v>ARE</v>
          </cell>
          <cell r="R82" t="str">
            <v>FC059</v>
          </cell>
          <cell r="S82" t="str">
            <v>Day Shift</v>
          </cell>
          <cell r="T82">
            <v>99</v>
          </cell>
          <cell r="U82" t="str">
            <v>MENA_UAE_FC</v>
          </cell>
          <cell r="X82">
            <v>46257.333333333336</v>
          </cell>
          <cell r="Y82">
            <v>46257.75</v>
          </cell>
          <cell r="Z82" t="str">
            <v>Rest Day</v>
          </cell>
          <cell r="AA82" t="str">
            <v>Not Scheduled</v>
          </cell>
          <cell r="AB82" t="str">
            <v>Not Present</v>
          </cell>
          <cell r="AC82" t="str">
            <v>Inbound</v>
          </cell>
          <cell r="AD82" t="str">
            <v>Inbound Stow</v>
          </cell>
          <cell r="AE82" t="str">
            <v>Stow</v>
          </cell>
          <cell r="AF82" t="str">
            <v>Sunday</v>
          </cell>
          <cell r="AG82" t="str">
            <v>Monday</v>
          </cell>
          <cell r="AH82">
            <v>3</v>
          </cell>
          <cell r="AJ82">
            <v>45578</v>
          </cell>
          <cell r="AM82" t="str">
            <v>TEMP</v>
          </cell>
          <cell r="AN82" t="str">
            <v>3P Onsite Worker</v>
          </cell>
          <cell r="AO82" t="str">
            <v>A</v>
          </cell>
          <cell r="AP82">
            <v>9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</row>
        <row r="83">
          <cell r="D83" t="str">
            <v>amkkamar</v>
          </cell>
          <cell r="E83">
            <v>206294541</v>
          </cell>
          <cell r="F83" t="str">
            <v>A</v>
          </cell>
          <cell r="G83" t="str">
            <v>GREEN</v>
          </cell>
          <cell r="H83" t="str">
            <v>FULL_TIME</v>
          </cell>
          <cell r="I83">
            <v>900234</v>
          </cell>
          <cell r="J83" t="str">
            <v>EFS Facilities Services</v>
          </cell>
          <cell r="K83" t="str">
            <v>AMIDU KAMARA</v>
          </cell>
          <cell r="L83" t="str">
            <v>Warehouse Associate (TEMP)</v>
          </cell>
          <cell r="M83" t="str">
            <v>Warehouse Associate 8W</v>
          </cell>
          <cell r="N83" t="str">
            <v>aanso</v>
          </cell>
          <cell r="O83">
            <v>1299</v>
          </cell>
          <cell r="P83" t="str">
            <v>AUH1</v>
          </cell>
          <cell r="Q83" t="str">
            <v>ARE</v>
          </cell>
          <cell r="R83" t="str">
            <v>LK017</v>
          </cell>
          <cell r="S83" t="str">
            <v>Night Shift</v>
          </cell>
          <cell r="T83">
            <v>99</v>
          </cell>
          <cell r="U83" t="str">
            <v>MENA_UAE_FC</v>
          </cell>
          <cell r="V83">
            <v>46257.754861111112</v>
          </cell>
          <cell r="X83">
            <v>46257.756944444445</v>
          </cell>
          <cell r="Y83">
            <v>46258.173611111109</v>
          </cell>
          <cell r="AA83" t="str">
            <v>Scheduled</v>
          </cell>
          <cell r="AB83" t="str">
            <v>Present</v>
          </cell>
          <cell r="AC83" t="str">
            <v>Customer returns</v>
          </cell>
          <cell r="AD83" t="str">
            <v>Customer Returns</v>
          </cell>
          <cell r="AE83" t="str">
            <v>Customer returns</v>
          </cell>
          <cell r="AF83" t="str">
            <v>Thursday</v>
          </cell>
          <cell r="AG83" t="str">
            <v>Friday</v>
          </cell>
          <cell r="AH83">
            <v>22</v>
          </cell>
          <cell r="AJ83">
            <v>45949</v>
          </cell>
          <cell r="AM83" t="str">
            <v>TEMP</v>
          </cell>
          <cell r="AN83" t="str">
            <v>3P Onsite Worker</v>
          </cell>
          <cell r="AO83" t="str">
            <v>A</v>
          </cell>
          <cell r="AP83">
            <v>9</v>
          </cell>
          <cell r="AQ83">
            <v>0</v>
          </cell>
          <cell r="AR83">
            <v>1</v>
          </cell>
          <cell r="AS83">
            <v>1</v>
          </cell>
          <cell r="AT83">
            <v>0</v>
          </cell>
          <cell r="AU83">
            <v>0</v>
          </cell>
        </row>
        <row r="84">
          <cell r="D84" t="str">
            <v>amoahabe</v>
          </cell>
          <cell r="E84">
            <v>206137331</v>
          </cell>
          <cell r="F84" t="str">
            <v>A</v>
          </cell>
          <cell r="G84" t="str">
            <v>GREEN</v>
          </cell>
          <cell r="H84" t="str">
            <v>FULL_TIME</v>
          </cell>
          <cell r="I84">
            <v>900234</v>
          </cell>
          <cell r="J84" t="str">
            <v>Fastlink Outsourcing</v>
          </cell>
          <cell r="K84" t="str">
            <v>Abednego Amoah</v>
          </cell>
          <cell r="L84" t="str">
            <v>Warehouse Associate (TEMP)</v>
          </cell>
          <cell r="M84" t="str">
            <v>Warehouse Associate 12M</v>
          </cell>
          <cell r="N84" t="str">
            <v>scariav</v>
          </cell>
          <cell r="O84">
            <v>1299</v>
          </cell>
          <cell r="P84" t="str">
            <v>AUH1</v>
          </cell>
          <cell r="Q84" t="str">
            <v>ARE</v>
          </cell>
          <cell r="R84" t="str">
            <v>LK011</v>
          </cell>
          <cell r="S84" t="str">
            <v>Night Shift</v>
          </cell>
          <cell r="T84">
            <v>99</v>
          </cell>
          <cell r="U84" t="str">
            <v>MENA_UAE_FC</v>
          </cell>
          <cell r="V84">
            <v>46257.755555555559</v>
          </cell>
          <cell r="X84">
            <v>46257.756944444445</v>
          </cell>
          <cell r="Y84">
            <v>46258.173611111109</v>
          </cell>
          <cell r="AA84" t="str">
            <v>Scheduled</v>
          </cell>
          <cell r="AB84" t="str">
            <v>Present</v>
          </cell>
          <cell r="AC84" t="str">
            <v>Outbound</v>
          </cell>
          <cell r="AD84" t="str">
            <v>Picking</v>
          </cell>
          <cell r="AE84" t="str">
            <v>Pick</v>
          </cell>
          <cell r="AF84" t="str">
            <v>Friday</v>
          </cell>
          <cell r="AG84" t="str">
            <v>Saturday</v>
          </cell>
          <cell r="AH84">
            <v>13</v>
          </cell>
          <cell r="AJ84">
            <v>45928</v>
          </cell>
          <cell r="AM84" t="str">
            <v>TEMP</v>
          </cell>
          <cell r="AN84" t="str">
            <v>3P Onsite Worker</v>
          </cell>
          <cell r="AO84" t="str">
            <v>A</v>
          </cell>
          <cell r="AP84">
            <v>9</v>
          </cell>
          <cell r="AQ84">
            <v>0</v>
          </cell>
          <cell r="AR84">
            <v>1</v>
          </cell>
          <cell r="AS84">
            <v>1</v>
          </cell>
          <cell r="AT84">
            <v>0</v>
          </cell>
          <cell r="AU84">
            <v>0</v>
          </cell>
        </row>
        <row r="85">
          <cell r="D85" t="str">
            <v>amoakviw</v>
          </cell>
          <cell r="E85">
            <v>203880236</v>
          </cell>
          <cell r="F85" t="str">
            <v>A</v>
          </cell>
          <cell r="G85" t="str">
            <v>GREEN</v>
          </cell>
          <cell r="H85" t="str">
            <v>FULL_TIME</v>
          </cell>
          <cell r="I85">
            <v>900234</v>
          </cell>
          <cell r="J85" t="str">
            <v>Fastlink Outsourcing</v>
          </cell>
          <cell r="K85" t="str">
            <v>Vida Amoako</v>
          </cell>
          <cell r="L85" t="str">
            <v>Warehouse Associate (TEMP)</v>
          </cell>
          <cell r="M85" t="str">
            <v>Warehouse Associate 12M</v>
          </cell>
          <cell r="N85" t="str">
            <v>nnahla</v>
          </cell>
          <cell r="O85">
            <v>1299</v>
          </cell>
          <cell r="P85" t="str">
            <v>AUH1</v>
          </cell>
          <cell r="Q85" t="str">
            <v>ARE</v>
          </cell>
          <cell r="R85" t="str">
            <v>FC059</v>
          </cell>
          <cell r="S85" t="str">
            <v>Day Shift</v>
          </cell>
          <cell r="T85">
            <v>99</v>
          </cell>
          <cell r="U85" t="str">
            <v>MENA_UAE_FC</v>
          </cell>
          <cell r="X85">
            <v>46257.333333333336</v>
          </cell>
          <cell r="Y85">
            <v>46257.75</v>
          </cell>
          <cell r="Z85" t="str">
            <v>Rest Day</v>
          </cell>
          <cell r="AA85" t="str">
            <v>Not Scheduled</v>
          </cell>
          <cell r="AB85" t="str">
            <v>Not Present</v>
          </cell>
          <cell r="AC85" t="str">
            <v>Inbound</v>
          </cell>
          <cell r="AD85" t="str">
            <v>Vendor Receive</v>
          </cell>
          <cell r="AE85" t="str">
            <v>Receive</v>
          </cell>
          <cell r="AF85" t="str">
            <v>Sunday</v>
          </cell>
          <cell r="AG85" t="str">
            <v>Monday</v>
          </cell>
          <cell r="AH85">
            <v>1</v>
          </cell>
          <cell r="AJ85">
            <v>45529</v>
          </cell>
          <cell r="AM85" t="str">
            <v>TEMP</v>
          </cell>
          <cell r="AN85" t="str">
            <v>3P Onsite Worker</v>
          </cell>
          <cell r="AO85" t="str">
            <v>A</v>
          </cell>
          <cell r="AP85">
            <v>9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</row>
        <row r="86">
          <cell r="D86" t="str">
            <v>amoelish</v>
          </cell>
          <cell r="E86">
            <v>203851106</v>
          </cell>
          <cell r="F86" t="str">
            <v>A</v>
          </cell>
          <cell r="G86" t="str">
            <v>GREEN</v>
          </cell>
          <cell r="H86" t="str">
            <v>FULL_TIME</v>
          </cell>
          <cell r="I86">
            <v>900234</v>
          </cell>
          <cell r="J86" t="str">
            <v>Fastlink Outsourcing</v>
          </cell>
          <cell r="K86" t="str">
            <v>Elisha Amoako</v>
          </cell>
          <cell r="L86" t="str">
            <v>Warehouse Associate (TEMP)</v>
          </cell>
          <cell r="M86" t="str">
            <v>Warehouse Associate 12M</v>
          </cell>
          <cell r="N86" t="str">
            <v>lraghava</v>
          </cell>
          <cell r="O86">
            <v>1299</v>
          </cell>
          <cell r="P86" t="str">
            <v>AUH1</v>
          </cell>
          <cell r="Q86" t="str">
            <v>ARE</v>
          </cell>
          <cell r="R86" t="str">
            <v>LK017</v>
          </cell>
          <cell r="S86" t="str">
            <v>Night Shift</v>
          </cell>
          <cell r="T86">
            <v>99</v>
          </cell>
          <cell r="U86" t="str">
            <v>MENA_UAE_FC</v>
          </cell>
          <cell r="V86">
            <v>46257.756249999999</v>
          </cell>
          <cell r="X86">
            <v>46257.756944444445</v>
          </cell>
          <cell r="Y86">
            <v>46258.173611111109</v>
          </cell>
          <cell r="AA86" t="str">
            <v>Scheduled</v>
          </cell>
          <cell r="AB86" t="str">
            <v>Present</v>
          </cell>
          <cell r="AC86" t="str">
            <v>Outbound</v>
          </cell>
          <cell r="AD86" t="str">
            <v>Pack - Single</v>
          </cell>
          <cell r="AE86" t="str">
            <v>Pack</v>
          </cell>
          <cell r="AF86" t="str">
            <v>Thursday</v>
          </cell>
          <cell r="AG86" t="str">
            <v>Friday</v>
          </cell>
          <cell r="AH86">
            <v>18</v>
          </cell>
          <cell r="AJ86">
            <v>45523</v>
          </cell>
          <cell r="AM86" t="str">
            <v>TEMP</v>
          </cell>
          <cell r="AN86" t="str">
            <v>3P Onsite Worker</v>
          </cell>
          <cell r="AO86" t="str">
            <v>A</v>
          </cell>
          <cell r="AP86">
            <v>9</v>
          </cell>
          <cell r="AQ86">
            <v>0</v>
          </cell>
          <cell r="AR86">
            <v>1</v>
          </cell>
          <cell r="AS86">
            <v>1</v>
          </cell>
          <cell r="AT86">
            <v>0</v>
          </cell>
          <cell r="AU86">
            <v>0</v>
          </cell>
        </row>
        <row r="87">
          <cell r="D87" t="str">
            <v>amosbeko</v>
          </cell>
          <cell r="E87">
            <v>203992092</v>
          </cell>
          <cell r="F87" t="str">
            <v>A</v>
          </cell>
          <cell r="G87" t="str">
            <v>GREEN</v>
          </cell>
          <cell r="H87" t="str">
            <v>FULL_TIME</v>
          </cell>
          <cell r="I87">
            <v>900234</v>
          </cell>
          <cell r="J87" t="str">
            <v>Fastlink Outsourcing</v>
          </cell>
          <cell r="K87" t="str">
            <v>Amos Bekoe</v>
          </cell>
          <cell r="L87" t="str">
            <v>Warehouse Associate (TEMP)</v>
          </cell>
          <cell r="M87" t="str">
            <v>Warehouse Associate 12M</v>
          </cell>
          <cell r="N87" t="str">
            <v>bizthoma</v>
          </cell>
          <cell r="O87">
            <v>1299</v>
          </cell>
          <cell r="P87" t="str">
            <v>AUH1</v>
          </cell>
          <cell r="Q87" t="str">
            <v>ARE</v>
          </cell>
          <cell r="R87" t="str">
            <v>LK011</v>
          </cell>
          <cell r="S87" t="str">
            <v>Night Shift</v>
          </cell>
          <cell r="T87">
            <v>99</v>
          </cell>
          <cell r="U87" t="str">
            <v>MENA_UAE_FC</v>
          </cell>
          <cell r="V87">
            <v>46257.754861111112</v>
          </cell>
          <cell r="X87">
            <v>46257.756944444445</v>
          </cell>
          <cell r="Y87">
            <v>46258.173611111109</v>
          </cell>
          <cell r="AA87" t="str">
            <v>Scheduled</v>
          </cell>
          <cell r="AB87" t="str">
            <v>Present</v>
          </cell>
          <cell r="AC87" t="str">
            <v>Outbound</v>
          </cell>
          <cell r="AD87" t="str">
            <v>Picking</v>
          </cell>
          <cell r="AE87" t="str">
            <v>Pick</v>
          </cell>
          <cell r="AF87" t="str">
            <v>Friday</v>
          </cell>
          <cell r="AG87" t="str">
            <v>Saturday</v>
          </cell>
          <cell r="AH87">
            <v>13</v>
          </cell>
          <cell r="AJ87">
            <v>45546</v>
          </cell>
          <cell r="AM87" t="str">
            <v>TEMP</v>
          </cell>
          <cell r="AN87" t="str">
            <v>3P Onsite Worker</v>
          </cell>
          <cell r="AO87" t="str">
            <v>A</v>
          </cell>
          <cell r="AP87">
            <v>9</v>
          </cell>
          <cell r="AQ87">
            <v>0</v>
          </cell>
          <cell r="AR87">
            <v>1</v>
          </cell>
          <cell r="AS87">
            <v>1</v>
          </cell>
          <cell r="AT87">
            <v>0</v>
          </cell>
          <cell r="AU87">
            <v>0</v>
          </cell>
        </row>
        <row r="88">
          <cell r="D88" t="str">
            <v>ampritac</v>
          </cell>
          <cell r="E88">
            <v>203341964</v>
          </cell>
          <cell r="F88" t="str">
            <v>A</v>
          </cell>
          <cell r="G88" t="str">
            <v>GREEN</v>
          </cell>
          <cell r="H88" t="str">
            <v>FULL_TIME</v>
          </cell>
          <cell r="I88">
            <v>900234</v>
          </cell>
          <cell r="J88" t="str">
            <v>Adecco</v>
          </cell>
          <cell r="K88" t="str">
            <v>RITA AMPONSAH</v>
          </cell>
          <cell r="L88" t="str">
            <v>Warehouse Associate (TEMP)</v>
          </cell>
          <cell r="M88" t="str">
            <v>Warehouse Associate 24M</v>
          </cell>
          <cell r="N88" t="str">
            <v>mnarshad</v>
          </cell>
          <cell r="O88">
            <v>1299</v>
          </cell>
          <cell r="P88" t="str">
            <v>AUH1</v>
          </cell>
          <cell r="Q88" t="str">
            <v>ARE</v>
          </cell>
          <cell r="R88" t="str">
            <v>LK012</v>
          </cell>
          <cell r="S88" t="str">
            <v>Night Shift</v>
          </cell>
          <cell r="T88">
            <v>99</v>
          </cell>
          <cell r="U88" t="str">
            <v>MENA_UAE_FC</v>
          </cell>
          <cell r="X88">
            <v>46257.756944444445</v>
          </cell>
          <cell r="Y88">
            <v>46258.173611111109</v>
          </cell>
          <cell r="Z88" t="str">
            <v>Rest Day</v>
          </cell>
          <cell r="AA88" t="str">
            <v>Not Scheduled</v>
          </cell>
          <cell r="AB88" t="str">
            <v>Not Present</v>
          </cell>
          <cell r="AC88" t="str">
            <v>Outbound</v>
          </cell>
          <cell r="AD88" t="str">
            <v>Picking</v>
          </cell>
          <cell r="AE88" t="str">
            <v>Pick</v>
          </cell>
          <cell r="AF88" t="str">
            <v>Saturday</v>
          </cell>
          <cell r="AG88" t="str">
            <v>Sunday</v>
          </cell>
          <cell r="AH88">
            <v>13</v>
          </cell>
          <cell r="AJ88">
            <v>45431</v>
          </cell>
          <cell r="AM88" t="str">
            <v>TEMP</v>
          </cell>
          <cell r="AN88" t="str">
            <v>3P Onsite Worker</v>
          </cell>
          <cell r="AO88" t="str">
            <v>A</v>
          </cell>
          <cell r="AP88">
            <v>9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</row>
        <row r="89">
          <cell r="D89" t="str">
            <v>amukclin</v>
          </cell>
          <cell r="E89">
            <v>206886517</v>
          </cell>
          <cell r="F89" t="str">
            <v>A</v>
          </cell>
          <cell r="G89" t="str">
            <v>GREEN</v>
          </cell>
          <cell r="H89" t="str">
            <v>REDUCED</v>
          </cell>
          <cell r="I89">
            <v>900234</v>
          </cell>
          <cell r="J89" t="str">
            <v>EFS Facilities Services</v>
          </cell>
          <cell r="K89" t="str">
            <v>CLINTON AMUKHOYWA</v>
          </cell>
          <cell r="L89" t="str">
            <v>Warehouse Associate (TEMP)</v>
          </cell>
          <cell r="M89" t="str">
            <v>Warehouse Associate 8W</v>
          </cell>
          <cell r="N89" t="str">
            <v>scariav</v>
          </cell>
          <cell r="O89">
            <v>1299</v>
          </cell>
          <cell r="P89" t="str">
            <v>AUH1</v>
          </cell>
          <cell r="Q89" t="str">
            <v>ARE</v>
          </cell>
          <cell r="R89" t="str">
            <v>FC557</v>
          </cell>
          <cell r="S89" t="str">
            <v>Night Shift</v>
          </cell>
          <cell r="T89">
            <v>99</v>
          </cell>
          <cell r="U89" t="str">
            <v>MENA_UAE_FC</v>
          </cell>
          <cell r="V89">
            <v>46257.755555555559</v>
          </cell>
          <cell r="X89">
            <v>46257.756944444445</v>
          </cell>
          <cell r="Y89">
            <v>46258.090277777781</v>
          </cell>
          <cell r="AA89" t="str">
            <v>Scheduled</v>
          </cell>
          <cell r="AB89" t="str">
            <v>Present</v>
          </cell>
          <cell r="AC89" t="str">
            <v>Outbound</v>
          </cell>
          <cell r="AD89" t="str">
            <v>Picking</v>
          </cell>
          <cell r="AE89" t="str">
            <v>Pick</v>
          </cell>
          <cell r="AF89" t="str">
            <v>Wednesday</v>
          </cell>
          <cell r="AG89" t="str">
            <v>Thursday</v>
          </cell>
          <cell r="AH89">
            <v>13</v>
          </cell>
          <cell r="AJ89">
            <v>46251</v>
          </cell>
          <cell r="AM89" t="str">
            <v>TEMP</v>
          </cell>
          <cell r="AN89" t="str">
            <v>3P Onsite Worker</v>
          </cell>
          <cell r="AO89" t="str">
            <v>A</v>
          </cell>
          <cell r="AP89">
            <v>7</v>
          </cell>
          <cell r="AQ89">
            <v>0</v>
          </cell>
          <cell r="AR89">
            <v>1</v>
          </cell>
          <cell r="AS89">
            <v>1</v>
          </cell>
          <cell r="AT89">
            <v>0</v>
          </cell>
          <cell r="AU89">
            <v>0</v>
          </cell>
        </row>
        <row r="90">
          <cell r="D90" t="str">
            <v>ananecle</v>
          </cell>
          <cell r="E90">
            <v>204967143</v>
          </cell>
          <cell r="F90" t="str">
            <v>A</v>
          </cell>
          <cell r="G90" t="str">
            <v>GREEN</v>
          </cell>
          <cell r="H90" t="str">
            <v>FULL_TIME</v>
          </cell>
          <cell r="I90">
            <v>900234</v>
          </cell>
          <cell r="J90" t="str">
            <v>Dulsco L.L.C.</v>
          </cell>
          <cell r="K90" t="str">
            <v>CLEMENT ANANE GEYI</v>
          </cell>
          <cell r="L90" t="str">
            <v>Warehouse Associate (TEMP)</v>
          </cell>
          <cell r="M90" t="str">
            <v>Warehouse Associate 24M</v>
          </cell>
          <cell r="N90" t="str">
            <v>vkkatyal</v>
          </cell>
          <cell r="O90">
            <v>1299</v>
          </cell>
          <cell r="P90" t="str">
            <v>AUH1</v>
          </cell>
          <cell r="Q90" t="str">
            <v>ARE</v>
          </cell>
          <cell r="R90" t="str">
            <v>FC109</v>
          </cell>
          <cell r="S90" t="str">
            <v>Day Shift</v>
          </cell>
          <cell r="T90">
            <v>99</v>
          </cell>
          <cell r="U90" t="str">
            <v>MENA_UAE_FC</v>
          </cell>
          <cell r="V90">
            <v>46257.331944444442</v>
          </cell>
          <cell r="W90">
            <v>46257.749305555553</v>
          </cell>
          <cell r="X90">
            <v>46257.333333333336</v>
          </cell>
          <cell r="Y90">
            <v>46257.75</v>
          </cell>
          <cell r="AA90" t="str">
            <v>Scheduled</v>
          </cell>
          <cell r="AB90" t="str">
            <v>Present</v>
          </cell>
          <cell r="AC90" t="str">
            <v>Inbound</v>
          </cell>
          <cell r="AD90" t="str">
            <v>Inbound Stow</v>
          </cell>
          <cell r="AE90" t="str">
            <v>Stow</v>
          </cell>
          <cell r="AF90" t="str">
            <v>Tuesday</v>
          </cell>
          <cell r="AG90" t="str">
            <v>Wednesday</v>
          </cell>
          <cell r="AH90">
            <v>3</v>
          </cell>
          <cell r="AJ90">
            <v>45825</v>
          </cell>
          <cell r="AM90" t="str">
            <v>TEMP</v>
          </cell>
          <cell r="AN90" t="str">
            <v>3P Onsite Worker</v>
          </cell>
          <cell r="AO90" t="str">
            <v>A</v>
          </cell>
          <cell r="AP90">
            <v>9</v>
          </cell>
          <cell r="AQ90">
            <v>0</v>
          </cell>
          <cell r="AR90">
            <v>1</v>
          </cell>
          <cell r="AS90">
            <v>1</v>
          </cell>
          <cell r="AT90">
            <v>0</v>
          </cell>
          <cell r="AU90">
            <v>0</v>
          </cell>
        </row>
        <row r="91">
          <cell r="D91" t="str">
            <v>ananjosp</v>
          </cell>
          <cell r="E91">
            <v>203817155</v>
          </cell>
          <cell r="F91" t="str">
            <v>A</v>
          </cell>
          <cell r="G91" t="str">
            <v>GREEN</v>
          </cell>
          <cell r="H91" t="str">
            <v>FULL_TIME</v>
          </cell>
          <cell r="I91">
            <v>900234</v>
          </cell>
          <cell r="J91" t="str">
            <v>Fastlink Outsourcing</v>
          </cell>
          <cell r="K91" t="str">
            <v>JOSEPH ANANG</v>
          </cell>
          <cell r="L91" t="str">
            <v>Warehouse Associate (TEMP)</v>
          </cell>
          <cell r="M91" t="str">
            <v>Warehouse Associate 12M</v>
          </cell>
          <cell r="N91" t="str">
            <v>bavameer</v>
          </cell>
          <cell r="O91">
            <v>1299</v>
          </cell>
          <cell r="P91" t="str">
            <v>AUH1</v>
          </cell>
          <cell r="Q91" t="str">
            <v>ARE</v>
          </cell>
          <cell r="R91" t="str">
            <v>FC084</v>
          </cell>
          <cell r="S91" t="str">
            <v>Day Shift</v>
          </cell>
          <cell r="T91">
            <v>99</v>
          </cell>
          <cell r="U91" t="str">
            <v>MENA_UAE_FC</v>
          </cell>
          <cell r="V91">
            <v>46257.332638888889</v>
          </cell>
          <cell r="W91">
            <v>46257.747916666667</v>
          </cell>
          <cell r="X91">
            <v>46257.333333333336</v>
          </cell>
          <cell r="Y91">
            <v>46257.75</v>
          </cell>
          <cell r="AA91" t="str">
            <v>Scheduled</v>
          </cell>
          <cell r="AB91" t="str">
            <v>Present</v>
          </cell>
          <cell r="AC91" t="str">
            <v>Customer returns</v>
          </cell>
          <cell r="AD91" t="str">
            <v>Customer Returns</v>
          </cell>
          <cell r="AE91" t="str">
            <v>Customer returns</v>
          </cell>
          <cell r="AF91" t="str">
            <v>Monday</v>
          </cell>
          <cell r="AG91" t="str">
            <v>Tuesday</v>
          </cell>
          <cell r="AH91">
            <v>22</v>
          </cell>
          <cell r="AJ91">
            <v>45516</v>
          </cell>
          <cell r="AM91" t="str">
            <v>TEMP</v>
          </cell>
          <cell r="AN91" t="str">
            <v>3P Onsite Worker</v>
          </cell>
          <cell r="AO91" t="str">
            <v>A</v>
          </cell>
          <cell r="AP91">
            <v>9</v>
          </cell>
          <cell r="AQ91">
            <v>0</v>
          </cell>
          <cell r="AR91">
            <v>1</v>
          </cell>
          <cell r="AS91">
            <v>1</v>
          </cell>
          <cell r="AT91">
            <v>0</v>
          </cell>
          <cell r="AU91">
            <v>0</v>
          </cell>
        </row>
        <row r="92">
          <cell r="D92" t="str">
            <v>andebayi</v>
          </cell>
          <cell r="E92">
            <v>206504126</v>
          </cell>
          <cell r="F92" t="str">
            <v>A</v>
          </cell>
          <cell r="G92" t="str">
            <v>GREEN</v>
          </cell>
          <cell r="H92" t="str">
            <v>FULL_TIME</v>
          </cell>
          <cell r="I92">
            <v>900234</v>
          </cell>
          <cell r="J92" t="str">
            <v>Dulsco L.L.C.</v>
          </cell>
          <cell r="K92" t="str">
            <v>BAYINGANA ANDERSON</v>
          </cell>
          <cell r="L92" t="str">
            <v>Warehouse Associate (TEMP)</v>
          </cell>
          <cell r="M92" t="str">
            <v>Warehouse Associate 24M</v>
          </cell>
          <cell r="N92" t="str">
            <v>vkkatyal</v>
          </cell>
          <cell r="O92">
            <v>1299</v>
          </cell>
          <cell r="P92" t="str">
            <v>AUH1</v>
          </cell>
          <cell r="Q92" t="str">
            <v>ARE</v>
          </cell>
          <cell r="R92" t="str">
            <v>FC059</v>
          </cell>
          <cell r="S92" t="str">
            <v>Day Shift</v>
          </cell>
          <cell r="T92">
            <v>99</v>
          </cell>
          <cell r="U92" t="str">
            <v>MENA_UAE_FC</v>
          </cell>
          <cell r="X92">
            <v>46257.333333333336</v>
          </cell>
          <cell r="Y92">
            <v>46257.75</v>
          </cell>
          <cell r="Z92" t="str">
            <v>Rest Day</v>
          </cell>
          <cell r="AA92" t="str">
            <v>Not Scheduled</v>
          </cell>
          <cell r="AB92" t="str">
            <v>Not Present</v>
          </cell>
          <cell r="AC92" t="str">
            <v>Inbound</v>
          </cell>
          <cell r="AD92" t="str">
            <v>Inbound Stow</v>
          </cell>
          <cell r="AE92" t="str">
            <v>Stow</v>
          </cell>
          <cell r="AF92" t="str">
            <v>Sunday</v>
          </cell>
          <cell r="AG92" t="str">
            <v>Monday</v>
          </cell>
          <cell r="AH92">
            <v>3</v>
          </cell>
          <cell r="AJ92">
            <v>45970</v>
          </cell>
          <cell r="AM92" t="str">
            <v>TEMP</v>
          </cell>
          <cell r="AN92" t="str">
            <v>3P Onsite Worker</v>
          </cell>
          <cell r="AO92" t="str">
            <v>A</v>
          </cell>
          <cell r="AP92">
            <v>9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</row>
        <row r="93">
          <cell r="D93" t="str">
            <v>andleemu</v>
          </cell>
          <cell r="E93">
            <v>205275634</v>
          </cell>
          <cell r="F93" t="str">
            <v>A</v>
          </cell>
          <cell r="G93" t="str">
            <v>GREEN</v>
          </cell>
          <cell r="H93" t="str">
            <v>FULL_TIME</v>
          </cell>
          <cell r="I93">
            <v>900234</v>
          </cell>
          <cell r="J93" t="str">
            <v>EFS Facilities Services</v>
          </cell>
          <cell r="K93" t="str">
            <v>Lee Muriuki Ndeke</v>
          </cell>
          <cell r="L93" t="str">
            <v>Warehouse Associate (TEMP)</v>
          </cell>
          <cell r="M93" t="str">
            <v>Warehouse Associate 8W</v>
          </cell>
          <cell r="N93" t="str">
            <v>ansammar</v>
          </cell>
          <cell r="O93">
            <v>1299</v>
          </cell>
          <cell r="P93" t="str">
            <v>AUH1</v>
          </cell>
          <cell r="Q93" t="str">
            <v>ARE</v>
          </cell>
          <cell r="R93" t="str">
            <v>FC009</v>
          </cell>
          <cell r="S93" t="str">
            <v>Day Shift</v>
          </cell>
          <cell r="T93">
            <v>99</v>
          </cell>
          <cell r="U93" t="str">
            <v>MENA_UAE_FC</v>
          </cell>
          <cell r="V93">
            <v>46257.331250000003</v>
          </cell>
          <cell r="W93">
            <v>46257.748611111114</v>
          </cell>
          <cell r="X93">
            <v>46257.333333333336</v>
          </cell>
          <cell r="Y93">
            <v>46257.75</v>
          </cell>
          <cell r="AA93" t="str">
            <v>Scheduled</v>
          </cell>
          <cell r="AB93" t="str">
            <v>Present</v>
          </cell>
          <cell r="AC93" t="str">
            <v>Outbound</v>
          </cell>
          <cell r="AD93" t="str">
            <v>Picking</v>
          </cell>
          <cell r="AE93" t="str">
            <v>Pick</v>
          </cell>
          <cell r="AF93" t="str">
            <v>Friday</v>
          </cell>
          <cell r="AG93" t="str">
            <v>Saturday</v>
          </cell>
          <cell r="AH93">
            <v>13</v>
          </cell>
          <cell r="AJ93">
            <v>45791</v>
          </cell>
          <cell r="AM93" t="str">
            <v>TEMP</v>
          </cell>
          <cell r="AN93" t="str">
            <v>3P Onsite Worker</v>
          </cell>
          <cell r="AO93" t="str">
            <v>A</v>
          </cell>
          <cell r="AP93">
            <v>9</v>
          </cell>
          <cell r="AQ93">
            <v>0</v>
          </cell>
          <cell r="AR93">
            <v>1</v>
          </cell>
          <cell r="AS93">
            <v>1</v>
          </cell>
          <cell r="AT93">
            <v>0</v>
          </cell>
          <cell r="AU93">
            <v>0</v>
          </cell>
        </row>
        <row r="94">
          <cell r="D94" t="str">
            <v>andmutun</v>
          </cell>
          <cell r="E94">
            <v>206930700</v>
          </cell>
          <cell r="F94" t="str">
            <v>A</v>
          </cell>
          <cell r="G94" t="str">
            <v>GREEN</v>
          </cell>
          <cell r="H94" t="str">
            <v>FULL_TIME</v>
          </cell>
          <cell r="I94">
            <v>900234</v>
          </cell>
          <cell r="J94" t="str">
            <v>Dulsco L.L.C.</v>
          </cell>
          <cell r="K94" t="str">
            <v>ANDREW MUTUNGI</v>
          </cell>
          <cell r="L94" t="str">
            <v>Warehouse Associate (TEMP)</v>
          </cell>
          <cell r="M94" t="str">
            <v>Warehouse Associate 24M</v>
          </cell>
          <cell r="N94" t="str">
            <v>aanso</v>
          </cell>
          <cell r="O94">
            <v>1299</v>
          </cell>
          <cell r="P94" t="str">
            <v>AUH1</v>
          </cell>
          <cell r="Q94" t="str">
            <v>ARE</v>
          </cell>
          <cell r="R94" t="str">
            <v>FC034</v>
          </cell>
          <cell r="S94" t="str">
            <v>Day Shift</v>
          </cell>
          <cell r="T94">
            <v>99</v>
          </cell>
          <cell r="U94" t="str">
            <v>MENA_UAE_FC</v>
          </cell>
          <cell r="X94">
            <v>46257.333333333336</v>
          </cell>
          <cell r="Y94">
            <v>46257.75</v>
          </cell>
          <cell r="Z94" t="str">
            <v>Rest Day</v>
          </cell>
          <cell r="AA94" t="str">
            <v>Not Scheduled</v>
          </cell>
          <cell r="AB94" t="str">
            <v>Not Present</v>
          </cell>
          <cell r="AC94" t="str">
            <v>Customer returns</v>
          </cell>
          <cell r="AD94" t="str">
            <v>Customer Returns</v>
          </cell>
          <cell r="AE94" t="str">
            <v>Customer returns</v>
          </cell>
          <cell r="AF94" t="str">
            <v>Saturday</v>
          </cell>
          <cell r="AG94" t="str">
            <v>Sunday</v>
          </cell>
          <cell r="AH94">
            <v>22</v>
          </cell>
          <cell r="AJ94">
            <v>46047</v>
          </cell>
          <cell r="AM94" t="str">
            <v>TEMP</v>
          </cell>
          <cell r="AN94" t="str">
            <v>3P Onsite Worker</v>
          </cell>
          <cell r="AO94" t="str">
            <v>A</v>
          </cell>
          <cell r="AP94">
            <v>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</row>
        <row r="95">
          <cell r="D95" t="str">
            <v>andrmulv</v>
          </cell>
          <cell r="E95">
            <v>205977116</v>
          </cell>
          <cell r="F95" t="str">
            <v>A</v>
          </cell>
          <cell r="G95" t="str">
            <v>GREEN</v>
          </cell>
          <cell r="H95" t="str">
            <v>FULL_TIME</v>
          </cell>
          <cell r="I95">
            <v>900234</v>
          </cell>
          <cell r="J95" t="str">
            <v>Dulsco L.L.C.</v>
          </cell>
          <cell r="K95" t="str">
            <v>ANDREW MULUUTA</v>
          </cell>
          <cell r="L95" t="str">
            <v>Warehouse Associate (TEMP)</v>
          </cell>
          <cell r="M95" t="str">
            <v>Warehouse Associate 24M</v>
          </cell>
          <cell r="N95" t="str">
            <v>bizthoma</v>
          </cell>
          <cell r="O95">
            <v>1299</v>
          </cell>
          <cell r="P95" t="str">
            <v>AUH1</v>
          </cell>
          <cell r="Q95" t="str">
            <v>ARE</v>
          </cell>
          <cell r="R95" t="str">
            <v>FC084</v>
          </cell>
          <cell r="S95" t="str">
            <v>Day Shift</v>
          </cell>
          <cell r="T95">
            <v>99</v>
          </cell>
          <cell r="U95" t="str">
            <v>MENA_UAE_FC</v>
          </cell>
          <cell r="V95">
            <v>46257.332638888889</v>
          </cell>
          <cell r="W95">
            <v>46257.746527777781</v>
          </cell>
          <cell r="X95">
            <v>46257.333333333336</v>
          </cell>
          <cell r="Y95">
            <v>46257.75</v>
          </cell>
          <cell r="AA95" t="str">
            <v>Scheduled</v>
          </cell>
          <cell r="AB95" t="str">
            <v>Present</v>
          </cell>
          <cell r="AC95" t="str">
            <v>Outbound</v>
          </cell>
          <cell r="AD95" t="str">
            <v>Picking</v>
          </cell>
          <cell r="AE95" t="str">
            <v>Pick</v>
          </cell>
          <cell r="AF95" t="str">
            <v>Monday</v>
          </cell>
          <cell r="AG95" t="str">
            <v>Tuesday</v>
          </cell>
          <cell r="AH95">
            <v>13</v>
          </cell>
          <cell r="AJ95">
            <v>45914</v>
          </cell>
          <cell r="AM95" t="str">
            <v>TEMP</v>
          </cell>
          <cell r="AN95" t="str">
            <v>3P Onsite Worker</v>
          </cell>
          <cell r="AO95" t="str">
            <v>A</v>
          </cell>
          <cell r="AP95">
            <v>9</v>
          </cell>
          <cell r="AQ95">
            <v>0</v>
          </cell>
          <cell r="AR95">
            <v>1</v>
          </cell>
          <cell r="AS95">
            <v>1</v>
          </cell>
          <cell r="AT95">
            <v>0</v>
          </cell>
          <cell r="AU95">
            <v>0</v>
          </cell>
        </row>
        <row r="96">
          <cell r="D96" t="str">
            <v>andssema</v>
          </cell>
          <cell r="E96">
            <v>203850772</v>
          </cell>
          <cell r="F96" t="str">
            <v>A</v>
          </cell>
          <cell r="G96" t="str">
            <v>GREEN</v>
          </cell>
          <cell r="H96" t="str">
            <v>FULL_TIME</v>
          </cell>
          <cell r="I96">
            <v>900234</v>
          </cell>
          <cell r="J96" t="str">
            <v>Dulsco L.L.C.</v>
          </cell>
          <cell r="K96" t="str">
            <v>Andrew Ssemanda</v>
          </cell>
          <cell r="L96" t="str">
            <v>Warehouse Associate (TEMP)</v>
          </cell>
          <cell r="M96" t="str">
            <v>Warehouse Associate 8W</v>
          </cell>
          <cell r="N96" t="str">
            <v>ansammar</v>
          </cell>
          <cell r="O96">
            <v>1299</v>
          </cell>
          <cell r="P96" t="str">
            <v>AUH1</v>
          </cell>
          <cell r="Q96" t="str">
            <v>ARE</v>
          </cell>
          <cell r="R96" t="str">
            <v>LK016</v>
          </cell>
          <cell r="S96" t="str">
            <v>Night Shift</v>
          </cell>
          <cell r="T96">
            <v>99</v>
          </cell>
          <cell r="U96" t="str">
            <v>MENA_UAE_FC</v>
          </cell>
          <cell r="V96">
            <v>46257.757638888892</v>
          </cell>
          <cell r="X96">
            <v>46257.756944444445</v>
          </cell>
          <cell r="Y96">
            <v>46258.173611111109</v>
          </cell>
          <cell r="AA96" t="str">
            <v>Scheduled</v>
          </cell>
          <cell r="AB96" t="str">
            <v>Present</v>
          </cell>
          <cell r="AC96" t="str">
            <v>Outbound</v>
          </cell>
          <cell r="AD96" t="str">
            <v>Picking</v>
          </cell>
          <cell r="AE96" t="str">
            <v>Pick</v>
          </cell>
          <cell r="AF96" t="str">
            <v>Wednesday</v>
          </cell>
          <cell r="AG96" t="str">
            <v>Thursday</v>
          </cell>
          <cell r="AH96">
            <v>13</v>
          </cell>
          <cell r="AJ96">
            <v>45523</v>
          </cell>
          <cell r="AM96" t="str">
            <v>TEMP</v>
          </cell>
          <cell r="AN96" t="str">
            <v>3P Onsite Worker</v>
          </cell>
          <cell r="AO96" t="str">
            <v>A</v>
          </cell>
          <cell r="AP96">
            <v>9</v>
          </cell>
          <cell r="AQ96">
            <v>0</v>
          </cell>
          <cell r="AR96">
            <v>1</v>
          </cell>
          <cell r="AS96">
            <v>1</v>
          </cell>
          <cell r="AT96">
            <v>0</v>
          </cell>
          <cell r="AU96">
            <v>0</v>
          </cell>
        </row>
        <row r="97">
          <cell r="D97" t="str">
            <v>aninanur</v>
          </cell>
          <cell r="E97">
            <v>203341965</v>
          </cell>
          <cell r="F97" t="str">
            <v>A</v>
          </cell>
          <cell r="G97" t="str">
            <v>GREEN</v>
          </cell>
          <cell r="H97" t="str">
            <v>FULL_TIME</v>
          </cell>
          <cell r="I97">
            <v>900234</v>
          </cell>
          <cell r="J97" t="str">
            <v>Adecco</v>
          </cell>
          <cell r="K97" t="str">
            <v>ANURAG ANILAN</v>
          </cell>
          <cell r="L97" t="str">
            <v>Warehouse Associate (TEMP)</v>
          </cell>
          <cell r="M97" t="str">
            <v>Warehouse Associate 24M</v>
          </cell>
          <cell r="N97" t="str">
            <v>mnarshad</v>
          </cell>
          <cell r="O97">
            <v>1299</v>
          </cell>
          <cell r="P97" t="str">
            <v>AUH1</v>
          </cell>
          <cell r="Q97" t="str">
            <v>ARE</v>
          </cell>
          <cell r="R97" t="str">
            <v>LK016</v>
          </cell>
          <cell r="S97" t="str">
            <v>Night Shift</v>
          </cell>
          <cell r="T97">
            <v>99</v>
          </cell>
          <cell r="U97" t="str">
            <v>MENA_UAE_FC</v>
          </cell>
          <cell r="V97">
            <v>46257.744444444441</v>
          </cell>
          <cell r="X97">
            <v>46257.756944444445</v>
          </cell>
          <cell r="Y97">
            <v>46258.173611111109</v>
          </cell>
          <cell r="AA97" t="str">
            <v>Scheduled</v>
          </cell>
          <cell r="AB97" t="str">
            <v>Present</v>
          </cell>
          <cell r="AC97" t="str">
            <v>Outbound</v>
          </cell>
          <cell r="AD97" t="str">
            <v>Pack - Single</v>
          </cell>
          <cell r="AE97" t="str">
            <v>Pack</v>
          </cell>
          <cell r="AF97" t="str">
            <v>Wednesday</v>
          </cell>
          <cell r="AG97" t="str">
            <v>Thursday</v>
          </cell>
          <cell r="AH97">
            <v>18</v>
          </cell>
          <cell r="AJ97">
            <v>45431</v>
          </cell>
          <cell r="AM97" t="str">
            <v>TEMP</v>
          </cell>
          <cell r="AN97" t="str">
            <v>3P Onsite Worker</v>
          </cell>
          <cell r="AO97" t="str">
            <v>A</v>
          </cell>
          <cell r="AP97">
            <v>9</v>
          </cell>
          <cell r="AQ97">
            <v>0</v>
          </cell>
          <cell r="AR97">
            <v>1</v>
          </cell>
          <cell r="AS97">
            <v>1</v>
          </cell>
          <cell r="AT97">
            <v>0</v>
          </cell>
          <cell r="AU97">
            <v>0</v>
          </cell>
        </row>
        <row r="98">
          <cell r="D98" t="str">
            <v>anndila</v>
          </cell>
          <cell r="E98">
            <v>205846573</v>
          </cell>
          <cell r="F98" t="str">
            <v>A</v>
          </cell>
          <cell r="G98" t="str">
            <v>GREEN</v>
          </cell>
          <cell r="H98" t="str">
            <v>FULL_TIME</v>
          </cell>
          <cell r="I98">
            <v>900234</v>
          </cell>
          <cell r="J98" t="str">
            <v>EFS Facilities Services</v>
          </cell>
          <cell r="K98" t="str">
            <v>ANN NDILA KIKUNG'A</v>
          </cell>
          <cell r="L98" t="str">
            <v>Warehouse Associate (TEMP)</v>
          </cell>
          <cell r="M98" t="str">
            <v>Warehouse Associate 8W</v>
          </cell>
          <cell r="N98" t="str">
            <v>scariav</v>
          </cell>
          <cell r="O98">
            <v>1299</v>
          </cell>
          <cell r="P98" t="str">
            <v>AUH1</v>
          </cell>
          <cell r="Q98" t="str">
            <v>ARE</v>
          </cell>
          <cell r="R98" t="str">
            <v>LK016</v>
          </cell>
          <cell r="S98" t="str">
            <v>Night Shift</v>
          </cell>
          <cell r="T98">
            <v>99</v>
          </cell>
          <cell r="U98" t="str">
            <v>MENA_UAE_FC</v>
          </cell>
          <cell r="V98">
            <v>46257.756944444445</v>
          </cell>
          <cell r="X98">
            <v>46257.756944444445</v>
          </cell>
          <cell r="Y98">
            <v>46258.173611111109</v>
          </cell>
          <cell r="AA98" t="str">
            <v>Scheduled</v>
          </cell>
          <cell r="AB98" t="str">
            <v>Present</v>
          </cell>
          <cell r="AC98" t="str">
            <v>Outbound</v>
          </cell>
          <cell r="AD98" t="str">
            <v>Picking</v>
          </cell>
          <cell r="AE98" t="str">
            <v>Pick</v>
          </cell>
          <cell r="AF98" t="str">
            <v>Wednesday</v>
          </cell>
          <cell r="AG98" t="str">
            <v>Thursday</v>
          </cell>
          <cell r="AH98">
            <v>13</v>
          </cell>
          <cell r="AJ98">
            <v>45893</v>
          </cell>
          <cell r="AM98" t="str">
            <v>TEMP</v>
          </cell>
          <cell r="AN98" t="str">
            <v>3P Onsite Worker</v>
          </cell>
          <cell r="AO98" t="str">
            <v>A</v>
          </cell>
          <cell r="AP98">
            <v>9</v>
          </cell>
          <cell r="AQ98">
            <v>0</v>
          </cell>
          <cell r="AR98">
            <v>1</v>
          </cell>
          <cell r="AS98">
            <v>1</v>
          </cell>
          <cell r="AT98">
            <v>0</v>
          </cell>
          <cell r="AU98">
            <v>0</v>
          </cell>
        </row>
        <row r="99">
          <cell r="D99" t="str">
            <v>anniipro</v>
          </cell>
          <cell r="E99">
            <v>204967046</v>
          </cell>
          <cell r="F99" t="str">
            <v>A</v>
          </cell>
          <cell r="G99" t="str">
            <v>GREEN</v>
          </cell>
          <cell r="H99" t="str">
            <v>FULL_TIME</v>
          </cell>
          <cell r="I99">
            <v>900234</v>
          </cell>
          <cell r="J99" t="str">
            <v>Dulsco L.L.C.</v>
          </cell>
          <cell r="K99" t="str">
            <v>PROSPER ANNI</v>
          </cell>
          <cell r="L99" t="str">
            <v>Warehouse Associate (TEMP)</v>
          </cell>
          <cell r="M99" t="str">
            <v>Warehouse Associate 8W</v>
          </cell>
          <cell r="N99" t="str">
            <v>vkkatyal</v>
          </cell>
          <cell r="O99">
            <v>1299</v>
          </cell>
          <cell r="P99" t="str">
            <v>AUH1</v>
          </cell>
          <cell r="Q99" t="str">
            <v>ARE</v>
          </cell>
          <cell r="R99" t="str">
            <v>FC059</v>
          </cell>
          <cell r="S99" t="str">
            <v>Day Shift</v>
          </cell>
          <cell r="T99">
            <v>99</v>
          </cell>
          <cell r="U99" t="str">
            <v>MENA_UAE_FC</v>
          </cell>
          <cell r="X99">
            <v>46257.333333333336</v>
          </cell>
          <cell r="Y99">
            <v>46257.75</v>
          </cell>
          <cell r="Z99" t="str">
            <v>Rest Day</v>
          </cell>
          <cell r="AA99" t="str">
            <v>Not Scheduled</v>
          </cell>
          <cell r="AB99" t="str">
            <v>Not Present</v>
          </cell>
          <cell r="AC99" t="str">
            <v>Inbound</v>
          </cell>
          <cell r="AD99" t="str">
            <v>Inbound Stow</v>
          </cell>
          <cell r="AE99" t="str">
            <v>Stow</v>
          </cell>
          <cell r="AF99" t="str">
            <v>Sunday</v>
          </cell>
          <cell r="AG99" t="str">
            <v>Monday</v>
          </cell>
          <cell r="AH99">
            <v>3</v>
          </cell>
          <cell r="AJ99">
            <v>45825</v>
          </cell>
          <cell r="AM99" t="str">
            <v>TEMP</v>
          </cell>
          <cell r="AN99" t="str">
            <v>3P Onsite Worker</v>
          </cell>
          <cell r="AO99" t="str">
            <v>A</v>
          </cell>
          <cell r="AP99">
            <v>9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</row>
        <row r="100">
          <cell r="D100" t="str">
            <v>annojust</v>
          </cell>
          <cell r="E100">
            <v>204868506</v>
          </cell>
          <cell r="F100" t="str">
            <v>A</v>
          </cell>
          <cell r="G100" t="str">
            <v>GREEN</v>
          </cell>
          <cell r="H100" t="str">
            <v>FULL_TIME</v>
          </cell>
          <cell r="I100">
            <v>900234</v>
          </cell>
          <cell r="J100" t="str">
            <v>Dulsco L.L.C.</v>
          </cell>
          <cell r="K100" t="str">
            <v>JUSTICE ANNOBIL</v>
          </cell>
          <cell r="L100" t="str">
            <v>Warehouse Associate (TEMP)</v>
          </cell>
          <cell r="M100" t="str">
            <v>Warehouse Associate 24M</v>
          </cell>
          <cell r="N100" t="str">
            <v>mnarshad</v>
          </cell>
          <cell r="O100">
            <v>1299</v>
          </cell>
          <cell r="P100" t="str">
            <v>AUH1</v>
          </cell>
          <cell r="Q100" t="str">
            <v>ARE</v>
          </cell>
          <cell r="R100" t="str">
            <v>FC084</v>
          </cell>
          <cell r="S100" t="str">
            <v>Day Shift</v>
          </cell>
          <cell r="T100">
            <v>99</v>
          </cell>
          <cell r="U100" t="str">
            <v>MENA_UAE_FC</v>
          </cell>
          <cell r="V100">
            <v>46257.331250000003</v>
          </cell>
          <cell r="W100">
            <v>46257.74722222222</v>
          </cell>
          <cell r="X100">
            <v>46257.333333333336</v>
          </cell>
          <cell r="Y100">
            <v>46257.75</v>
          </cell>
          <cell r="AA100" t="str">
            <v>Scheduled</v>
          </cell>
          <cell r="AB100" t="str">
            <v>Present</v>
          </cell>
          <cell r="AC100" t="str">
            <v>Outbound</v>
          </cell>
          <cell r="AD100" t="str">
            <v>Picking</v>
          </cell>
          <cell r="AE100" t="str">
            <v>Pick</v>
          </cell>
          <cell r="AF100" t="str">
            <v>Monday</v>
          </cell>
          <cell r="AG100" t="str">
            <v>Tuesday</v>
          </cell>
          <cell r="AH100">
            <v>13</v>
          </cell>
          <cell r="AJ100">
            <v>45788</v>
          </cell>
          <cell r="AM100" t="str">
            <v>TEMP</v>
          </cell>
          <cell r="AN100" t="str">
            <v>3P Onsite Worker</v>
          </cell>
          <cell r="AO100" t="str">
            <v>A</v>
          </cell>
          <cell r="AP100">
            <v>9</v>
          </cell>
          <cell r="AQ100">
            <v>0</v>
          </cell>
          <cell r="AR100">
            <v>1</v>
          </cell>
          <cell r="AS100">
            <v>1</v>
          </cell>
          <cell r="AT100">
            <v>0</v>
          </cell>
          <cell r="AU100">
            <v>0</v>
          </cell>
        </row>
        <row r="101">
          <cell r="D101" t="str">
            <v>annwamum</v>
          </cell>
          <cell r="E101">
            <v>206930130</v>
          </cell>
          <cell r="F101" t="str">
            <v>A</v>
          </cell>
          <cell r="G101" t="str">
            <v>GREEN</v>
          </cell>
          <cell r="H101" t="str">
            <v>FULL_TIME</v>
          </cell>
          <cell r="I101">
            <v>900234</v>
          </cell>
          <cell r="J101" t="str">
            <v>EFS Facilities Services</v>
          </cell>
          <cell r="K101" t="str">
            <v>ANN WAMBUI MUHIAH</v>
          </cell>
          <cell r="L101" t="str">
            <v>Warehouse Associate (TEMP)</v>
          </cell>
          <cell r="M101" t="str">
            <v>Warehouse Associate 12M</v>
          </cell>
          <cell r="N101" t="str">
            <v>bizthoma</v>
          </cell>
          <cell r="O101">
            <v>1299</v>
          </cell>
          <cell r="P101" t="str">
            <v>AUH1</v>
          </cell>
          <cell r="Q101" t="str">
            <v>ARE</v>
          </cell>
          <cell r="R101" t="str">
            <v>FC034</v>
          </cell>
          <cell r="S101" t="str">
            <v>Day Shift</v>
          </cell>
          <cell r="T101">
            <v>99</v>
          </cell>
          <cell r="U101" t="str">
            <v>MENA_UAE_FC</v>
          </cell>
          <cell r="X101">
            <v>46257.333333333336</v>
          </cell>
          <cell r="Y101">
            <v>46257.75</v>
          </cell>
          <cell r="Z101" t="str">
            <v>Rest Day</v>
          </cell>
          <cell r="AA101" t="str">
            <v>Not Scheduled</v>
          </cell>
          <cell r="AB101" t="str">
            <v>Not Present</v>
          </cell>
          <cell r="AC101" t="str">
            <v>Outbound</v>
          </cell>
          <cell r="AD101" t="str">
            <v>Picking</v>
          </cell>
          <cell r="AE101" t="str">
            <v>Pick</v>
          </cell>
          <cell r="AF101" t="str">
            <v>Saturday</v>
          </cell>
          <cell r="AG101" t="str">
            <v>Sunday</v>
          </cell>
          <cell r="AH101">
            <v>13</v>
          </cell>
          <cell r="AJ101">
            <v>46036</v>
          </cell>
          <cell r="AM101" t="str">
            <v>TEMP</v>
          </cell>
          <cell r="AN101" t="str">
            <v>3P Onsite Worker</v>
          </cell>
          <cell r="AO101" t="str">
            <v>A</v>
          </cell>
          <cell r="AP101">
            <v>9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</row>
        <row r="102">
          <cell r="D102" t="str">
            <v>anolyatu</v>
          </cell>
          <cell r="E102">
            <v>206191963</v>
          </cell>
          <cell r="F102" t="str">
            <v>A</v>
          </cell>
          <cell r="G102" t="str">
            <v>GREEN</v>
          </cell>
          <cell r="H102" t="str">
            <v>REDUCED</v>
          </cell>
          <cell r="I102">
            <v>900234</v>
          </cell>
          <cell r="J102" t="str">
            <v>EFS Facilities Services</v>
          </cell>
          <cell r="K102" t="str">
            <v>Anolyne Atukwatse</v>
          </cell>
          <cell r="L102" t="str">
            <v>Warehouse Associate (TEMP)</v>
          </cell>
          <cell r="M102" t="str">
            <v>Warehouse Associate 8W</v>
          </cell>
          <cell r="N102" t="str">
            <v>ansammar</v>
          </cell>
          <cell r="O102">
            <v>1299</v>
          </cell>
          <cell r="P102" t="str">
            <v>AUH1</v>
          </cell>
          <cell r="Q102" t="str">
            <v>ARE</v>
          </cell>
          <cell r="R102" t="str">
            <v>FC559</v>
          </cell>
          <cell r="S102" t="str">
            <v>Night Shift</v>
          </cell>
          <cell r="T102">
            <v>99</v>
          </cell>
          <cell r="U102" t="str">
            <v>MENA_UAE_FC</v>
          </cell>
          <cell r="X102">
            <v>46257.756944444445</v>
          </cell>
          <cell r="Y102">
            <v>46258.090277777781</v>
          </cell>
          <cell r="Z102" t="str">
            <v>Rest Day</v>
          </cell>
          <cell r="AA102" t="str">
            <v>Not Scheduled</v>
          </cell>
          <cell r="AB102" t="str">
            <v>Not Present</v>
          </cell>
          <cell r="AC102" t="str">
            <v>Outbound</v>
          </cell>
          <cell r="AD102" t="str">
            <v>Sort - Batch</v>
          </cell>
          <cell r="AE102" t="str">
            <v>Sort</v>
          </cell>
          <cell r="AF102" t="str">
            <v>Saturday</v>
          </cell>
          <cell r="AG102" t="str">
            <v>Sunday</v>
          </cell>
          <cell r="AH102">
            <v>15</v>
          </cell>
          <cell r="AJ102">
            <v>46246</v>
          </cell>
          <cell r="AM102" t="str">
            <v>TEMP</v>
          </cell>
          <cell r="AN102" t="str">
            <v>3P Onsite Worker</v>
          </cell>
          <cell r="AO102" t="str">
            <v>A</v>
          </cell>
          <cell r="AP102">
            <v>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</row>
        <row r="103">
          <cell r="D103" t="str">
            <v>ansafraz</v>
          </cell>
          <cell r="E103">
            <v>203737010</v>
          </cell>
          <cell r="F103" t="str">
            <v>A</v>
          </cell>
          <cell r="G103" t="str">
            <v>GREEN</v>
          </cell>
          <cell r="H103" t="str">
            <v>FULL_TIME</v>
          </cell>
          <cell r="I103">
            <v>900234</v>
          </cell>
          <cell r="J103" t="str">
            <v>Fastlink Outsourcing</v>
          </cell>
          <cell r="K103" t="str">
            <v>Francis Ansah</v>
          </cell>
          <cell r="L103" t="str">
            <v>Warehouse Associate (TEMP)</v>
          </cell>
          <cell r="M103" t="str">
            <v>Warehouse Associate 12M</v>
          </cell>
          <cell r="N103" t="str">
            <v>mnarshad</v>
          </cell>
          <cell r="O103">
            <v>1299</v>
          </cell>
          <cell r="P103" t="str">
            <v>AUH1</v>
          </cell>
          <cell r="Q103" t="str">
            <v>ARE</v>
          </cell>
          <cell r="R103" t="str">
            <v>LK015</v>
          </cell>
          <cell r="S103" t="str">
            <v>Night Shift</v>
          </cell>
          <cell r="T103">
            <v>99</v>
          </cell>
          <cell r="U103" t="str">
            <v>MENA_UAE_FC</v>
          </cell>
          <cell r="V103">
            <v>46257.756944444445</v>
          </cell>
          <cell r="X103">
            <v>46257.756944444445</v>
          </cell>
          <cell r="Y103">
            <v>46258.173611111109</v>
          </cell>
          <cell r="AA103" t="str">
            <v>Scheduled</v>
          </cell>
          <cell r="AB103" t="str">
            <v>Present</v>
          </cell>
          <cell r="AC103" t="str">
            <v>Outbound</v>
          </cell>
          <cell r="AD103" t="str">
            <v>Picking</v>
          </cell>
          <cell r="AE103" t="str">
            <v>Pick</v>
          </cell>
          <cell r="AF103" t="str">
            <v>Tuesday</v>
          </cell>
          <cell r="AG103" t="str">
            <v>Wednesday</v>
          </cell>
          <cell r="AH103">
            <v>13</v>
          </cell>
          <cell r="AJ103">
            <v>45501</v>
          </cell>
          <cell r="AM103" t="str">
            <v>TEMP</v>
          </cell>
          <cell r="AN103" t="str">
            <v>3P Onsite Worker</v>
          </cell>
          <cell r="AO103" t="str">
            <v>A</v>
          </cell>
          <cell r="AP103">
            <v>9</v>
          </cell>
          <cell r="AQ103">
            <v>0</v>
          </cell>
          <cell r="AR103">
            <v>1</v>
          </cell>
          <cell r="AS103">
            <v>1</v>
          </cell>
          <cell r="AT103">
            <v>0</v>
          </cell>
          <cell r="AU103">
            <v>0</v>
          </cell>
        </row>
        <row r="104">
          <cell r="D104" t="str">
            <v>ansahfsa</v>
          </cell>
          <cell r="E104">
            <v>203635600</v>
          </cell>
          <cell r="F104" t="str">
            <v>A</v>
          </cell>
          <cell r="G104" t="str">
            <v>GREEN</v>
          </cell>
          <cell r="H104" t="str">
            <v>FULL_TIME</v>
          </cell>
          <cell r="I104">
            <v>900234</v>
          </cell>
          <cell r="J104" t="str">
            <v>Fastlink Outsourcing</v>
          </cell>
          <cell r="K104" t="str">
            <v>Samuel Ansah</v>
          </cell>
          <cell r="L104" t="str">
            <v>Warehouse Associate (TEMP)</v>
          </cell>
          <cell r="M104" t="str">
            <v>Warehouse Associate 12M</v>
          </cell>
          <cell r="N104" t="str">
            <v>kebedeed</v>
          </cell>
          <cell r="O104">
            <v>1299</v>
          </cell>
          <cell r="P104" t="str">
            <v>AUH1</v>
          </cell>
          <cell r="Q104" t="str">
            <v>ARE</v>
          </cell>
          <cell r="R104" t="str">
            <v>FC159</v>
          </cell>
          <cell r="S104" t="str">
            <v>Day Shift</v>
          </cell>
          <cell r="T104">
            <v>99</v>
          </cell>
          <cell r="U104" t="str">
            <v>MENA_UAE_FC</v>
          </cell>
          <cell r="V104">
            <v>46257.540277777778</v>
          </cell>
          <cell r="W104">
            <v>46257.74722222222</v>
          </cell>
          <cell r="X104">
            <v>46257.333333333336</v>
          </cell>
          <cell r="Y104">
            <v>46257.75</v>
          </cell>
          <cell r="AA104" t="str">
            <v>Scheduled</v>
          </cell>
          <cell r="AB104" t="str">
            <v>Present</v>
          </cell>
          <cell r="AC104" t="str">
            <v>ICQA</v>
          </cell>
          <cell r="AD104" t="str">
            <v>IC/QA/CS</v>
          </cell>
          <cell r="AE104" t="str">
            <v>Support</v>
          </cell>
          <cell r="AF104" t="str">
            <v>Thursday</v>
          </cell>
          <cell r="AG104" t="str">
            <v>Friday</v>
          </cell>
          <cell r="AH104">
            <v>27</v>
          </cell>
          <cell r="AJ104">
            <v>45480</v>
          </cell>
          <cell r="AM104" t="str">
            <v>TEMP</v>
          </cell>
          <cell r="AN104" t="str">
            <v>3P Onsite Worker</v>
          </cell>
          <cell r="AO104" t="str">
            <v>A</v>
          </cell>
          <cell r="AP104">
            <v>9</v>
          </cell>
          <cell r="AQ104">
            <v>0</v>
          </cell>
          <cell r="AR104">
            <v>1</v>
          </cell>
          <cell r="AS104">
            <v>1</v>
          </cell>
          <cell r="AT104">
            <v>0</v>
          </cell>
          <cell r="AU104">
            <v>0</v>
          </cell>
        </row>
        <row r="105">
          <cell r="D105" t="str">
            <v>ansahpro</v>
          </cell>
          <cell r="E105">
            <v>206239755</v>
          </cell>
          <cell r="F105" t="str">
            <v>A</v>
          </cell>
          <cell r="G105" t="str">
            <v>GREEN</v>
          </cell>
          <cell r="H105" t="str">
            <v>FULL_TIME</v>
          </cell>
          <cell r="I105">
            <v>900234</v>
          </cell>
          <cell r="J105" t="str">
            <v>Dulsco L.L.C.</v>
          </cell>
          <cell r="K105" t="str">
            <v>OWUSU ANSAH PRINCE</v>
          </cell>
          <cell r="L105" t="str">
            <v>Warehouse Associate (TEMP)</v>
          </cell>
          <cell r="M105" t="str">
            <v>Warehouse Associate 8W</v>
          </cell>
          <cell r="N105" t="str">
            <v>bizthoma</v>
          </cell>
          <cell r="O105">
            <v>1299</v>
          </cell>
          <cell r="P105" t="str">
            <v>AUH1</v>
          </cell>
          <cell r="Q105" t="str">
            <v>ARE</v>
          </cell>
          <cell r="R105" t="str">
            <v>LK014</v>
          </cell>
          <cell r="S105" t="str">
            <v>Night Shift</v>
          </cell>
          <cell r="T105">
            <v>99</v>
          </cell>
          <cell r="U105" t="str">
            <v>MENA_UAE_FC</v>
          </cell>
          <cell r="V105">
            <v>46257.756944444445</v>
          </cell>
          <cell r="X105">
            <v>46257.756944444445</v>
          </cell>
          <cell r="Y105">
            <v>46258.173611111109</v>
          </cell>
          <cell r="AA105" t="str">
            <v>Scheduled</v>
          </cell>
          <cell r="AB105" t="str">
            <v>Present</v>
          </cell>
          <cell r="AC105" t="str">
            <v>Outbound</v>
          </cell>
          <cell r="AD105" t="str">
            <v>Pack - Batch</v>
          </cell>
          <cell r="AE105" t="str">
            <v>Pack</v>
          </cell>
          <cell r="AF105" t="str">
            <v>Monday</v>
          </cell>
          <cell r="AG105" t="str">
            <v>Tuesday</v>
          </cell>
          <cell r="AH105">
            <v>17</v>
          </cell>
          <cell r="AJ105">
            <v>45942</v>
          </cell>
          <cell r="AM105" t="str">
            <v>TEMP</v>
          </cell>
          <cell r="AN105" t="str">
            <v>3P Onsite Worker</v>
          </cell>
          <cell r="AO105" t="str">
            <v>A</v>
          </cell>
          <cell r="AP105">
            <v>9</v>
          </cell>
          <cell r="AQ105">
            <v>0</v>
          </cell>
          <cell r="AR105">
            <v>1</v>
          </cell>
          <cell r="AS105">
            <v>1</v>
          </cell>
          <cell r="AT105">
            <v>0</v>
          </cell>
          <cell r="AU105">
            <v>0</v>
          </cell>
        </row>
        <row r="106">
          <cell r="D106" t="str">
            <v>anvishnu</v>
          </cell>
          <cell r="E106">
            <v>102865830</v>
          </cell>
          <cell r="F106" t="str">
            <v>A</v>
          </cell>
          <cell r="G106" t="str">
            <v>BLUE</v>
          </cell>
          <cell r="H106" t="str">
            <v>FULL_TIME</v>
          </cell>
          <cell r="I106" t="str">
            <v>P03251</v>
          </cell>
          <cell r="K106" t="str">
            <v>Vishnu Ani</v>
          </cell>
          <cell r="L106" t="str">
            <v>FC Associate I</v>
          </cell>
          <cell r="M106" t="str">
            <v>FC Associate I</v>
          </cell>
          <cell r="N106" t="str">
            <v>mnarshad</v>
          </cell>
          <cell r="O106">
            <v>1299</v>
          </cell>
          <cell r="P106" t="str">
            <v>AUH1</v>
          </cell>
          <cell r="Q106" t="str">
            <v>ARE</v>
          </cell>
          <cell r="R106" t="str">
            <v>LK015</v>
          </cell>
          <cell r="S106" t="str">
            <v>Night Shift</v>
          </cell>
          <cell r="T106">
            <v>1</v>
          </cell>
          <cell r="U106" t="str">
            <v>MENA_UAE_FC</v>
          </cell>
          <cell r="V106">
            <v>46257.744444444441</v>
          </cell>
          <cell r="X106">
            <v>46257.756944444445</v>
          </cell>
          <cell r="Y106">
            <v>46258.173611111109</v>
          </cell>
          <cell r="AA106" t="str">
            <v>Scheduled</v>
          </cell>
          <cell r="AB106" t="str">
            <v>Present</v>
          </cell>
          <cell r="AC106" t="str">
            <v>Outbound</v>
          </cell>
          <cell r="AD106" t="str">
            <v>OB Problem Solve</v>
          </cell>
          <cell r="AE106" t="str">
            <v>Pack</v>
          </cell>
          <cell r="AF106" t="str">
            <v>Tuesday</v>
          </cell>
          <cell r="AG106" t="str">
            <v>Wednesday</v>
          </cell>
          <cell r="AH106">
            <v>20</v>
          </cell>
          <cell r="AJ106">
            <v>43011</v>
          </cell>
          <cell r="AM106" t="str">
            <v>FC</v>
          </cell>
          <cell r="AN106" t="str">
            <v>Regular Full Time</v>
          </cell>
          <cell r="AO106" t="str">
            <v>A</v>
          </cell>
          <cell r="AP106">
            <v>9</v>
          </cell>
          <cell r="AQ106">
            <v>0</v>
          </cell>
          <cell r="AR106">
            <v>1</v>
          </cell>
          <cell r="AS106">
            <v>1</v>
          </cell>
          <cell r="AT106">
            <v>0</v>
          </cell>
          <cell r="AU106">
            <v>0</v>
          </cell>
        </row>
        <row r="107">
          <cell r="D107" t="str">
            <v>anvtharu</v>
          </cell>
          <cell r="E107">
            <v>111164491</v>
          </cell>
          <cell r="F107" t="str">
            <v>A</v>
          </cell>
          <cell r="G107" t="str">
            <v>BLUE</v>
          </cell>
          <cell r="H107" t="str">
            <v>FULL_TIME</v>
          </cell>
          <cell r="I107" t="str">
            <v>P03251</v>
          </cell>
          <cell r="K107" t="str">
            <v>Anish Tharu</v>
          </cell>
          <cell r="L107" t="str">
            <v>FC Associate I</v>
          </cell>
          <cell r="M107" t="str">
            <v>FC Associate I</v>
          </cell>
          <cell r="N107" t="str">
            <v>lraghava</v>
          </cell>
          <cell r="O107">
            <v>1299</v>
          </cell>
          <cell r="P107" t="str">
            <v>AUH1</v>
          </cell>
          <cell r="Q107" t="str">
            <v>ARE</v>
          </cell>
          <cell r="R107" t="str">
            <v>LK013</v>
          </cell>
          <cell r="S107" t="str">
            <v>Night Shift</v>
          </cell>
          <cell r="T107">
            <v>1</v>
          </cell>
          <cell r="U107" t="str">
            <v>MENA_UAE_FC</v>
          </cell>
          <cell r="X107">
            <v>46257.756944444445</v>
          </cell>
          <cell r="Y107">
            <v>46258.173611111109</v>
          </cell>
          <cell r="Z107" t="str">
            <v>Rest Day</v>
          </cell>
          <cell r="AA107" t="str">
            <v>Not Scheduled</v>
          </cell>
          <cell r="AB107" t="str">
            <v>Not Present</v>
          </cell>
          <cell r="AC107" t="str">
            <v>Outbound</v>
          </cell>
          <cell r="AD107" t="str">
            <v>Picking</v>
          </cell>
          <cell r="AE107" t="str">
            <v>Pick</v>
          </cell>
          <cell r="AF107" t="str">
            <v>Sunday</v>
          </cell>
          <cell r="AG107" t="str">
            <v>Monday</v>
          </cell>
          <cell r="AH107">
            <v>13</v>
          </cell>
          <cell r="AJ107">
            <v>44796</v>
          </cell>
          <cell r="AM107" t="str">
            <v>FC</v>
          </cell>
          <cell r="AN107" t="str">
            <v>Regular Full Time</v>
          </cell>
          <cell r="AO107" t="str">
            <v>A</v>
          </cell>
          <cell r="AP107">
            <v>9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</row>
        <row r="108">
          <cell r="D108" t="str">
            <v>aoselydi</v>
          </cell>
          <cell r="E108">
            <v>203881696</v>
          </cell>
          <cell r="F108" t="str">
            <v>A</v>
          </cell>
          <cell r="G108" t="str">
            <v>GREEN</v>
          </cell>
          <cell r="H108" t="str">
            <v>FULL_TIME</v>
          </cell>
          <cell r="I108">
            <v>900234</v>
          </cell>
          <cell r="J108" t="str">
            <v>Fastlink Outsourcing</v>
          </cell>
          <cell r="K108" t="str">
            <v>Lydia Osei</v>
          </cell>
          <cell r="L108" t="str">
            <v>Warehouse Associate (TEMP)</v>
          </cell>
          <cell r="M108" t="str">
            <v>Warehouse Associate 12M</v>
          </cell>
          <cell r="N108" t="str">
            <v>lraghava</v>
          </cell>
          <cell r="O108">
            <v>1299</v>
          </cell>
          <cell r="P108" t="str">
            <v>AUH1</v>
          </cell>
          <cell r="Q108" t="str">
            <v>ARE</v>
          </cell>
          <cell r="R108" t="str">
            <v>LK014</v>
          </cell>
          <cell r="S108" t="str">
            <v>Night Shift</v>
          </cell>
          <cell r="T108">
            <v>99</v>
          </cell>
          <cell r="U108" t="str">
            <v>MENA_UAE_FC</v>
          </cell>
          <cell r="V108">
            <v>46257.756249999999</v>
          </cell>
          <cell r="X108">
            <v>46257.756944444445</v>
          </cell>
          <cell r="Y108">
            <v>46258.173611111109</v>
          </cell>
          <cell r="AA108" t="str">
            <v>Scheduled</v>
          </cell>
          <cell r="AB108" t="str">
            <v>Present</v>
          </cell>
          <cell r="AC108" t="str">
            <v>Outbound</v>
          </cell>
          <cell r="AD108" t="str">
            <v>Pack - Single</v>
          </cell>
          <cell r="AE108" t="str">
            <v>Pack</v>
          </cell>
          <cell r="AF108" t="str">
            <v>Monday</v>
          </cell>
          <cell r="AG108" t="str">
            <v>Tuesday</v>
          </cell>
          <cell r="AH108">
            <v>18</v>
          </cell>
          <cell r="AJ108">
            <v>45529</v>
          </cell>
          <cell r="AM108" t="str">
            <v>TEMP</v>
          </cell>
          <cell r="AN108" t="str">
            <v>3P Onsite Worker</v>
          </cell>
          <cell r="AO108" t="str">
            <v>A</v>
          </cell>
          <cell r="AP108">
            <v>9</v>
          </cell>
          <cell r="AQ108">
            <v>0</v>
          </cell>
          <cell r="AR108">
            <v>1</v>
          </cell>
          <cell r="AS108">
            <v>1</v>
          </cell>
          <cell r="AT108">
            <v>0</v>
          </cell>
          <cell r="AU108">
            <v>0</v>
          </cell>
        </row>
        <row r="109">
          <cell r="D109" t="str">
            <v>apodehan</v>
          </cell>
          <cell r="E109">
            <v>203965458</v>
          </cell>
          <cell r="F109" t="str">
            <v>A</v>
          </cell>
          <cell r="G109" t="str">
            <v>GREEN</v>
          </cell>
          <cell r="H109" t="str">
            <v>FULL_TIME</v>
          </cell>
          <cell r="I109">
            <v>900234</v>
          </cell>
          <cell r="J109" t="str">
            <v>Fastlink Outsourcing</v>
          </cell>
          <cell r="K109" t="str">
            <v>Hans Apodei Agudey</v>
          </cell>
          <cell r="L109" t="str">
            <v>Warehouse Associate (TEMP)</v>
          </cell>
          <cell r="M109" t="str">
            <v>Warehouse Associate 12M</v>
          </cell>
          <cell r="N109" t="str">
            <v>lraghava</v>
          </cell>
          <cell r="O109">
            <v>1299</v>
          </cell>
          <cell r="P109" t="str">
            <v>AUH1</v>
          </cell>
          <cell r="Q109" t="str">
            <v>ARE</v>
          </cell>
          <cell r="R109" t="str">
            <v>LK014</v>
          </cell>
          <cell r="S109" t="str">
            <v>Night Shift</v>
          </cell>
          <cell r="T109">
            <v>99</v>
          </cell>
          <cell r="U109" t="str">
            <v>MENA_UAE_FC</v>
          </cell>
          <cell r="V109">
            <v>46257.756249999999</v>
          </cell>
          <cell r="X109">
            <v>46257.756944444445</v>
          </cell>
          <cell r="Y109">
            <v>46258.173611111109</v>
          </cell>
          <cell r="AA109" t="str">
            <v>Scheduled</v>
          </cell>
          <cell r="AB109" t="str">
            <v>Present</v>
          </cell>
          <cell r="AC109" t="str">
            <v>Outbound</v>
          </cell>
          <cell r="AD109" t="str">
            <v>Sort - Batch</v>
          </cell>
          <cell r="AE109" t="str">
            <v>Sort</v>
          </cell>
          <cell r="AF109" t="str">
            <v>Monday</v>
          </cell>
          <cell r="AG109" t="str">
            <v>Tuesday</v>
          </cell>
          <cell r="AH109">
            <v>15</v>
          </cell>
          <cell r="AJ109">
            <v>45543</v>
          </cell>
          <cell r="AM109" t="str">
            <v>TEMP</v>
          </cell>
          <cell r="AN109" t="str">
            <v>3P Onsite Worker</v>
          </cell>
          <cell r="AO109" t="str">
            <v>A</v>
          </cell>
          <cell r="AP109">
            <v>9</v>
          </cell>
          <cell r="AQ109">
            <v>0</v>
          </cell>
          <cell r="AR109">
            <v>1</v>
          </cell>
          <cell r="AS109">
            <v>1</v>
          </cell>
          <cell r="AT109">
            <v>0</v>
          </cell>
          <cell r="AU109">
            <v>0</v>
          </cell>
        </row>
        <row r="110">
          <cell r="D110" t="str">
            <v>appiador</v>
          </cell>
          <cell r="E110">
            <v>205252356</v>
          </cell>
          <cell r="F110" t="str">
            <v>A</v>
          </cell>
          <cell r="G110" t="str">
            <v>GREEN</v>
          </cell>
          <cell r="H110" t="str">
            <v>FULL_TIME</v>
          </cell>
          <cell r="I110">
            <v>900234</v>
          </cell>
          <cell r="J110" t="str">
            <v>EFS Facilities Services</v>
          </cell>
          <cell r="K110" t="str">
            <v>Dorcas Niamah Appiah</v>
          </cell>
          <cell r="L110" t="str">
            <v>Warehouse Associate (TEMP)</v>
          </cell>
          <cell r="M110" t="str">
            <v>Warehouse Associate 8W</v>
          </cell>
          <cell r="N110" t="str">
            <v>mnarshad</v>
          </cell>
          <cell r="O110">
            <v>1299</v>
          </cell>
          <cell r="P110" t="str">
            <v>AUH1</v>
          </cell>
          <cell r="Q110" t="str">
            <v>ARE</v>
          </cell>
          <cell r="R110" t="str">
            <v>FC554</v>
          </cell>
          <cell r="S110" t="str">
            <v>Night Shift</v>
          </cell>
          <cell r="T110">
            <v>99</v>
          </cell>
          <cell r="U110" t="str">
            <v>MENA_UAE_FC</v>
          </cell>
          <cell r="X110">
            <v>46257.756944444445</v>
          </cell>
          <cell r="Y110">
            <v>46258.090277777781</v>
          </cell>
          <cell r="Z110" t="str">
            <v>Rest Day</v>
          </cell>
          <cell r="AA110" t="str">
            <v>Not Scheduled</v>
          </cell>
          <cell r="AB110" t="str">
            <v>Not Present</v>
          </cell>
          <cell r="AC110" t="str">
            <v>Outbound</v>
          </cell>
          <cell r="AD110" t="str">
            <v>Picking</v>
          </cell>
          <cell r="AE110" t="str">
            <v>Pick</v>
          </cell>
          <cell r="AF110" t="str">
            <v>Sunday</v>
          </cell>
          <cell r="AG110" t="str">
            <v>Monday</v>
          </cell>
          <cell r="AH110">
            <v>13</v>
          </cell>
          <cell r="AJ110">
            <v>46237</v>
          </cell>
          <cell r="AM110" t="str">
            <v>TEMP</v>
          </cell>
          <cell r="AN110" t="str">
            <v>3P Onsite Worker</v>
          </cell>
          <cell r="AO110" t="str">
            <v>A</v>
          </cell>
          <cell r="AP110">
            <v>7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</row>
        <row r="111">
          <cell r="D111" t="str">
            <v>appiakin</v>
          </cell>
          <cell r="E111">
            <v>204246610</v>
          </cell>
          <cell r="F111" t="str">
            <v>A</v>
          </cell>
          <cell r="G111" t="str">
            <v>GREEN</v>
          </cell>
          <cell r="H111" t="str">
            <v>FULL_TIME</v>
          </cell>
          <cell r="I111">
            <v>900234</v>
          </cell>
          <cell r="J111" t="str">
            <v>Quesscorp</v>
          </cell>
          <cell r="K111" t="str">
            <v>Kingsley Appiah</v>
          </cell>
          <cell r="L111" t="str">
            <v>Warehouse Associate (TEMP)</v>
          </cell>
          <cell r="M111" t="str">
            <v>Warehouse Associate 24M</v>
          </cell>
          <cell r="N111" t="str">
            <v>nnahla</v>
          </cell>
          <cell r="O111">
            <v>1299</v>
          </cell>
          <cell r="P111" t="str">
            <v>AUH1</v>
          </cell>
          <cell r="Q111" t="str">
            <v>ARE</v>
          </cell>
          <cell r="R111" t="str">
            <v>LK013</v>
          </cell>
          <cell r="S111" t="str">
            <v>Night Shift</v>
          </cell>
          <cell r="T111">
            <v>99</v>
          </cell>
          <cell r="U111" t="str">
            <v>MENA_UAE_FC</v>
          </cell>
          <cell r="X111">
            <v>46257.756944444445</v>
          </cell>
          <cell r="Y111">
            <v>46258.173611111109</v>
          </cell>
          <cell r="Z111" t="str">
            <v>Rest Day</v>
          </cell>
          <cell r="AA111" t="str">
            <v>Not Scheduled</v>
          </cell>
          <cell r="AB111" t="str">
            <v>Not Present</v>
          </cell>
          <cell r="AC111" t="str">
            <v>Warehouse deals</v>
          </cell>
          <cell r="AD111" t="str">
            <v>Warehouse Deals</v>
          </cell>
          <cell r="AE111" t="str">
            <v>Warehouse deals</v>
          </cell>
          <cell r="AF111" t="str">
            <v>Sunday</v>
          </cell>
          <cell r="AG111" t="str">
            <v>Monday</v>
          </cell>
          <cell r="AH111">
            <v>32</v>
          </cell>
          <cell r="AJ111">
            <v>45578</v>
          </cell>
          <cell r="AM111" t="str">
            <v>TEMP</v>
          </cell>
          <cell r="AN111" t="str">
            <v>3P Onsite Worker</v>
          </cell>
          <cell r="AO111" t="str">
            <v>A</v>
          </cell>
          <cell r="AP111">
            <v>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</row>
        <row r="112">
          <cell r="D112" t="str">
            <v>appialet</v>
          </cell>
          <cell r="E112">
            <v>204138118</v>
          </cell>
          <cell r="F112" t="str">
            <v>A</v>
          </cell>
          <cell r="G112" t="str">
            <v>GREEN</v>
          </cell>
          <cell r="H112" t="str">
            <v>FULL_TIME</v>
          </cell>
          <cell r="I112">
            <v>900234</v>
          </cell>
          <cell r="J112" t="str">
            <v>Quesscorp</v>
          </cell>
          <cell r="K112" t="str">
            <v>Leticia Appiah</v>
          </cell>
          <cell r="L112" t="str">
            <v>Warehouse Associate (TEMP)</v>
          </cell>
          <cell r="M112" t="str">
            <v>Warehouse Associate 24M</v>
          </cell>
          <cell r="N112" t="str">
            <v>lraghava</v>
          </cell>
          <cell r="O112">
            <v>1299</v>
          </cell>
          <cell r="P112" t="str">
            <v>AUH1</v>
          </cell>
          <cell r="Q112" t="str">
            <v>ARE</v>
          </cell>
          <cell r="R112" t="str">
            <v>FC134</v>
          </cell>
          <cell r="S112" t="str">
            <v>Day Shift</v>
          </cell>
          <cell r="T112">
            <v>99</v>
          </cell>
          <cell r="U112" t="str">
            <v>MENA_UAE_FC</v>
          </cell>
          <cell r="V112">
            <v>46257.331250000003</v>
          </cell>
          <cell r="W112">
            <v>46257.748611111114</v>
          </cell>
          <cell r="X112">
            <v>46257.333333333336</v>
          </cell>
          <cell r="Y112">
            <v>46257.75</v>
          </cell>
          <cell r="AA112" t="str">
            <v>Scheduled</v>
          </cell>
          <cell r="AB112" t="str">
            <v>Present</v>
          </cell>
          <cell r="AC112" t="str">
            <v>Outbound</v>
          </cell>
          <cell r="AD112" t="str">
            <v>Pack - Single</v>
          </cell>
          <cell r="AE112" t="str">
            <v>Pack</v>
          </cell>
          <cell r="AF112" t="str">
            <v>Wednesday</v>
          </cell>
          <cell r="AG112" t="str">
            <v>Thursday</v>
          </cell>
          <cell r="AH112">
            <v>18</v>
          </cell>
          <cell r="AJ112">
            <v>45564</v>
          </cell>
          <cell r="AM112" t="str">
            <v>TEMP</v>
          </cell>
          <cell r="AN112" t="str">
            <v>3P Onsite Worker</v>
          </cell>
          <cell r="AO112" t="str">
            <v>A</v>
          </cell>
          <cell r="AP112">
            <v>9</v>
          </cell>
          <cell r="AQ112">
            <v>0</v>
          </cell>
          <cell r="AR112">
            <v>1</v>
          </cell>
          <cell r="AS112">
            <v>1</v>
          </cell>
          <cell r="AT112">
            <v>0</v>
          </cell>
          <cell r="AU112">
            <v>0</v>
          </cell>
        </row>
        <row r="113">
          <cell r="D113" t="str">
            <v>appsolom</v>
          </cell>
          <cell r="E113">
            <v>206129263</v>
          </cell>
          <cell r="F113" t="str">
            <v>A</v>
          </cell>
          <cell r="G113" t="str">
            <v>GREEN</v>
          </cell>
          <cell r="H113" t="str">
            <v>FULL_TIME</v>
          </cell>
          <cell r="I113">
            <v>900234</v>
          </cell>
          <cell r="J113" t="str">
            <v>Fastlink Outsourcing</v>
          </cell>
          <cell r="K113" t="str">
            <v>Solomon Appiah Kubi</v>
          </cell>
          <cell r="L113" t="str">
            <v>Warehouse Associate (TEMP)</v>
          </cell>
          <cell r="M113" t="str">
            <v>Warehouse Associate 12M</v>
          </cell>
          <cell r="N113" t="str">
            <v>amanmish</v>
          </cell>
          <cell r="O113">
            <v>1299</v>
          </cell>
          <cell r="P113" t="str">
            <v>AUH1</v>
          </cell>
          <cell r="Q113" t="str">
            <v>ARE</v>
          </cell>
          <cell r="R113" t="str">
            <v>FC059</v>
          </cell>
          <cell r="S113" t="str">
            <v>Day Shift</v>
          </cell>
          <cell r="T113">
            <v>99</v>
          </cell>
          <cell r="U113" t="str">
            <v>MENA_UAE_FC</v>
          </cell>
          <cell r="X113">
            <v>46257.333333333336</v>
          </cell>
          <cell r="Y113">
            <v>46257.75</v>
          </cell>
          <cell r="Z113" t="str">
            <v>Rest Day</v>
          </cell>
          <cell r="AA113" t="str">
            <v>Not Scheduled</v>
          </cell>
          <cell r="AB113" t="str">
            <v>Not Present</v>
          </cell>
          <cell r="AC113" t="str">
            <v>Outbound</v>
          </cell>
          <cell r="AD113" t="str">
            <v>Picking</v>
          </cell>
          <cell r="AE113" t="str">
            <v>Pick</v>
          </cell>
          <cell r="AF113" t="str">
            <v>Sunday</v>
          </cell>
          <cell r="AG113" t="str">
            <v>Monday</v>
          </cell>
          <cell r="AH113">
            <v>13</v>
          </cell>
          <cell r="AJ113">
            <v>45928</v>
          </cell>
          <cell r="AM113" t="str">
            <v>TEMP</v>
          </cell>
          <cell r="AN113" t="str">
            <v>3P Onsite Worker</v>
          </cell>
          <cell r="AO113" t="str">
            <v>A</v>
          </cell>
          <cell r="AP113">
            <v>9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</row>
        <row r="114">
          <cell r="D114" t="str">
            <v>aprinceo</v>
          </cell>
          <cell r="E114">
            <v>204967039</v>
          </cell>
          <cell r="F114" t="str">
            <v>A</v>
          </cell>
          <cell r="G114" t="str">
            <v>GREEN</v>
          </cell>
          <cell r="H114" t="str">
            <v>FULL_TIME</v>
          </cell>
          <cell r="I114">
            <v>900234</v>
          </cell>
          <cell r="J114" t="str">
            <v>Dulsco L.L.C.</v>
          </cell>
          <cell r="K114" t="str">
            <v>PRINCE OWUSU ANIM</v>
          </cell>
          <cell r="L114" t="str">
            <v>Warehouse Associate (TEMP)</v>
          </cell>
          <cell r="M114" t="str">
            <v>Warehouse Associate 24M</v>
          </cell>
          <cell r="N114" t="str">
            <v>amanmish</v>
          </cell>
          <cell r="O114">
            <v>1299</v>
          </cell>
          <cell r="P114" t="str">
            <v>AUH1</v>
          </cell>
          <cell r="Q114" t="str">
            <v>ARE</v>
          </cell>
          <cell r="R114" t="str">
            <v>FC034</v>
          </cell>
          <cell r="S114" t="str">
            <v>Day Shift</v>
          </cell>
          <cell r="T114">
            <v>99</v>
          </cell>
          <cell r="U114" t="str">
            <v>MENA_UAE_FC</v>
          </cell>
          <cell r="X114">
            <v>46257.333333333336</v>
          </cell>
          <cell r="Y114">
            <v>46257.75</v>
          </cell>
          <cell r="Z114" t="str">
            <v>Rest Day</v>
          </cell>
          <cell r="AA114" t="str">
            <v>Not Scheduled</v>
          </cell>
          <cell r="AB114" t="str">
            <v>Not Present</v>
          </cell>
          <cell r="AC114" t="str">
            <v>Outbound</v>
          </cell>
          <cell r="AD114" t="str">
            <v>Picking</v>
          </cell>
          <cell r="AE114" t="str">
            <v>Pick</v>
          </cell>
          <cell r="AF114" t="str">
            <v>Saturday</v>
          </cell>
          <cell r="AG114" t="str">
            <v>Sunday</v>
          </cell>
          <cell r="AH114">
            <v>13</v>
          </cell>
          <cell r="AJ114">
            <v>45718</v>
          </cell>
          <cell r="AM114" t="str">
            <v>TEMP</v>
          </cell>
          <cell r="AN114" t="str">
            <v>3P Onsite Worker</v>
          </cell>
          <cell r="AO114" t="str">
            <v>A</v>
          </cell>
          <cell r="AP114">
            <v>9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</row>
        <row r="115">
          <cell r="D115" t="str">
            <v>araalfra</v>
          </cell>
          <cell r="E115">
            <v>206065208</v>
          </cell>
          <cell r="F115" t="str">
            <v>A</v>
          </cell>
          <cell r="G115" t="str">
            <v>GREEN</v>
          </cell>
          <cell r="H115" t="str">
            <v>FULL_TIME</v>
          </cell>
          <cell r="I115">
            <v>900234</v>
          </cell>
          <cell r="J115" t="str">
            <v>Fastlink Outsourcing</v>
          </cell>
          <cell r="K115" t="str">
            <v>FRANCIS ARAALI MUTEGEKI</v>
          </cell>
          <cell r="L115" t="str">
            <v>Warehouse Associate (TEMP)</v>
          </cell>
          <cell r="M115" t="str">
            <v>Warehouse Associate 8W</v>
          </cell>
          <cell r="N115" t="str">
            <v>helrashd</v>
          </cell>
          <cell r="O115">
            <v>1299</v>
          </cell>
          <cell r="P115" t="str">
            <v>AUH1</v>
          </cell>
          <cell r="Q115" t="str">
            <v>ARE</v>
          </cell>
          <cell r="R115" t="str">
            <v>FC558</v>
          </cell>
          <cell r="S115" t="str">
            <v>Night Shift</v>
          </cell>
          <cell r="T115">
            <v>99</v>
          </cell>
          <cell r="U115" t="str">
            <v>MENA_UAE_FC</v>
          </cell>
          <cell r="V115">
            <v>46257.755555555559</v>
          </cell>
          <cell r="X115">
            <v>46257.756944444445</v>
          </cell>
          <cell r="Y115">
            <v>46258.173611111109</v>
          </cell>
          <cell r="AA115" t="str">
            <v>Scheduled</v>
          </cell>
          <cell r="AB115" t="str">
            <v>Present</v>
          </cell>
          <cell r="AC115" t="str">
            <v>Outbound</v>
          </cell>
          <cell r="AD115" t="str">
            <v>Picking</v>
          </cell>
          <cell r="AE115" t="str">
            <v>Pick</v>
          </cell>
          <cell r="AF115" t="str">
            <v>Thursday</v>
          </cell>
          <cell r="AG115" t="str">
            <v>Friday</v>
          </cell>
          <cell r="AH115">
            <v>13</v>
          </cell>
          <cell r="AJ115">
            <v>46225</v>
          </cell>
          <cell r="AM115" t="str">
            <v>TEMP</v>
          </cell>
          <cell r="AN115" t="str">
            <v>3P Onsite Worker</v>
          </cell>
          <cell r="AO115" t="str">
            <v>A</v>
          </cell>
          <cell r="AP115">
            <v>9</v>
          </cell>
          <cell r="AQ115">
            <v>0</v>
          </cell>
          <cell r="AR115">
            <v>1</v>
          </cell>
          <cell r="AS115">
            <v>1</v>
          </cell>
          <cell r="AT115">
            <v>0</v>
          </cell>
          <cell r="AU115">
            <v>0</v>
          </cell>
        </row>
        <row r="116">
          <cell r="D116" t="str">
            <v>arinasap</v>
          </cell>
          <cell r="E116">
            <v>203735959</v>
          </cell>
          <cell r="F116" t="str">
            <v>A</v>
          </cell>
          <cell r="G116" t="str">
            <v>GREEN</v>
          </cell>
          <cell r="H116" t="str">
            <v>FULL_TIME</v>
          </cell>
          <cell r="I116">
            <v>900234</v>
          </cell>
          <cell r="J116" t="str">
            <v>Dulsco L.L.C.</v>
          </cell>
          <cell r="K116" t="str">
            <v>ASAPH ARINAITWE</v>
          </cell>
          <cell r="L116" t="str">
            <v>Warehouse Associate (TEMP)</v>
          </cell>
          <cell r="M116" t="str">
            <v>Warehouse Associate 24M</v>
          </cell>
          <cell r="N116" t="str">
            <v>bizthoma</v>
          </cell>
          <cell r="O116">
            <v>1299</v>
          </cell>
          <cell r="P116" t="str">
            <v>AUH1</v>
          </cell>
          <cell r="Q116" t="str">
            <v>ARE</v>
          </cell>
          <cell r="R116" t="str">
            <v>LK014</v>
          </cell>
          <cell r="S116" t="str">
            <v>Night Shift</v>
          </cell>
          <cell r="T116">
            <v>99</v>
          </cell>
          <cell r="U116" t="str">
            <v>MENA_UAE_FC</v>
          </cell>
          <cell r="V116">
            <v>46257.756944444445</v>
          </cell>
          <cell r="X116">
            <v>46257.756944444445</v>
          </cell>
          <cell r="Y116">
            <v>46258.173611111109</v>
          </cell>
          <cell r="AA116" t="str">
            <v>Scheduled</v>
          </cell>
          <cell r="AB116" t="str">
            <v>Present</v>
          </cell>
          <cell r="AC116" t="str">
            <v>Outbound</v>
          </cell>
          <cell r="AD116" t="str">
            <v>Picking</v>
          </cell>
          <cell r="AE116" t="str">
            <v>Pick</v>
          </cell>
          <cell r="AF116" t="str">
            <v>Monday</v>
          </cell>
          <cell r="AG116" t="str">
            <v>Tuesday</v>
          </cell>
          <cell r="AH116">
            <v>13</v>
          </cell>
          <cell r="AJ116">
            <v>45501</v>
          </cell>
          <cell r="AM116" t="str">
            <v>TEMP</v>
          </cell>
          <cell r="AN116" t="str">
            <v>3P Onsite Worker</v>
          </cell>
          <cell r="AO116" t="str">
            <v>A</v>
          </cell>
          <cell r="AP116">
            <v>9</v>
          </cell>
          <cell r="AQ116">
            <v>0</v>
          </cell>
          <cell r="AR116">
            <v>1</v>
          </cell>
          <cell r="AS116">
            <v>1</v>
          </cell>
          <cell r="AT116">
            <v>0</v>
          </cell>
          <cell r="AU116">
            <v>0</v>
          </cell>
        </row>
        <row r="117">
          <cell r="D117" t="str">
            <v>arnonsub</v>
          </cell>
          <cell r="E117">
            <v>206915011</v>
          </cell>
          <cell r="F117" t="str">
            <v>A</v>
          </cell>
          <cell r="G117" t="str">
            <v>GREEN</v>
          </cell>
          <cell r="H117" t="str">
            <v>FULL_TIME</v>
          </cell>
          <cell r="I117">
            <v>900234</v>
          </cell>
          <cell r="J117" t="str">
            <v>Dulsco L.L.C.</v>
          </cell>
          <cell r="K117" t="str">
            <v>NSUBUGA ARNOLD AMOS</v>
          </cell>
          <cell r="L117" t="str">
            <v>Warehouse Associate (TEMP)</v>
          </cell>
          <cell r="M117" t="str">
            <v>Warehouse Associate 24M</v>
          </cell>
          <cell r="N117" t="str">
            <v>bavameer</v>
          </cell>
          <cell r="O117">
            <v>1299</v>
          </cell>
          <cell r="P117" t="str">
            <v>AUH1</v>
          </cell>
          <cell r="Q117" t="str">
            <v>ARE</v>
          </cell>
          <cell r="R117" t="str">
            <v>FC084</v>
          </cell>
          <cell r="S117" t="str">
            <v>Day Shift</v>
          </cell>
          <cell r="T117">
            <v>99</v>
          </cell>
          <cell r="U117" t="str">
            <v>MENA_UAE_FC</v>
          </cell>
          <cell r="V117">
            <v>46257.331944444442</v>
          </cell>
          <cell r="W117">
            <v>46257.75</v>
          </cell>
          <cell r="X117">
            <v>46257.333333333336</v>
          </cell>
          <cell r="Y117">
            <v>46257.75</v>
          </cell>
          <cell r="AA117" t="str">
            <v>Scheduled</v>
          </cell>
          <cell r="AB117" t="str">
            <v>Present</v>
          </cell>
          <cell r="AC117" t="str">
            <v>Customer returns</v>
          </cell>
          <cell r="AD117" t="str">
            <v>Customer Returns</v>
          </cell>
          <cell r="AE117" t="str">
            <v>Customer returns</v>
          </cell>
          <cell r="AF117" t="str">
            <v>Monday</v>
          </cell>
          <cell r="AG117" t="str">
            <v>Tuesday</v>
          </cell>
          <cell r="AH117">
            <v>22</v>
          </cell>
          <cell r="AJ117">
            <v>46047</v>
          </cell>
          <cell r="AM117" t="str">
            <v>TEMP</v>
          </cell>
          <cell r="AN117" t="str">
            <v>3P Onsite Worker</v>
          </cell>
          <cell r="AO117" t="str">
            <v>A</v>
          </cell>
          <cell r="AP117">
            <v>9</v>
          </cell>
          <cell r="AQ117">
            <v>0</v>
          </cell>
          <cell r="AR117">
            <v>1</v>
          </cell>
          <cell r="AS117">
            <v>1</v>
          </cell>
          <cell r="AT117">
            <v>0</v>
          </cell>
          <cell r="AU117">
            <v>0</v>
          </cell>
        </row>
        <row r="118">
          <cell r="D118" t="str">
            <v>arshshaj</v>
          </cell>
          <cell r="E118">
            <v>203813036</v>
          </cell>
          <cell r="F118" t="str">
            <v>A</v>
          </cell>
          <cell r="G118" t="str">
            <v>GREEN</v>
          </cell>
          <cell r="H118" t="str">
            <v>FULL_TIME</v>
          </cell>
          <cell r="I118">
            <v>900234</v>
          </cell>
          <cell r="J118" t="str">
            <v>Adecco</v>
          </cell>
          <cell r="K118" t="str">
            <v>ARSHAD SHAJAHAN</v>
          </cell>
          <cell r="L118" t="str">
            <v>Warehouse Associate (TEMP)</v>
          </cell>
          <cell r="M118" t="str">
            <v>Warehouse Associate 24M</v>
          </cell>
          <cell r="N118" t="str">
            <v>abbaszoo</v>
          </cell>
          <cell r="O118">
            <v>1299</v>
          </cell>
          <cell r="P118" t="str">
            <v>AUH1</v>
          </cell>
          <cell r="Q118" t="str">
            <v>ARE</v>
          </cell>
          <cell r="R118" t="str">
            <v>FC109</v>
          </cell>
          <cell r="S118" t="str">
            <v>Day Shift</v>
          </cell>
          <cell r="T118">
            <v>99</v>
          </cell>
          <cell r="U118" t="str">
            <v>MENA_UAE_FC</v>
          </cell>
          <cell r="V118">
            <v>46257.331250000003</v>
          </cell>
          <cell r="W118">
            <v>46257.75</v>
          </cell>
          <cell r="X118">
            <v>46257.333333333336</v>
          </cell>
          <cell r="Y118">
            <v>46257.75</v>
          </cell>
          <cell r="AA118" t="str">
            <v>Scheduled</v>
          </cell>
          <cell r="AB118" t="str">
            <v>Present</v>
          </cell>
          <cell r="AC118" t="str">
            <v>Inbound</v>
          </cell>
          <cell r="AD118" t="str">
            <v>Receive Dock</v>
          </cell>
          <cell r="AE118" t="str">
            <v>Receive</v>
          </cell>
          <cell r="AF118" t="str">
            <v>Tuesday</v>
          </cell>
          <cell r="AG118" t="str">
            <v>Wednesday</v>
          </cell>
          <cell r="AH118">
            <v>2</v>
          </cell>
          <cell r="AJ118">
            <v>45516</v>
          </cell>
          <cell r="AM118" t="str">
            <v>TEMP</v>
          </cell>
          <cell r="AN118" t="str">
            <v>3P Onsite Worker</v>
          </cell>
          <cell r="AO118" t="str">
            <v>A</v>
          </cell>
          <cell r="AP118">
            <v>9</v>
          </cell>
          <cell r="AQ118">
            <v>0</v>
          </cell>
          <cell r="AR118">
            <v>1</v>
          </cell>
          <cell r="AS118">
            <v>1</v>
          </cell>
          <cell r="AT118">
            <v>0</v>
          </cell>
          <cell r="AU118">
            <v>0</v>
          </cell>
        </row>
        <row r="119">
          <cell r="D119" t="str">
            <v>arsmuhar</v>
          </cell>
          <cell r="E119">
            <v>113090848</v>
          </cell>
          <cell r="F119" t="str">
            <v>A</v>
          </cell>
          <cell r="G119" t="str">
            <v>GREEN</v>
          </cell>
          <cell r="H119" t="str">
            <v>FULL_TIME</v>
          </cell>
          <cell r="I119">
            <v>900234</v>
          </cell>
          <cell r="J119" t="str">
            <v>Quesscorp</v>
          </cell>
          <cell r="K119" t="str">
            <v>Muhammad Ali Arshad</v>
          </cell>
          <cell r="L119" t="str">
            <v>Warehouse Associate (TEMP)</v>
          </cell>
          <cell r="M119" t="str">
            <v>Warehouse Associate 24M</v>
          </cell>
          <cell r="N119" t="str">
            <v>scariav</v>
          </cell>
          <cell r="O119">
            <v>1299</v>
          </cell>
          <cell r="P119" t="str">
            <v>AUH1</v>
          </cell>
          <cell r="Q119" t="str">
            <v>ARE</v>
          </cell>
          <cell r="R119" t="str">
            <v>LK013</v>
          </cell>
          <cell r="S119" t="str">
            <v>Night Shift</v>
          </cell>
          <cell r="T119">
            <v>99</v>
          </cell>
          <cell r="U119" t="str">
            <v>MENA_UAE_FC</v>
          </cell>
          <cell r="X119">
            <v>46257.756944444445</v>
          </cell>
          <cell r="Y119">
            <v>46258.173611111109</v>
          </cell>
          <cell r="Z119" t="str">
            <v>Rest Day</v>
          </cell>
          <cell r="AA119" t="str">
            <v>Not Scheduled</v>
          </cell>
          <cell r="AB119" t="str">
            <v>Not Present</v>
          </cell>
          <cell r="AC119" t="str">
            <v>Outbound</v>
          </cell>
          <cell r="AD119" t="str">
            <v>Pack - Batch</v>
          </cell>
          <cell r="AE119" t="str">
            <v>Pack</v>
          </cell>
          <cell r="AF119" t="str">
            <v>Sunday</v>
          </cell>
          <cell r="AG119" t="str">
            <v>Monday</v>
          </cell>
          <cell r="AH119">
            <v>17</v>
          </cell>
          <cell r="AJ119">
            <v>45585</v>
          </cell>
          <cell r="AM119" t="str">
            <v>TEMP</v>
          </cell>
          <cell r="AN119" t="str">
            <v>3P Onsite Worker</v>
          </cell>
          <cell r="AO119" t="str">
            <v>A</v>
          </cell>
          <cell r="AP119">
            <v>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</row>
        <row r="120">
          <cell r="D120" t="str">
            <v>artigawi</v>
          </cell>
          <cell r="E120">
            <v>206868290</v>
          </cell>
          <cell r="F120" t="str">
            <v>A</v>
          </cell>
          <cell r="G120" t="str">
            <v>GREEN</v>
          </cell>
          <cell r="H120" t="str">
            <v>REDUCED</v>
          </cell>
          <cell r="I120">
            <v>900234</v>
          </cell>
          <cell r="J120" t="str">
            <v>Fastlink Outsourcing</v>
          </cell>
          <cell r="K120" t="str">
            <v>WISDOM ARTIGAH</v>
          </cell>
          <cell r="L120" t="str">
            <v>Warehouse Associate (TEMP)</v>
          </cell>
          <cell r="M120" t="str">
            <v>Warehouse Associate 8W</v>
          </cell>
          <cell r="N120" t="str">
            <v>ansammar</v>
          </cell>
          <cell r="O120">
            <v>1299</v>
          </cell>
          <cell r="P120" t="str">
            <v>AUH1</v>
          </cell>
          <cell r="Q120" t="str">
            <v>ARE</v>
          </cell>
          <cell r="R120" t="str">
            <v>FC552</v>
          </cell>
          <cell r="S120" t="str">
            <v>Night Shift</v>
          </cell>
          <cell r="T120">
            <v>99</v>
          </cell>
          <cell r="U120" t="str">
            <v>MENA_UAE_FC</v>
          </cell>
          <cell r="X120">
            <v>46257.756944444445</v>
          </cell>
          <cell r="Y120">
            <v>46258.090277777781</v>
          </cell>
          <cell r="Z120" t="str">
            <v>Rest Day</v>
          </cell>
          <cell r="AA120" t="str">
            <v>Not Scheduled</v>
          </cell>
          <cell r="AB120" t="str">
            <v>Not Present</v>
          </cell>
          <cell r="AC120" t="str">
            <v>Outbound</v>
          </cell>
          <cell r="AD120" t="str">
            <v>Pack - Batch</v>
          </cell>
          <cell r="AE120" t="str">
            <v>Pack</v>
          </cell>
          <cell r="AF120" t="str">
            <v>Friday</v>
          </cell>
          <cell r="AG120" t="str">
            <v>Saturday</v>
          </cell>
          <cell r="AH120">
            <v>17</v>
          </cell>
          <cell r="AJ120">
            <v>46246</v>
          </cell>
          <cell r="AM120" t="str">
            <v>TEMP</v>
          </cell>
          <cell r="AN120" t="str">
            <v>3P Onsite Worker</v>
          </cell>
          <cell r="AO120" t="str">
            <v>A</v>
          </cell>
          <cell r="AP120">
            <v>7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</row>
        <row r="121">
          <cell r="D121" t="str">
            <v>asamoahq</v>
          </cell>
          <cell r="E121">
            <v>206072090</v>
          </cell>
          <cell r="F121" t="str">
            <v>A</v>
          </cell>
          <cell r="G121" t="str">
            <v>GREEN</v>
          </cell>
          <cell r="H121" t="str">
            <v>FULL_TIME</v>
          </cell>
          <cell r="I121">
            <v>900234</v>
          </cell>
          <cell r="J121" t="str">
            <v>Fastlink Outsourcing</v>
          </cell>
          <cell r="K121" t="str">
            <v>BENJAMIN ASAMOAH</v>
          </cell>
          <cell r="L121" t="str">
            <v>Warehouse Associate (TEMP)</v>
          </cell>
          <cell r="M121" t="str">
            <v>Warehouse Associate 12M</v>
          </cell>
          <cell r="N121" t="str">
            <v>lraghava</v>
          </cell>
          <cell r="O121">
            <v>1299</v>
          </cell>
          <cell r="P121" t="str">
            <v>AUH1</v>
          </cell>
          <cell r="Q121" t="str">
            <v>ARE</v>
          </cell>
          <cell r="R121" t="str">
            <v>FC009</v>
          </cell>
          <cell r="S121" t="str">
            <v>Day Shift</v>
          </cell>
          <cell r="T121">
            <v>99</v>
          </cell>
          <cell r="U121" t="str">
            <v>MENA_UAE_FC</v>
          </cell>
          <cell r="V121">
            <v>46257.333333333336</v>
          </cell>
          <cell r="W121">
            <v>46257.749305555553</v>
          </cell>
          <cell r="X121">
            <v>46257.333333333336</v>
          </cell>
          <cell r="Y121">
            <v>46257.75</v>
          </cell>
          <cell r="AA121" t="str">
            <v>Scheduled</v>
          </cell>
          <cell r="AB121" t="str">
            <v>Present</v>
          </cell>
          <cell r="AC121" t="str">
            <v>Outbound</v>
          </cell>
          <cell r="AD121" t="str">
            <v>Picking</v>
          </cell>
          <cell r="AE121" t="str">
            <v>Pick</v>
          </cell>
          <cell r="AF121" t="str">
            <v>Friday</v>
          </cell>
          <cell r="AG121" t="str">
            <v>Saturday</v>
          </cell>
          <cell r="AH121">
            <v>13</v>
          </cell>
          <cell r="AJ121">
            <v>45921</v>
          </cell>
          <cell r="AM121" t="str">
            <v>TEMP</v>
          </cell>
          <cell r="AN121" t="str">
            <v>3P Onsite Worker</v>
          </cell>
          <cell r="AO121" t="str">
            <v>A</v>
          </cell>
          <cell r="AP121">
            <v>9</v>
          </cell>
          <cell r="AQ121">
            <v>0</v>
          </cell>
          <cell r="AR121">
            <v>1</v>
          </cell>
          <cell r="AS121">
            <v>1</v>
          </cell>
          <cell r="AT121">
            <v>0</v>
          </cell>
          <cell r="AU121">
            <v>0</v>
          </cell>
        </row>
        <row r="122">
          <cell r="D122" t="str">
            <v>asantimb</v>
          </cell>
          <cell r="E122">
            <v>206875143</v>
          </cell>
          <cell r="F122" t="str">
            <v>A</v>
          </cell>
          <cell r="G122" t="str">
            <v>GREEN</v>
          </cell>
          <cell r="H122" t="str">
            <v>FULL_TIME</v>
          </cell>
          <cell r="I122">
            <v>900234</v>
          </cell>
          <cell r="J122" t="str">
            <v>Dulsco L.L.C.</v>
          </cell>
          <cell r="K122" t="str">
            <v>ASANTIANO MICHAEL MWANGULE</v>
          </cell>
          <cell r="L122" t="str">
            <v>Warehouse Associate (TEMP)</v>
          </cell>
          <cell r="M122" t="str">
            <v>Warehouse Associate 8W</v>
          </cell>
          <cell r="N122" t="str">
            <v>aanso</v>
          </cell>
          <cell r="O122">
            <v>1299</v>
          </cell>
          <cell r="P122" t="str">
            <v>AUH1</v>
          </cell>
          <cell r="Q122" t="str">
            <v>ARE</v>
          </cell>
          <cell r="R122" t="str">
            <v>FC059</v>
          </cell>
          <cell r="S122" t="str">
            <v>Day Shift</v>
          </cell>
          <cell r="T122">
            <v>99</v>
          </cell>
          <cell r="U122" t="str">
            <v>MENA_UAE_FC</v>
          </cell>
          <cell r="X122">
            <v>46257.333333333336</v>
          </cell>
          <cell r="Y122">
            <v>46257.75</v>
          </cell>
          <cell r="Z122" t="str">
            <v>Rest Day</v>
          </cell>
          <cell r="AA122" t="str">
            <v>Not Scheduled</v>
          </cell>
          <cell r="AB122" t="str">
            <v>Not Present</v>
          </cell>
          <cell r="AC122" t="str">
            <v>Customer returns</v>
          </cell>
          <cell r="AD122" t="str">
            <v>Customer Returns</v>
          </cell>
          <cell r="AE122" t="str">
            <v>Customer returns</v>
          </cell>
          <cell r="AF122" t="str">
            <v>Sunday</v>
          </cell>
          <cell r="AG122" t="str">
            <v>Monday</v>
          </cell>
          <cell r="AH122">
            <v>22</v>
          </cell>
          <cell r="AJ122">
            <v>46019</v>
          </cell>
          <cell r="AM122" t="str">
            <v>TEMP</v>
          </cell>
          <cell r="AN122" t="str">
            <v>3P Onsite Worker</v>
          </cell>
          <cell r="AO122" t="str">
            <v>A</v>
          </cell>
          <cell r="AP122">
            <v>9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</row>
        <row r="123">
          <cell r="D123" t="str">
            <v>asargrav</v>
          </cell>
          <cell r="E123">
            <v>206073369</v>
          </cell>
          <cell r="F123" t="str">
            <v>A</v>
          </cell>
          <cell r="G123" t="str">
            <v>GREEN</v>
          </cell>
          <cell r="H123" t="str">
            <v>FULL_TIME</v>
          </cell>
          <cell r="I123">
            <v>900234</v>
          </cell>
          <cell r="J123" t="str">
            <v>Fastlink Outsourcing</v>
          </cell>
          <cell r="K123" t="str">
            <v>Grace Asare</v>
          </cell>
          <cell r="L123" t="str">
            <v>Warehouse Associate (TEMP)</v>
          </cell>
          <cell r="M123" t="str">
            <v>Warehouse Associate 8W</v>
          </cell>
          <cell r="N123" t="str">
            <v>abbaszoo</v>
          </cell>
          <cell r="O123">
            <v>1299</v>
          </cell>
          <cell r="P123" t="str">
            <v>AUH1</v>
          </cell>
          <cell r="Q123" t="str">
            <v>ARE</v>
          </cell>
          <cell r="R123" t="str">
            <v>FC059</v>
          </cell>
          <cell r="S123" t="str">
            <v>Day Shift</v>
          </cell>
          <cell r="T123">
            <v>99</v>
          </cell>
          <cell r="U123" t="str">
            <v>MENA_UAE_FC</v>
          </cell>
          <cell r="V123">
            <v>46257.331250000003</v>
          </cell>
          <cell r="W123">
            <v>46257.751388888886</v>
          </cell>
          <cell r="X123">
            <v>46257.333333333336</v>
          </cell>
          <cell r="Y123">
            <v>46257.75</v>
          </cell>
          <cell r="AA123" t="str">
            <v>Scheduled</v>
          </cell>
          <cell r="AB123" t="str">
            <v>Present</v>
          </cell>
          <cell r="AC123" t="str">
            <v>Inbound</v>
          </cell>
          <cell r="AD123" t="str">
            <v>Vendor Receive</v>
          </cell>
          <cell r="AE123" t="str">
            <v>Receive</v>
          </cell>
          <cell r="AF123" t="str">
            <v>Sunday</v>
          </cell>
          <cell r="AG123" t="str">
            <v>Monday</v>
          </cell>
          <cell r="AH123">
            <v>1</v>
          </cell>
          <cell r="AJ123">
            <v>45921</v>
          </cell>
          <cell r="AM123" t="str">
            <v>TEMP</v>
          </cell>
          <cell r="AN123" t="str">
            <v>3P Onsite Worker</v>
          </cell>
          <cell r="AO123" t="str">
            <v>A</v>
          </cell>
          <cell r="AP123">
            <v>9</v>
          </cell>
          <cell r="AQ123">
            <v>0</v>
          </cell>
          <cell r="AR123">
            <v>1</v>
          </cell>
          <cell r="AS123">
            <v>1</v>
          </cell>
          <cell r="AT123">
            <v>0</v>
          </cell>
          <cell r="AU123">
            <v>0</v>
          </cell>
        </row>
        <row r="124">
          <cell r="D124" t="str">
            <v>asarpate</v>
          </cell>
          <cell r="E124">
            <v>206890219</v>
          </cell>
          <cell r="F124" t="str">
            <v>A</v>
          </cell>
          <cell r="G124" t="str">
            <v>GREEN</v>
          </cell>
          <cell r="H124" t="str">
            <v>FULL_TIME</v>
          </cell>
          <cell r="I124">
            <v>900234</v>
          </cell>
          <cell r="J124" t="str">
            <v>EFS Facilities Services</v>
          </cell>
          <cell r="K124" t="str">
            <v>PATRICIA ASARE</v>
          </cell>
          <cell r="L124" t="str">
            <v>Warehouse Associate (TEMP)</v>
          </cell>
          <cell r="M124" t="str">
            <v>Warehouse Associate 8W</v>
          </cell>
          <cell r="N124" t="str">
            <v>mnarshad</v>
          </cell>
          <cell r="O124">
            <v>1299</v>
          </cell>
          <cell r="P124" t="str">
            <v>AUH1</v>
          </cell>
          <cell r="Q124" t="str">
            <v>ARE</v>
          </cell>
          <cell r="R124" t="str">
            <v>LK012</v>
          </cell>
          <cell r="S124" t="str">
            <v>Night Shift</v>
          </cell>
          <cell r="T124">
            <v>99</v>
          </cell>
          <cell r="U124" t="str">
            <v>MENA_UAE_FC</v>
          </cell>
          <cell r="X124">
            <v>46257.756944444445</v>
          </cell>
          <cell r="Y124">
            <v>46258.173611111109</v>
          </cell>
          <cell r="Z124" t="str">
            <v>Rest Day</v>
          </cell>
          <cell r="AA124" t="str">
            <v>Not Scheduled</v>
          </cell>
          <cell r="AB124" t="str">
            <v>Not Present</v>
          </cell>
          <cell r="AC124" t="str">
            <v>Outbound</v>
          </cell>
          <cell r="AD124" t="str">
            <v>Picking</v>
          </cell>
          <cell r="AE124" t="str">
            <v>Pick</v>
          </cell>
          <cell r="AF124" t="str">
            <v>Saturday</v>
          </cell>
          <cell r="AG124" t="str">
            <v>Sunday</v>
          </cell>
          <cell r="AH124">
            <v>13</v>
          </cell>
          <cell r="AJ124">
            <v>46026</v>
          </cell>
          <cell r="AM124" t="str">
            <v>TEMP</v>
          </cell>
          <cell r="AN124" t="str">
            <v>3P Onsite Worker</v>
          </cell>
          <cell r="AO124" t="str">
            <v>A</v>
          </cell>
          <cell r="AP124">
            <v>9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</row>
        <row r="125">
          <cell r="D125" t="str">
            <v>ashiraab</v>
          </cell>
          <cell r="E125">
            <v>206850960</v>
          </cell>
          <cell r="F125" t="str">
            <v>A</v>
          </cell>
          <cell r="G125" t="str">
            <v>GREEN</v>
          </cell>
          <cell r="H125" t="str">
            <v>FULL_TIME</v>
          </cell>
          <cell r="I125">
            <v>900234</v>
          </cell>
          <cell r="J125" t="str">
            <v>Dulsco L.L.C.</v>
          </cell>
          <cell r="K125" t="str">
            <v>ASHIRAF ABU</v>
          </cell>
          <cell r="L125" t="str">
            <v>Warehouse Associate (TEMP)</v>
          </cell>
          <cell r="M125" t="str">
            <v>Warehouse Associate 8W</v>
          </cell>
          <cell r="N125" t="str">
            <v>ansammar</v>
          </cell>
          <cell r="O125">
            <v>1299</v>
          </cell>
          <cell r="P125" t="str">
            <v>AUH1</v>
          </cell>
          <cell r="Q125" t="str">
            <v>ARE</v>
          </cell>
          <cell r="R125" t="str">
            <v>FC009</v>
          </cell>
          <cell r="S125" t="str">
            <v>Day Shift</v>
          </cell>
          <cell r="T125">
            <v>99</v>
          </cell>
          <cell r="U125" t="str">
            <v>MENA_UAE_FC</v>
          </cell>
          <cell r="V125">
            <v>46257.330555555556</v>
          </cell>
          <cell r="W125">
            <v>46257.74722222222</v>
          </cell>
          <cell r="X125">
            <v>46257.333333333336</v>
          </cell>
          <cell r="Y125">
            <v>46257.75</v>
          </cell>
          <cell r="AA125" t="str">
            <v>Scheduled</v>
          </cell>
          <cell r="AB125" t="str">
            <v>Present</v>
          </cell>
          <cell r="AC125" t="str">
            <v>Outbound</v>
          </cell>
          <cell r="AD125" t="str">
            <v>Picking</v>
          </cell>
          <cell r="AE125" t="str">
            <v>Pick</v>
          </cell>
          <cell r="AF125" t="str">
            <v>Friday</v>
          </cell>
          <cell r="AG125" t="str">
            <v>Saturday</v>
          </cell>
          <cell r="AH125">
            <v>13</v>
          </cell>
          <cell r="AJ125">
            <v>46012</v>
          </cell>
          <cell r="AM125" t="str">
            <v>TEMP</v>
          </cell>
          <cell r="AN125" t="str">
            <v>3P Onsite Worker</v>
          </cell>
          <cell r="AO125" t="str">
            <v>A</v>
          </cell>
          <cell r="AP125">
            <v>9</v>
          </cell>
          <cell r="AQ125">
            <v>0</v>
          </cell>
          <cell r="AR125">
            <v>1</v>
          </cell>
          <cell r="AS125">
            <v>1</v>
          </cell>
          <cell r="AT125">
            <v>0</v>
          </cell>
          <cell r="AU125">
            <v>0</v>
          </cell>
        </row>
        <row r="126">
          <cell r="D126" t="str">
            <v>ashrajin</v>
          </cell>
          <cell r="E126">
            <v>206199915</v>
          </cell>
          <cell r="F126" t="str">
            <v>A</v>
          </cell>
          <cell r="G126" t="str">
            <v>GREEN</v>
          </cell>
          <cell r="H126" t="str">
            <v>FULL_TIME</v>
          </cell>
          <cell r="I126">
            <v>900234</v>
          </cell>
          <cell r="J126" t="str">
            <v>Fastlink Outsourcing</v>
          </cell>
          <cell r="K126" t="str">
            <v>ASHISH RAJINDER KUMAR</v>
          </cell>
          <cell r="L126" t="str">
            <v>Warehouse Associate (TEMP)</v>
          </cell>
          <cell r="M126" t="str">
            <v>Warehouse Associate 12M</v>
          </cell>
          <cell r="N126" t="str">
            <v>mnarshad</v>
          </cell>
          <cell r="O126">
            <v>1299</v>
          </cell>
          <cell r="P126" t="str">
            <v>AUH1</v>
          </cell>
          <cell r="Q126" t="str">
            <v>ARE</v>
          </cell>
          <cell r="R126" t="str">
            <v>FC084</v>
          </cell>
          <cell r="S126" t="str">
            <v>Day Shift</v>
          </cell>
          <cell r="T126">
            <v>99</v>
          </cell>
          <cell r="U126" t="str">
            <v>MENA_UAE_FC</v>
          </cell>
          <cell r="V126">
            <v>46257.331250000003</v>
          </cell>
          <cell r="W126">
            <v>46257.748611111114</v>
          </cell>
          <cell r="X126">
            <v>46257.333333333336</v>
          </cell>
          <cell r="Y126">
            <v>46257.75</v>
          </cell>
          <cell r="AA126" t="str">
            <v>Scheduled</v>
          </cell>
          <cell r="AB126" t="str">
            <v>Present</v>
          </cell>
          <cell r="AC126" t="str">
            <v>Outbound</v>
          </cell>
          <cell r="AD126" t="str">
            <v>Picking</v>
          </cell>
          <cell r="AE126" t="str">
            <v>Pick</v>
          </cell>
          <cell r="AF126" t="str">
            <v>Monday</v>
          </cell>
          <cell r="AG126" t="str">
            <v>Tuesday</v>
          </cell>
          <cell r="AH126">
            <v>13</v>
          </cell>
          <cell r="AJ126">
            <v>45935</v>
          </cell>
          <cell r="AM126" t="str">
            <v>TEMP</v>
          </cell>
          <cell r="AN126" t="str">
            <v>3P Onsite Worker</v>
          </cell>
          <cell r="AO126" t="str">
            <v>A</v>
          </cell>
          <cell r="AP126">
            <v>9</v>
          </cell>
          <cell r="AQ126">
            <v>0</v>
          </cell>
          <cell r="AR126">
            <v>1</v>
          </cell>
          <cell r="AS126">
            <v>1</v>
          </cell>
          <cell r="AT126">
            <v>0</v>
          </cell>
          <cell r="AU126">
            <v>0</v>
          </cell>
        </row>
        <row r="127">
          <cell r="D127" t="str">
            <v>asiamahb</v>
          </cell>
          <cell r="E127">
            <v>203555400</v>
          </cell>
          <cell r="F127" t="str">
            <v>A</v>
          </cell>
          <cell r="G127" t="str">
            <v>GREEN</v>
          </cell>
          <cell r="H127" t="str">
            <v>FULL_TIME</v>
          </cell>
          <cell r="I127">
            <v>900234</v>
          </cell>
          <cell r="J127" t="str">
            <v>Fastlink Outsourcing</v>
          </cell>
          <cell r="K127" t="str">
            <v>Georgina Asiamah</v>
          </cell>
          <cell r="L127" t="str">
            <v>Warehouse Associate (TEMP)</v>
          </cell>
          <cell r="M127" t="str">
            <v>Warehouse Associate 12M</v>
          </cell>
          <cell r="N127" t="str">
            <v>aanso</v>
          </cell>
          <cell r="O127">
            <v>1299</v>
          </cell>
          <cell r="P127" t="str">
            <v>AUH1</v>
          </cell>
          <cell r="Q127" t="str">
            <v>ARE</v>
          </cell>
          <cell r="R127" t="str">
            <v>LK013</v>
          </cell>
          <cell r="S127" t="str">
            <v>Night Shift</v>
          </cell>
          <cell r="T127">
            <v>99</v>
          </cell>
          <cell r="U127" t="str">
            <v>MENA_UAE_FC</v>
          </cell>
          <cell r="X127">
            <v>46257.756944444445</v>
          </cell>
          <cell r="Y127">
            <v>46258.173611111109</v>
          </cell>
          <cell r="Z127" t="str">
            <v>Rest Day</v>
          </cell>
          <cell r="AA127" t="str">
            <v>Not Scheduled</v>
          </cell>
          <cell r="AB127" t="str">
            <v>Not Present</v>
          </cell>
          <cell r="AC127" t="str">
            <v>Customer returns</v>
          </cell>
          <cell r="AD127" t="str">
            <v>Customer Returns</v>
          </cell>
          <cell r="AE127" t="str">
            <v>Customer returns</v>
          </cell>
          <cell r="AF127" t="str">
            <v>Sunday</v>
          </cell>
          <cell r="AG127" t="str">
            <v>Monday</v>
          </cell>
          <cell r="AH127">
            <v>22</v>
          </cell>
          <cell r="AJ127">
            <v>45469</v>
          </cell>
          <cell r="AM127" t="str">
            <v>TEMP</v>
          </cell>
          <cell r="AN127" t="str">
            <v>3P Onsite Worker</v>
          </cell>
          <cell r="AO127" t="str">
            <v>A</v>
          </cell>
          <cell r="AP127">
            <v>9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</row>
        <row r="128">
          <cell r="D128" t="str">
            <v>asiimwja</v>
          </cell>
          <cell r="E128">
            <v>206846689</v>
          </cell>
          <cell r="F128" t="str">
            <v>A</v>
          </cell>
          <cell r="G128" t="str">
            <v>GREEN</v>
          </cell>
          <cell r="H128" t="str">
            <v>FULL_TIME</v>
          </cell>
          <cell r="I128">
            <v>900234</v>
          </cell>
          <cell r="J128" t="str">
            <v>Dulsco L.L.C.</v>
          </cell>
          <cell r="K128" t="str">
            <v>JAMES ASIIMWE</v>
          </cell>
          <cell r="L128" t="str">
            <v>Warehouse Associate (TEMP)</v>
          </cell>
          <cell r="M128" t="str">
            <v>Warehouse Associate 8W</v>
          </cell>
          <cell r="N128" t="str">
            <v>vkkatyal</v>
          </cell>
          <cell r="O128">
            <v>1299</v>
          </cell>
          <cell r="P128" t="str">
            <v>AUH1</v>
          </cell>
          <cell r="Q128" t="str">
            <v>ARE</v>
          </cell>
          <cell r="R128" t="str">
            <v>LK015</v>
          </cell>
          <cell r="S128" t="str">
            <v>Night Shift</v>
          </cell>
          <cell r="T128">
            <v>99</v>
          </cell>
          <cell r="U128" t="str">
            <v>MENA_UAE_FC</v>
          </cell>
          <cell r="V128">
            <v>46257.754166666666</v>
          </cell>
          <cell r="X128">
            <v>46257.756944444445</v>
          </cell>
          <cell r="Y128">
            <v>46258.173611111109</v>
          </cell>
          <cell r="AA128" t="str">
            <v>Scheduled</v>
          </cell>
          <cell r="AB128" t="str">
            <v>Present</v>
          </cell>
          <cell r="AC128" t="str">
            <v>Inbound</v>
          </cell>
          <cell r="AD128" t="str">
            <v>Inbound Stow</v>
          </cell>
          <cell r="AE128" t="str">
            <v>Stow</v>
          </cell>
          <cell r="AF128" t="str">
            <v>Tuesday</v>
          </cell>
          <cell r="AG128" t="str">
            <v>Wednesday</v>
          </cell>
          <cell r="AH128">
            <v>3</v>
          </cell>
          <cell r="AJ128">
            <v>46012</v>
          </cell>
          <cell r="AM128" t="str">
            <v>TEMP</v>
          </cell>
          <cell r="AN128" t="str">
            <v>3P Onsite Worker</v>
          </cell>
          <cell r="AO128" t="str">
            <v>A</v>
          </cell>
          <cell r="AP128">
            <v>9</v>
          </cell>
          <cell r="AQ128">
            <v>0</v>
          </cell>
          <cell r="AR128">
            <v>1</v>
          </cell>
          <cell r="AS128">
            <v>1</v>
          </cell>
          <cell r="AT128">
            <v>0</v>
          </cell>
          <cell r="AU128">
            <v>0</v>
          </cell>
        </row>
        <row r="129">
          <cell r="D129" t="str">
            <v>atuajose</v>
          </cell>
          <cell r="E129">
            <v>203285820</v>
          </cell>
          <cell r="F129" t="str">
            <v>A</v>
          </cell>
          <cell r="G129" t="str">
            <v>GREEN</v>
          </cell>
          <cell r="H129" t="str">
            <v>FULL_TIME</v>
          </cell>
          <cell r="I129">
            <v>900234</v>
          </cell>
          <cell r="J129" t="str">
            <v>Fastlink Outsourcing</v>
          </cell>
          <cell r="K129" t="str">
            <v>Joseph Atuahene</v>
          </cell>
          <cell r="L129" t="str">
            <v>Warehouse Associate (TEMP)</v>
          </cell>
          <cell r="M129" t="str">
            <v>Warehouse Associate 12M</v>
          </cell>
          <cell r="N129" t="str">
            <v>scariav</v>
          </cell>
          <cell r="O129">
            <v>1299</v>
          </cell>
          <cell r="P129" t="str">
            <v>AUH1</v>
          </cell>
          <cell r="Q129" t="str">
            <v>ARE</v>
          </cell>
          <cell r="R129" t="str">
            <v>LK015</v>
          </cell>
          <cell r="S129" t="str">
            <v>Night Shift</v>
          </cell>
          <cell r="T129">
            <v>99</v>
          </cell>
          <cell r="U129" t="str">
            <v>MENA_UAE_FC</v>
          </cell>
          <cell r="V129">
            <v>46257.755555555559</v>
          </cell>
          <cell r="X129">
            <v>46257.756944444445</v>
          </cell>
          <cell r="Y129">
            <v>46258.173611111109</v>
          </cell>
          <cell r="AA129" t="str">
            <v>Scheduled</v>
          </cell>
          <cell r="AB129" t="str">
            <v>Present</v>
          </cell>
          <cell r="AC129" t="str">
            <v>Outbound</v>
          </cell>
          <cell r="AD129" t="str">
            <v>Pack - Batch</v>
          </cell>
          <cell r="AE129" t="str">
            <v>Pack</v>
          </cell>
          <cell r="AF129" t="str">
            <v>Tuesday</v>
          </cell>
          <cell r="AG129" t="str">
            <v>Wednesday</v>
          </cell>
          <cell r="AH129">
            <v>17</v>
          </cell>
          <cell r="AJ129">
            <v>45560</v>
          </cell>
          <cell r="AM129" t="str">
            <v>TEMP</v>
          </cell>
          <cell r="AN129" t="str">
            <v>3P Onsite Worker</v>
          </cell>
          <cell r="AO129" t="str">
            <v>A</v>
          </cell>
          <cell r="AP129">
            <v>9</v>
          </cell>
          <cell r="AQ129">
            <v>0</v>
          </cell>
          <cell r="AR129">
            <v>1</v>
          </cell>
          <cell r="AS129">
            <v>1</v>
          </cell>
          <cell r="AT129">
            <v>0</v>
          </cell>
          <cell r="AU129">
            <v>0</v>
          </cell>
        </row>
        <row r="130">
          <cell r="D130" t="str">
            <v>auguskam</v>
          </cell>
          <cell r="E130">
            <v>204882473</v>
          </cell>
          <cell r="F130" t="str">
            <v>A</v>
          </cell>
          <cell r="G130" t="str">
            <v>GREEN</v>
          </cell>
          <cell r="H130" t="str">
            <v>FULL_TIME</v>
          </cell>
          <cell r="I130">
            <v>900234</v>
          </cell>
          <cell r="J130" t="str">
            <v>Dulsco L.L.C.</v>
          </cell>
          <cell r="K130" t="str">
            <v>AUGUSTINE KAMANDA</v>
          </cell>
          <cell r="L130" t="str">
            <v>Warehouse Associate (TEMP)</v>
          </cell>
          <cell r="M130" t="str">
            <v>Warehouse Associate 24M</v>
          </cell>
          <cell r="N130" t="str">
            <v>lraghava</v>
          </cell>
          <cell r="O130">
            <v>1299</v>
          </cell>
          <cell r="P130" t="str">
            <v>AUH1</v>
          </cell>
          <cell r="Q130" t="str">
            <v>ARE</v>
          </cell>
          <cell r="R130" t="str">
            <v>FC134</v>
          </cell>
          <cell r="S130" t="str">
            <v>Day Shift</v>
          </cell>
          <cell r="T130">
            <v>99</v>
          </cell>
          <cell r="U130" t="str">
            <v>MENA_UAE_FC</v>
          </cell>
          <cell r="V130">
            <v>46257.330555555556</v>
          </cell>
          <cell r="W130">
            <v>46257.75</v>
          </cell>
          <cell r="X130">
            <v>46257.333333333336</v>
          </cell>
          <cell r="Y130">
            <v>46257.75</v>
          </cell>
          <cell r="AA130" t="str">
            <v>Scheduled</v>
          </cell>
          <cell r="AB130" t="str">
            <v>Present</v>
          </cell>
          <cell r="AC130" t="str">
            <v>Outbound</v>
          </cell>
          <cell r="AD130" t="str">
            <v>Picking</v>
          </cell>
          <cell r="AE130" t="str">
            <v>Pick</v>
          </cell>
          <cell r="AF130" t="str">
            <v>Wednesday</v>
          </cell>
          <cell r="AG130" t="str">
            <v>Thursday</v>
          </cell>
          <cell r="AH130">
            <v>13</v>
          </cell>
          <cell r="AJ130">
            <v>45788</v>
          </cell>
          <cell r="AM130" t="str">
            <v>TEMP</v>
          </cell>
          <cell r="AN130" t="str">
            <v>3P Onsite Worker</v>
          </cell>
          <cell r="AO130" t="str">
            <v>A</v>
          </cell>
          <cell r="AP130">
            <v>9</v>
          </cell>
          <cell r="AQ130">
            <v>0</v>
          </cell>
          <cell r="AR130">
            <v>1</v>
          </cell>
          <cell r="AS130">
            <v>1</v>
          </cell>
          <cell r="AT130">
            <v>0</v>
          </cell>
          <cell r="AU130">
            <v>0</v>
          </cell>
        </row>
        <row r="131">
          <cell r="D131" t="str">
            <v>auguszad</v>
          </cell>
          <cell r="E131">
            <v>203850997</v>
          </cell>
          <cell r="F131" t="str">
            <v>A</v>
          </cell>
          <cell r="G131" t="str">
            <v>GREEN</v>
          </cell>
          <cell r="H131" t="str">
            <v>FULL_TIME</v>
          </cell>
          <cell r="I131">
            <v>900234</v>
          </cell>
          <cell r="J131" t="str">
            <v>Fastlink Outsourcing</v>
          </cell>
          <cell r="K131" t="str">
            <v>Augustine Adjei</v>
          </cell>
          <cell r="L131" t="str">
            <v>Warehouse Associate (TEMP)</v>
          </cell>
          <cell r="M131" t="str">
            <v>Warehouse Associate 12M</v>
          </cell>
          <cell r="N131" t="str">
            <v>scariav</v>
          </cell>
          <cell r="O131">
            <v>1299</v>
          </cell>
          <cell r="P131" t="str">
            <v>AUH1</v>
          </cell>
          <cell r="Q131" t="str">
            <v>ARE</v>
          </cell>
          <cell r="R131" t="str">
            <v>LK017</v>
          </cell>
          <cell r="S131" t="str">
            <v>Night Shift</v>
          </cell>
          <cell r="T131">
            <v>99</v>
          </cell>
          <cell r="U131" t="str">
            <v>MENA_UAE_FC</v>
          </cell>
          <cell r="V131">
            <v>46257.755555555559</v>
          </cell>
          <cell r="X131">
            <v>46257.756944444445</v>
          </cell>
          <cell r="Y131">
            <v>46258.173611111109</v>
          </cell>
          <cell r="AA131" t="str">
            <v>Scheduled</v>
          </cell>
          <cell r="AB131" t="str">
            <v>Present</v>
          </cell>
          <cell r="AC131" t="str">
            <v>Outbound</v>
          </cell>
          <cell r="AD131" t="str">
            <v>Sort - Batch</v>
          </cell>
          <cell r="AE131" t="str">
            <v>Sort</v>
          </cell>
          <cell r="AF131" t="str">
            <v>Thursday</v>
          </cell>
          <cell r="AG131" t="str">
            <v>Friday</v>
          </cell>
          <cell r="AH131">
            <v>15</v>
          </cell>
          <cell r="AJ131">
            <v>45523</v>
          </cell>
          <cell r="AM131" t="str">
            <v>TEMP</v>
          </cell>
          <cell r="AN131" t="str">
            <v>3P Onsite Worker</v>
          </cell>
          <cell r="AO131" t="str">
            <v>A</v>
          </cell>
          <cell r="AP131">
            <v>9</v>
          </cell>
          <cell r="AQ131">
            <v>0</v>
          </cell>
          <cell r="AR131">
            <v>1</v>
          </cell>
          <cell r="AS131">
            <v>1</v>
          </cell>
          <cell r="AT131">
            <v>0</v>
          </cell>
          <cell r="AU131">
            <v>0</v>
          </cell>
        </row>
        <row r="132">
          <cell r="D132" t="str">
            <v>aungphy</v>
          </cell>
          <cell r="E132">
            <v>203709740</v>
          </cell>
          <cell r="F132" t="str">
            <v>A</v>
          </cell>
          <cell r="G132" t="str">
            <v>GREEN</v>
          </cell>
          <cell r="H132" t="str">
            <v>FULL_TIME</v>
          </cell>
          <cell r="I132">
            <v>900234</v>
          </cell>
          <cell r="J132" t="str">
            <v>Adecco</v>
          </cell>
          <cell r="K132" t="str">
            <v>Aung Phyo</v>
          </cell>
          <cell r="L132" t="str">
            <v>Warehouse Associate (TEMP)</v>
          </cell>
          <cell r="M132" t="str">
            <v>Warehouse Associate 24M</v>
          </cell>
          <cell r="N132" t="str">
            <v>pparsin</v>
          </cell>
          <cell r="O132">
            <v>1299</v>
          </cell>
          <cell r="P132" t="str">
            <v>AUH1</v>
          </cell>
          <cell r="Q132" t="str">
            <v>ARE</v>
          </cell>
          <cell r="R132" t="str">
            <v>LK016</v>
          </cell>
          <cell r="S132" t="str">
            <v>Night Shift</v>
          </cell>
          <cell r="T132">
            <v>99</v>
          </cell>
          <cell r="U132" t="str">
            <v>MENA_UAE_FC</v>
          </cell>
          <cell r="V132">
            <v>46257.754166666666</v>
          </cell>
          <cell r="X132">
            <v>46257.756944444445</v>
          </cell>
          <cell r="Y132">
            <v>46258.173611111109</v>
          </cell>
          <cell r="AA132" t="str">
            <v>Scheduled</v>
          </cell>
          <cell r="AB132" t="str">
            <v>Present</v>
          </cell>
          <cell r="AC132" t="str">
            <v>Inbound</v>
          </cell>
          <cell r="AD132" t="str">
            <v>Inbound Stow</v>
          </cell>
          <cell r="AE132" t="str">
            <v>Stow</v>
          </cell>
          <cell r="AF132" t="str">
            <v>Wednesday</v>
          </cell>
          <cell r="AG132" t="str">
            <v>Thursday</v>
          </cell>
          <cell r="AH132">
            <v>3</v>
          </cell>
          <cell r="AJ132">
            <v>45494</v>
          </cell>
          <cell r="AM132" t="str">
            <v>TEMP</v>
          </cell>
          <cell r="AN132" t="str">
            <v>3P Onsite Worker</v>
          </cell>
          <cell r="AO132" t="str">
            <v>A</v>
          </cell>
          <cell r="AP132">
            <v>9</v>
          </cell>
          <cell r="AQ132">
            <v>0</v>
          </cell>
          <cell r="AR132">
            <v>1</v>
          </cell>
          <cell r="AS132">
            <v>1</v>
          </cell>
          <cell r="AT132">
            <v>0</v>
          </cell>
          <cell r="AU132">
            <v>0</v>
          </cell>
        </row>
        <row r="133">
          <cell r="D133" t="str">
            <v>avinkorm</v>
          </cell>
          <cell r="E133">
            <v>203342030</v>
          </cell>
          <cell r="F133" t="str">
            <v>A</v>
          </cell>
          <cell r="G133" t="str">
            <v>GREEN</v>
          </cell>
          <cell r="H133" t="str">
            <v>FULL_TIME</v>
          </cell>
          <cell r="I133">
            <v>900234</v>
          </cell>
          <cell r="J133" t="str">
            <v>Adecco</v>
          </cell>
          <cell r="K133" t="str">
            <v>AVINASH KORUKONDA</v>
          </cell>
          <cell r="L133" t="str">
            <v>Warehouse Associate (TEMP)</v>
          </cell>
          <cell r="M133" t="str">
            <v>Warehouse Associate 24M</v>
          </cell>
          <cell r="N133" t="str">
            <v>mnarshad</v>
          </cell>
          <cell r="O133">
            <v>1299</v>
          </cell>
          <cell r="P133" t="str">
            <v>AUH1</v>
          </cell>
          <cell r="Q133" t="str">
            <v>ARE</v>
          </cell>
          <cell r="R133" t="str">
            <v>FC034</v>
          </cell>
          <cell r="S133" t="str">
            <v>Day Shift</v>
          </cell>
          <cell r="T133">
            <v>99</v>
          </cell>
          <cell r="U133" t="str">
            <v>MENA_UAE_FC</v>
          </cell>
          <cell r="X133">
            <v>46257.333333333336</v>
          </cell>
          <cell r="Y133">
            <v>46257.75</v>
          </cell>
          <cell r="Z133" t="str">
            <v>Rest Day</v>
          </cell>
          <cell r="AA133" t="str">
            <v>Not Scheduled</v>
          </cell>
          <cell r="AB133" t="str">
            <v>Not Present</v>
          </cell>
          <cell r="AC133" t="str">
            <v>Outbound</v>
          </cell>
          <cell r="AD133" t="str">
            <v>Sort - Batch</v>
          </cell>
          <cell r="AE133" t="str">
            <v>Sort</v>
          </cell>
          <cell r="AF133" t="str">
            <v>Saturday</v>
          </cell>
          <cell r="AG133" t="str">
            <v>Sunday</v>
          </cell>
          <cell r="AH133">
            <v>15</v>
          </cell>
          <cell r="AJ133">
            <v>45431</v>
          </cell>
          <cell r="AM133" t="str">
            <v>TEMP</v>
          </cell>
          <cell r="AN133" t="str">
            <v>3P Onsite Worker</v>
          </cell>
          <cell r="AO133" t="str">
            <v>A</v>
          </cell>
          <cell r="AP133">
            <v>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</row>
        <row r="134">
          <cell r="D134" t="str">
            <v>avmdshah</v>
          </cell>
          <cell r="E134">
            <v>203879776</v>
          </cell>
          <cell r="F134" t="str">
            <v>A</v>
          </cell>
          <cell r="G134" t="str">
            <v>GREEN</v>
          </cell>
          <cell r="H134" t="str">
            <v>FULL_TIME</v>
          </cell>
          <cell r="I134">
            <v>900234</v>
          </cell>
          <cell r="J134" t="str">
            <v>Adecco</v>
          </cell>
          <cell r="K134" t="str">
            <v>Md Shahid Ansari</v>
          </cell>
          <cell r="L134" t="str">
            <v>Warehouse Associate (TEMP)</v>
          </cell>
          <cell r="M134" t="str">
            <v>Warehouse Associate 24M</v>
          </cell>
          <cell r="N134" t="str">
            <v>amanmish</v>
          </cell>
          <cell r="O134">
            <v>1299</v>
          </cell>
          <cell r="P134" t="str">
            <v>AUH1</v>
          </cell>
          <cell r="Q134" t="str">
            <v>ARE</v>
          </cell>
          <cell r="R134" t="str">
            <v>FC034</v>
          </cell>
          <cell r="S134" t="str">
            <v>Day Shift</v>
          </cell>
          <cell r="T134">
            <v>99</v>
          </cell>
          <cell r="U134" t="str">
            <v>MENA_UAE_FC</v>
          </cell>
          <cell r="X134">
            <v>46257.333333333336</v>
          </cell>
          <cell r="Y134">
            <v>46257.75</v>
          </cell>
          <cell r="Z134" t="str">
            <v>Rest Day</v>
          </cell>
          <cell r="AA134" t="str">
            <v>Not Scheduled</v>
          </cell>
          <cell r="AB134" t="str">
            <v>Not Present</v>
          </cell>
          <cell r="AC134" t="str">
            <v>Outbound</v>
          </cell>
          <cell r="AD134" t="str">
            <v>Pack - Batch</v>
          </cell>
          <cell r="AE134" t="str">
            <v>Pack</v>
          </cell>
          <cell r="AF134" t="str">
            <v>Saturday</v>
          </cell>
          <cell r="AG134" t="str">
            <v>Sunday</v>
          </cell>
          <cell r="AH134">
            <v>17</v>
          </cell>
          <cell r="AJ134">
            <v>45557</v>
          </cell>
          <cell r="AM134" t="str">
            <v>TEMP</v>
          </cell>
          <cell r="AN134" t="str">
            <v>3P Onsite Worker</v>
          </cell>
          <cell r="AO134" t="str">
            <v>A</v>
          </cell>
          <cell r="AP134">
            <v>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</row>
        <row r="135">
          <cell r="D135" t="str">
            <v>awesmail</v>
          </cell>
          <cell r="E135">
            <v>203635601</v>
          </cell>
          <cell r="F135" t="str">
            <v>A</v>
          </cell>
          <cell r="G135" t="str">
            <v>GREEN</v>
          </cell>
          <cell r="H135" t="str">
            <v>FULL_TIME</v>
          </cell>
          <cell r="I135">
            <v>900234</v>
          </cell>
          <cell r="J135" t="str">
            <v>Fastlink Outsourcing</v>
          </cell>
          <cell r="K135" t="str">
            <v>Esmaila Awawou</v>
          </cell>
          <cell r="L135" t="str">
            <v>Warehouse Associate (TEMP)</v>
          </cell>
          <cell r="M135" t="str">
            <v>Warehouse Associate 12M</v>
          </cell>
          <cell r="N135" t="str">
            <v>aanso</v>
          </cell>
          <cell r="O135">
            <v>1299</v>
          </cell>
          <cell r="P135" t="str">
            <v>AUH1</v>
          </cell>
          <cell r="Q135" t="str">
            <v>ARE</v>
          </cell>
          <cell r="R135" t="str">
            <v>FC109</v>
          </cell>
          <cell r="S135" t="str">
            <v>Day Shift</v>
          </cell>
          <cell r="T135">
            <v>99</v>
          </cell>
          <cell r="U135" t="str">
            <v>MENA_UAE_FC</v>
          </cell>
          <cell r="V135">
            <v>46257.331250000003</v>
          </cell>
          <cell r="W135">
            <v>46257.74722222222</v>
          </cell>
          <cell r="X135">
            <v>46257.333333333336</v>
          </cell>
          <cell r="Y135">
            <v>46257.75</v>
          </cell>
          <cell r="AA135" t="str">
            <v>Scheduled</v>
          </cell>
          <cell r="AB135" t="str">
            <v>Present</v>
          </cell>
          <cell r="AC135" t="str">
            <v>Customer returns</v>
          </cell>
          <cell r="AD135" t="str">
            <v>Customer Returns</v>
          </cell>
          <cell r="AE135" t="str">
            <v>Customer returns</v>
          </cell>
          <cell r="AF135" t="str">
            <v>Tuesday</v>
          </cell>
          <cell r="AG135" t="str">
            <v>Wednesday</v>
          </cell>
          <cell r="AH135">
            <v>22</v>
          </cell>
          <cell r="AJ135">
            <v>45480</v>
          </cell>
          <cell r="AM135" t="str">
            <v>TEMP</v>
          </cell>
          <cell r="AN135" t="str">
            <v>3P Onsite Worker</v>
          </cell>
          <cell r="AO135" t="str">
            <v>A</v>
          </cell>
          <cell r="AP135">
            <v>9</v>
          </cell>
          <cell r="AQ135">
            <v>0</v>
          </cell>
          <cell r="AR135">
            <v>1</v>
          </cell>
          <cell r="AS135">
            <v>1</v>
          </cell>
          <cell r="AT135">
            <v>0</v>
          </cell>
          <cell r="AU135">
            <v>0</v>
          </cell>
        </row>
        <row r="136">
          <cell r="D136" t="str">
            <v>awudkale</v>
          </cell>
          <cell r="E136">
            <v>206926474</v>
          </cell>
          <cell r="F136" t="str">
            <v>A</v>
          </cell>
          <cell r="G136" t="str">
            <v>GREEN</v>
          </cell>
          <cell r="H136" t="str">
            <v>FULL_TIME</v>
          </cell>
          <cell r="I136">
            <v>900234</v>
          </cell>
          <cell r="J136" t="str">
            <v>Dulsco L.L.C.</v>
          </cell>
          <cell r="K136" t="str">
            <v>AWUDU KALENZI</v>
          </cell>
          <cell r="L136" t="str">
            <v>Warehouse Associate (TEMP)</v>
          </cell>
          <cell r="M136" t="str">
            <v>Warehouse Associate 8W</v>
          </cell>
          <cell r="N136" t="str">
            <v>lraghava</v>
          </cell>
          <cell r="O136">
            <v>1299</v>
          </cell>
          <cell r="P136" t="str">
            <v>AUH1</v>
          </cell>
          <cell r="Q136" t="str">
            <v>ARE</v>
          </cell>
          <cell r="R136" t="str">
            <v>FC009</v>
          </cell>
          <cell r="S136" t="str">
            <v>Day Shift</v>
          </cell>
          <cell r="T136">
            <v>99</v>
          </cell>
          <cell r="U136" t="str">
            <v>MENA_UAE_FC</v>
          </cell>
          <cell r="V136">
            <v>46257.331250000003</v>
          </cell>
          <cell r="W136">
            <v>46257.750694444447</v>
          </cell>
          <cell r="X136">
            <v>46257.333333333336</v>
          </cell>
          <cell r="Y136">
            <v>46257.75</v>
          </cell>
          <cell r="AA136" t="str">
            <v>Scheduled</v>
          </cell>
          <cell r="AB136" t="str">
            <v>Present</v>
          </cell>
          <cell r="AC136" t="str">
            <v>Da</v>
          </cell>
          <cell r="AD136" t="str">
            <v>Transfer Out</v>
          </cell>
          <cell r="AE136" t="str">
            <v>Da</v>
          </cell>
          <cell r="AF136" t="str">
            <v>Friday</v>
          </cell>
          <cell r="AG136" t="str">
            <v>Saturday</v>
          </cell>
          <cell r="AH136">
            <v>10</v>
          </cell>
          <cell r="AJ136">
            <v>46036</v>
          </cell>
          <cell r="AM136" t="str">
            <v>TEMP</v>
          </cell>
          <cell r="AN136" t="str">
            <v>3P Onsite Worker</v>
          </cell>
          <cell r="AO136" t="str">
            <v>A</v>
          </cell>
          <cell r="AP136">
            <v>9</v>
          </cell>
          <cell r="AQ136">
            <v>0</v>
          </cell>
          <cell r="AR136">
            <v>1</v>
          </cell>
          <cell r="AS136">
            <v>1</v>
          </cell>
          <cell r="AT136">
            <v>0</v>
          </cell>
          <cell r="AU136">
            <v>0</v>
          </cell>
        </row>
        <row r="137">
          <cell r="D137" t="str">
            <v>ayematil</v>
          </cell>
          <cell r="E137">
            <v>203521523</v>
          </cell>
          <cell r="F137" t="str">
            <v>A</v>
          </cell>
          <cell r="G137" t="str">
            <v>GREEN</v>
          </cell>
          <cell r="H137" t="str">
            <v>FULL_TIME</v>
          </cell>
          <cell r="I137">
            <v>900234</v>
          </cell>
          <cell r="J137" t="str">
            <v>Fastlink Outsourcing</v>
          </cell>
          <cell r="K137" t="str">
            <v>Matilda Ayesu</v>
          </cell>
          <cell r="L137" t="str">
            <v>Warehouse Associate (TEMP)</v>
          </cell>
          <cell r="M137" t="str">
            <v>Warehouse Associate 12M</v>
          </cell>
          <cell r="N137" t="str">
            <v>nnahla</v>
          </cell>
          <cell r="O137">
            <v>1299</v>
          </cell>
          <cell r="P137" t="str">
            <v>AUH1</v>
          </cell>
          <cell r="Q137" t="str">
            <v>ARE</v>
          </cell>
          <cell r="R137" t="str">
            <v>FC059</v>
          </cell>
          <cell r="S137" t="str">
            <v>Day Shift</v>
          </cell>
          <cell r="T137">
            <v>99</v>
          </cell>
          <cell r="U137" t="str">
            <v>MENA_UAE_FC</v>
          </cell>
          <cell r="X137">
            <v>46257.333333333336</v>
          </cell>
          <cell r="Y137">
            <v>46257.75</v>
          </cell>
          <cell r="Z137" t="str">
            <v>Rest Day</v>
          </cell>
          <cell r="AA137" t="str">
            <v>Not Scheduled</v>
          </cell>
          <cell r="AB137" t="str">
            <v>Not Present</v>
          </cell>
          <cell r="AC137" t="str">
            <v>Inbound</v>
          </cell>
          <cell r="AD137" t="str">
            <v>Inbound Stow</v>
          </cell>
          <cell r="AE137" t="str">
            <v>Stow</v>
          </cell>
          <cell r="AF137" t="str">
            <v>Sunday</v>
          </cell>
          <cell r="AG137" t="str">
            <v>Monday</v>
          </cell>
          <cell r="AH137">
            <v>3</v>
          </cell>
          <cell r="AJ137">
            <v>45462</v>
          </cell>
          <cell r="AM137" t="str">
            <v>TEMP</v>
          </cell>
          <cell r="AN137" t="str">
            <v>3P Onsite Worker</v>
          </cell>
          <cell r="AO137" t="str">
            <v>A</v>
          </cell>
          <cell r="AP137">
            <v>9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</row>
        <row r="138">
          <cell r="D138" t="str">
            <v>ayenedid</v>
          </cell>
          <cell r="E138">
            <v>204116867</v>
          </cell>
          <cell r="F138" t="str">
            <v>A</v>
          </cell>
          <cell r="G138" t="str">
            <v>GREEN</v>
          </cell>
          <cell r="H138" t="str">
            <v>FULL_TIME</v>
          </cell>
          <cell r="I138">
            <v>900234</v>
          </cell>
          <cell r="J138" t="str">
            <v>Quesscorp</v>
          </cell>
          <cell r="K138" t="str">
            <v>Edith Ayengo</v>
          </cell>
          <cell r="L138" t="str">
            <v>Warehouse Associate (TEMP)</v>
          </cell>
          <cell r="M138" t="str">
            <v>Warehouse Associate 24M</v>
          </cell>
          <cell r="N138" t="str">
            <v>scariav</v>
          </cell>
          <cell r="O138">
            <v>1299</v>
          </cell>
          <cell r="P138" t="str">
            <v>AUH1</v>
          </cell>
          <cell r="Q138" t="str">
            <v>ARE</v>
          </cell>
          <cell r="R138" t="str">
            <v>LK016</v>
          </cell>
          <cell r="S138" t="str">
            <v>Night Shift</v>
          </cell>
          <cell r="T138">
            <v>99</v>
          </cell>
          <cell r="U138" t="str">
            <v>MENA_UAE_FC</v>
          </cell>
          <cell r="V138">
            <v>46257.755555555559</v>
          </cell>
          <cell r="X138">
            <v>46257.756944444445</v>
          </cell>
          <cell r="Y138">
            <v>46258.173611111109</v>
          </cell>
          <cell r="AA138" t="str">
            <v>Scheduled</v>
          </cell>
          <cell r="AB138" t="str">
            <v>Present</v>
          </cell>
          <cell r="AC138" t="str">
            <v>Outbound</v>
          </cell>
          <cell r="AD138" t="str">
            <v>Pack - Batch</v>
          </cell>
          <cell r="AE138" t="str">
            <v>Pack</v>
          </cell>
          <cell r="AF138" t="str">
            <v>Wednesday</v>
          </cell>
          <cell r="AG138" t="str">
            <v>Thursday</v>
          </cell>
          <cell r="AH138">
            <v>17</v>
          </cell>
          <cell r="AJ138">
            <v>45560</v>
          </cell>
          <cell r="AM138" t="str">
            <v>TEMP</v>
          </cell>
          <cell r="AN138" t="str">
            <v>3P Onsite Worker</v>
          </cell>
          <cell r="AO138" t="str">
            <v>A</v>
          </cell>
          <cell r="AP138">
            <v>9</v>
          </cell>
          <cell r="AQ138">
            <v>0</v>
          </cell>
          <cell r="AR138">
            <v>1</v>
          </cell>
          <cell r="AS138">
            <v>1</v>
          </cell>
          <cell r="AT138">
            <v>0</v>
          </cell>
          <cell r="AU138">
            <v>0</v>
          </cell>
        </row>
        <row r="139">
          <cell r="D139" t="str">
            <v>ayoncari</v>
          </cell>
          <cell r="E139">
            <v>206238897</v>
          </cell>
          <cell r="F139" t="str">
            <v>A</v>
          </cell>
          <cell r="G139" t="str">
            <v>GREEN</v>
          </cell>
          <cell r="H139" t="str">
            <v>FULL_TIME</v>
          </cell>
          <cell r="I139">
            <v>900234</v>
          </cell>
          <cell r="J139" t="str">
            <v>Fastlink Outsourcing</v>
          </cell>
          <cell r="K139" t="str">
            <v>CARINE AYONG BIH</v>
          </cell>
          <cell r="L139" t="str">
            <v>Warehouse Associate (TEMP)</v>
          </cell>
          <cell r="M139" t="str">
            <v>Warehouse Associate 8W</v>
          </cell>
          <cell r="N139" t="str">
            <v>helrashd</v>
          </cell>
          <cell r="O139">
            <v>1299</v>
          </cell>
          <cell r="P139" t="str">
            <v>AUH1</v>
          </cell>
          <cell r="Q139" t="str">
            <v>ARE</v>
          </cell>
          <cell r="R139" t="str">
            <v>FC059</v>
          </cell>
          <cell r="S139" t="str">
            <v>Day Shift</v>
          </cell>
          <cell r="T139">
            <v>99</v>
          </cell>
          <cell r="U139" t="str">
            <v>MENA_UAE_FC</v>
          </cell>
          <cell r="X139">
            <v>46257.333333333336</v>
          </cell>
          <cell r="Y139">
            <v>46257.75</v>
          </cell>
          <cell r="Z139" t="str">
            <v>Rest Day</v>
          </cell>
          <cell r="AA139" t="str">
            <v>Not Scheduled</v>
          </cell>
          <cell r="AB139" t="str">
            <v>Not Present</v>
          </cell>
          <cell r="AC139" t="str">
            <v>Outbound</v>
          </cell>
          <cell r="AD139" t="str">
            <v>Picking</v>
          </cell>
          <cell r="AE139" t="str">
            <v>Pick</v>
          </cell>
          <cell r="AF139" t="str">
            <v>Sunday</v>
          </cell>
          <cell r="AG139" t="str">
            <v>Monday</v>
          </cell>
          <cell r="AH139">
            <v>13</v>
          </cell>
          <cell r="AJ139">
            <v>45942</v>
          </cell>
          <cell r="AM139" t="str">
            <v>TEMP</v>
          </cell>
          <cell r="AN139" t="str">
            <v>3P Onsite Worker</v>
          </cell>
          <cell r="AO139" t="str">
            <v>A</v>
          </cell>
          <cell r="AP139">
            <v>9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</row>
        <row r="140">
          <cell r="D140" t="str">
            <v>ayshedra</v>
          </cell>
          <cell r="E140">
            <v>205845549</v>
          </cell>
          <cell r="F140" t="str">
            <v>A</v>
          </cell>
          <cell r="G140" t="str">
            <v>GREEN</v>
          </cell>
          <cell r="H140" t="str">
            <v>FULL_TIME</v>
          </cell>
          <cell r="I140">
            <v>900234</v>
          </cell>
          <cell r="J140" t="str">
            <v>Dulsco L.L.C.</v>
          </cell>
          <cell r="K140" t="str">
            <v>SHEDRACK AYEBAZIBWE</v>
          </cell>
          <cell r="L140" t="str">
            <v>Warehouse Associate (TEMP)</v>
          </cell>
          <cell r="M140" t="str">
            <v>Warehouse Associate 8W</v>
          </cell>
          <cell r="N140" t="str">
            <v>ansammar</v>
          </cell>
          <cell r="O140">
            <v>1299</v>
          </cell>
          <cell r="P140" t="str">
            <v>AUH1</v>
          </cell>
          <cell r="Q140" t="str">
            <v>ARE</v>
          </cell>
          <cell r="R140" t="str">
            <v>LK014</v>
          </cell>
          <cell r="S140" t="str">
            <v>Night Shift</v>
          </cell>
          <cell r="T140">
            <v>99</v>
          </cell>
          <cell r="U140" t="str">
            <v>MENA_UAE_FC</v>
          </cell>
          <cell r="V140">
            <v>46257.331250000003</v>
          </cell>
          <cell r="W140">
            <v>46257.749305555553</v>
          </cell>
          <cell r="X140">
            <v>46257.333333333336</v>
          </cell>
          <cell r="Y140">
            <v>46257.75</v>
          </cell>
          <cell r="AA140" t="str">
            <v>Scheduled</v>
          </cell>
          <cell r="AB140" t="str">
            <v>Present</v>
          </cell>
          <cell r="AC140" t="str">
            <v>Outbound</v>
          </cell>
          <cell r="AD140" t="str">
            <v>Picking</v>
          </cell>
          <cell r="AE140" t="str">
            <v>Pick</v>
          </cell>
          <cell r="AF140" t="str">
            <v>Monday</v>
          </cell>
          <cell r="AG140" t="str">
            <v>Tuesday</v>
          </cell>
          <cell r="AH140">
            <v>13</v>
          </cell>
          <cell r="AJ140">
            <v>45893</v>
          </cell>
          <cell r="AM140" t="str">
            <v>TEMP</v>
          </cell>
          <cell r="AN140" t="str">
            <v>3P Onsite Worker</v>
          </cell>
          <cell r="AO140" t="str">
            <v>A</v>
          </cell>
          <cell r="AP140">
            <v>9</v>
          </cell>
          <cell r="AQ140">
            <v>0</v>
          </cell>
          <cell r="AR140">
            <v>1</v>
          </cell>
          <cell r="AS140">
            <v>1</v>
          </cell>
          <cell r="AT140">
            <v>0</v>
          </cell>
          <cell r="AU140">
            <v>0</v>
          </cell>
        </row>
        <row r="141">
          <cell r="D141" t="str">
            <v>ayukakos</v>
          </cell>
          <cell r="E141">
            <v>206008709</v>
          </cell>
          <cell r="F141" t="str">
            <v>A</v>
          </cell>
          <cell r="G141" t="str">
            <v>GREEN</v>
          </cell>
          <cell r="H141" t="str">
            <v>FULL_TIME</v>
          </cell>
          <cell r="I141">
            <v>900234</v>
          </cell>
          <cell r="J141" t="str">
            <v>Fastlink Outsourcing</v>
          </cell>
          <cell r="K141" t="str">
            <v>SCHOLASTIKA AYUK AKO</v>
          </cell>
          <cell r="L141" t="str">
            <v>Warehouse Associate (TEMP)</v>
          </cell>
          <cell r="M141" t="str">
            <v>Warehouse Associate 12M</v>
          </cell>
          <cell r="N141" t="str">
            <v>vkkatyal</v>
          </cell>
          <cell r="O141">
            <v>1299</v>
          </cell>
          <cell r="P141" t="str">
            <v>AUH1</v>
          </cell>
          <cell r="Q141" t="str">
            <v>ARE</v>
          </cell>
          <cell r="R141" t="str">
            <v>FC059</v>
          </cell>
          <cell r="S141" t="str">
            <v>Day Shift</v>
          </cell>
          <cell r="T141">
            <v>99</v>
          </cell>
          <cell r="U141" t="str">
            <v>MENA_UAE_FC</v>
          </cell>
          <cell r="X141">
            <v>46257.333333333336</v>
          </cell>
          <cell r="Y141">
            <v>46257.75</v>
          </cell>
          <cell r="Z141" t="str">
            <v>Rest Day</v>
          </cell>
          <cell r="AA141" t="str">
            <v>Not Scheduled</v>
          </cell>
          <cell r="AB141" t="str">
            <v>Not Present</v>
          </cell>
          <cell r="AC141" t="str">
            <v>Inbound</v>
          </cell>
          <cell r="AD141" t="str">
            <v>Inbound Stow</v>
          </cell>
          <cell r="AE141" t="str">
            <v>Stow</v>
          </cell>
          <cell r="AF141" t="str">
            <v>Sunday</v>
          </cell>
          <cell r="AG141" t="str">
            <v>Monday</v>
          </cell>
          <cell r="AH141">
            <v>3</v>
          </cell>
          <cell r="AJ141">
            <v>45914</v>
          </cell>
          <cell r="AM141" t="str">
            <v>TEMP</v>
          </cell>
          <cell r="AN141" t="str">
            <v>3P Onsite Worker</v>
          </cell>
          <cell r="AO141" t="str">
            <v>A</v>
          </cell>
          <cell r="AP141">
            <v>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</row>
        <row r="142">
          <cell r="D142" t="str">
            <v>ayumuwdo</v>
          </cell>
          <cell r="E142">
            <v>203850932</v>
          </cell>
          <cell r="F142" t="str">
            <v>A</v>
          </cell>
          <cell r="G142" t="str">
            <v>GREEN</v>
          </cell>
          <cell r="H142" t="str">
            <v>FULL_TIME</v>
          </cell>
          <cell r="I142">
            <v>900234</v>
          </cell>
          <cell r="J142" t="str">
            <v>Fastlink Outsourcing</v>
          </cell>
          <cell r="K142" t="str">
            <v>Doreen Ayumu</v>
          </cell>
          <cell r="L142" t="str">
            <v>Warehouse Associate (TEMP)</v>
          </cell>
          <cell r="M142" t="str">
            <v>Warehouse Associate 12M</v>
          </cell>
          <cell r="N142" t="str">
            <v>kebedeed</v>
          </cell>
          <cell r="O142">
            <v>1299</v>
          </cell>
          <cell r="P142" t="str">
            <v>AUH1</v>
          </cell>
          <cell r="Q142" t="str">
            <v>ARE</v>
          </cell>
          <cell r="R142" t="str">
            <v>FC109</v>
          </cell>
          <cell r="S142" t="str">
            <v>Day Shift</v>
          </cell>
          <cell r="T142">
            <v>99</v>
          </cell>
          <cell r="U142" t="str">
            <v>MENA_UAE_FC</v>
          </cell>
          <cell r="V142">
            <v>46257.332638888889</v>
          </cell>
          <cell r="W142">
            <v>46257.748611111114</v>
          </cell>
          <cell r="X142">
            <v>46257.333333333336</v>
          </cell>
          <cell r="Y142">
            <v>46257.75</v>
          </cell>
          <cell r="AA142" t="str">
            <v>Scheduled</v>
          </cell>
          <cell r="AB142" t="str">
            <v>Present</v>
          </cell>
          <cell r="AC142" t="str">
            <v>ICQA</v>
          </cell>
          <cell r="AD142" t="str">
            <v>IC/QA/CS</v>
          </cell>
          <cell r="AE142" t="str">
            <v>Support</v>
          </cell>
          <cell r="AF142" t="str">
            <v>Tuesday</v>
          </cell>
          <cell r="AG142" t="str">
            <v>Wednesday</v>
          </cell>
          <cell r="AH142">
            <v>27</v>
          </cell>
          <cell r="AJ142">
            <v>45523</v>
          </cell>
          <cell r="AM142" t="str">
            <v>TEMP</v>
          </cell>
          <cell r="AN142" t="str">
            <v>3P Onsite Worker</v>
          </cell>
          <cell r="AO142" t="str">
            <v>A</v>
          </cell>
          <cell r="AP142">
            <v>9</v>
          </cell>
          <cell r="AQ142">
            <v>0</v>
          </cell>
          <cell r="AR142">
            <v>1</v>
          </cell>
          <cell r="AS142">
            <v>1</v>
          </cell>
          <cell r="AT142">
            <v>0</v>
          </cell>
          <cell r="AU142">
            <v>0</v>
          </cell>
        </row>
        <row r="143">
          <cell r="D143" t="str">
            <v>babismar</v>
          </cell>
          <cell r="E143">
            <v>205236897</v>
          </cell>
          <cell r="F143" t="str">
            <v>A</v>
          </cell>
          <cell r="G143" t="str">
            <v>GREEN</v>
          </cell>
          <cell r="H143" t="str">
            <v>FULL_TIME</v>
          </cell>
          <cell r="I143">
            <v>900234</v>
          </cell>
          <cell r="J143" t="str">
            <v>Dulsco L.L.C.</v>
          </cell>
          <cell r="K143" t="str">
            <v>BISMARK BAAH</v>
          </cell>
          <cell r="L143" t="str">
            <v>Warehouse Associate (TEMP)</v>
          </cell>
          <cell r="M143" t="str">
            <v>Warehouse Associate 24M</v>
          </cell>
          <cell r="N143" t="str">
            <v>scariav</v>
          </cell>
          <cell r="O143">
            <v>1299</v>
          </cell>
          <cell r="P143" t="str">
            <v>AUH1</v>
          </cell>
          <cell r="Q143" t="str">
            <v>ARE</v>
          </cell>
          <cell r="R143" t="str">
            <v>LK017</v>
          </cell>
          <cell r="S143" t="str">
            <v>Night Shift</v>
          </cell>
          <cell r="T143">
            <v>99</v>
          </cell>
          <cell r="U143" t="str">
            <v>MENA_UAE_FC</v>
          </cell>
          <cell r="V143">
            <v>46257.755555555559</v>
          </cell>
          <cell r="X143">
            <v>46257.756944444445</v>
          </cell>
          <cell r="Y143">
            <v>46258.173611111109</v>
          </cell>
          <cell r="AA143" t="str">
            <v>Scheduled</v>
          </cell>
          <cell r="AB143" t="str">
            <v>Present</v>
          </cell>
          <cell r="AC143" t="str">
            <v>Outbound</v>
          </cell>
          <cell r="AD143" t="str">
            <v>Picking</v>
          </cell>
          <cell r="AE143" t="str">
            <v>Pick</v>
          </cell>
          <cell r="AF143" t="str">
            <v>Thursday</v>
          </cell>
          <cell r="AG143" t="str">
            <v>Friday</v>
          </cell>
          <cell r="AH143">
            <v>13</v>
          </cell>
          <cell r="AJ143">
            <v>45788</v>
          </cell>
          <cell r="AM143" t="str">
            <v>TEMP</v>
          </cell>
          <cell r="AN143" t="str">
            <v>3P Onsite Worker</v>
          </cell>
          <cell r="AO143" t="str">
            <v>A</v>
          </cell>
          <cell r="AP143">
            <v>9</v>
          </cell>
          <cell r="AQ143">
            <v>0</v>
          </cell>
          <cell r="AR143">
            <v>1</v>
          </cell>
          <cell r="AS143">
            <v>1</v>
          </cell>
          <cell r="AT143">
            <v>0</v>
          </cell>
          <cell r="AU143">
            <v>0</v>
          </cell>
        </row>
        <row r="144">
          <cell r="D144" t="str">
            <v>bakabdal</v>
          </cell>
          <cell r="E144">
            <v>206875258</v>
          </cell>
          <cell r="F144" t="str">
            <v>A</v>
          </cell>
          <cell r="G144" t="str">
            <v>GREEN</v>
          </cell>
          <cell r="H144" t="str">
            <v>FULL_TIME</v>
          </cell>
          <cell r="I144">
            <v>900234</v>
          </cell>
          <cell r="J144" t="str">
            <v>Dulsco L.L.C.</v>
          </cell>
          <cell r="K144" t="str">
            <v>ABDALAH BAKARI ISSA</v>
          </cell>
          <cell r="L144" t="str">
            <v>Warehouse Associate (TEMP)</v>
          </cell>
          <cell r="M144" t="str">
            <v>Warehouse Associate 8W</v>
          </cell>
          <cell r="N144" t="str">
            <v>aanso</v>
          </cell>
          <cell r="O144">
            <v>1299</v>
          </cell>
          <cell r="P144" t="str">
            <v>AUH1</v>
          </cell>
          <cell r="Q144" t="str">
            <v>ARE</v>
          </cell>
          <cell r="R144" t="str">
            <v>FC059</v>
          </cell>
          <cell r="S144" t="str">
            <v>Day Shift</v>
          </cell>
          <cell r="T144">
            <v>99</v>
          </cell>
          <cell r="U144" t="str">
            <v>MENA_UAE_FC</v>
          </cell>
          <cell r="X144">
            <v>46257.333333333336</v>
          </cell>
          <cell r="Y144">
            <v>46257.75</v>
          </cell>
          <cell r="Z144" t="str">
            <v>Rest Day</v>
          </cell>
          <cell r="AA144" t="str">
            <v>Not Scheduled</v>
          </cell>
          <cell r="AB144" t="str">
            <v>Not Present</v>
          </cell>
          <cell r="AC144" t="str">
            <v>Customer returns</v>
          </cell>
          <cell r="AD144" t="str">
            <v>Customer Returns</v>
          </cell>
          <cell r="AE144" t="str">
            <v>Customer returns</v>
          </cell>
          <cell r="AF144" t="str">
            <v>Sunday</v>
          </cell>
          <cell r="AG144" t="str">
            <v>Monday</v>
          </cell>
          <cell r="AH144">
            <v>22</v>
          </cell>
          <cell r="AJ144">
            <v>46019</v>
          </cell>
          <cell r="AM144" t="str">
            <v>TEMP</v>
          </cell>
          <cell r="AN144" t="str">
            <v>3P Onsite Worker</v>
          </cell>
          <cell r="AO144" t="str">
            <v>A</v>
          </cell>
          <cell r="AP144">
            <v>9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</row>
        <row r="145">
          <cell r="D145" t="str">
            <v>bakawesa</v>
          </cell>
          <cell r="E145">
            <v>206915298</v>
          </cell>
          <cell r="F145" t="str">
            <v>A</v>
          </cell>
          <cell r="G145" t="str">
            <v>GREEN</v>
          </cell>
          <cell r="H145" t="str">
            <v>FULL_TIME</v>
          </cell>
          <cell r="I145">
            <v>900234</v>
          </cell>
          <cell r="J145" t="str">
            <v>Dulsco L.L.C.</v>
          </cell>
          <cell r="K145" t="str">
            <v>BASHIRI KAWESA</v>
          </cell>
          <cell r="L145" t="str">
            <v>Warehouse Associate (TEMP)</v>
          </cell>
          <cell r="M145" t="str">
            <v>Warehouse Associate 8W</v>
          </cell>
          <cell r="N145" t="str">
            <v>pparsin</v>
          </cell>
          <cell r="O145">
            <v>1299</v>
          </cell>
          <cell r="P145" t="str">
            <v>AUH1</v>
          </cell>
          <cell r="Q145" t="str">
            <v>ARE</v>
          </cell>
          <cell r="R145" t="str">
            <v>FC059</v>
          </cell>
          <cell r="S145" t="str">
            <v>Day Shift</v>
          </cell>
          <cell r="T145">
            <v>99</v>
          </cell>
          <cell r="U145" t="str">
            <v>MENA_UAE_FC</v>
          </cell>
          <cell r="X145">
            <v>46257.333333333336</v>
          </cell>
          <cell r="Y145">
            <v>46257.75</v>
          </cell>
          <cell r="Z145" t="str">
            <v>Rest Day</v>
          </cell>
          <cell r="AA145" t="str">
            <v>Not Scheduled</v>
          </cell>
          <cell r="AB145" t="str">
            <v>Not Present</v>
          </cell>
          <cell r="AC145" t="str">
            <v>Inbound</v>
          </cell>
          <cell r="AD145" t="str">
            <v>Inbound Stow</v>
          </cell>
          <cell r="AE145" t="str">
            <v>Stow</v>
          </cell>
          <cell r="AF145" t="str">
            <v>Sunday</v>
          </cell>
          <cell r="AG145" t="str">
            <v>Monday</v>
          </cell>
          <cell r="AH145">
            <v>3</v>
          </cell>
          <cell r="AJ145">
            <v>46033</v>
          </cell>
          <cell r="AM145" t="str">
            <v>TEMP</v>
          </cell>
          <cell r="AN145" t="str">
            <v>3P Onsite Worker</v>
          </cell>
          <cell r="AO145" t="str">
            <v>A</v>
          </cell>
          <cell r="AP145">
            <v>9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</row>
        <row r="146">
          <cell r="D146" t="str">
            <v>bakisurf</v>
          </cell>
          <cell r="E146">
            <v>206850959</v>
          </cell>
          <cell r="F146" t="str">
            <v>A</v>
          </cell>
          <cell r="G146" t="str">
            <v>GREEN</v>
          </cell>
          <cell r="H146" t="str">
            <v>FULL_TIME</v>
          </cell>
          <cell r="I146">
            <v>900234</v>
          </cell>
          <cell r="J146" t="str">
            <v>Dulsco L.L.C.</v>
          </cell>
          <cell r="K146" t="str">
            <v>FRED BAKISULA</v>
          </cell>
          <cell r="L146" t="str">
            <v>Warehouse Associate (TEMP)</v>
          </cell>
          <cell r="M146" t="str">
            <v>Warehouse Associate 8W</v>
          </cell>
          <cell r="N146" t="str">
            <v>mnarshad</v>
          </cell>
          <cell r="O146">
            <v>1299</v>
          </cell>
          <cell r="P146" t="str">
            <v>AUH1</v>
          </cell>
          <cell r="Q146" t="str">
            <v>ARE</v>
          </cell>
          <cell r="R146" t="str">
            <v>FC159</v>
          </cell>
          <cell r="S146" t="str">
            <v>Day Shift</v>
          </cell>
          <cell r="T146">
            <v>99</v>
          </cell>
          <cell r="U146" t="str">
            <v>MENA_UAE_FC</v>
          </cell>
          <cell r="V146">
            <v>46257.332638888889</v>
          </cell>
          <cell r="W146">
            <v>46257.749305555553</v>
          </cell>
          <cell r="X146">
            <v>46257.333333333336</v>
          </cell>
          <cell r="Y146">
            <v>46257.75</v>
          </cell>
          <cell r="AA146" t="str">
            <v>Scheduled</v>
          </cell>
          <cell r="AB146" t="str">
            <v>Present</v>
          </cell>
          <cell r="AC146" t="str">
            <v>Outbound</v>
          </cell>
          <cell r="AD146" t="str">
            <v>Picking</v>
          </cell>
          <cell r="AE146" t="str">
            <v>Pick</v>
          </cell>
          <cell r="AF146" t="str">
            <v>Thursday</v>
          </cell>
          <cell r="AG146" t="str">
            <v>Friday</v>
          </cell>
          <cell r="AH146">
            <v>13</v>
          </cell>
          <cell r="AJ146">
            <v>46012</v>
          </cell>
          <cell r="AM146" t="str">
            <v>TEMP</v>
          </cell>
          <cell r="AN146" t="str">
            <v>3P Onsite Worker</v>
          </cell>
          <cell r="AO146" t="str">
            <v>A</v>
          </cell>
          <cell r="AP146">
            <v>9</v>
          </cell>
          <cell r="AQ146">
            <v>0</v>
          </cell>
          <cell r="AR146">
            <v>1</v>
          </cell>
          <cell r="AS146">
            <v>1</v>
          </cell>
          <cell r="AT146">
            <v>0</v>
          </cell>
          <cell r="AU146">
            <v>0</v>
          </cell>
        </row>
        <row r="147">
          <cell r="D147" t="str">
            <v>bamehami</v>
          </cell>
          <cell r="E147">
            <v>206015600</v>
          </cell>
          <cell r="F147" t="str">
            <v>A</v>
          </cell>
          <cell r="G147" t="str">
            <v>GREEN</v>
          </cell>
          <cell r="H147" t="str">
            <v>FULL_TIME</v>
          </cell>
          <cell r="I147">
            <v>900234</v>
          </cell>
          <cell r="J147" t="str">
            <v>Fastlink Outsourcing</v>
          </cell>
          <cell r="K147" t="str">
            <v>AMINATA BAMEH MARAH</v>
          </cell>
          <cell r="L147" t="str">
            <v>Warehouse Associate (TEMP)</v>
          </cell>
          <cell r="M147" t="str">
            <v>Warehouse Associate 12M</v>
          </cell>
          <cell r="N147" t="str">
            <v>vkkatyal</v>
          </cell>
          <cell r="O147">
            <v>1299</v>
          </cell>
          <cell r="P147" t="str">
            <v>AUH1</v>
          </cell>
          <cell r="Q147" t="str">
            <v>ARE</v>
          </cell>
          <cell r="R147" t="str">
            <v>LK013</v>
          </cell>
          <cell r="S147" t="str">
            <v>Night Shift</v>
          </cell>
          <cell r="T147">
            <v>99</v>
          </cell>
          <cell r="U147" t="str">
            <v>MENA_UAE_FC</v>
          </cell>
          <cell r="V147">
            <v>46257.754861111112</v>
          </cell>
          <cell r="X147">
            <v>46257.756944444445</v>
          </cell>
          <cell r="Y147">
            <v>46258.173611111109</v>
          </cell>
          <cell r="AA147" t="str">
            <v>Scheduled</v>
          </cell>
          <cell r="AB147" t="str">
            <v>Present</v>
          </cell>
          <cell r="AC147" t="str">
            <v>Inbound</v>
          </cell>
          <cell r="AD147" t="str">
            <v>Inbound Stow</v>
          </cell>
          <cell r="AE147" t="str">
            <v>Stow</v>
          </cell>
          <cell r="AF147" t="str">
            <v>Sunday</v>
          </cell>
          <cell r="AG147" t="str">
            <v>Monday</v>
          </cell>
          <cell r="AH147">
            <v>3</v>
          </cell>
          <cell r="AJ147">
            <v>45914</v>
          </cell>
          <cell r="AM147" t="str">
            <v>TEMP</v>
          </cell>
          <cell r="AN147" t="str">
            <v>3P Onsite Worker</v>
          </cell>
          <cell r="AO147" t="str">
            <v>A</v>
          </cell>
          <cell r="AP147">
            <v>9</v>
          </cell>
          <cell r="AQ147">
            <v>0</v>
          </cell>
          <cell r="AR147">
            <v>1</v>
          </cell>
          <cell r="AS147">
            <v>1</v>
          </cell>
          <cell r="AT147">
            <v>0</v>
          </cell>
          <cell r="AU147">
            <v>0</v>
          </cell>
        </row>
        <row r="148">
          <cell r="D148" t="str">
            <v>banjatab</v>
          </cell>
          <cell r="E148">
            <v>206897553</v>
          </cell>
          <cell r="F148" t="str">
            <v>A</v>
          </cell>
          <cell r="G148" t="str">
            <v>GREEN</v>
          </cell>
          <cell r="H148" t="str">
            <v>FULL_TIME</v>
          </cell>
          <cell r="I148">
            <v>900234</v>
          </cell>
          <cell r="J148" t="str">
            <v>Fastlink Outsourcing</v>
          </cell>
          <cell r="K148" t="str">
            <v>BANJATA B JAH</v>
          </cell>
          <cell r="L148" t="str">
            <v>Warehouse Associate (TEMP)</v>
          </cell>
          <cell r="M148" t="str">
            <v>Warehouse Associate 12M</v>
          </cell>
          <cell r="N148" t="str">
            <v>mnarshad</v>
          </cell>
          <cell r="O148">
            <v>1299</v>
          </cell>
          <cell r="P148" t="str">
            <v>AUH1</v>
          </cell>
          <cell r="Q148" t="str">
            <v>ARE</v>
          </cell>
          <cell r="R148" t="str">
            <v>LK012</v>
          </cell>
          <cell r="S148" t="str">
            <v>Night Shift</v>
          </cell>
          <cell r="T148">
            <v>99</v>
          </cell>
          <cell r="U148" t="str">
            <v>MENA_UAE_FC</v>
          </cell>
          <cell r="X148">
            <v>46257.756944444445</v>
          </cell>
          <cell r="Y148">
            <v>46258.173611111109</v>
          </cell>
          <cell r="Z148" t="str">
            <v>Rest Day</v>
          </cell>
          <cell r="AA148" t="str">
            <v>Not Scheduled</v>
          </cell>
          <cell r="AB148" t="str">
            <v>Not Present</v>
          </cell>
          <cell r="AC148" t="str">
            <v>Outbound</v>
          </cell>
          <cell r="AD148" t="str">
            <v>Sort - Batch</v>
          </cell>
          <cell r="AE148" t="str">
            <v>Sort</v>
          </cell>
          <cell r="AF148" t="str">
            <v>Saturday</v>
          </cell>
          <cell r="AG148" t="str">
            <v>Sunday</v>
          </cell>
          <cell r="AH148">
            <v>15</v>
          </cell>
          <cell r="AJ148">
            <v>46029</v>
          </cell>
          <cell r="AM148" t="str">
            <v>TEMP</v>
          </cell>
          <cell r="AN148" t="str">
            <v>3P Onsite Worker</v>
          </cell>
          <cell r="AO148" t="str">
            <v>A</v>
          </cell>
          <cell r="AP148">
            <v>9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</row>
        <row r="149">
          <cell r="D149" t="str">
            <v>bashsaql</v>
          </cell>
          <cell r="E149">
            <v>112549647</v>
          </cell>
          <cell r="F149" t="str">
            <v>A</v>
          </cell>
          <cell r="G149" t="str">
            <v>GREEN</v>
          </cell>
          <cell r="H149" t="str">
            <v>FULL_TIME</v>
          </cell>
          <cell r="I149">
            <v>900234</v>
          </cell>
          <cell r="J149" t="str">
            <v>Quesscorp</v>
          </cell>
          <cell r="K149" t="str">
            <v>Saqlain Bashir</v>
          </cell>
          <cell r="L149" t="str">
            <v>Warehouse Associate (TEMP)</v>
          </cell>
          <cell r="M149" t="str">
            <v>Warehouse Associate 24M</v>
          </cell>
          <cell r="N149" t="str">
            <v>ansammar</v>
          </cell>
          <cell r="O149">
            <v>1299</v>
          </cell>
          <cell r="P149" t="str">
            <v>AUH1</v>
          </cell>
          <cell r="Q149" t="str">
            <v>ARE</v>
          </cell>
          <cell r="R149" t="str">
            <v>FC084</v>
          </cell>
          <cell r="S149" t="str">
            <v>Day Shift</v>
          </cell>
          <cell r="T149">
            <v>99</v>
          </cell>
          <cell r="U149" t="str">
            <v>MENA_UAE_FC</v>
          </cell>
          <cell r="V149">
            <v>46257.329861111109</v>
          </cell>
          <cell r="W149">
            <v>46257.749305555553</v>
          </cell>
          <cell r="X149">
            <v>46257.333333333336</v>
          </cell>
          <cell r="Y149">
            <v>46257.75</v>
          </cell>
          <cell r="AA149" t="str">
            <v>Scheduled</v>
          </cell>
          <cell r="AB149" t="str">
            <v>Present</v>
          </cell>
          <cell r="AC149" t="str">
            <v>Outbound</v>
          </cell>
          <cell r="AD149" t="str">
            <v>Picking</v>
          </cell>
          <cell r="AE149" t="str">
            <v>Pick</v>
          </cell>
          <cell r="AF149" t="str">
            <v>Monday</v>
          </cell>
          <cell r="AG149" t="str">
            <v>Tuesday</v>
          </cell>
          <cell r="AH149">
            <v>13</v>
          </cell>
          <cell r="AJ149">
            <v>45585</v>
          </cell>
          <cell r="AM149" t="str">
            <v>TEMP</v>
          </cell>
          <cell r="AN149" t="str">
            <v>3P Onsite Worker</v>
          </cell>
          <cell r="AO149" t="str">
            <v>A</v>
          </cell>
          <cell r="AP149">
            <v>9</v>
          </cell>
          <cell r="AQ149">
            <v>0</v>
          </cell>
          <cell r="AR149">
            <v>1</v>
          </cell>
          <cell r="AS149">
            <v>1</v>
          </cell>
          <cell r="AT149">
            <v>0</v>
          </cell>
          <cell r="AU149">
            <v>0</v>
          </cell>
        </row>
        <row r="150">
          <cell r="D150" t="str">
            <v>basmagan</v>
          </cell>
          <cell r="E150">
            <v>206926475</v>
          </cell>
          <cell r="F150" t="str">
            <v>A</v>
          </cell>
          <cell r="G150" t="str">
            <v>GREEN</v>
          </cell>
          <cell r="H150" t="str">
            <v>FULL_TIME</v>
          </cell>
          <cell r="I150">
            <v>900234</v>
          </cell>
          <cell r="J150" t="str">
            <v>Dulsco L.L.C.</v>
          </cell>
          <cell r="K150" t="str">
            <v>BASHIR MAGANDA</v>
          </cell>
          <cell r="L150" t="str">
            <v>Warehouse Associate (TEMP)</v>
          </cell>
          <cell r="M150" t="str">
            <v>Warehouse Associate 8W</v>
          </cell>
          <cell r="N150" t="str">
            <v>helrashd</v>
          </cell>
          <cell r="O150">
            <v>1299</v>
          </cell>
          <cell r="P150" t="str">
            <v>AUH1</v>
          </cell>
          <cell r="Q150" t="str">
            <v>ARE</v>
          </cell>
          <cell r="R150" t="str">
            <v>FC059</v>
          </cell>
          <cell r="S150" t="str">
            <v>Day Shift</v>
          </cell>
          <cell r="T150">
            <v>99</v>
          </cell>
          <cell r="U150" t="str">
            <v>MENA_UAE_FC</v>
          </cell>
          <cell r="X150">
            <v>46257.333333333336</v>
          </cell>
          <cell r="Y150">
            <v>46257.75</v>
          </cell>
          <cell r="Z150" t="str">
            <v>Rest Day</v>
          </cell>
          <cell r="AA150" t="str">
            <v>Not Scheduled</v>
          </cell>
          <cell r="AB150" t="str">
            <v>Not Present</v>
          </cell>
          <cell r="AC150" t="str">
            <v>Da</v>
          </cell>
          <cell r="AD150" t="str">
            <v>Transfer Out</v>
          </cell>
          <cell r="AE150" t="str">
            <v>Da</v>
          </cell>
          <cell r="AF150" t="str">
            <v>Sunday</v>
          </cell>
          <cell r="AG150" t="str">
            <v>Monday</v>
          </cell>
          <cell r="AH150">
            <v>10</v>
          </cell>
          <cell r="AJ150">
            <v>46036</v>
          </cell>
          <cell r="AM150" t="str">
            <v>TEMP</v>
          </cell>
          <cell r="AN150" t="str">
            <v>3P Onsite Worker</v>
          </cell>
          <cell r="AO150" t="str">
            <v>A</v>
          </cell>
          <cell r="AP150">
            <v>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</row>
        <row r="151">
          <cell r="D151" t="str">
            <v>batefrid</v>
          </cell>
          <cell r="E151">
            <v>206897639</v>
          </cell>
          <cell r="F151" t="str">
            <v>A</v>
          </cell>
          <cell r="G151" t="str">
            <v>GREEN</v>
          </cell>
          <cell r="H151" t="str">
            <v>REDUCED</v>
          </cell>
          <cell r="I151">
            <v>900234</v>
          </cell>
          <cell r="J151" t="str">
            <v>Fastlink Outsourcing</v>
          </cell>
          <cell r="K151" t="str">
            <v>FRIDA BATE ENOW</v>
          </cell>
          <cell r="L151" t="str">
            <v>Warehouse Associate (TEMP)</v>
          </cell>
          <cell r="M151" t="str">
            <v>Warehouse Associate 8W</v>
          </cell>
          <cell r="N151" t="str">
            <v>ansammar</v>
          </cell>
          <cell r="O151">
            <v>1299</v>
          </cell>
          <cell r="P151" t="str">
            <v>AUH1</v>
          </cell>
          <cell r="Q151" t="str">
            <v>ARE</v>
          </cell>
          <cell r="R151" t="str">
            <v>FC555</v>
          </cell>
          <cell r="S151" t="str">
            <v>Night Shift</v>
          </cell>
          <cell r="T151">
            <v>99</v>
          </cell>
          <cell r="U151" t="str">
            <v>MENA_UAE_FC</v>
          </cell>
          <cell r="V151">
            <v>46257.755555555559</v>
          </cell>
          <cell r="X151">
            <v>46257.756944444445</v>
          </cell>
          <cell r="Y151">
            <v>46258.090277777781</v>
          </cell>
          <cell r="AA151" t="str">
            <v>Scheduled</v>
          </cell>
          <cell r="AB151" t="str">
            <v>Present</v>
          </cell>
          <cell r="AC151" t="str">
            <v>Outbound</v>
          </cell>
          <cell r="AD151" t="str">
            <v>Pack - Batch</v>
          </cell>
          <cell r="AE151" t="str">
            <v>Pack</v>
          </cell>
          <cell r="AF151" t="str">
            <v>Monday</v>
          </cell>
          <cell r="AG151" t="str">
            <v>Tuesday</v>
          </cell>
          <cell r="AH151">
            <v>17</v>
          </cell>
          <cell r="AJ151">
            <v>46246</v>
          </cell>
          <cell r="AM151" t="str">
            <v>TEMP</v>
          </cell>
          <cell r="AN151" t="str">
            <v>3P Onsite Worker</v>
          </cell>
          <cell r="AO151" t="str">
            <v>A</v>
          </cell>
          <cell r="AP151">
            <v>7</v>
          </cell>
          <cell r="AQ151">
            <v>0</v>
          </cell>
          <cell r="AR151">
            <v>1</v>
          </cell>
          <cell r="AS151">
            <v>1</v>
          </cell>
          <cell r="AT151">
            <v>0</v>
          </cell>
          <cell r="AU151">
            <v>0</v>
          </cell>
        </row>
        <row r="152">
          <cell r="D152" t="str">
            <v>bbenjowu</v>
          </cell>
          <cell r="E152">
            <v>206868000</v>
          </cell>
          <cell r="F152" t="str">
            <v>A</v>
          </cell>
          <cell r="G152" t="str">
            <v>GREEN</v>
          </cell>
          <cell r="H152" t="str">
            <v>FULL_TIME</v>
          </cell>
          <cell r="I152">
            <v>900234</v>
          </cell>
          <cell r="J152" t="str">
            <v>Fastlink Outsourcing</v>
          </cell>
          <cell r="K152" t="str">
            <v>BENJAMIN OWUSU</v>
          </cell>
          <cell r="L152" t="str">
            <v>Warehouse Associate (TEMP)</v>
          </cell>
          <cell r="M152" t="str">
            <v>Warehouse Associate 8W</v>
          </cell>
          <cell r="N152" t="str">
            <v>scariav</v>
          </cell>
          <cell r="O152">
            <v>1299</v>
          </cell>
          <cell r="P152" t="str">
            <v>AUH1</v>
          </cell>
          <cell r="Q152" t="str">
            <v>ARE</v>
          </cell>
          <cell r="R152" t="str">
            <v>FC554</v>
          </cell>
          <cell r="S152" t="str">
            <v>Night Shift</v>
          </cell>
          <cell r="T152">
            <v>99</v>
          </cell>
          <cell r="U152" t="str">
            <v>MENA_UAE_FC</v>
          </cell>
          <cell r="X152">
            <v>46257.756944444445</v>
          </cell>
          <cell r="Y152">
            <v>46258.090277777781</v>
          </cell>
          <cell r="Z152" t="str">
            <v>Rest Day</v>
          </cell>
          <cell r="AA152" t="str">
            <v>Not Scheduled</v>
          </cell>
          <cell r="AB152" t="str">
            <v>Not Present</v>
          </cell>
          <cell r="AC152" t="str">
            <v>Outbound</v>
          </cell>
          <cell r="AD152" t="str">
            <v>Pack - Single</v>
          </cell>
          <cell r="AE152" t="str">
            <v>Pack</v>
          </cell>
          <cell r="AF152" t="str">
            <v>Sunday</v>
          </cell>
          <cell r="AG152" t="str">
            <v>Monday</v>
          </cell>
          <cell r="AH152">
            <v>18</v>
          </cell>
          <cell r="AJ152">
            <v>46237</v>
          </cell>
          <cell r="AM152" t="str">
            <v>TEMP</v>
          </cell>
          <cell r="AN152" t="str">
            <v>3P Onsite Worker</v>
          </cell>
          <cell r="AO152" t="str">
            <v>A</v>
          </cell>
          <cell r="AP152">
            <v>7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</row>
        <row r="153">
          <cell r="D153" t="str">
            <v>benesaah</v>
          </cell>
          <cell r="E153">
            <v>204013691</v>
          </cell>
          <cell r="F153" t="str">
            <v>A</v>
          </cell>
          <cell r="G153" t="str">
            <v>GREEN</v>
          </cell>
          <cell r="H153" t="str">
            <v>FULL_TIME</v>
          </cell>
          <cell r="I153">
            <v>900234</v>
          </cell>
          <cell r="J153" t="str">
            <v>Fastlink Outsourcing</v>
          </cell>
          <cell r="K153" t="str">
            <v>Benedict Saah Camille</v>
          </cell>
          <cell r="L153" t="str">
            <v>Warehouse Associate (TEMP)</v>
          </cell>
          <cell r="M153" t="str">
            <v>Warehouse Associate 12M</v>
          </cell>
          <cell r="N153" t="str">
            <v>scariav</v>
          </cell>
          <cell r="O153">
            <v>1299</v>
          </cell>
          <cell r="P153" t="str">
            <v>AUH1</v>
          </cell>
          <cell r="Q153" t="str">
            <v>ARE</v>
          </cell>
          <cell r="R153" t="str">
            <v>LK016</v>
          </cell>
          <cell r="S153" t="str">
            <v>Night Shift</v>
          </cell>
          <cell r="T153">
            <v>99</v>
          </cell>
          <cell r="U153" t="str">
            <v>MENA_UAE_FC</v>
          </cell>
          <cell r="V153">
            <v>46257.755555555559</v>
          </cell>
          <cell r="X153">
            <v>46257.756944444445</v>
          </cell>
          <cell r="Y153">
            <v>46258.173611111109</v>
          </cell>
          <cell r="AA153" t="str">
            <v>Scheduled</v>
          </cell>
          <cell r="AB153" t="str">
            <v>Present</v>
          </cell>
          <cell r="AC153" t="str">
            <v>Outbound</v>
          </cell>
          <cell r="AD153" t="str">
            <v>Picking</v>
          </cell>
          <cell r="AE153" t="str">
            <v>Pick</v>
          </cell>
          <cell r="AF153" t="str">
            <v>Wednesday</v>
          </cell>
          <cell r="AG153" t="str">
            <v>Thursday</v>
          </cell>
          <cell r="AH153">
            <v>13</v>
          </cell>
          <cell r="AJ153">
            <v>45550</v>
          </cell>
          <cell r="AM153" t="str">
            <v>TEMP</v>
          </cell>
          <cell r="AN153" t="str">
            <v>3P Onsite Worker</v>
          </cell>
          <cell r="AO153" t="str">
            <v>A</v>
          </cell>
          <cell r="AP153">
            <v>9</v>
          </cell>
          <cell r="AQ153">
            <v>0</v>
          </cell>
          <cell r="AR153">
            <v>1</v>
          </cell>
          <cell r="AS153">
            <v>1</v>
          </cell>
          <cell r="AT153">
            <v>0</v>
          </cell>
          <cell r="AU153">
            <v>0</v>
          </cell>
        </row>
        <row r="154">
          <cell r="D154" t="str">
            <v>benjanko</v>
          </cell>
          <cell r="E154">
            <v>203908868</v>
          </cell>
          <cell r="F154" t="str">
            <v>A</v>
          </cell>
          <cell r="G154" t="str">
            <v>GREEN</v>
          </cell>
          <cell r="H154" t="str">
            <v>FULL_TIME</v>
          </cell>
          <cell r="I154">
            <v>900234</v>
          </cell>
          <cell r="J154" t="str">
            <v>Fastlink Outsourcing</v>
          </cell>
          <cell r="K154" t="str">
            <v>Benjamin Ankomahene</v>
          </cell>
          <cell r="L154" t="str">
            <v>Warehouse Associate (TEMP)</v>
          </cell>
          <cell r="M154" t="str">
            <v>Warehouse Associate 12M</v>
          </cell>
          <cell r="N154" t="str">
            <v>scariav</v>
          </cell>
          <cell r="O154">
            <v>1299</v>
          </cell>
          <cell r="P154" t="str">
            <v>AUH1</v>
          </cell>
          <cell r="Q154" t="str">
            <v>ARE</v>
          </cell>
          <cell r="R154" t="str">
            <v>LK014</v>
          </cell>
          <cell r="S154" t="str">
            <v>Night Shift</v>
          </cell>
          <cell r="T154">
            <v>99</v>
          </cell>
          <cell r="U154" t="str">
            <v>MENA_UAE_FC</v>
          </cell>
          <cell r="V154">
            <v>46257.756944444445</v>
          </cell>
          <cell r="X154">
            <v>46257.756944444445</v>
          </cell>
          <cell r="Y154">
            <v>46258.173611111109</v>
          </cell>
          <cell r="AA154" t="str">
            <v>Scheduled</v>
          </cell>
          <cell r="AB154" t="str">
            <v>Present</v>
          </cell>
          <cell r="AC154" t="str">
            <v>Outbound</v>
          </cell>
          <cell r="AD154" t="str">
            <v>Picking</v>
          </cell>
          <cell r="AE154" t="str">
            <v>Pick</v>
          </cell>
          <cell r="AF154" t="str">
            <v>Monday</v>
          </cell>
          <cell r="AG154" t="str">
            <v>Tuesday</v>
          </cell>
          <cell r="AH154">
            <v>13</v>
          </cell>
          <cell r="AJ154">
            <v>45536</v>
          </cell>
          <cell r="AM154" t="str">
            <v>TEMP</v>
          </cell>
          <cell r="AN154" t="str">
            <v>3P Onsite Worker</v>
          </cell>
          <cell r="AO154" t="str">
            <v>A</v>
          </cell>
          <cell r="AP154">
            <v>9</v>
          </cell>
          <cell r="AQ154">
            <v>0</v>
          </cell>
          <cell r="AR154">
            <v>1</v>
          </cell>
          <cell r="AS154">
            <v>1</v>
          </cell>
          <cell r="AT154">
            <v>0</v>
          </cell>
          <cell r="AU154">
            <v>0</v>
          </cell>
        </row>
        <row r="155">
          <cell r="D155" t="str">
            <v>berchimh</v>
          </cell>
          <cell r="E155">
            <v>203555399</v>
          </cell>
          <cell r="F155" t="str">
            <v>A</v>
          </cell>
          <cell r="G155" t="str">
            <v>GREEN</v>
          </cell>
          <cell r="H155" t="str">
            <v>FULL_TIME</v>
          </cell>
          <cell r="I155">
            <v>900234</v>
          </cell>
          <cell r="J155" t="str">
            <v>Fastlink Outsourcing</v>
          </cell>
          <cell r="K155" t="str">
            <v>Bernadette Chimhau</v>
          </cell>
          <cell r="L155" t="str">
            <v>Warehouse Associate (TEMP)</v>
          </cell>
          <cell r="M155" t="str">
            <v>Warehouse Associate 12M</v>
          </cell>
          <cell r="N155" t="str">
            <v>aanso</v>
          </cell>
          <cell r="O155">
            <v>1299</v>
          </cell>
          <cell r="P155" t="str">
            <v>AUH1</v>
          </cell>
          <cell r="Q155" t="str">
            <v>ARE</v>
          </cell>
          <cell r="R155" t="str">
            <v>FC159</v>
          </cell>
          <cell r="S155" t="str">
            <v>Day Shift</v>
          </cell>
          <cell r="T155">
            <v>99</v>
          </cell>
          <cell r="U155" t="str">
            <v>MENA_UAE_FC</v>
          </cell>
          <cell r="V155">
            <v>46257.331944444442</v>
          </cell>
          <cell r="W155">
            <v>46257.749305555553</v>
          </cell>
          <cell r="X155">
            <v>46257.333333333336</v>
          </cell>
          <cell r="Y155">
            <v>46257.75</v>
          </cell>
          <cell r="AA155" t="str">
            <v>Scheduled</v>
          </cell>
          <cell r="AB155" t="str">
            <v>Present</v>
          </cell>
          <cell r="AC155" t="str">
            <v>Customer returns</v>
          </cell>
          <cell r="AD155" t="str">
            <v>Customer Returns</v>
          </cell>
          <cell r="AE155" t="str">
            <v>Customer returns</v>
          </cell>
          <cell r="AF155" t="str">
            <v>Thursday</v>
          </cell>
          <cell r="AG155" t="str">
            <v>Friday</v>
          </cell>
          <cell r="AH155">
            <v>22</v>
          </cell>
          <cell r="AJ155">
            <v>45469</v>
          </cell>
          <cell r="AM155" t="str">
            <v>TEMP</v>
          </cell>
          <cell r="AN155" t="str">
            <v>3P Onsite Worker</v>
          </cell>
          <cell r="AO155" t="str">
            <v>A</v>
          </cell>
          <cell r="AP155">
            <v>9</v>
          </cell>
          <cell r="AQ155">
            <v>0</v>
          </cell>
          <cell r="AR155">
            <v>1</v>
          </cell>
          <cell r="AS155">
            <v>1</v>
          </cell>
          <cell r="AT155">
            <v>0</v>
          </cell>
          <cell r="AU155">
            <v>0</v>
          </cell>
        </row>
        <row r="156">
          <cell r="D156" t="str">
            <v>bericyaw</v>
          </cell>
          <cell r="E156">
            <v>204299913</v>
          </cell>
          <cell r="F156" t="str">
            <v>A</v>
          </cell>
          <cell r="G156" t="str">
            <v>GREEN</v>
          </cell>
          <cell r="H156" t="str">
            <v>FULL_TIME</v>
          </cell>
          <cell r="I156">
            <v>900234</v>
          </cell>
          <cell r="J156" t="str">
            <v>Quesscorp</v>
          </cell>
          <cell r="K156" t="str">
            <v>Eric Yaw Bruku</v>
          </cell>
          <cell r="L156" t="str">
            <v>Warehouse Associate (TEMP)</v>
          </cell>
          <cell r="M156" t="str">
            <v>Warehouse Associate 24M</v>
          </cell>
          <cell r="N156" t="str">
            <v>aanso</v>
          </cell>
          <cell r="O156">
            <v>1299</v>
          </cell>
          <cell r="P156" t="str">
            <v>AUH1</v>
          </cell>
          <cell r="Q156" t="str">
            <v>ARE</v>
          </cell>
          <cell r="R156" t="str">
            <v>LK017</v>
          </cell>
          <cell r="S156" t="str">
            <v>Night Shift</v>
          </cell>
          <cell r="T156">
            <v>99</v>
          </cell>
          <cell r="U156" t="str">
            <v>MENA_UAE_FC</v>
          </cell>
          <cell r="V156">
            <v>46257.755555555559</v>
          </cell>
          <cell r="X156">
            <v>46257.756944444445</v>
          </cell>
          <cell r="Y156">
            <v>46258.173611111109</v>
          </cell>
          <cell r="AA156" t="str">
            <v>Scheduled</v>
          </cell>
          <cell r="AB156" t="str">
            <v>Present</v>
          </cell>
          <cell r="AC156" t="str">
            <v>Customer returns</v>
          </cell>
          <cell r="AD156" t="str">
            <v>Customer Returns</v>
          </cell>
          <cell r="AE156" t="str">
            <v>Customer returns</v>
          </cell>
          <cell r="AF156" t="str">
            <v>Thursday</v>
          </cell>
          <cell r="AG156" t="str">
            <v>Friday</v>
          </cell>
          <cell r="AH156">
            <v>22</v>
          </cell>
          <cell r="AJ156">
            <v>45585</v>
          </cell>
          <cell r="AM156" t="str">
            <v>TEMP</v>
          </cell>
          <cell r="AN156" t="str">
            <v>3P Onsite Worker</v>
          </cell>
          <cell r="AO156" t="str">
            <v>A</v>
          </cell>
          <cell r="AP156">
            <v>9</v>
          </cell>
          <cell r="AQ156">
            <v>0</v>
          </cell>
          <cell r="AR156">
            <v>1</v>
          </cell>
          <cell r="AS156">
            <v>1</v>
          </cell>
          <cell r="AT156">
            <v>0</v>
          </cell>
          <cell r="AU156">
            <v>0</v>
          </cell>
        </row>
        <row r="157">
          <cell r="D157" t="str">
            <v>beryllin</v>
          </cell>
          <cell r="E157">
            <v>203555224</v>
          </cell>
          <cell r="F157" t="str">
            <v>A</v>
          </cell>
          <cell r="G157" t="str">
            <v>GREEN</v>
          </cell>
          <cell r="H157" t="str">
            <v>FULL_TIME</v>
          </cell>
          <cell r="I157">
            <v>900234</v>
          </cell>
          <cell r="J157" t="str">
            <v>Fastlink Outsourcing</v>
          </cell>
          <cell r="K157" t="str">
            <v>Berylline Okine</v>
          </cell>
          <cell r="L157" t="str">
            <v>Warehouse Associate (TEMP)</v>
          </cell>
          <cell r="M157" t="str">
            <v>Warehouse Associate 12M</v>
          </cell>
          <cell r="N157" t="str">
            <v>kebedeed</v>
          </cell>
          <cell r="O157">
            <v>1299</v>
          </cell>
          <cell r="P157" t="str">
            <v>AUH1</v>
          </cell>
          <cell r="Q157" t="str">
            <v>ARE</v>
          </cell>
          <cell r="R157" t="str">
            <v>FC034</v>
          </cell>
          <cell r="S157" t="str">
            <v>Day Shift</v>
          </cell>
          <cell r="T157">
            <v>99</v>
          </cell>
          <cell r="U157" t="str">
            <v>MENA_UAE_FC</v>
          </cell>
          <cell r="X157">
            <v>46257.333333333336</v>
          </cell>
          <cell r="Y157">
            <v>46257.75</v>
          </cell>
          <cell r="Z157" t="str">
            <v>Rest Day</v>
          </cell>
          <cell r="AA157" t="str">
            <v>Not Scheduled</v>
          </cell>
          <cell r="AB157" t="str">
            <v>Not Present</v>
          </cell>
          <cell r="AC157" t="str">
            <v>Support</v>
          </cell>
          <cell r="AD157" t="str">
            <v>Facilities</v>
          </cell>
          <cell r="AE157" t="str">
            <v>Support</v>
          </cell>
          <cell r="AF157" t="str">
            <v>Saturday</v>
          </cell>
          <cell r="AG157" t="str">
            <v>Sunday</v>
          </cell>
          <cell r="AH157">
            <v>28</v>
          </cell>
          <cell r="AJ157">
            <v>45469</v>
          </cell>
          <cell r="AM157" t="str">
            <v>TEMP</v>
          </cell>
          <cell r="AN157" t="str">
            <v>3P Onsite Worker</v>
          </cell>
          <cell r="AO157" t="str">
            <v>A</v>
          </cell>
          <cell r="AP157">
            <v>9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</row>
        <row r="158">
          <cell r="D158" t="str">
            <v>bethomam</v>
          </cell>
          <cell r="E158">
            <v>201161555</v>
          </cell>
          <cell r="F158" t="str">
            <v>A</v>
          </cell>
          <cell r="G158" t="str">
            <v>GREEN</v>
          </cell>
          <cell r="H158" t="str">
            <v>FULL_TIME</v>
          </cell>
          <cell r="I158">
            <v>900234</v>
          </cell>
          <cell r="J158" t="str">
            <v>Quesscorp</v>
          </cell>
          <cell r="K158" t="str">
            <v>Benjamin Thomas</v>
          </cell>
          <cell r="L158" t="str">
            <v>Warehouse Associate (TEMP)</v>
          </cell>
          <cell r="M158" t="str">
            <v>Warehouse Associate 24M</v>
          </cell>
          <cell r="N158" t="str">
            <v>scariav</v>
          </cell>
          <cell r="O158">
            <v>1299</v>
          </cell>
          <cell r="P158" t="str">
            <v>AUH1</v>
          </cell>
          <cell r="Q158" t="str">
            <v>ARE</v>
          </cell>
          <cell r="R158" t="str">
            <v>LK011</v>
          </cell>
          <cell r="S158" t="str">
            <v>Night Shift</v>
          </cell>
          <cell r="T158">
            <v>99</v>
          </cell>
          <cell r="U158" t="str">
            <v>MENA_UAE_FC</v>
          </cell>
          <cell r="V158">
            <v>46257.333333333336</v>
          </cell>
          <cell r="W158">
            <v>46257.75</v>
          </cell>
          <cell r="X158">
            <v>46257.333333333336</v>
          </cell>
          <cell r="Y158">
            <v>46257.75</v>
          </cell>
          <cell r="AA158" t="str">
            <v>Scheduled</v>
          </cell>
          <cell r="AB158" t="str">
            <v>Present</v>
          </cell>
          <cell r="AC158" t="str">
            <v>Outbound</v>
          </cell>
          <cell r="AD158" t="str">
            <v>Sort - Batch</v>
          </cell>
          <cell r="AE158" t="str">
            <v>Sort</v>
          </cell>
          <cell r="AF158" t="str">
            <v>Friday</v>
          </cell>
          <cell r="AG158" t="str">
            <v>Saturday</v>
          </cell>
          <cell r="AH158">
            <v>15</v>
          </cell>
          <cell r="AJ158">
            <v>45585</v>
          </cell>
          <cell r="AM158" t="str">
            <v>TEMP</v>
          </cell>
          <cell r="AN158" t="str">
            <v>3P Onsite Worker</v>
          </cell>
          <cell r="AO158" t="str">
            <v>A</v>
          </cell>
          <cell r="AP158">
            <v>9</v>
          </cell>
          <cell r="AQ158">
            <v>0</v>
          </cell>
          <cell r="AR158">
            <v>1</v>
          </cell>
          <cell r="AS158">
            <v>1</v>
          </cell>
          <cell r="AT158">
            <v>0</v>
          </cell>
          <cell r="AU158">
            <v>0</v>
          </cell>
        </row>
        <row r="159">
          <cell r="D159" t="str">
            <v>bfedwink</v>
          </cell>
          <cell r="E159">
            <v>206957735</v>
          </cell>
          <cell r="F159" t="str">
            <v>A</v>
          </cell>
          <cell r="G159" t="str">
            <v>GREEN</v>
          </cell>
          <cell r="H159" t="str">
            <v>FULL_TIME</v>
          </cell>
          <cell r="I159">
            <v>900234</v>
          </cell>
          <cell r="J159" t="str">
            <v>EFS Facilities Services</v>
          </cell>
          <cell r="K159" t="str">
            <v>Edwin Kiplimo Bomet</v>
          </cell>
          <cell r="L159" t="str">
            <v>Warehouse Associate (TEMP)</v>
          </cell>
          <cell r="M159" t="str">
            <v>Warehouse Associate 8W</v>
          </cell>
          <cell r="N159" t="str">
            <v>aanso</v>
          </cell>
          <cell r="O159">
            <v>1299</v>
          </cell>
          <cell r="P159" t="str">
            <v>AUH1</v>
          </cell>
          <cell r="Q159" t="str">
            <v>ARE</v>
          </cell>
          <cell r="R159" t="str">
            <v>FC084</v>
          </cell>
          <cell r="S159" t="str">
            <v>Day Shift</v>
          </cell>
          <cell r="T159">
            <v>99</v>
          </cell>
          <cell r="U159" t="str">
            <v>MENA_UAE_FC</v>
          </cell>
          <cell r="V159">
            <v>46257.332638888889</v>
          </cell>
          <cell r="W159">
            <v>46257.749305555553</v>
          </cell>
          <cell r="X159">
            <v>46257.333333333336</v>
          </cell>
          <cell r="Y159">
            <v>46257.75</v>
          </cell>
          <cell r="AA159" t="str">
            <v>Scheduled</v>
          </cell>
          <cell r="AB159" t="str">
            <v>Present</v>
          </cell>
          <cell r="AC159" t="str">
            <v>Customer returns</v>
          </cell>
          <cell r="AD159" t="str">
            <v>Customer Returns</v>
          </cell>
          <cell r="AE159" t="str">
            <v>Customer returns</v>
          </cell>
          <cell r="AF159" t="str">
            <v>Monday</v>
          </cell>
          <cell r="AG159" t="str">
            <v>Tuesday</v>
          </cell>
          <cell r="AH159">
            <v>22</v>
          </cell>
          <cell r="AJ159">
            <v>46047</v>
          </cell>
          <cell r="AM159" t="str">
            <v>TEMP</v>
          </cell>
          <cell r="AN159" t="str">
            <v>3P Onsite Worker</v>
          </cell>
          <cell r="AO159" t="str">
            <v>A</v>
          </cell>
          <cell r="AP159">
            <v>9</v>
          </cell>
          <cell r="AQ159">
            <v>0</v>
          </cell>
          <cell r="AR159">
            <v>1</v>
          </cell>
          <cell r="AS159">
            <v>1</v>
          </cell>
          <cell r="AT159">
            <v>0</v>
          </cell>
          <cell r="AU159">
            <v>0</v>
          </cell>
        </row>
        <row r="160">
          <cell r="D160" t="str">
            <v>bihveraf</v>
          </cell>
          <cell r="E160">
            <v>203555406</v>
          </cell>
          <cell r="F160" t="str">
            <v>A</v>
          </cell>
          <cell r="G160" t="str">
            <v>GREEN</v>
          </cell>
          <cell r="H160" t="str">
            <v>FULL_TIME</v>
          </cell>
          <cell r="I160">
            <v>900234</v>
          </cell>
          <cell r="J160" t="str">
            <v>Fastlink Outsourcing</v>
          </cell>
          <cell r="K160" t="str">
            <v>Vera Bih</v>
          </cell>
          <cell r="L160" t="str">
            <v>Warehouse Associate (TEMP)</v>
          </cell>
          <cell r="M160" t="str">
            <v>Warehouse Associate 12M</v>
          </cell>
          <cell r="N160" t="str">
            <v>bavameer</v>
          </cell>
          <cell r="O160">
            <v>1299</v>
          </cell>
          <cell r="P160" t="str">
            <v>AUH1</v>
          </cell>
          <cell r="Q160" t="str">
            <v>ARE</v>
          </cell>
          <cell r="R160" t="str">
            <v>FC059</v>
          </cell>
          <cell r="S160" t="str">
            <v>Day Shift</v>
          </cell>
          <cell r="T160">
            <v>99</v>
          </cell>
          <cell r="U160" t="str">
            <v>MENA_UAE_FC</v>
          </cell>
          <cell r="X160">
            <v>46257.333333333336</v>
          </cell>
          <cell r="Y160">
            <v>46257.75</v>
          </cell>
          <cell r="Z160" t="str">
            <v>Rest Day</v>
          </cell>
          <cell r="AA160" t="str">
            <v>Not Scheduled</v>
          </cell>
          <cell r="AB160" t="str">
            <v>Not Present</v>
          </cell>
          <cell r="AC160" t="str">
            <v>Customer returns</v>
          </cell>
          <cell r="AD160" t="str">
            <v>Customer Returns</v>
          </cell>
          <cell r="AE160" t="str">
            <v>Customer returns</v>
          </cell>
          <cell r="AF160" t="str">
            <v>Sunday</v>
          </cell>
          <cell r="AG160" t="str">
            <v>Monday</v>
          </cell>
          <cell r="AH160">
            <v>22</v>
          </cell>
          <cell r="AJ160">
            <v>45469</v>
          </cell>
          <cell r="AM160" t="str">
            <v>TEMP</v>
          </cell>
          <cell r="AN160" t="str">
            <v>3P Onsite Worker</v>
          </cell>
          <cell r="AO160" t="str">
            <v>A</v>
          </cell>
          <cell r="AP160">
            <v>9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</row>
        <row r="161">
          <cell r="D161" t="str">
            <v>bimbrend</v>
          </cell>
          <cell r="E161">
            <v>203512667</v>
          </cell>
          <cell r="F161" t="str">
            <v>A</v>
          </cell>
          <cell r="G161" t="str">
            <v>GREEN</v>
          </cell>
          <cell r="H161" t="str">
            <v>FULL_TIME</v>
          </cell>
          <cell r="I161">
            <v>900234</v>
          </cell>
          <cell r="J161" t="str">
            <v>Fastlink Outsourcing</v>
          </cell>
          <cell r="K161" t="str">
            <v>Brenda Bih</v>
          </cell>
          <cell r="L161" t="str">
            <v>Warehouse Associate (TEMP)</v>
          </cell>
          <cell r="M161" t="str">
            <v>Warehouse Associate 12M</v>
          </cell>
          <cell r="N161" t="str">
            <v>scariav</v>
          </cell>
          <cell r="O161">
            <v>1299</v>
          </cell>
          <cell r="P161" t="str">
            <v>AUH1</v>
          </cell>
          <cell r="Q161" t="str">
            <v>ARE</v>
          </cell>
          <cell r="R161" t="str">
            <v>LK012</v>
          </cell>
          <cell r="S161" t="str">
            <v>Night Shift</v>
          </cell>
          <cell r="T161">
            <v>99</v>
          </cell>
          <cell r="U161" t="str">
            <v>MENA_UAE_FC</v>
          </cell>
          <cell r="V161">
            <v>46257.333333333336</v>
          </cell>
          <cell r="W161">
            <v>46257.752083333333</v>
          </cell>
          <cell r="X161">
            <v>46257.333333333336</v>
          </cell>
          <cell r="Y161">
            <v>46257.75</v>
          </cell>
          <cell r="AA161" t="str">
            <v>Scheduled</v>
          </cell>
          <cell r="AB161" t="str">
            <v>Present</v>
          </cell>
          <cell r="AC161" t="str">
            <v>Outbound</v>
          </cell>
          <cell r="AD161" t="str">
            <v>Sort - Batch</v>
          </cell>
          <cell r="AE161" t="str">
            <v>Sort</v>
          </cell>
          <cell r="AF161" t="str">
            <v>Saturday</v>
          </cell>
          <cell r="AG161" t="str">
            <v>Sunday</v>
          </cell>
          <cell r="AH161">
            <v>15</v>
          </cell>
          <cell r="AJ161">
            <v>45462</v>
          </cell>
          <cell r="AM161" t="str">
            <v>TEMP</v>
          </cell>
          <cell r="AN161" t="str">
            <v>3P Onsite Worker</v>
          </cell>
          <cell r="AO161" t="str">
            <v>A</v>
          </cell>
          <cell r="AP161">
            <v>9</v>
          </cell>
          <cell r="AQ161">
            <v>0</v>
          </cell>
          <cell r="AR161">
            <v>1</v>
          </cell>
          <cell r="AS161">
            <v>1</v>
          </cell>
          <cell r="AT161">
            <v>0</v>
          </cell>
          <cell r="AU161">
            <v>0</v>
          </cell>
        </row>
        <row r="162">
          <cell r="D162" t="str">
            <v>biseswak</v>
          </cell>
          <cell r="E162">
            <v>204009916</v>
          </cell>
          <cell r="F162" t="str">
            <v>A</v>
          </cell>
          <cell r="G162" t="str">
            <v>GREEN</v>
          </cell>
          <cell r="H162" t="str">
            <v>FULL_TIME</v>
          </cell>
          <cell r="I162">
            <v>900234</v>
          </cell>
          <cell r="J162" t="str">
            <v>Dulsco L.L.C.</v>
          </cell>
          <cell r="K162" t="str">
            <v>BISESWAR KUMAR THAKUR</v>
          </cell>
          <cell r="L162" t="str">
            <v>Warehouse Associate (TEMP)</v>
          </cell>
          <cell r="M162" t="str">
            <v>Warehouse Associate 24M</v>
          </cell>
          <cell r="N162" t="str">
            <v>lraghava</v>
          </cell>
          <cell r="O162">
            <v>1299</v>
          </cell>
          <cell r="P162" t="str">
            <v>AUH1</v>
          </cell>
          <cell r="Q162" t="str">
            <v>ARE</v>
          </cell>
          <cell r="R162" t="str">
            <v>FC084</v>
          </cell>
          <cell r="S162" t="str">
            <v>Day Shift</v>
          </cell>
          <cell r="T162">
            <v>99</v>
          </cell>
          <cell r="U162" t="str">
            <v>MENA_UAE_FC</v>
          </cell>
          <cell r="V162">
            <v>46257.331944444442</v>
          </cell>
          <cell r="W162">
            <v>46257.747916666667</v>
          </cell>
          <cell r="X162">
            <v>46257.333333333336</v>
          </cell>
          <cell r="Y162">
            <v>46257.75</v>
          </cell>
          <cell r="AA162" t="str">
            <v>Scheduled</v>
          </cell>
          <cell r="AB162" t="str">
            <v>Present</v>
          </cell>
          <cell r="AC162" t="str">
            <v>Outbound</v>
          </cell>
          <cell r="AD162" t="str">
            <v>Picking</v>
          </cell>
          <cell r="AE162" t="str">
            <v>Pick</v>
          </cell>
          <cell r="AF162" t="str">
            <v>Monday</v>
          </cell>
          <cell r="AG162" t="str">
            <v>Tuesday</v>
          </cell>
          <cell r="AH162">
            <v>13</v>
          </cell>
          <cell r="AJ162">
            <v>45550</v>
          </cell>
          <cell r="AM162" t="str">
            <v>TEMP</v>
          </cell>
          <cell r="AN162" t="str">
            <v>3P Onsite Worker</v>
          </cell>
          <cell r="AO162" t="str">
            <v>A</v>
          </cell>
          <cell r="AP162">
            <v>9</v>
          </cell>
          <cell r="AQ162">
            <v>0</v>
          </cell>
          <cell r="AR162">
            <v>1</v>
          </cell>
          <cell r="AS162">
            <v>1</v>
          </cell>
          <cell r="AT162">
            <v>0</v>
          </cell>
          <cell r="AU162">
            <v>0</v>
          </cell>
        </row>
        <row r="163">
          <cell r="D163" t="str">
            <v>bismopok</v>
          </cell>
          <cell r="E163">
            <v>203521129</v>
          </cell>
          <cell r="F163" t="str">
            <v>A</v>
          </cell>
          <cell r="G163" t="str">
            <v>GREEN</v>
          </cell>
          <cell r="H163" t="str">
            <v>FULL_TIME</v>
          </cell>
          <cell r="I163">
            <v>900234</v>
          </cell>
          <cell r="J163" t="str">
            <v>Fastlink Outsourcing</v>
          </cell>
          <cell r="K163" t="str">
            <v>Bismark Opoku</v>
          </cell>
          <cell r="L163" t="str">
            <v>Warehouse Associate (TEMP)</v>
          </cell>
          <cell r="M163" t="str">
            <v>Warehouse Associate 12M</v>
          </cell>
          <cell r="N163" t="str">
            <v>pparsin</v>
          </cell>
          <cell r="O163">
            <v>1299</v>
          </cell>
          <cell r="P163" t="str">
            <v>AUH1</v>
          </cell>
          <cell r="Q163" t="str">
            <v>ARE</v>
          </cell>
          <cell r="R163" t="str">
            <v>LK013</v>
          </cell>
          <cell r="S163" t="str">
            <v>Night Shift</v>
          </cell>
          <cell r="T163">
            <v>99</v>
          </cell>
          <cell r="U163" t="str">
            <v>MENA_UAE_FC</v>
          </cell>
          <cell r="X163">
            <v>46257.756944444445</v>
          </cell>
          <cell r="Y163">
            <v>46258.173611111109</v>
          </cell>
          <cell r="Z163" t="str">
            <v>Rest Day</v>
          </cell>
          <cell r="AA163" t="str">
            <v>Not Scheduled</v>
          </cell>
          <cell r="AB163" t="str">
            <v>Not Present</v>
          </cell>
          <cell r="AC163" t="str">
            <v>Inbound</v>
          </cell>
          <cell r="AD163" t="str">
            <v>Inbound Stow</v>
          </cell>
          <cell r="AE163" t="str">
            <v>Stow</v>
          </cell>
          <cell r="AF163" t="str">
            <v>Sunday</v>
          </cell>
          <cell r="AG163" t="str">
            <v>Monday</v>
          </cell>
          <cell r="AH163">
            <v>3</v>
          </cell>
          <cell r="AJ163">
            <v>45462</v>
          </cell>
          <cell r="AM163" t="str">
            <v>TEMP</v>
          </cell>
          <cell r="AN163" t="str">
            <v>3P Onsite Worker</v>
          </cell>
          <cell r="AO163" t="str">
            <v>A</v>
          </cell>
          <cell r="AP163">
            <v>9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</row>
        <row r="164">
          <cell r="D164" t="str">
            <v>bisophij</v>
          </cell>
          <cell r="E164">
            <v>204883250</v>
          </cell>
          <cell r="F164" t="str">
            <v>A</v>
          </cell>
          <cell r="G164" t="str">
            <v>GREEN</v>
          </cell>
          <cell r="H164" t="str">
            <v>FULL_TIME</v>
          </cell>
          <cell r="I164">
            <v>900234</v>
          </cell>
          <cell r="J164" t="str">
            <v>Quesscorp</v>
          </cell>
          <cell r="K164" t="str">
            <v>Sophia Bio</v>
          </cell>
          <cell r="L164" t="str">
            <v>Warehouse Associate (TEMP)</v>
          </cell>
          <cell r="M164" t="str">
            <v>Warehouse Associate 24M</v>
          </cell>
          <cell r="N164" t="str">
            <v>nnahla</v>
          </cell>
          <cell r="O164">
            <v>1299</v>
          </cell>
          <cell r="P164" t="str">
            <v>AUH1</v>
          </cell>
          <cell r="Q164" t="str">
            <v>ARE</v>
          </cell>
          <cell r="R164" t="str">
            <v>FC059</v>
          </cell>
          <cell r="S164" t="str">
            <v>Day Shift</v>
          </cell>
          <cell r="T164">
            <v>99</v>
          </cell>
          <cell r="U164" t="str">
            <v>MENA_UAE_FC</v>
          </cell>
          <cell r="X164">
            <v>46257.333333333336</v>
          </cell>
          <cell r="Y164">
            <v>46257.75</v>
          </cell>
          <cell r="Z164" t="str">
            <v>Rest Day</v>
          </cell>
          <cell r="AA164" t="str">
            <v>Not Scheduled</v>
          </cell>
          <cell r="AB164" t="str">
            <v>Not Present</v>
          </cell>
          <cell r="AC164" t="str">
            <v>Inbound</v>
          </cell>
          <cell r="AD164" t="str">
            <v>Vendor Receive</v>
          </cell>
          <cell r="AE164" t="str">
            <v>Receive</v>
          </cell>
          <cell r="AF164" t="str">
            <v>Sunday</v>
          </cell>
          <cell r="AG164" t="str">
            <v>Monday</v>
          </cell>
          <cell r="AH164">
            <v>1</v>
          </cell>
          <cell r="AJ164">
            <v>45690</v>
          </cell>
          <cell r="AM164" t="str">
            <v>TEMP</v>
          </cell>
          <cell r="AN164" t="str">
            <v>3P Onsite Worker</v>
          </cell>
          <cell r="AO164" t="str">
            <v>A</v>
          </cell>
          <cell r="AP164">
            <v>9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</row>
        <row r="165">
          <cell r="D165" t="str">
            <v>bittorut</v>
          </cell>
          <cell r="E165">
            <v>206886635</v>
          </cell>
          <cell r="F165" t="str">
            <v>A</v>
          </cell>
          <cell r="G165" t="str">
            <v>GREEN</v>
          </cell>
          <cell r="H165" t="str">
            <v>FULL_TIME</v>
          </cell>
          <cell r="I165">
            <v>900234</v>
          </cell>
          <cell r="J165" t="str">
            <v>EFS Facilities Services</v>
          </cell>
          <cell r="K165" t="str">
            <v>RUTH BITTOK</v>
          </cell>
          <cell r="L165" t="str">
            <v>Warehouse Associate (TEMP)</v>
          </cell>
          <cell r="M165" t="str">
            <v>Warehouse Associate 8W</v>
          </cell>
          <cell r="N165" t="str">
            <v>vkkatyal</v>
          </cell>
          <cell r="O165">
            <v>1299</v>
          </cell>
          <cell r="P165" t="str">
            <v>AUH1</v>
          </cell>
          <cell r="Q165" t="str">
            <v>ARE</v>
          </cell>
          <cell r="R165" t="str">
            <v>LK014</v>
          </cell>
          <cell r="S165" t="str">
            <v>Night Shift</v>
          </cell>
          <cell r="T165">
            <v>99</v>
          </cell>
          <cell r="U165" t="str">
            <v>MENA_UAE_FC</v>
          </cell>
          <cell r="V165">
            <v>46257.754861111112</v>
          </cell>
          <cell r="X165">
            <v>46257.756944444445</v>
          </cell>
          <cell r="Y165">
            <v>46258.173611111109</v>
          </cell>
          <cell r="AA165" t="str">
            <v>Scheduled</v>
          </cell>
          <cell r="AB165" t="str">
            <v>Present</v>
          </cell>
          <cell r="AC165" t="str">
            <v>Outbound</v>
          </cell>
          <cell r="AD165" t="str">
            <v>Picking</v>
          </cell>
          <cell r="AE165" t="str">
            <v>Pick</v>
          </cell>
          <cell r="AF165" t="str">
            <v>Monday</v>
          </cell>
          <cell r="AG165" t="str">
            <v>Tuesday</v>
          </cell>
          <cell r="AH165">
            <v>13</v>
          </cell>
          <cell r="AJ165">
            <v>46026</v>
          </cell>
          <cell r="AM165" t="str">
            <v>TEMP</v>
          </cell>
          <cell r="AN165" t="str">
            <v>3P Onsite Worker</v>
          </cell>
          <cell r="AO165" t="str">
            <v>A</v>
          </cell>
          <cell r="AP165">
            <v>9</v>
          </cell>
          <cell r="AQ165">
            <v>0</v>
          </cell>
          <cell r="AR165">
            <v>1</v>
          </cell>
          <cell r="AS165">
            <v>1</v>
          </cell>
          <cell r="AT165">
            <v>0</v>
          </cell>
          <cell r="AU165">
            <v>0</v>
          </cell>
        </row>
        <row r="166">
          <cell r="D166" t="str">
            <v>bjemuasc</v>
          </cell>
          <cell r="E166">
            <v>205647826</v>
          </cell>
          <cell r="F166" t="str">
            <v>A</v>
          </cell>
          <cell r="G166" t="str">
            <v>GREEN</v>
          </cell>
          <cell r="H166" t="str">
            <v>FULL_TIME</v>
          </cell>
          <cell r="I166">
            <v>900234</v>
          </cell>
          <cell r="J166" t="str">
            <v>EFS Facilities Services</v>
          </cell>
          <cell r="K166" t="str">
            <v>Asca Jemutai</v>
          </cell>
          <cell r="L166" t="str">
            <v>Warehouse Associate (TEMP)</v>
          </cell>
          <cell r="M166" t="str">
            <v>Warehouse Associate 8W</v>
          </cell>
          <cell r="N166" t="str">
            <v>aanso</v>
          </cell>
          <cell r="O166">
            <v>1299</v>
          </cell>
          <cell r="P166" t="str">
            <v>AUH1</v>
          </cell>
          <cell r="Q166" t="str">
            <v>ARE</v>
          </cell>
          <cell r="R166" t="str">
            <v>LK011</v>
          </cell>
          <cell r="S166" t="str">
            <v>Night Shift</v>
          </cell>
          <cell r="T166">
            <v>99</v>
          </cell>
          <cell r="U166" t="str">
            <v>MENA_UAE_FC</v>
          </cell>
          <cell r="V166">
            <v>46257.754166666666</v>
          </cell>
          <cell r="X166">
            <v>46257.756944444445</v>
          </cell>
          <cell r="Y166">
            <v>46258.173611111109</v>
          </cell>
          <cell r="AA166" t="str">
            <v>Scheduled</v>
          </cell>
          <cell r="AB166" t="str">
            <v>Present</v>
          </cell>
          <cell r="AC166" t="str">
            <v>Customer returns</v>
          </cell>
          <cell r="AD166" t="str">
            <v>Customer Returns</v>
          </cell>
          <cell r="AE166" t="str">
            <v>Customer returns</v>
          </cell>
          <cell r="AF166" t="str">
            <v>Friday</v>
          </cell>
          <cell r="AG166" t="str">
            <v>Saturday</v>
          </cell>
          <cell r="AH166">
            <v>22</v>
          </cell>
          <cell r="AJ166">
            <v>45851</v>
          </cell>
          <cell r="AM166" t="str">
            <v>TEMP</v>
          </cell>
          <cell r="AN166" t="str">
            <v>3P Onsite Worker</v>
          </cell>
          <cell r="AO166" t="str">
            <v>A</v>
          </cell>
          <cell r="AP166">
            <v>9</v>
          </cell>
          <cell r="AQ166">
            <v>0</v>
          </cell>
          <cell r="AR166">
            <v>1</v>
          </cell>
          <cell r="AS166">
            <v>1</v>
          </cell>
          <cell r="AT166">
            <v>0</v>
          </cell>
          <cell r="AU166">
            <v>0</v>
          </cell>
        </row>
        <row r="167">
          <cell r="D167" t="str">
            <v>blamoyam</v>
          </cell>
          <cell r="E167">
            <v>204137703</v>
          </cell>
          <cell r="F167" t="str">
            <v>A</v>
          </cell>
          <cell r="G167" t="str">
            <v>GREEN</v>
          </cell>
          <cell r="H167" t="str">
            <v>FULL_TIME</v>
          </cell>
          <cell r="I167">
            <v>900234</v>
          </cell>
          <cell r="J167" t="str">
            <v>Quesscorp</v>
          </cell>
          <cell r="K167" t="str">
            <v>Blama Yamah</v>
          </cell>
          <cell r="L167" t="str">
            <v>Warehouse Associate (TEMP)</v>
          </cell>
          <cell r="M167" t="str">
            <v>Warehouse Associate 24M</v>
          </cell>
          <cell r="N167" t="str">
            <v>scariav</v>
          </cell>
          <cell r="O167">
            <v>1299</v>
          </cell>
          <cell r="P167" t="str">
            <v>AUH1</v>
          </cell>
          <cell r="Q167" t="str">
            <v>ARE</v>
          </cell>
          <cell r="R167" t="str">
            <v>LK017</v>
          </cell>
          <cell r="S167" t="str">
            <v>Night Shift</v>
          </cell>
          <cell r="T167">
            <v>99</v>
          </cell>
          <cell r="U167" t="str">
            <v>MENA_UAE_FC</v>
          </cell>
          <cell r="V167">
            <v>46257.756249999999</v>
          </cell>
          <cell r="X167">
            <v>46257.756944444445</v>
          </cell>
          <cell r="Y167">
            <v>46258.173611111109</v>
          </cell>
          <cell r="AA167" t="str">
            <v>Scheduled</v>
          </cell>
          <cell r="AB167" t="str">
            <v>Present</v>
          </cell>
          <cell r="AC167" t="str">
            <v>Outbound</v>
          </cell>
          <cell r="AD167" t="str">
            <v>Picking</v>
          </cell>
          <cell r="AE167" t="str">
            <v>Pick</v>
          </cell>
          <cell r="AF167" t="str">
            <v>Thursday</v>
          </cell>
          <cell r="AG167" t="str">
            <v>Friday</v>
          </cell>
          <cell r="AH167">
            <v>13</v>
          </cell>
          <cell r="AJ167">
            <v>45564</v>
          </cell>
          <cell r="AM167" t="str">
            <v>TEMP</v>
          </cell>
          <cell r="AN167" t="str">
            <v>3P Onsite Worker</v>
          </cell>
          <cell r="AO167" t="str">
            <v>A</v>
          </cell>
          <cell r="AP167">
            <v>9</v>
          </cell>
          <cell r="AQ167">
            <v>0</v>
          </cell>
          <cell r="AR167">
            <v>1</v>
          </cell>
          <cell r="AS167">
            <v>1</v>
          </cell>
          <cell r="AT167">
            <v>0</v>
          </cell>
          <cell r="AU167">
            <v>0</v>
          </cell>
        </row>
        <row r="168">
          <cell r="D168" t="str">
            <v>blesndu</v>
          </cell>
          <cell r="E168">
            <v>203468310</v>
          </cell>
          <cell r="F168" t="str">
            <v>A</v>
          </cell>
          <cell r="G168" t="str">
            <v>GREEN</v>
          </cell>
          <cell r="H168" t="str">
            <v>FULL_TIME</v>
          </cell>
          <cell r="I168">
            <v>900234</v>
          </cell>
          <cell r="J168" t="str">
            <v>Fastlink Outsourcing</v>
          </cell>
          <cell r="K168" t="str">
            <v>Blessing Ndu</v>
          </cell>
          <cell r="L168" t="str">
            <v>Warehouse Associate (TEMP)</v>
          </cell>
          <cell r="M168" t="str">
            <v>Warehouse Associate 12M</v>
          </cell>
          <cell r="N168" t="str">
            <v>nnahla</v>
          </cell>
          <cell r="O168">
            <v>1299</v>
          </cell>
          <cell r="P168" t="str">
            <v>AUH1</v>
          </cell>
          <cell r="Q168" t="str">
            <v>ARE</v>
          </cell>
          <cell r="R168" t="str">
            <v>FC059</v>
          </cell>
          <cell r="S168" t="str">
            <v>Day Shift</v>
          </cell>
          <cell r="T168">
            <v>99</v>
          </cell>
          <cell r="U168" t="str">
            <v>MENA_UAE_FC</v>
          </cell>
          <cell r="X168">
            <v>46257.333333333336</v>
          </cell>
          <cell r="Y168">
            <v>46257.75</v>
          </cell>
          <cell r="Z168" t="str">
            <v>Rest Day</v>
          </cell>
          <cell r="AA168" t="str">
            <v>Not Scheduled</v>
          </cell>
          <cell r="AB168" t="str">
            <v>Not Present</v>
          </cell>
          <cell r="AC168" t="str">
            <v>Inbound</v>
          </cell>
          <cell r="AD168" t="str">
            <v>Inbound Stow</v>
          </cell>
          <cell r="AE168" t="str">
            <v>Stow</v>
          </cell>
          <cell r="AF168" t="str">
            <v>Sunday</v>
          </cell>
          <cell r="AG168" t="str">
            <v>Monday</v>
          </cell>
          <cell r="AH168">
            <v>3</v>
          </cell>
          <cell r="AJ168">
            <v>45455</v>
          </cell>
          <cell r="AM168" t="str">
            <v>TEMP</v>
          </cell>
          <cell r="AN168" t="str">
            <v>3P Onsite Worker</v>
          </cell>
          <cell r="AO168" t="str">
            <v>A</v>
          </cell>
          <cell r="AP168">
            <v>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</row>
        <row r="169">
          <cell r="D169" t="str">
            <v>blewyson</v>
          </cell>
          <cell r="E169">
            <v>206902847</v>
          </cell>
          <cell r="F169" t="str">
            <v>A</v>
          </cell>
          <cell r="G169" t="str">
            <v>GREEN</v>
          </cell>
          <cell r="H169" t="str">
            <v>FULL_TIME</v>
          </cell>
          <cell r="I169">
            <v>900234</v>
          </cell>
          <cell r="J169" t="str">
            <v>Dulsco L.L.C.</v>
          </cell>
          <cell r="K169" t="str">
            <v>WYSON BLESSINGS MULINGA</v>
          </cell>
          <cell r="L169" t="str">
            <v>Warehouse Associate (TEMP)</v>
          </cell>
          <cell r="M169" t="str">
            <v>Warehouse Associate 8W</v>
          </cell>
          <cell r="N169" t="str">
            <v>ansammar</v>
          </cell>
          <cell r="O169">
            <v>1299</v>
          </cell>
          <cell r="P169" t="str">
            <v>AUH1</v>
          </cell>
          <cell r="Q169" t="str">
            <v>ARE</v>
          </cell>
          <cell r="R169" t="str">
            <v>FC084</v>
          </cell>
          <cell r="S169" t="str">
            <v>Day Shift</v>
          </cell>
          <cell r="T169">
            <v>99</v>
          </cell>
          <cell r="U169" t="str">
            <v>MENA_UAE_FC</v>
          </cell>
          <cell r="V169">
            <v>46257.333333333336</v>
          </cell>
          <cell r="W169">
            <v>46257.749305555553</v>
          </cell>
          <cell r="X169">
            <v>46257.333333333336</v>
          </cell>
          <cell r="Y169">
            <v>46257.75</v>
          </cell>
          <cell r="AA169" t="str">
            <v>Scheduled</v>
          </cell>
          <cell r="AB169" t="str">
            <v>Present</v>
          </cell>
          <cell r="AC169" t="str">
            <v>Outbound</v>
          </cell>
          <cell r="AD169" t="str">
            <v>Picking</v>
          </cell>
          <cell r="AE169" t="str">
            <v>Pick</v>
          </cell>
          <cell r="AF169" t="str">
            <v>Monday</v>
          </cell>
          <cell r="AG169" t="str">
            <v>Tuesday</v>
          </cell>
          <cell r="AH169">
            <v>13</v>
          </cell>
          <cell r="AJ169">
            <v>46029</v>
          </cell>
          <cell r="AM169" t="str">
            <v>TEMP</v>
          </cell>
          <cell r="AN169" t="str">
            <v>3P Onsite Worker</v>
          </cell>
          <cell r="AO169" t="str">
            <v>A</v>
          </cell>
          <cell r="AP169">
            <v>9</v>
          </cell>
          <cell r="AQ169">
            <v>0</v>
          </cell>
          <cell r="AR169">
            <v>1</v>
          </cell>
          <cell r="AS169">
            <v>1</v>
          </cell>
          <cell r="AT169">
            <v>0</v>
          </cell>
          <cell r="AU169">
            <v>0</v>
          </cell>
        </row>
        <row r="170">
          <cell r="D170" t="str">
            <v>bmaximki</v>
          </cell>
          <cell r="E170">
            <v>206889907</v>
          </cell>
          <cell r="F170" t="str">
            <v>A</v>
          </cell>
          <cell r="G170" t="str">
            <v>GREEN</v>
          </cell>
          <cell r="H170" t="str">
            <v>FULL_TIME</v>
          </cell>
          <cell r="I170">
            <v>900234</v>
          </cell>
          <cell r="J170" t="str">
            <v>EFS Facilities Services</v>
          </cell>
          <cell r="K170" t="str">
            <v>MAXIMILAR JEPCHUMBA KIPTUI</v>
          </cell>
          <cell r="L170" t="str">
            <v>Warehouse Associate (TEMP)</v>
          </cell>
          <cell r="M170" t="str">
            <v>Warehouse Associate 8W</v>
          </cell>
          <cell r="N170" t="str">
            <v>bizthoma</v>
          </cell>
          <cell r="O170">
            <v>1299</v>
          </cell>
          <cell r="P170" t="str">
            <v>AUH1</v>
          </cell>
          <cell r="Q170" t="str">
            <v>ARE</v>
          </cell>
          <cell r="R170" t="str">
            <v>LK012</v>
          </cell>
          <cell r="S170" t="str">
            <v>Night Shift</v>
          </cell>
          <cell r="T170">
            <v>99</v>
          </cell>
          <cell r="U170" t="str">
            <v>MENA_UAE_FC</v>
          </cell>
          <cell r="X170">
            <v>46257.756944444445</v>
          </cell>
          <cell r="Y170">
            <v>46258.173611111109</v>
          </cell>
          <cell r="Z170" t="str">
            <v>Rest Day</v>
          </cell>
          <cell r="AA170" t="str">
            <v>Not Scheduled</v>
          </cell>
          <cell r="AB170" t="str">
            <v>Not Present</v>
          </cell>
          <cell r="AC170" t="str">
            <v>Outbound</v>
          </cell>
          <cell r="AD170" t="str">
            <v>Picking</v>
          </cell>
          <cell r="AE170" t="str">
            <v>Pick</v>
          </cell>
          <cell r="AF170" t="str">
            <v>Saturday</v>
          </cell>
          <cell r="AG170" t="str">
            <v>Sunday</v>
          </cell>
          <cell r="AH170">
            <v>13</v>
          </cell>
          <cell r="AJ170">
            <v>46026</v>
          </cell>
          <cell r="AM170" t="str">
            <v>TEMP</v>
          </cell>
          <cell r="AN170" t="str">
            <v>3P Onsite Worker</v>
          </cell>
          <cell r="AO170" t="str">
            <v>A</v>
          </cell>
          <cell r="AP170">
            <v>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</row>
        <row r="171">
          <cell r="D171" t="str">
            <v>boademma</v>
          </cell>
          <cell r="E171">
            <v>203468749</v>
          </cell>
          <cell r="F171" t="str">
            <v>A</v>
          </cell>
          <cell r="G171" t="str">
            <v>GREEN</v>
          </cell>
          <cell r="H171" t="str">
            <v>FULL_TIME</v>
          </cell>
          <cell r="I171">
            <v>900234</v>
          </cell>
          <cell r="J171" t="str">
            <v>Fastlink Outsourcing</v>
          </cell>
          <cell r="K171" t="str">
            <v>Emmanuel Boadi</v>
          </cell>
          <cell r="L171" t="str">
            <v>Warehouse Associate (TEMP)</v>
          </cell>
          <cell r="M171" t="str">
            <v>Warehouse Associate 12M</v>
          </cell>
          <cell r="N171" t="str">
            <v>scariav</v>
          </cell>
          <cell r="O171">
            <v>1299</v>
          </cell>
          <cell r="P171" t="str">
            <v>AUH1</v>
          </cell>
          <cell r="Q171" t="str">
            <v>ARE</v>
          </cell>
          <cell r="R171" t="str">
            <v>LK011</v>
          </cell>
          <cell r="S171" t="str">
            <v>Night Shift</v>
          </cell>
          <cell r="T171">
            <v>99</v>
          </cell>
          <cell r="U171" t="str">
            <v>MENA_UAE_FC</v>
          </cell>
          <cell r="V171">
            <v>46257.756944444445</v>
          </cell>
          <cell r="X171">
            <v>46257.756944444445</v>
          </cell>
          <cell r="Y171">
            <v>46258.173611111109</v>
          </cell>
          <cell r="AA171" t="str">
            <v>Scheduled</v>
          </cell>
          <cell r="AB171" t="str">
            <v>Present</v>
          </cell>
          <cell r="AC171" t="str">
            <v>Outbound</v>
          </cell>
          <cell r="AD171" t="str">
            <v>Pack - Single</v>
          </cell>
          <cell r="AE171" t="str">
            <v>Pack</v>
          </cell>
          <cell r="AF171" t="str">
            <v>Friday</v>
          </cell>
          <cell r="AG171" t="str">
            <v>Saturday</v>
          </cell>
          <cell r="AH171">
            <v>18</v>
          </cell>
          <cell r="AJ171">
            <v>45455</v>
          </cell>
          <cell r="AM171" t="str">
            <v>TEMP</v>
          </cell>
          <cell r="AN171" t="str">
            <v>3P Onsite Worker</v>
          </cell>
          <cell r="AO171" t="str">
            <v>A</v>
          </cell>
          <cell r="AP171">
            <v>9</v>
          </cell>
          <cell r="AQ171">
            <v>0</v>
          </cell>
          <cell r="AR171">
            <v>1</v>
          </cell>
          <cell r="AS171">
            <v>1</v>
          </cell>
          <cell r="AT171">
            <v>0</v>
          </cell>
          <cell r="AU171">
            <v>0</v>
          </cell>
        </row>
        <row r="172">
          <cell r="D172" t="str">
            <v>boamejos</v>
          </cell>
          <cell r="E172">
            <v>205853580</v>
          </cell>
          <cell r="F172" t="str">
            <v>A</v>
          </cell>
          <cell r="G172" t="str">
            <v>GREEN</v>
          </cell>
          <cell r="H172" t="str">
            <v>FULL_TIME</v>
          </cell>
          <cell r="I172">
            <v>900234</v>
          </cell>
          <cell r="J172" t="str">
            <v>EFS Facilities Services</v>
          </cell>
          <cell r="K172" t="str">
            <v>JOSEPH BOAME</v>
          </cell>
          <cell r="L172" t="str">
            <v>Warehouse Associate (TEMP)</v>
          </cell>
          <cell r="M172" t="str">
            <v>Warehouse Associate 12M</v>
          </cell>
          <cell r="N172" t="str">
            <v>mnarshad</v>
          </cell>
          <cell r="O172">
            <v>1299</v>
          </cell>
          <cell r="P172" t="str">
            <v>AUH1</v>
          </cell>
          <cell r="Q172" t="str">
            <v>ARE</v>
          </cell>
          <cell r="R172" t="str">
            <v>LK013</v>
          </cell>
          <cell r="S172" t="str">
            <v>Night Shift</v>
          </cell>
          <cell r="T172">
            <v>99</v>
          </cell>
          <cell r="U172" t="str">
            <v>MENA_UAE_FC</v>
          </cell>
          <cell r="V172">
            <v>46257.755555555559</v>
          </cell>
          <cell r="X172">
            <v>46257.756944444445</v>
          </cell>
          <cell r="Y172">
            <v>46258.173611111109</v>
          </cell>
          <cell r="Z172" t="str">
            <v>Rest Day</v>
          </cell>
          <cell r="AA172" t="str">
            <v>Not Scheduled</v>
          </cell>
          <cell r="AB172" t="str">
            <v>Present</v>
          </cell>
          <cell r="AC172" t="str">
            <v>Outbound</v>
          </cell>
          <cell r="AD172" t="str">
            <v>Picking</v>
          </cell>
          <cell r="AE172" t="str">
            <v>Pick</v>
          </cell>
          <cell r="AF172" t="str">
            <v>Sunday</v>
          </cell>
          <cell r="AG172" t="str">
            <v>Monday</v>
          </cell>
          <cell r="AH172">
            <v>13</v>
          </cell>
          <cell r="AJ172">
            <v>45893</v>
          </cell>
          <cell r="AM172" t="str">
            <v>TEMP</v>
          </cell>
          <cell r="AN172" t="str">
            <v>3P Onsite Worker</v>
          </cell>
          <cell r="AO172" t="str">
            <v>A</v>
          </cell>
          <cell r="AP172">
            <v>9</v>
          </cell>
          <cell r="AQ172">
            <v>1</v>
          </cell>
          <cell r="AR172">
            <v>1</v>
          </cell>
          <cell r="AS172">
            <v>0</v>
          </cell>
          <cell r="AT172">
            <v>0</v>
          </cell>
          <cell r="AU172">
            <v>0</v>
          </cell>
        </row>
        <row r="173">
          <cell r="D173" t="str">
            <v>boamhenr</v>
          </cell>
          <cell r="E173">
            <v>203468507</v>
          </cell>
          <cell r="F173" t="str">
            <v>A</v>
          </cell>
          <cell r="G173" t="str">
            <v>GREEN</v>
          </cell>
          <cell r="H173" t="str">
            <v>FULL_TIME</v>
          </cell>
          <cell r="I173">
            <v>900234</v>
          </cell>
          <cell r="J173" t="str">
            <v>Fastlink Outsourcing</v>
          </cell>
          <cell r="K173" t="str">
            <v>Henry Boamah</v>
          </cell>
          <cell r="L173" t="str">
            <v>Warehouse Associate (TEMP)</v>
          </cell>
          <cell r="M173" t="str">
            <v>Warehouse Associate 12M</v>
          </cell>
          <cell r="N173" t="str">
            <v>kebedeed</v>
          </cell>
          <cell r="O173">
            <v>1299</v>
          </cell>
          <cell r="P173" t="str">
            <v>AUH1</v>
          </cell>
          <cell r="Q173" t="str">
            <v>ARE</v>
          </cell>
          <cell r="R173" t="str">
            <v>LK016</v>
          </cell>
          <cell r="S173" t="str">
            <v>Night Shift</v>
          </cell>
          <cell r="T173">
            <v>99</v>
          </cell>
          <cell r="U173" t="str">
            <v>MENA_UAE_FC</v>
          </cell>
          <cell r="V173">
            <v>46257.756944444445</v>
          </cell>
          <cell r="X173">
            <v>46257.75</v>
          </cell>
          <cell r="Y173">
            <v>46258.166666666664</v>
          </cell>
          <cell r="AA173" t="str">
            <v>Scheduled</v>
          </cell>
          <cell r="AB173" t="str">
            <v>Present</v>
          </cell>
          <cell r="AC173" t="str">
            <v>ICQA</v>
          </cell>
          <cell r="AD173" t="str">
            <v>IC/QA/CS</v>
          </cell>
          <cell r="AE173" t="str">
            <v>Support</v>
          </cell>
          <cell r="AF173" t="str">
            <v>Wednesday</v>
          </cell>
          <cell r="AG173" t="str">
            <v>Thursday</v>
          </cell>
          <cell r="AH173">
            <v>27</v>
          </cell>
          <cell r="AJ173">
            <v>45455</v>
          </cell>
          <cell r="AM173" t="str">
            <v>TEMP</v>
          </cell>
          <cell r="AN173" t="str">
            <v>3P Onsite Worker</v>
          </cell>
          <cell r="AO173" t="str">
            <v>A</v>
          </cell>
          <cell r="AP173">
            <v>9</v>
          </cell>
          <cell r="AQ173">
            <v>0</v>
          </cell>
          <cell r="AR173">
            <v>1</v>
          </cell>
          <cell r="AS173">
            <v>1</v>
          </cell>
          <cell r="AT173">
            <v>0</v>
          </cell>
          <cell r="AU173">
            <v>0</v>
          </cell>
        </row>
        <row r="174">
          <cell r="D174" t="str">
            <v>boashadr</v>
          </cell>
          <cell r="E174">
            <v>201264954</v>
          </cell>
          <cell r="F174" t="str">
            <v>A</v>
          </cell>
          <cell r="G174" t="str">
            <v>GREEN</v>
          </cell>
          <cell r="H174" t="str">
            <v>FULL_TIME</v>
          </cell>
          <cell r="I174">
            <v>900234</v>
          </cell>
          <cell r="J174" t="str">
            <v>Quesscorp</v>
          </cell>
          <cell r="K174" t="str">
            <v>Shadrack Boakye</v>
          </cell>
          <cell r="L174" t="str">
            <v>Warehouse Associate (TEMP)</v>
          </cell>
          <cell r="M174" t="str">
            <v>Warehouse Associate 24M</v>
          </cell>
          <cell r="N174" t="str">
            <v>amanmish</v>
          </cell>
          <cell r="O174">
            <v>1299</v>
          </cell>
          <cell r="P174" t="str">
            <v>AUH1</v>
          </cell>
          <cell r="Q174" t="str">
            <v>ARE</v>
          </cell>
          <cell r="R174" t="str">
            <v>FC034</v>
          </cell>
          <cell r="S174" t="str">
            <v>Day Shift</v>
          </cell>
          <cell r="T174">
            <v>99</v>
          </cell>
          <cell r="U174" t="str">
            <v>MENA_UAE_FC</v>
          </cell>
          <cell r="X174">
            <v>46257.333333333336</v>
          </cell>
          <cell r="Y174">
            <v>46257.75</v>
          </cell>
          <cell r="Z174" t="str">
            <v>Rest Day</v>
          </cell>
          <cell r="AA174" t="str">
            <v>Not Scheduled</v>
          </cell>
          <cell r="AB174" t="str">
            <v>Not Present</v>
          </cell>
          <cell r="AC174" t="str">
            <v>Outbound</v>
          </cell>
          <cell r="AD174" t="str">
            <v>Picking</v>
          </cell>
          <cell r="AE174" t="str">
            <v>Pick</v>
          </cell>
          <cell r="AF174" t="str">
            <v>Saturday</v>
          </cell>
          <cell r="AG174" t="str">
            <v>Sunday</v>
          </cell>
          <cell r="AH174">
            <v>13</v>
          </cell>
          <cell r="AJ174">
            <v>45330</v>
          </cell>
          <cell r="AM174" t="str">
            <v>TEMP</v>
          </cell>
          <cell r="AN174" t="str">
            <v>3P Onsite Worker</v>
          </cell>
          <cell r="AO174" t="str">
            <v>A</v>
          </cell>
          <cell r="AP174">
            <v>9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</row>
        <row r="175">
          <cell r="D175" t="str">
            <v>bocollns</v>
          </cell>
          <cell r="E175">
            <v>206491331</v>
          </cell>
          <cell r="F175" t="str">
            <v>A</v>
          </cell>
          <cell r="G175" t="str">
            <v>GREEN</v>
          </cell>
          <cell r="H175" t="str">
            <v>FULL_TIME</v>
          </cell>
          <cell r="I175">
            <v>900234</v>
          </cell>
          <cell r="J175" t="str">
            <v>EFS Facilities Services</v>
          </cell>
          <cell r="K175" t="str">
            <v>COLLNS KIPCHIRCHIR BORGUTT</v>
          </cell>
          <cell r="L175" t="str">
            <v>Warehouse Associate (TEMP)</v>
          </cell>
          <cell r="M175" t="str">
            <v>Warehouse Associate 8W</v>
          </cell>
          <cell r="N175" t="str">
            <v>lraghava</v>
          </cell>
          <cell r="O175">
            <v>1299</v>
          </cell>
          <cell r="P175" t="str">
            <v>AUH1</v>
          </cell>
          <cell r="Q175" t="str">
            <v>ARE</v>
          </cell>
          <cell r="R175" t="str">
            <v>LK013</v>
          </cell>
          <cell r="S175" t="str">
            <v>Night Shift</v>
          </cell>
          <cell r="T175">
            <v>99</v>
          </cell>
          <cell r="U175" t="str">
            <v>MENA_UAE_FC</v>
          </cell>
          <cell r="V175">
            <v>46257.755555555559</v>
          </cell>
          <cell r="X175">
            <v>46257.756944444445</v>
          </cell>
          <cell r="Y175">
            <v>46258.173611111109</v>
          </cell>
          <cell r="Z175" t="str">
            <v>Rest Day</v>
          </cell>
          <cell r="AA175" t="str">
            <v>Not Scheduled</v>
          </cell>
          <cell r="AB175" t="str">
            <v>Present</v>
          </cell>
          <cell r="AC175" t="str">
            <v>Outbound</v>
          </cell>
          <cell r="AD175" t="str">
            <v>Picking</v>
          </cell>
          <cell r="AE175" t="str">
            <v>Pick</v>
          </cell>
          <cell r="AF175" t="str">
            <v>Sunday</v>
          </cell>
          <cell r="AG175" t="str">
            <v>Monday</v>
          </cell>
          <cell r="AH175">
            <v>13</v>
          </cell>
          <cell r="AJ175">
            <v>45970</v>
          </cell>
          <cell r="AM175" t="str">
            <v>TEMP</v>
          </cell>
          <cell r="AN175" t="str">
            <v>3P Onsite Worker</v>
          </cell>
          <cell r="AO175" t="str">
            <v>A</v>
          </cell>
          <cell r="AP175">
            <v>9</v>
          </cell>
          <cell r="AQ175">
            <v>1</v>
          </cell>
          <cell r="AR175">
            <v>1</v>
          </cell>
          <cell r="AS175">
            <v>0</v>
          </cell>
          <cell r="AT175">
            <v>0</v>
          </cell>
          <cell r="AU175">
            <v>0</v>
          </cell>
        </row>
        <row r="176">
          <cell r="D176" t="str">
            <v>bogerabd</v>
          </cell>
          <cell r="E176">
            <v>206873865</v>
          </cell>
          <cell r="F176" t="str">
            <v>A</v>
          </cell>
          <cell r="G176" t="str">
            <v>GREEN</v>
          </cell>
          <cell r="H176" t="str">
            <v>FULL_TIME</v>
          </cell>
          <cell r="I176">
            <v>900234</v>
          </cell>
          <cell r="J176" t="str">
            <v>Dulsco L.L.C.</v>
          </cell>
          <cell r="K176" t="str">
            <v>BOGERE ABDU</v>
          </cell>
          <cell r="L176" t="str">
            <v>Warehouse Associate (TEMP)</v>
          </cell>
          <cell r="M176" t="str">
            <v>Warehouse Associate 8W</v>
          </cell>
          <cell r="N176" t="str">
            <v>vkkatyal</v>
          </cell>
          <cell r="O176">
            <v>1299</v>
          </cell>
          <cell r="P176" t="str">
            <v>AUH1</v>
          </cell>
          <cell r="Q176" t="str">
            <v>ARE</v>
          </cell>
          <cell r="R176" t="str">
            <v>FC059</v>
          </cell>
          <cell r="S176" t="str">
            <v>Day Shift</v>
          </cell>
          <cell r="T176">
            <v>99</v>
          </cell>
          <cell r="U176" t="str">
            <v>MENA_UAE_FC</v>
          </cell>
          <cell r="X176">
            <v>46257.333333333336</v>
          </cell>
          <cell r="Y176">
            <v>46257.75</v>
          </cell>
          <cell r="Z176" t="str">
            <v>Rest Day</v>
          </cell>
          <cell r="AA176" t="str">
            <v>Not Scheduled</v>
          </cell>
          <cell r="AB176" t="str">
            <v>Not Present</v>
          </cell>
          <cell r="AC176" t="str">
            <v>Inbound</v>
          </cell>
          <cell r="AD176" t="str">
            <v>Inbound Stow</v>
          </cell>
          <cell r="AE176" t="str">
            <v>Stow</v>
          </cell>
          <cell r="AF176" t="str">
            <v>Sunday</v>
          </cell>
          <cell r="AG176" t="str">
            <v>Monday</v>
          </cell>
          <cell r="AH176">
            <v>3</v>
          </cell>
          <cell r="AJ176">
            <v>46019</v>
          </cell>
          <cell r="AM176" t="str">
            <v>TEMP</v>
          </cell>
          <cell r="AN176" t="str">
            <v>3P Onsite Worker</v>
          </cell>
          <cell r="AO176" t="str">
            <v>A</v>
          </cell>
          <cell r="AP176">
            <v>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</row>
        <row r="177">
          <cell r="D177" t="str">
            <v>boickelv</v>
          </cell>
          <cell r="E177">
            <v>206607038</v>
          </cell>
          <cell r="F177" t="str">
            <v>A</v>
          </cell>
          <cell r="G177" t="str">
            <v>GREEN</v>
          </cell>
          <cell r="H177" t="str">
            <v>FULL_TIME</v>
          </cell>
          <cell r="I177">
            <v>900234</v>
          </cell>
          <cell r="J177" t="str">
            <v>EFS Facilities Services</v>
          </cell>
          <cell r="K177" t="str">
            <v>KELVIN KIMUTAI BOIT</v>
          </cell>
          <cell r="L177" t="str">
            <v>Warehouse Associate (TEMP)</v>
          </cell>
          <cell r="M177" t="str">
            <v>Warehouse Associate 8W</v>
          </cell>
          <cell r="N177" t="str">
            <v>bizthoma</v>
          </cell>
          <cell r="O177">
            <v>1299</v>
          </cell>
          <cell r="P177" t="str">
            <v>AUH1</v>
          </cell>
          <cell r="Q177" t="str">
            <v>ARE</v>
          </cell>
          <cell r="R177" t="str">
            <v>LK015</v>
          </cell>
          <cell r="S177" t="str">
            <v>Night Shift</v>
          </cell>
          <cell r="T177">
            <v>99</v>
          </cell>
          <cell r="U177" t="str">
            <v>MENA_UAE_FC</v>
          </cell>
          <cell r="V177">
            <v>46257.756249999999</v>
          </cell>
          <cell r="X177">
            <v>46257.756944444445</v>
          </cell>
          <cell r="Y177">
            <v>46258.173611111109</v>
          </cell>
          <cell r="AA177" t="str">
            <v>Scheduled</v>
          </cell>
          <cell r="AB177" t="str">
            <v>Present</v>
          </cell>
          <cell r="AC177" t="str">
            <v>Outbound</v>
          </cell>
          <cell r="AD177" t="str">
            <v>Picking</v>
          </cell>
          <cell r="AE177" t="str">
            <v>Pick</v>
          </cell>
          <cell r="AF177" t="str">
            <v>Tuesday</v>
          </cell>
          <cell r="AG177" t="str">
            <v>Wednesday</v>
          </cell>
          <cell r="AH177">
            <v>13</v>
          </cell>
          <cell r="AJ177">
            <v>45977</v>
          </cell>
          <cell r="AM177" t="str">
            <v>TEMP</v>
          </cell>
          <cell r="AN177" t="str">
            <v>3P Onsite Worker</v>
          </cell>
          <cell r="AO177" t="str">
            <v>A</v>
          </cell>
          <cell r="AP177">
            <v>9</v>
          </cell>
          <cell r="AQ177">
            <v>0</v>
          </cell>
          <cell r="AR177">
            <v>1</v>
          </cell>
          <cell r="AS177">
            <v>1</v>
          </cell>
          <cell r="AT177">
            <v>0</v>
          </cell>
          <cell r="AU177">
            <v>0</v>
          </cell>
        </row>
        <row r="178">
          <cell r="D178" t="str">
            <v>bowusuda</v>
          </cell>
          <cell r="E178">
            <v>203469051</v>
          </cell>
          <cell r="F178" t="str">
            <v>A</v>
          </cell>
          <cell r="G178" t="str">
            <v>GREEN</v>
          </cell>
          <cell r="H178" t="str">
            <v>FULL_TIME</v>
          </cell>
          <cell r="I178">
            <v>900234</v>
          </cell>
          <cell r="J178" t="str">
            <v>Fastlink Outsourcing</v>
          </cell>
          <cell r="K178" t="str">
            <v>Daniel Owusu</v>
          </cell>
          <cell r="L178" t="str">
            <v>Warehouse Associate (TEMP)</v>
          </cell>
          <cell r="M178" t="str">
            <v>Warehouse Associate 12M</v>
          </cell>
          <cell r="N178" t="str">
            <v>aanso</v>
          </cell>
          <cell r="O178">
            <v>1299</v>
          </cell>
          <cell r="P178" t="str">
            <v>AUH1</v>
          </cell>
          <cell r="Q178" t="str">
            <v>ARE</v>
          </cell>
          <cell r="R178" t="str">
            <v>FC109</v>
          </cell>
          <cell r="S178" t="str">
            <v>Day Shift</v>
          </cell>
          <cell r="T178">
            <v>99</v>
          </cell>
          <cell r="U178" t="str">
            <v>MENA_UAE_FC</v>
          </cell>
          <cell r="V178">
            <v>46257.331944444442</v>
          </cell>
          <cell r="W178">
            <v>46257.75</v>
          </cell>
          <cell r="X178">
            <v>46257.333333333336</v>
          </cell>
          <cell r="Y178">
            <v>46257.75</v>
          </cell>
          <cell r="AA178" t="str">
            <v>Scheduled</v>
          </cell>
          <cell r="AB178" t="str">
            <v>Present</v>
          </cell>
          <cell r="AC178" t="str">
            <v>Customer returns</v>
          </cell>
          <cell r="AD178" t="str">
            <v>Customer Returns</v>
          </cell>
          <cell r="AE178" t="str">
            <v>Customer returns</v>
          </cell>
          <cell r="AF178" t="str">
            <v>Tuesday</v>
          </cell>
          <cell r="AG178" t="str">
            <v>Wednesday</v>
          </cell>
          <cell r="AH178">
            <v>22</v>
          </cell>
          <cell r="AJ178">
            <v>45455</v>
          </cell>
          <cell r="AM178" t="str">
            <v>TEMP</v>
          </cell>
          <cell r="AN178" t="str">
            <v>3P Onsite Worker</v>
          </cell>
          <cell r="AO178" t="str">
            <v>A</v>
          </cell>
          <cell r="AP178">
            <v>9</v>
          </cell>
          <cell r="AQ178">
            <v>0</v>
          </cell>
          <cell r="AR178">
            <v>1</v>
          </cell>
          <cell r="AS178">
            <v>1</v>
          </cell>
          <cell r="AT178">
            <v>0</v>
          </cell>
          <cell r="AU178">
            <v>0</v>
          </cell>
        </row>
        <row r="179">
          <cell r="D179" t="str">
            <v>bowusura</v>
          </cell>
          <cell r="E179">
            <v>204951315</v>
          </cell>
          <cell r="F179" t="str">
            <v>A</v>
          </cell>
          <cell r="G179" t="str">
            <v>GREEN</v>
          </cell>
          <cell r="H179" t="str">
            <v>FULL_TIME</v>
          </cell>
          <cell r="I179">
            <v>900234</v>
          </cell>
          <cell r="J179" t="str">
            <v>Dulsco L.L.C.</v>
          </cell>
          <cell r="K179" t="str">
            <v>RABBI OWUSU</v>
          </cell>
          <cell r="L179" t="str">
            <v>Warehouse Associate (TEMP)</v>
          </cell>
          <cell r="M179" t="str">
            <v>Warehouse Associate 24M</v>
          </cell>
          <cell r="N179" t="str">
            <v>ansammar</v>
          </cell>
          <cell r="O179">
            <v>1299</v>
          </cell>
          <cell r="P179" t="str">
            <v>AUH1</v>
          </cell>
          <cell r="Q179" t="str">
            <v>ARE</v>
          </cell>
          <cell r="R179" t="str">
            <v>FC084</v>
          </cell>
          <cell r="S179" t="str">
            <v>Day Shift</v>
          </cell>
          <cell r="T179">
            <v>99</v>
          </cell>
          <cell r="U179" t="str">
            <v>MENA_UAE_FC</v>
          </cell>
          <cell r="V179">
            <v>46257.331250000003</v>
          </cell>
          <cell r="W179">
            <v>46257.748611111114</v>
          </cell>
          <cell r="X179">
            <v>46257.333333333336</v>
          </cell>
          <cell r="Y179">
            <v>46257.75</v>
          </cell>
          <cell r="AA179" t="str">
            <v>Scheduled</v>
          </cell>
          <cell r="AB179" t="str">
            <v>Present</v>
          </cell>
          <cell r="AC179" t="str">
            <v>Outbound</v>
          </cell>
          <cell r="AD179" t="str">
            <v>Picking</v>
          </cell>
          <cell r="AE179" t="str">
            <v>Pick</v>
          </cell>
          <cell r="AF179" t="str">
            <v>Monday</v>
          </cell>
          <cell r="AG179" t="str">
            <v>Tuesday</v>
          </cell>
          <cell r="AH179">
            <v>13</v>
          </cell>
          <cell r="AJ179">
            <v>45718</v>
          </cell>
          <cell r="AM179" t="str">
            <v>TEMP</v>
          </cell>
          <cell r="AN179" t="str">
            <v>3P Onsite Worker</v>
          </cell>
          <cell r="AO179" t="str">
            <v>A</v>
          </cell>
          <cell r="AP179">
            <v>9</v>
          </cell>
          <cell r="AQ179">
            <v>0</v>
          </cell>
          <cell r="AR179">
            <v>1</v>
          </cell>
          <cell r="AS179">
            <v>1</v>
          </cell>
          <cell r="AT179">
            <v>0</v>
          </cell>
          <cell r="AU179">
            <v>0</v>
          </cell>
        </row>
        <row r="180">
          <cell r="D180" t="str">
            <v>bpetenti</v>
          </cell>
          <cell r="E180">
            <v>204299909</v>
          </cell>
          <cell r="F180" t="str">
            <v>A</v>
          </cell>
          <cell r="G180" t="str">
            <v>GREEN</v>
          </cell>
          <cell r="H180" t="str">
            <v>FULL_TIME</v>
          </cell>
          <cell r="I180">
            <v>900234</v>
          </cell>
          <cell r="J180" t="str">
            <v>Quesscorp</v>
          </cell>
          <cell r="K180" t="str">
            <v>Peter Nti</v>
          </cell>
          <cell r="L180" t="str">
            <v>Warehouse Associate (TEMP)</v>
          </cell>
          <cell r="M180" t="str">
            <v>Warehouse Associate 24M</v>
          </cell>
          <cell r="N180" t="str">
            <v>bavameer</v>
          </cell>
          <cell r="O180">
            <v>1299</v>
          </cell>
          <cell r="P180" t="str">
            <v>AUH1</v>
          </cell>
          <cell r="Q180" t="str">
            <v>ARE</v>
          </cell>
          <cell r="R180" t="str">
            <v>FC034</v>
          </cell>
          <cell r="S180" t="str">
            <v>Day Shift</v>
          </cell>
          <cell r="T180">
            <v>99</v>
          </cell>
          <cell r="U180" t="str">
            <v>MENA_UAE_FC</v>
          </cell>
          <cell r="X180">
            <v>46257.333333333336</v>
          </cell>
          <cell r="Y180">
            <v>46257.75</v>
          </cell>
          <cell r="Z180" t="str">
            <v>Rest Day</v>
          </cell>
          <cell r="AA180" t="str">
            <v>Not Scheduled</v>
          </cell>
          <cell r="AB180" t="str">
            <v>Not Present</v>
          </cell>
          <cell r="AC180" t="str">
            <v>Customer returns</v>
          </cell>
          <cell r="AD180" t="str">
            <v>Customer Returns</v>
          </cell>
          <cell r="AE180" t="str">
            <v>Customer returns</v>
          </cell>
          <cell r="AF180" t="str">
            <v>Saturday</v>
          </cell>
          <cell r="AG180" t="str">
            <v>Sunday</v>
          </cell>
          <cell r="AH180">
            <v>22</v>
          </cell>
          <cell r="AJ180">
            <v>45588</v>
          </cell>
          <cell r="AM180" t="str">
            <v>TEMP</v>
          </cell>
          <cell r="AN180" t="str">
            <v>3P Onsite Worker</v>
          </cell>
          <cell r="AO180" t="str">
            <v>A</v>
          </cell>
          <cell r="AP180">
            <v>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</row>
        <row r="181">
          <cell r="D181" t="str">
            <v>bradonku</v>
          </cell>
          <cell r="E181">
            <v>203513810</v>
          </cell>
          <cell r="F181" t="str">
            <v>A</v>
          </cell>
          <cell r="G181" t="str">
            <v>GREEN</v>
          </cell>
          <cell r="H181" t="str">
            <v>FULL_TIME</v>
          </cell>
          <cell r="I181">
            <v>900234</v>
          </cell>
          <cell r="J181" t="str">
            <v>Fastlink Outsourcing</v>
          </cell>
          <cell r="K181" t="str">
            <v>Bradon Kum</v>
          </cell>
          <cell r="L181" t="str">
            <v>Warehouse Associate (TEMP)</v>
          </cell>
          <cell r="M181" t="str">
            <v>Warehouse Associate 12M</v>
          </cell>
          <cell r="N181" t="str">
            <v>helrashd</v>
          </cell>
          <cell r="O181">
            <v>1299</v>
          </cell>
          <cell r="P181" t="str">
            <v>AUH1</v>
          </cell>
          <cell r="Q181" t="str">
            <v>ARE</v>
          </cell>
          <cell r="R181" t="str">
            <v>FC134</v>
          </cell>
          <cell r="S181" t="str">
            <v>Day Shift</v>
          </cell>
          <cell r="T181">
            <v>99</v>
          </cell>
          <cell r="U181" t="str">
            <v>MENA_UAE_FC</v>
          </cell>
          <cell r="V181">
            <v>46257.32708333333</v>
          </cell>
          <cell r="W181">
            <v>46257.660416666666</v>
          </cell>
          <cell r="X181">
            <v>46257.333333333336</v>
          </cell>
          <cell r="Y181">
            <v>46257.75</v>
          </cell>
          <cell r="AA181" t="str">
            <v>Scheduled</v>
          </cell>
          <cell r="AB181" t="str">
            <v>Present</v>
          </cell>
          <cell r="AC181" t="str">
            <v>Outbound</v>
          </cell>
          <cell r="AD181" t="str">
            <v>Picking</v>
          </cell>
          <cell r="AE181" t="str">
            <v>Pick</v>
          </cell>
          <cell r="AF181" t="str">
            <v>Wednesday</v>
          </cell>
          <cell r="AG181" t="str">
            <v>Thursday</v>
          </cell>
          <cell r="AH181">
            <v>13</v>
          </cell>
          <cell r="AJ181">
            <v>45462</v>
          </cell>
          <cell r="AM181" t="str">
            <v>TEMP</v>
          </cell>
          <cell r="AN181" t="str">
            <v>3P Onsite Worker</v>
          </cell>
          <cell r="AO181" t="str">
            <v>A</v>
          </cell>
          <cell r="AP181">
            <v>9</v>
          </cell>
          <cell r="AQ181">
            <v>0</v>
          </cell>
          <cell r="AR181">
            <v>1</v>
          </cell>
          <cell r="AS181">
            <v>1</v>
          </cell>
          <cell r="AT181">
            <v>0</v>
          </cell>
          <cell r="AU181">
            <v>0</v>
          </cell>
        </row>
        <row r="182">
          <cell r="D182" t="str">
            <v>braimuha</v>
          </cell>
          <cell r="E182">
            <v>203800480</v>
          </cell>
          <cell r="F182" t="str">
            <v>A</v>
          </cell>
          <cell r="G182" t="str">
            <v>GREEN</v>
          </cell>
          <cell r="H182" t="str">
            <v>FULL_TIME</v>
          </cell>
          <cell r="I182">
            <v>900234</v>
          </cell>
          <cell r="J182" t="str">
            <v>Dulsco L.L.C.</v>
          </cell>
          <cell r="K182" t="str">
            <v>BRAIN MUHUMUZA</v>
          </cell>
          <cell r="L182" t="str">
            <v>Warehouse Associate (TEMP)</v>
          </cell>
          <cell r="M182" t="str">
            <v>Warehouse Associate 24M</v>
          </cell>
          <cell r="N182" t="str">
            <v>pparsin</v>
          </cell>
          <cell r="O182">
            <v>1299</v>
          </cell>
          <cell r="P182" t="str">
            <v>AUH1</v>
          </cell>
          <cell r="Q182" t="str">
            <v>ARE</v>
          </cell>
          <cell r="R182" t="str">
            <v>FC059</v>
          </cell>
          <cell r="S182" t="str">
            <v>Day Shift</v>
          </cell>
          <cell r="T182">
            <v>99</v>
          </cell>
          <cell r="U182" t="str">
            <v>MENA_UAE_FC</v>
          </cell>
          <cell r="X182">
            <v>46257.333333333336</v>
          </cell>
          <cell r="Y182">
            <v>46257.75</v>
          </cell>
          <cell r="Z182" t="str">
            <v>Rest Day</v>
          </cell>
          <cell r="AA182" t="str">
            <v>Not Scheduled</v>
          </cell>
          <cell r="AB182" t="str">
            <v>Not Present</v>
          </cell>
          <cell r="AC182" t="str">
            <v>Inbound</v>
          </cell>
          <cell r="AD182" t="str">
            <v>Inbound Stow</v>
          </cell>
          <cell r="AE182" t="str">
            <v>Stow</v>
          </cell>
          <cell r="AF182" t="str">
            <v>Sunday</v>
          </cell>
          <cell r="AG182" t="str">
            <v>Monday</v>
          </cell>
          <cell r="AH182">
            <v>3</v>
          </cell>
          <cell r="AJ182">
            <v>45515</v>
          </cell>
          <cell r="AM182" t="str">
            <v>TEMP</v>
          </cell>
          <cell r="AN182" t="str">
            <v>3P Onsite Worker</v>
          </cell>
          <cell r="AO182" t="str">
            <v>A</v>
          </cell>
          <cell r="AP182">
            <v>9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</row>
        <row r="183">
          <cell r="D183" t="str">
            <v>bredacko</v>
          </cell>
          <cell r="E183">
            <v>206958910</v>
          </cell>
          <cell r="F183" t="str">
            <v>A</v>
          </cell>
          <cell r="G183" t="str">
            <v>GREEN</v>
          </cell>
          <cell r="H183" t="str">
            <v>FULL_TIME</v>
          </cell>
          <cell r="I183">
            <v>900234</v>
          </cell>
          <cell r="J183" t="str">
            <v>EFS Facilities Services</v>
          </cell>
          <cell r="K183" t="str">
            <v>Breda chepkmoi Koech</v>
          </cell>
          <cell r="L183" t="str">
            <v>Warehouse Associate (TEMP)</v>
          </cell>
          <cell r="M183" t="str">
            <v>Warehouse Associate 8W</v>
          </cell>
          <cell r="N183" t="str">
            <v>pparsin</v>
          </cell>
          <cell r="O183">
            <v>1299</v>
          </cell>
          <cell r="P183" t="str">
            <v>AUH1</v>
          </cell>
          <cell r="Q183" t="str">
            <v>ARE</v>
          </cell>
          <cell r="R183" t="str">
            <v>FC059</v>
          </cell>
          <cell r="S183" t="str">
            <v>Day Shift</v>
          </cell>
          <cell r="T183">
            <v>99</v>
          </cell>
          <cell r="U183" t="str">
            <v>MENA_UAE_FC</v>
          </cell>
          <cell r="X183">
            <v>46257.333333333336</v>
          </cell>
          <cell r="Y183">
            <v>46257.75</v>
          </cell>
          <cell r="Z183" t="str">
            <v>Rest Day</v>
          </cell>
          <cell r="AA183" t="str">
            <v>Not Scheduled</v>
          </cell>
          <cell r="AB183" t="str">
            <v>Not Present</v>
          </cell>
          <cell r="AC183" t="str">
            <v>Inbound</v>
          </cell>
          <cell r="AD183" t="str">
            <v>Inbound Stow</v>
          </cell>
          <cell r="AE183" t="str">
            <v>Stow</v>
          </cell>
          <cell r="AF183" t="str">
            <v>Sunday</v>
          </cell>
          <cell r="AG183" t="str">
            <v>Monday</v>
          </cell>
          <cell r="AH183">
            <v>3</v>
          </cell>
          <cell r="AJ183">
            <v>46047</v>
          </cell>
          <cell r="AM183" t="str">
            <v>TEMP</v>
          </cell>
          <cell r="AN183" t="str">
            <v>3P Onsite Worker</v>
          </cell>
          <cell r="AO183" t="str">
            <v>A</v>
          </cell>
          <cell r="AP183">
            <v>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</row>
        <row r="184">
          <cell r="D184" t="str">
            <v>bremwang</v>
          </cell>
          <cell r="E184">
            <v>205252357</v>
          </cell>
          <cell r="F184" t="str">
            <v>A</v>
          </cell>
          <cell r="G184" t="str">
            <v>GREEN</v>
          </cell>
          <cell r="H184" t="str">
            <v>FULL_TIME</v>
          </cell>
          <cell r="I184">
            <v>900234</v>
          </cell>
          <cell r="J184" t="str">
            <v>EFS Facilities Services</v>
          </cell>
          <cell r="K184" t="str">
            <v>Brenda Wangui Mwangi</v>
          </cell>
          <cell r="L184" t="str">
            <v>Warehouse Associate (TEMP)</v>
          </cell>
          <cell r="M184" t="str">
            <v>Warehouse Associate 8W</v>
          </cell>
          <cell r="N184" t="str">
            <v>mnarshad</v>
          </cell>
          <cell r="O184">
            <v>1299</v>
          </cell>
          <cell r="P184" t="str">
            <v>AUH1</v>
          </cell>
          <cell r="Q184" t="str">
            <v>ARE</v>
          </cell>
          <cell r="R184" t="str">
            <v>FC559</v>
          </cell>
          <cell r="S184" t="str">
            <v>Night Shift</v>
          </cell>
          <cell r="T184">
            <v>99</v>
          </cell>
          <cell r="U184" t="str">
            <v>MENA_UAE_FC</v>
          </cell>
          <cell r="X184">
            <v>46257.756944444445</v>
          </cell>
          <cell r="Y184">
            <v>46258.090277777781</v>
          </cell>
          <cell r="Z184" t="str">
            <v>Rest Day</v>
          </cell>
          <cell r="AA184" t="str">
            <v>Not Scheduled</v>
          </cell>
          <cell r="AB184" t="str">
            <v>Not Present</v>
          </cell>
          <cell r="AF184" t="str">
            <v>Saturday</v>
          </cell>
          <cell r="AG184" t="str">
            <v>Sunday</v>
          </cell>
          <cell r="AJ184">
            <v>46237</v>
          </cell>
          <cell r="AM184" t="str">
            <v>TEMP</v>
          </cell>
          <cell r="AN184" t="str">
            <v>3P Onsite Worker</v>
          </cell>
          <cell r="AO184" t="str">
            <v>A</v>
          </cell>
          <cell r="AP184">
            <v>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</row>
        <row r="185">
          <cell r="D185" t="str">
            <v>brerubay</v>
          </cell>
          <cell r="E185">
            <v>203555402</v>
          </cell>
          <cell r="F185" t="str">
            <v>A</v>
          </cell>
          <cell r="G185" t="str">
            <v>GREEN</v>
          </cell>
          <cell r="H185" t="str">
            <v>FULL_TIME</v>
          </cell>
          <cell r="I185">
            <v>900234</v>
          </cell>
          <cell r="J185" t="str">
            <v>Fastlink Outsourcing</v>
          </cell>
          <cell r="K185" t="str">
            <v>Brenda Rubaya</v>
          </cell>
          <cell r="L185" t="str">
            <v>Warehouse Associate (TEMP)</v>
          </cell>
          <cell r="M185" t="str">
            <v>Warehouse Associate 12M</v>
          </cell>
          <cell r="N185" t="str">
            <v>aanso</v>
          </cell>
          <cell r="O185">
            <v>1299</v>
          </cell>
          <cell r="P185" t="str">
            <v>AUH1</v>
          </cell>
          <cell r="Q185" t="str">
            <v>ARE</v>
          </cell>
          <cell r="R185" t="str">
            <v>LK017</v>
          </cell>
          <cell r="S185" t="str">
            <v>Night Shift</v>
          </cell>
          <cell r="T185">
            <v>99</v>
          </cell>
          <cell r="U185" t="str">
            <v>MENA_UAE_FC</v>
          </cell>
          <cell r="V185">
            <v>46257.755555555559</v>
          </cell>
          <cell r="X185">
            <v>46257.756944444445</v>
          </cell>
          <cell r="Y185">
            <v>46258.173611111109</v>
          </cell>
          <cell r="AA185" t="str">
            <v>Scheduled</v>
          </cell>
          <cell r="AB185" t="str">
            <v>Present</v>
          </cell>
          <cell r="AC185" t="str">
            <v>Customer returns</v>
          </cell>
          <cell r="AD185" t="str">
            <v>Customer Returns</v>
          </cell>
          <cell r="AE185" t="str">
            <v>Customer returns</v>
          </cell>
          <cell r="AF185" t="str">
            <v>Thursday</v>
          </cell>
          <cell r="AG185" t="str">
            <v>Friday</v>
          </cell>
          <cell r="AH185">
            <v>22</v>
          </cell>
          <cell r="AJ185">
            <v>45469</v>
          </cell>
          <cell r="AM185" t="str">
            <v>TEMP</v>
          </cell>
          <cell r="AN185" t="str">
            <v>3P Onsite Worker</v>
          </cell>
          <cell r="AO185" t="str">
            <v>A</v>
          </cell>
          <cell r="AP185">
            <v>9</v>
          </cell>
          <cell r="AQ185">
            <v>0</v>
          </cell>
          <cell r="AR185">
            <v>1</v>
          </cell>
          <cell r="AS185">
            <v>1</v>
          </cell>
          <cell r="AT185">
            <v>0</v>
          </cell>
          <cell r="AU185">
            <v>0</v>
          </cell>
        </row>
        <row r="186">
          <cell r="D186" t="str">
            <v>briaglil</v>
          </cell>
          <cell r="E186">
            <v>205280684</v>
          </cell>
          <cell r="F186" t="str">
            <v>A</v>
          </cell>
          <cell r="G186" t="str">
            <v>GREEN</v>
          </cell>
          <cell r="H186" t="str">
            <v>FULL_TIME</v>
          </cell>
          <cell r="I186">
            <v>900234</v>
          </cell>
          <cell r="J186" t="str">
            <v>EFS Facilities Services</v>
          </cell>
          <cell r="K186" t="str">
            <v>Brian Lilan</v>
          </cell>
          <cell r="L186" t="str">
            <v>Warehouse Associate (TEMP)</v>
          </cell>
          <cell r="M186" t="str">
            <v>Warehouse Associate 8W</v>
          </cell>
          <cell r="N186" t="str">
            <v>lraghava</v>
          </cell>
          <cell r="O186">
            <v>1299</v>
          </cell>
          <cell r="P186" t="str">
            <v>AUH1</v>
          </cell>
          <cell r="Q186" t="str">
            <v>ARE</v>
          </cell>
          <cell r="R186" t="str">
            <v>LK014</v>
          </cell>
          <cell r="S186" t="str">
            <v>Night Shift</v>
          </cell>
          <cell r="T186">
            <v>99</v>
          </cell>
          <cell r="U186" t="str">
            <v>MENA_UAE_FC</v>
          </cell>
          <cell r="V186">
            <v>46257.755555555559</v>
          </cell>
          <cell r="X186">
            <v>46257.756944444445</v>
          </cell>
          <cell r="Y186">
            <v>46258.173611111109</v>
          </cell>
          <cell r="AA186" t="str">
            <v>Scheduled</v>
          </cell>
          <cell r="AB186" t="str">
            <v>Present</v>
          </cell>
          <cell r="AC186" t="str">
            <v>Outbound</v>
          </cell>
          <cell r="AD186" t="str">
            <v>Picking</v>
          </cell>
          <cell r="AE186" t="str">
            <v>Pick</v>
          </cell>
          <cell r="AF186" t="str">
            <v>Monday</v>
          </cell>
          <cell r="AG186" t="str">
            <v>Tuesday</v>
          </cell>
          <cell r="AH186">
            <v>13</v>
          </cell>
          <cell r="AJ186">
            <v>45791</v>
          </cell>
          <cell r="AM186" t="str">
            <v>TEMP</v>
          </cell>
          <cell r="AN186" t="str">
            <v>3P Onsite Worker</v>
          </cell>
          <cell r="AO186" t="str">
            <v>A</v>
          </cell>
          <cell r="AP186">
            <v>9</v>
          </cell>
          <cell r="AQ186">
            <v>0</v>
          </cell>
          <cell r="AR186">
            <v>1</v>
          </cell>
          <cell r="AS186">
            <v>1</v>
          </cell>
          <cell r="AT186">
            <v>0</v>
          </cell>
          <cell r="AU186">
            <v>0</v>
          </cell>
        </row>
        <row r="187">
          <cell r="D187" t="str">
            <v>brigtawu</v>
          </cell>
          <cell r="E187">
            <v>206016551</v>
          </cell>
          <cell r="F187" t="str">
            <v>A</v>
          </cell>
          <cell r="G187" t="str">
            <v>GREEN</v>
          </cell>
          <cell r="H187" t="str">
            <v>FULL_TIME</v>
          </cell>
          <cell r="I187">
            <v>900234</v>
          </cell>
          <cell r="J187" t="str">
            <v>Fastlink Outsourcing</v>
          </cell>
          <cell r="K187" t="str">
            <v>BRIGHTON TAWUYANARGWO</v>
          </cell>
          <cell r="L187" t="str">
            <v>Warehouse Associate (TEMP)</v>
          </cell>
          <cell r="M187" t="str">
            <v>Warehouse Associate 8W</v>
          </cell>
          <cell r="N187" t="str">
            <v>aanso</v>
          </cell>
          <cell r="O187">
            <v>1299</v>
          </cell>
          <cell r="P187" t="str">
            <v>AUH1</v>
          </cell>
          <cell r="Q187" t="str">
            <v>ARE</v>
          </cell>
          <cell r="R187" t="str">
            <v>FC034</v>
          </cell>
          <cell r="S187" t="str">
            <v>Day Shift</v>
          </cell>
          <cell r="T187">
            <v>99</v>
          </cell>
          <cell r="U187" t="str">
            <v>MENA_UAE_FC</v>
          </cell>
          <cell r="X187">
            <v>46257.333333333336</v>
          </cell>
          <cell r="Y187">
            <v>46257.75</v>
          </cell>
          <cell r="Z187" t="str">
            <v>Rest Day</v>
          </cell>
          <cell r="AA187" t="str">
            <v>Not Scheduled</v>
          </cell>
          <cell r="AB187" t="str">
            <v>Not Present</v>
          </cell>
          <cell r="AC187" t="str">
            <v>Customer returns</v>
          </cell>
          <cell r="AD187" t="str">
            <v>Customer Returns</v>
          </cell>
          <cell r="AE187" t="str">
            <v>Customer returns</v>
          </cell>
          <cell r="AF187" t="str">
            <v>Saturday</v>
          </cell>
          <cell r="AG187" t="str">
            <v>Sunday</v>
          </cell>
          <cell r="AH187">
            <v>22</v>
          </cell>
          <cell r="AJ187">
            <v>45914</v>
          </cell>
          <cell r="AM187" t="str">
            <v>TEMP</v>
          </cell>
          <cell r="AN187" t="str">
            <v>3P Onsite Worker</v>
          </cell>
          <cell r="AO187" t="str">
            <v>A</v>
          </cell>
          <cell r="AP187">
            <v>9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</row>
        <row r="188">
          <cell r="D188" t="str">
            <v>brkiprut</v>
          </cell>
          <cell r="E188">
            <v>206491327</v>
          </cell>
          <cell r="F188" t="str">
            <v>A</v>
          </cell>
          <cell r="G188" t="str">
            <v>GREEN</v>
          </cell>
          <cell r="H188" t="str">
            <v>FULL_TIME</v>
          </cell>
          <cell r="I188">
            <v>900234</v>
          </cell>
          <cell r="J188" t="str">
            <v>EFS Facilities Services</v>
          </cell>
          <cell r="K188" t="str">
            <v>BRENDA KIPRUTO KIPRUTO</v>
          </cell>
          <cell r="L188" t="str">
            <v>Warehouse Associate (TEMP)</v>
          </cell>
          <cell r="M188" t="str">
            <v>Warehouse Associate 8W</v>
          </cell>
          <cell r="N188" t="str">
            <v>lraghava</v>
          </cell>
          <cell r="O188">
            <v>1299</v>
          </cell>
          <cell r="P188" t="str">
            <v>AUH1</v>
          </cell>
          <cell r="Q188" t="str">
            <v>ARE</v>
          </cell>
          <cell r="R188" t="str">
            <v>LK013</v>
          </cell>
          <cell r="S188" t="str">
            <v>Night Shift</v>
          </cell>
          <cell r="T188">
            <v>99</v>
          </cell>
          <cell r="U188" t="str">
            <v>MENA_UAE_FC</v>
          </cell>
          <cell r="X188">
            <v>46257.756944444445</v>
          </cell>
          <cell r="Y188">
            <v>46258.173611111109</v>
          </cell>
          <cell r="Z188" t="str">
            <v>Rest Day</v>
          </cell>
          <cell r="AA188" t="str">
            <v>Not Scheduled</v>
          </cell>
          <cell r="AB188" t="str">
            <v>Not Present</v>
          </cell>
          <cell r="AC188" t="str">
            <v>Outbound</v>
          </cell>
          <cell r="AD188" t="str">
            <v>Picking</v>
          </cell>
          <cell r="AE188" t="str">
            <v>Pick</v>
          </cell>
          <cell r="AF188" t="str">
            <v>Sunday</v>
          </cell>
          <cell r="AG188" t="str">
            <v>Monday</v>
          </cell>
          <cell r="AH188">
            <v>13</v>
          </cell>
          <cell r="AJ188">
            <v>45970</v>
          </cell>
          <cell r="AM188" t="str">
            <v>TEMP</v>
          </cell>
          <cell r="AN188" t="str">
            <v>3P Onsite Worker</v>
          </cell>
          <cell r="AO188" t="str">
            <v>A</v>
          </cell>
          <cell r="AP188">
            <v>9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</row>
        <row r="189">
          <cell r="D189" t="str">
            <v>brmusanz</v>
          </cell>
          <cell r="E189">
            <v>203512670</v>
          </cell>
          <cell r="F189" t="str">
            <v>A</v>
          </cell>
          <cell r="G189" t="str">
            <v>GREEN</v>
          </cell>
          <cell r="H189" t="str">
            <v>FULL_TIME</v>
          </cell>
          <cell r="I189">
            <v>900234</v>
          </cell>
          <cell r="J189" t="str">
            <v>Fastlink Outsourcing</v>
          </cell>
          <cell r="K189" t="str">
            <v>Brenda Musanzika</v>
          </cell>
          <cell r="L189" t="str">
            <v>Warehouse Associate (TEMP)</v>
          </cell>
          <cell r="M189" t="str">
            <v>Warehouse Associate 12M</v>
          </cell>
          <cell r="N189" t="str">
            <v>scariav</v>
          </cell>
          <cell r="O189">
            <v>1299</v>
          </cell>
          <cell r="P189" t="str">
            <v>AUH1</v>
          </cell>
          <cell r="Q189" t="str">
            <v>ARE</v>
          </cell>
          <cell r="R189" t="str">
            <v>FC034</v>
          </cell>
          <cell r="S189" t="str">
            <v>Day Shift</v>
          </cell>
          <cell r="T189">
            <v>99</v>
          </cell>
          <cell r="U189" t="str">
            <v>MENA_UAE_FC</v>
          </cell>
          <cell r="X189">
            <v>46257.333333333336</v>
          </cell>
          <cell r="Y189">
            <v>46257.75</v>
          </cell>
          <cell r="Z189" t="str">
            <v>Rest Day</v>
          </cell>
          <cell r="AA189" t="str">
            <v>Not Scheduled</v>
          </cell>
          <cell r="AB189" t="str">
            <v>Not Present</v>
          </cell>
          <cell r="AC189" t="str">
            <v>Outbound</v>
          </cell>
          <cell r="AD189" t="str">
            <v>Pack - Single</v>
          </cell>
          <cell r="AE189" t="str">
            <v>Pack</v>
          </cell>
          <cell r="AF189" t="str">
            <v>Saturday</v>
          </cell>
          <cell r="AG189" t="str">
            <v>Sunday</v>
          </cell>
          <cell r="AH189">
            <v>18</v>
          </cell>
          <cell r="AJ189">
            <v>45462</v>
          </cell>
          <cell r="AM189" t="str">
            <v>TEMP</v>
          </cell>
          <cell r="AN189" t="str">
            <v>3P Onsite Worker</v>
          </cell>
          <cell r="AO189" t="str">
            <v>A</v>
          </cell>
          <cell r="AP189">
            <v>9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</row>
        <row r="190">
          <cell r="D190" t="str">
            <v>btayebwe</v>
          </cell>
          <cell r="E190">
            <v>206915295</v>
          </cell>
          <cell r="F190" t="str">
            <v>A</v>
          </cell>
          <cell r="G190" t="str">
            <v>GREEN</v>
          </cell>
          <cell r="H190" t="str">
            <v>FULL_TIME</v>
          </cell>
          <cell r="I190">
            <v>900234</v>
          </cell>
          <cell r="J190" t="str">
            <v>Dulsco L.L.C.</v>
          </cell>
          <cell r="K190" t="str">
            <v>BENON TAYEBWE</v>
          </cell>
          <cell r="L190" t="str">
            <v>Warehouse Associate (TEMP)</v>
          </cell>
          <cell r="M190" t="str">
            <v>Warehouse Associate 8W</v>
          </cell>
          <cell r="N190" t="str">
            <v>pparsin</v>
          </cell>
          <cell r="O190">
            <v>1299</v>
          </cell>
          <cell r="P190" t="str">
            <v>AUH1</v>
          </cell>
          <cell r="Q190" t="str">
            <v>ARE</v>
          </cell>
          <cell r="R190" t="str">
            <v>FC059</v>
          </cell>
          <cell r="S190" t="str">
            <v>Day Shift</v>
          </cell>
          <cell r="T190">
            <v>99</v>
          </cell>
          <cell r="U190" t="str">
            <v>MENA_UAE_FC</v>
          </cell>
          <cell r="X190">
            <v>46257.333333333336</v>
          </cell>
          <cell r="Y190">
            <v>46257.75</v>
          </cell>
          <cell r="Z190" t="str">
            <v>Rest Day</v>
          </cell>
          <cell r="AA190" t="str">
            <v>Not Scheduled</v>
          </cell>
          <cell r="AB190" t="str">
            <v>Not Present</v>
          </cell>
          <cell r="AC190" t="str">
            <v>Inbound</v>
          </cell>
          <cell r="AD190" t="str">
            <v>Inbound Stow</v>
          </cell>
          <cell r="AE190" t="str">
            <v>Stow</v>
          </cell>
          <cell r="AF190" t="str">
            <v>Sunday</v>
          </cell>
          <cell r="AG190" t="str">
            <v>Monday</v>
          </cell>
          <cell r="AH190">
            <v>3</v>
          </cell>
          <cell r="AJ190">
            <v>46033</v>
          </cell>
          <cell r="AM190" t="str">
            <v>TEMP</v>
          </cell>
          <cell r="AN190" t="str">
            <v>3P Onsite Worker</v>
          </cell>
          <cell r="AO190" t="str">
            <v>A</v>
          </cell>
          <cell r="AP190">
            <v>9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</row>
        <row r="191">
          <cell r="D191" t="str">
            <v>btugumea</v>
          </cell>
          <cell r="E191">
            <v>206846535</v>
          </cell>
          <cell r="F191" t="str">
            <v>A</v>
          </cell>
          <cell r="G191" t="str">
            <v>GREEN</v>
          </cell>
          <cell r="H191" t="str">
            <v>FULL_TIME</v>
          </cell>
          <cell r="I191">
            <v>900234</v>
          </cell>
          <cell r="J191" t="str">
            <v>Dulsco L.L.C.</v>
          </cell>
          <cell r="K191" t="str">
            <v>TUGUME BRIAN</v>
          </cell>
          <cell r="L191" t="str">
            <v>Warehouse Associate (TEMP)</v>
          </cell>
          <cell r="M191" t="str">
            <v>Warehouse Associate 8W</v>
          </cell>
          <cell r="N191" t="str">
            <v>helrashd</v>
          </cell>
          <cell r="O191">
            <v>1299</v>
          </cell>
          <cell r="P191" t="str">
            <v>AUH1</v>
          </cell>
          <cell r="Q191" t="str">
            <v>ARE</v>
          </cell>
          <cell r="R191" t="str">
            <v>FC009</v>
          </cell>
          <cell r="S191" t="str">
            <v>Day Shift</v>
          </cell>
          <cell r="T191">
            <v>99</v>
          </cell>
          <cell r="U191" t="str">
            <v>MENA_UAE_FC</v>
          </cell>
          <cell r="V191">
            <v>46257.330555555556</v>
          </cell>
          <cell r="W191">
            <v>46257.747916666667</v>
          </cell>
          <cell r="X191">
            <v>46257.333333333336</v>
          </cell>
          <cell r="Y191">
            <v>46257.75</v>
          </cell>
          <cell r="AA191" t="str">
            <v>Scheduled</v>
          </cell>
          <cell r="AB191" t="str">
            <v>Present</v>
          </cell>
          <cell r="AC191" t="str">
            <v>Outbound</v>
          </cell>
          <cell r="AD191" t="str">
            <v>Picking</v>
          </cell>
          <cell r="AE191" t="str">
            <v>Pick</v>
          </cell>
          <cell r="AF191" t="str">
            <v>Friday</v>
          </cell>
          <cell r="AG191" t="str">
            <v>Saturday</v>
          </cell>
          <cell r="AH191">
            <v>13</v>
          </cell>
          <cell r="AJ191">
            <v>46012</v>
          </cell>
          <cell r="AM191" t="str">
            <v>TEMP</v>
          </cell>
          <cell r="AN191" t="str">
            <v>3P Onsite Worker</v>
          </cell>
          <cell r="AO191" t="str">
            <v>A</v>
          </cell>
          <cell r="AP191">
            <v>9</v>
          </cell>
          <cell r="AQ191">
            <v>0</v>
          </cell>
          <cell r="AR191">
            <v>1</v>
          </cell>
          <cell r="AS191">
            <v>1</v>
          </cell>
          <cell r="AT191">
            <v>0</v>
          </cell>
          <cell r="AU191">
            <v>0</v>
          </cell>
        </row>
        <row r="192">
          <cell r="D192" t="str">
            <v>bundtenl</v>
          </cell>
          <cell r="E192">
            <v>203965497</v>
          </cell>
          <cell r="F192" t="str">
            <v>A</v>
          </cell>
          <cell r="G192" t="str">
            <v>GREEN</v>
          </cell>
          <cell r="H192" t="str">
            <v>FULL_TIME</v>
          </cell>
          <cell r="I192">
            <v>900234</v>
          </cell>
          <cell r="J192" t="str">
            <v>Fastlink Outsourcing</v>
          </cell>
          <cell r="K192" t="str">
            <v>Tengbeh Bundoo</v>
          </cell>
          <cell r="L192" t="str">
            <v>Warehouse Associate (TEMP)</v>
          </cell>
          <cell r="M192" t="str">
            <v>Warehouse Associate 12M</v>
          </cell>
          <cell r="N192" t="str">
            <v>mnarshad</v>
          </cell>
          <cell r="O192">
            <v>1299</v>
          </cell>
          <cell r="P192" t="str">
            <v>AUH1</v>
          </cell>
          <cell r="Q192" t="str">
            <v>ARE</v>
          </cell>
          <cell r="R192" t="str">
            <v>FC059</v>
          </cell>
          <cell r="S192" t="str">
            <v>Day Shift</v>
          </cell>
          <cell r="T192">
            <v>99</v>
          </cell>
          <cell r="U192" t="str">
            <v>MENA_UAE_FC</v>
          </cell>
          <cell r="V192">
            <v>46257.330555555556</v>
          </cell>
          <cell r="W192">
            <v>46257.745138888888</v>
          </cell>
          <cell r="X192">
            <v>46257.333333333336</v>
          </cell>
          <cell r="Y192">
            <v>46257.75</v>
          </cell>
          <cell r="Z192" t="str">
            <v>Rest Day</v>
          </cell>
          <cell r="AA192" t="str">
            <v>Not Scheduled</v>
          </cell>
          <cell r="AB192" t="str">
            <v>Present</v>
          </cell>
          <cell r="AC192" t="str">
            <v>Outbound</v>
          </cell>
          <cell r="AD192" t="str">
            <v>Picking</v>
          </cell>
          <cell r="AE192" t="str">
            <v>Pick</v>
          </cell>
          <cell r="AF192" t="str">
            <v>Sunday</v>
          </cell>
          <cell r="AG192" t="str">
            <v>Monday</v>
          </cell>
          <cell r="AH192">
            <v>13</v>
          </cell>
          <cell r="AJ192">
            <v>45543</v>
          </cell>
          <cell r="AM192" t="str">
            <v>TEMP</v>
          </cell>
          <cell r="AN192" t="str">
            <v>3P Onsite Worker</v>
          </cell>
          <cell r="AO192" t="str">
            <v>A</v>
          </cell>
          <cell r="AP192">
            <v>9</v>
          </cell>
          <cell r="AQ192">
            <v>1</v>
          </cell>
          <cell r="AR192">
            <v>1</v>
          </cell>
          <cell r="AS192">
            <v>0</v>
          </cell>
          <cell r="AT192">
            <v>0</v>
          </cell>
          <cell r="AU192">
            <v>0</v>
          </cell>
        </row>
        <row r="193">
          <cell r="D193" t="str">
            <v>bushirna</v>
          </cell>
          <cell r="E193">
            <v>206191926</v>
          </cell>
          <cell r="F193" t="str">
            <v>A</v>
          </cell>
          <cell r="G193" t="str">
            <v>GREEN</v>
          </cell>
          <cell r="H193" t="str">
            <v>REDUCED</v>
          </cell>
          <cell r="I193">
            <v>900234</v>
          </cell>
          <cell r="J193" t="str">
            <v>EFS Facilities Services</v>
          </cell>
          <cell r="K193" t="str">
            <v>Bushira Nassonko</v>
          </cell>
          <cell r="L193" t="str">
            <v>Warehouse Associate (TEMP)</v>
          </cell>
          <cell r="M193" t="str">
            <v>Warehouse Associate 8W</v>
          </cell>
          <cell r="N193" t="str">
            <v>bizthoma</v>
          </cell>
          <cell r="O193">
            <v>1299</v>
          </cell>
          <cell r="P193" t="str">
            <v>AUH1</v>
          </cell>
          <cell r="Q193" t="str">
            <v>ARE</v>
          </cell>
          <cell r="R193" t="str">
            <v>FC555</v>
          </cell>
          <cell r="S193" t="str">
            <v>Night Shift</v>
          </cell>
          <cell r="T193">
            <v>99</v>
          </cell>
          <cell r="U193" t="str">
            <v>MENA_UAE_FC</v>
          </cell>
          <cell r="V193">
            <v>46257.756249999999</v>
          </cell>
          <cell r="X193">
            <v>46257.756944444445</v>
          </cell>
          <cell r="Y193">
            <v>46258.090277777781</v>
          </cell>
          <cell r="AA193" t="str">
            <v>Scheduled</v>
          </cell>
          <cell r="AB193" t="str">
            <v>Present</v>
          </cell>
          <cell r="AC193" t="str">
            <v>Outbound</v>
          </cell>
          <cell r="AD193" t="str">
            <v>Sort - Batch</v>
          </cell>
          <cell r="AE193" t="str">
            <v>Sort</v>
          </cell>
          <cell r="AF193" t="str">
            <v>Monday</v>
          </cell>
          <cell r="AG193" t="str">
            <v>Tuesday</v>
          </cell>
          <cell r="AH193">
            <v>15</v>
          </cell>
          <cell r="AJ193">
            <v>46251</v>
          </cell>
          <cell r="AM193" t="str">
            <v>TEMP</v>
          </cell>
          <cell r="AN193" t="str">
            <v>3P Onsite Worker</v>
          </cell>
          <cell r="AO193" t="str">
            <v>A</v>
          </cell>
          <cell r="AP193">
            <v>7</v>
          </cell>
          <cell r="AQ193">
            <v>0</v>
          </cell>
          <cell r="AR193">
            <v>1</v>
          </cell>
          <cell r="AS193">
            <v>1</v>
          </cell>
          <cell r="AT193">
            <v>0</v>
          </cell>
          <cell r="AU193">
            <v>0</v>
          </cell>
        </row>
        <row r="194">
          <cell r="D194" t="str">
            <v>busnabuw</v>
          </cell>
          <cell r="E194">
            <v>206240253</v>
          </cell>
          <cell r="F194" t="str">
            <v>A</v>
          </cell>
          <cell r="G194" t="str">
            <v>GREEN</v>
          </cell>
          <cell r="H194" t="str">
            <v>FULL_TIME</v>
          </cell>
          <cell r="I194">
            <v>900234</v>
          </cell>
          <cell r="J194" t="str">
            <v>EFS Facilities Services</v>
          </cell>
          <cell r="K194" t="str">
            <v>BUSHILAH NABUWEMBO</v>
          </cell>
          <cell r="L194" t="str">
            <v>Warehouse Associate (TEMP)</v>
          </cell>
          <cell r="M194" t="str">
            <v>Warehouse Associate 8W</v>
          </cell>
          <cell r="N194" t="str">
            <v>mnarshad</v>
          </cell>
          <cell r="O194">
            <v>1299</v>
          </cell>
          <cell r="P194" t="str">
            <v>AUH1</v>
          </cell>
          <cell r="Q194" t="str">
            <v>ARE</v>
          </cell>
          <cell r="R194" t="str">
            <v>FC559</v>
          </cell>
          <cell r="S194" t="str">
            <v>Night Shift</v>
          </cell>
          <cell r="T194">
            <v>99</v>
          </cell>
          <cell r="U194" t="str">
            <v>MENA_UAE_FC</v>
          </cell>
          <cell r="X194">
            <v>46257.756944444445</v>
          </cell>
          <cell r="Y194">
            <v>46258.090277777781</v>
          </cell>
          <cell r="Z194" t="str">
            <v>Rest Day</v>
          </cell>
          <cell r="AA194" t="str">
            <v>Not Scheduled</v>
          </cell>
          <cell r="AB194" t="str">
            <v>Not Present</v>
          </cell>
          <cell r="AF194" t="str">
            <v>Saturday</v>
          </cell>
          <cell r="AG194" t="str">
            <v>Sunday</v>
          </cell>
          <cell r="AJ194">
            <v>46237</v>
          </cell>
          <cell r="AM194" t="str">
            <v>TEMP</v>
          </cell>
          <cell r="AN194" t="str">
            <v>3P Onsite Worker</v>
          </cell>
          <cell r="AO194" t="str">
            <v>A</v>
          </cell>
          <cell r="AP194">
            <v>7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</row>
        <row r="195">
          <cell r="D195" t="str">
            <v>bwalhell</v>
          </cell>
          <cell r="E195">
            <v>206296194</v>
          </cell>
          <cell r="F195" t="str">
            <v>A</v>
          </cell>
          <cell r="G195" t="str">
            <v>GREEN</v>
          </cell>
          <cell r="H195" t="str">
            <v>FULL_TIME</v>
          </cell>
          <cell r="I195">
            <v>900234</v>
          </cell>
          <cell r="J195" t="str">
            <v>EFS Facilities Services</v>
          </cell>
          <cell r="K195" t="str">
            <v>HELLEN tanasho BWALYA</v>
          </cell>
          <cell r="L195" t="str">
            <v>Warehouse Associate (TEMP)</v>
          </cell>
          <cell r="M195" t="str">
            <v>Warehouse Associate 8W</v>
          </cell>
          <cell r="N195" t="str">
            <v>aanso</v>
          </cell>
          <cell r="O195">
            <v>1299</v>
          </cell>
          <cell r="P195" t="str">
            <v>AUH1</v>
          </cell>
          <cell r="Q195" t="str">
            <v>ARE</v>
          </cell>
          <cell r="R195" t="str">
            <v>FC109</v>
          </cell>
          <cell r="S195" t="str">
            <v>Day Shift</v>
          </cell>
          <cell r="T195">
            <v>99</v>
          </cell>
          <cell r="U195" t="str">
            <v>MENA_UAE_FC</v>
          </cell>
          <cell r="V195">
            <v>46257.332638888889</v>
          </cell>
          <cell r="W195">
            <v>46257.748611111114</v>
          </cell>
          <cell r="X195">
            <v>46257.333333333336</v>
          </cell>
          <cell r="Y195">
            <v>46257.75</v>
          </cell>
          <cell r="AA195" t="str">
            <v>Scheduled</v>
          </cell>
          <cell r="AB195" t="str">
            <v>Present</v>
          </cell>
          <cell r="AC195" t="str">
            <v>Customer returns</v>
          </cell>
          <cell r="AD195" t="str">
            <v>Customer Returns</v>
          </cell>
          <cell r="AE195" t="str">
            <v>Customer returns</v>
          </cell>
          <cell r="AF195" t="str">
            <v>Tuesday</v>
          </cell>
          <cell r="AG195" t="str">
            <v>Wednesday</v>
          </cell>
          <cell r="AH195">
            <v>22</v>
          </cell>
          <cell r="AJ195">
            <v>45949</v>
          </cell>
          <cell r="AM195" t="str">
            <v>TEMP</v>
          </cell>
          <cell r="AN195" t="str">
            <v>3P Onsite Worker</v>
          </cell>
          <cell r="AO195" t="str">
            <v>A</v>
          </cell>
          <cell r="AP195">
            <v>9</v>
          </cell>
          <cell r="AQ195">
            <v>0</v>
          </cell>
          <cell r="AR195">
            <v>1</v>
          </cell>
          <cell r="AS195">
            <v>1</v>
          </cell>
          <cell r="AT195">
            <v>0</v>
          </cell>
          <cell r="AU195">
            <v>0</v>
          </cell>
        </row>
        <row r="196">
          <cell r="D196" t="str">
            <v>bwamoako</v>
          </cell>
          <cell r="E196">
            <v>203881598</v>
          </cell>
          <cell r="F196" t="str">
            <v>A</v>
          </cell>
          <cell r="G196" t="str">
            <v>GREEN</v>
          </cell>
          <cell r="H196" t="str">
            <v>FULL_TIME</v>
          </cell>
          <cell r="I196">
            <v>900234</v>
          </cell>
          <cell r="J196" t="str">
            <v>Fastlink Outsourcing</v>
          </cell>
          <cell r="K196" t="str">
            <v>Benjamin Amoako</v>
          </cell>
          <cell r="L196" t="str">
            <v>Warehouse Associate (TEMP)</v>
          </cell>
          <cell r="M196" t="str">
            <v>Warehouse Associate 12M</v>
          </cell>
          <cell r="N196" t="str">
            <v>nnahla</v>
          </cell>
          <cell r="O196">
            <v>1299</v>
          </cell>
          <cell r="P196" t="str">
            <v>AUH1</v>
          </cell>
          <cell r="Q196" t="str">
            <v>ARE</v>
          </cell>
          <cell r="R196" t="str">
            <v>FC059</v>
          </cell>
          <cell r="S196" t="str">
            <v>Day Shift</v>
          </cell>
          <cell r="T196">
            <v>99</v>
          </cell>
          <cell r="U196" t="str">
            <v>MENA_UAE_FC</v>
          </cell>
          <cell r="X196">
            <v>46257.333333333336</v>
          </cell>
          <cell r="Y196">
            <v>46257.75</v>
          </cell>
          <cell r="Z196" t="str">
            <v>Rest Day</v>
          </cell>
          <cell r="AA196" t="str">
            <v>Not Scheduled</v>
          </cell>
          <cell r="AB196" t="str">
            <v>Not Present</v>
          </cell>
          <cell r="AC196" t="str">
            <v>Inbound</v>
          </cell>
          <cell r="AD196" t="str">
            <v>Vendor Receive</v>
          </cell>
          <cell r="AE196" t="str">
            <v>Receive</v>
          </cell>
          <cell r="AF196" t="str">
            <v>Sunday</v>
          </cell>
          <cell r="AG196" t="str">
            <v>Monday</v>
          </cell>
          <cell r="AH196">
            <v>1</v>
          </cell>
          <cell r="AJ196">
            <v>45529</v>
          </cell>
          <cell r="AM196" t="str">
            <v>TEMP</v>
          </cell>
          <cell r="AN196" t="str">
            <v>3P Onsite Worker</v>
          </cell>
          <cell r="AO196" t="str">
            <v>A</v>
          </cell>
          <cell r="AP196">
            <v>9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</row>
        <row r="197">
          <cell r="D197" t="str">
            <v>carkorir</v>
          </cell>
          <cell r="E197">
            <v>205848042</v>
          </cell>
          <cell r="F197" t="str">
            <v>A</v>
          </cell>
          <cell r="G197" t="str">
            <v>GREEN</v>
          </cell>
          <cell r="H197" t="str">
            <v>FULL_TIME</v>
          </cell>
          <cell r="I197">
            <v>900234</v>
          </cell>
          <cell r="J197" t="str">
            <v>EFS Facilities Services</v>
          </cell>
          <cell r="K197" t="str">
            <v>CAROLINE JELIMO KORIR</v>
          </cell>
          <cell r="L197" t="str">
            <v>Warehouse Associate (TEMP)</v>
          </cell>
          <cell r="M197" t="str">
            <v>Warehouse Associate 12M</v>
          </cell>
          <cell r="N197" t="str">
            <v>amanmish</v>
          </cell>
          <cell r="O197">
            <v>1299</v>
          </cell>
          <cell r="P197" t="str">
            <v>AUH1</v>
          </cell>
          <cell r="Q197" t="str">
            <v>ARE</v>
          </cell>
          <cell r="R197" t="str">
            <v>FC034</v>
          </cell>
          <cell r="S197" t="str">
            <v>Day Shift</v>
          </cell>
          <cell r="T197">
            <v>99</v>
          </cell>
          <cell r="U197" t="str">
            <v>MENA_UAE_FC</v>
          </cell>
          <cell r="X197">
            <v>46257.333333333336</v>
          </cell>
          <cell r="Y197">
            <v>46257.75</v>
          </cell>
          <cell r="Z197" t="str">
            <v>Rest Day</v>
          </cell>
          <cell r="AA197" t="str">
            <v>Not Scheduled</v>
          </cell>
          <cell r="AB197" t="str">
            <v>Not Present</v>
          </cell>
          <cell r="AC197" t="str">
            <v>Outbound</v>
          </cell>
          <cell r="AD197" t="str">
            <v>Picking</v>
          </cell>
          <cell r="AE197" t="str">
            <v>Pick</v>
          </cell>
          <cell r="AF197" t="str">
            <v>Saturday</v>
          </cell>
          <cell r="AG197" t="str">
            <v>Sunday</v>
          </cell>
          <cell r="AH197">
            <v>13</v>
          </cell>
          <cell r="AJ197">
            <v>45893</v>
          </cell>
          <cell r="AM197" t="str">
            <v>TEMP</v>
          </cell>
          <cell r="AN197" t="str">
            <v>3P Onsite Worker</v>
          </cell>
          <cell r="AO197" t="str">
            <v>A</v>
          </cell>
          <cell r="AP197">
            <v>9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</row>
        <row r="198">
          <cell r="D198" t="str">
            <v>catelenw</v>
          </cell>
          <cell r="E198">
            <v>206491328</v>
          </cell>
          <cell r="F198" t="str">
            <v>A</v>
          </cell>
          <cell r="G198" t="str">
            <v>GREEN</v>
          </cell>
          <cell r="H198" t="str">
            <v>FULL_TIME</v>
          </cell>
          <cell r="I198">
            <v>900234</v>
          </cell>
          <cell r="J198" t="str">
            <v>EFS Facilities Services</v>
          </cell>
          <cell r="K198" t="str">
            <v>CATELEN WANJIRA MUCHERU</v>
          </cell>
          <cell r="L198" t="str">
            <v>Warehouse Associate (TEMP)</v>
          </cell>
          <cell r="M198" t="str">
            <v>Warehouse Associate 8W</v>
          </cell>
          <cell r="N198" t="str">
            <v>mnarshad</v>
          </cell>
          <cell r="O198">
            <v>1299</v>
          </cell>
          <cell r="P198" t="str">
            <v>AUH1</v>
          </cell>
          <cell r="Q198" t="str">
            <v>ARE</v>
          </cell>
          <cell r="R198" t="str">
            <v>FC558</v>
          </cell>
          <cell r="S198" t="str">
            <v>Night Shift</v>
          </cell>
          <cell r="T198">
            <v>99</v>
          </cell>
          <cell r="U198" t="str">
            <v>MENA_UAE_FC</v>
          </cell>
          <cell r="V198">
            <v>46257.755555555559</v>
          </cell>
          <cell r="X198">
            <v>46257.756944444445</v>
          </cell>
          <cell r="Y198">
            <v>46258.090277777781</v>
          </cell>
          <cell r="AA198" t="str">
            <v>Scheduled</v>
          </cell>
          <cell r="AB198" t="str">
            <v>Present</v>
          </cell>
          <cell r="AC198" t="str">
            <v>Outbound</v>
          </cell>
          <cell r="AD198" t="str">
            <v>Picking</v>
          </cell>
          <cell r="AE198" t="str">
            <v>Pick</v>
          </cell>
          <cell r="AF198" t="str">
            <v>Thursday</v>
          </cell>
          <cell r="AG198" t="str">
            <v>Friday</v>
          </cell>
          <cell r="AH198">
            <v>13</v>
          </cell>
          <cell r="AJ198">
            <v>46237</v>
          </cell>
          <cell r="AM198" t="str">
            <v>TEMP</v>
          </cell>
          <cell r="AN198" t="str">
            <v>3P Onsite Worker</v>
          </cell>
          <cell r="AO198" t="str">
            <v>A</v>
          </cell>
          <cell r="AP198">
            <v>7</v>
          </cell>
          <cell r="AQ198">
            <v>0</v>
          </cell>
          <cell r="AR198">
            <v>1</v>
          </cell>
          <cell r="AS198">
            <v>1</v>
          </cell>
          <cell r="AT198">
            <v>0</v>
          </cell>
          <cell r="AU198">
            <v>0</v>
          </cell>
        </row>
        <row r="199">
          <cell r="D199" t="str">
            <v>cathprom</v>
          </cell>
          <cell r="E199">
            <v>206006412</v>
          </cell>
          <cell r="F199" t="str">
            <v>A</v>
          </cell>
          <cell r="G199" t="str">
            <v>GREEN</v>
          </cell>
          <cell r="H199" t="str">
            <v>FULL_TIME</v>
          </cell>
          <cell r="I199">
            <v>900234</v>
          </cell>
          <cell r="J199" t="str">
            <v>Fastlink Outsourcing</v>
          </cell>
          <cell r="K199" t="str">
            <v>CATHERINE PROMISE NAMALE</v>
          </cell>
          <cell r="L199" t="str">
            <v>Warehouse Associate (TEMP)</v>
          </cell>
          <cell r="M199" t="str">
            <v>Warehouse Associate 12M</v>
          </cell>
          <cell r="N199" t="str">
            <v>pparsin</v>
          </cell>
          <cell r="O199">
            <v>1299</v>
          </cell>
          <cell r="P199" t="str">
            <v>AUH1</v>
          </cell>
          <cell r="Q199" t="str">
            <v>ARE</v>
          </cell>
          <cell r="R199" t="str">
            <v>FC034</v>
          </cell>
          <cell r="S199" t="str">
            <v>Day Shift</v>
          </cell>
          <cell r="T199">
            <v>99</v>
          </cell>
          <cell r="U199" t="str">
            <v>MENA_UAE_FC</v>
          </cell>
          <cell r="X199">
            <v>46257.333333333336</v>
          </cell>
          <cell r="Y199">
            <v>46257.75</v>
          </cell>
          <cell r="Z199" t="str">
            <v>Rest Day</v>
          </cell>
          <cell r="AA199" t="str">
            <v>Not Scheduled</v>
          </cell>
          <cell r="AB199" t="str">
            <v>Not Present</v>
          </cell>
          <cell r="AC199" t="str">
            <v>Inbound</v>
          </cell>
          <cell r="AD199" t="str">
            <v>Inbound Stow</v>
          </cell>
          <cell r="AE199" t="str">
            <v>Stow</v>
          </cell>
          <cell r="AF199" t="str">
            <v>Saturday</v>
          </cell>
          <cell r="AG199" t="str">
            <v>Sunday</v>
          </cell>
          <cell r="AH199">
            <v>3</v>
          </cell>
          <cell r="AJ199">
            <v>45914</v>
          </cell>
          <cell r="AM199" t="str">
            <v>TEMP</v>
          </cell>
          <cell r="AN199" t="str">
            <v>3P Onsite Worker</v>
          </cell>
          <cell r="AO199" t="str">
            <v>A</v>
          </cell>
          <cell r="AP199">
            <v>9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</row>
        <row r="200">
          <cell r="D200" t="str">
            <v>cchrisas</v>
          </cell>
          <cell r="E200">
            <v>206192647</v>
          </cell>
          <cell r="F200" t="str">
            <v>A</v>
          </cell>
          <cell r="G200" t="str">
            <v>GREEN</v>
          </cell>
          <cell r="H200" t="str">
            <v>FULL_TIME</v>
          </cell>
          <cell r="I200">
            <v>900234</v>
          </cell>
          <cell r="J200" t="str">
            <v>EFS Facilities Services</v>
          </cell>
          <cell r="K200" t="str">
            <v>Christiana Boatemaa Asamoah</v>
          </cell>
          <cell r="L200" t="str">
            <v>Warehouse Associate (TEMP)</v>
          </cell>
          <cell r="M200" t="str">
            <v>Warehouse Associate 12M</v>
          </cell>
          <cell r="N200" t="str">
            <v>kebedeed</v>
          </cell>
          <cell r="O200">
            <v>1299</v>
          </cell>
          <cell r="P200" t="str">
            <v>AUH1</v>
          </cell>
          <cell r="Q200" t="str">
            <v>ARE</v>
          </cell>
          <cell r="R200" t="str">
            <v>FC059</v>
          </cell>
          <cell r="S200" t="str">
            <v>Day Shift</v>
          </cell>
          <cell r="T200">
            <v>99</v>
          </cell>
          <cell r="U200" t="str">
            <v>MENA_UAE_FC</v>
          </cell>
          <cell r="X200">
            <v>46257.333333333336</v>
          </cell>
          <cell r="Y200">
            <v>46257.75</v>
          </cell>
          <cell r="Z200" t="str">
            <v>Rest Day</v>
          </cell>
          <cell r="AA200" t="str">
            <v>Not Scheduled</v>
          </cell>
          <cell r="AB200" t="str">
            <v>Not Present</v>
          </cell>
          <cell r="AC200" t="str">
            <v>Support</v>
          </cell>
          <cell r="AD200" t="str">
            <v>Facilities</v>
          </cell>
          <cell r="AE200" t="str">
            <v>Support</v>
          </cell>
          <cell r="AF200" t="str">
            <v>Sunday</v>
          </cell>
          <cell r="AG200" t="str">
            <v>Monday</v>
          </cell>
          <cell r="AH200">
            <v>28</v>
          </cell>
          <cell r="AJ200">
            <v>45942</v>
          </cell>
          <cell r="AM200" t="str">
            <v>TEMP</v>
          </cell>
          <cell r="AN200" t="str">
            <v>3P Onsite Worker</v>
          </cell>
          <cell r="AO200" t="str">
            <v>A</v>
          </cell>
          <cell r="AP200">
            <v>9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</row>
        <row r="201">
          <cell r="D201" t="str">
            <v>cctakund</v>
          </cell>
          <cell r="E201">
            <v>203881713</v>
          </cell>
          <cell r="F201" t="str">
            <v>A</v>
          </cell>
          <cell r="G201" t="str">
            <v>GREEN</v>
          </cell>
          <cell r="H201" t="str">
            <v>FULL_TIME</v>
          </cell>
          <cell r="I201">
            <v>900234</v>
          </cell>
          <cell r="J201" t="str">
            <v>Fastlink Outsourcing</v>
          </cell>
          <cell r="K201" t="str">
            <v>Takundanashe Chagwedera</v>
          </cell>
          <cell r="L201" t="str">
            <v>Warehouse Associate (TEMP)</v>
          </cell>
          <cell r="M201" t="str">
            <v>Warehouse Associate 12M</v>
          </cell>
          <cell r="N201" t="str">
            <v>ansammar</v>
          </cell>
          <cell r="O201">
            <v>1299</v>
          </cell>
          <cell r="P201" t="str">
            <v>AUH1</v>
          </cell>
          <cell r="Q201" t="str">
            <v>ARE</v>
          </cell>
          <cell r="R201" t="str">
            <v>FC109</v>
          </cell>
          <cell r="S201" t="str">
            <v>Day Shift</v>
          </cell>
          <cell r="T201">
            <v>99</v>
          </cell>
          <cell r="U201" t="str">
            <v>MENA_UAE_FC</v>
          </cell>
          <cell r="V201">
            <v>46257.331944444442</v>
          </cell>
          <cell r="W201">
            <v>46257.748611111114</v>
          </cell>
          <cell r="X201">
            <v>46257.333333333336</v>
          </cell>
          <cell r="Y201">
            <v>46257.75</v>
          </cell>
          <cell r="AA201" t="str">
            <v>Scheduled</v>
          </cell>
          <cell r="AB201" t="str">
            <v>Present</v>
          </cell>
          <cell r="AC201" t="str">
            <v>Outbound</v>
          </cell>
          <cell r="AD201" t="str">
            <v>Picking</v>
          </cell>
          <cell r="AE201" t="str">
            <v>Pick</v>
          </cell>
          <cell r="AF201" t="str">
            <v>Tuesday</v>
          </cell>
          <cell r="AG201" t="str">
            <v>Wednesday</v>
          </cell>
          <cell r="AH201">
            <v>13</v>
          </cell>
          <cell r="AJ201">
            <v>45529</v>
          </cell>
          <cell r="AM201" t="str">
            <v>TEMP</v>
          </cell>
          <cell r="AN201" t="str">
            <v>3P Onsite Worker</v>
          </cell>
          <cell r="AO201" t="str">
            <v>A</v>
          </cell>
          <cell r="AP201">
            <v>9</v>
          </cell>
          <cell r="AQ201">
            <v>0</v>
          </cell>
          <cell r="AR201">
            <v>1</v>
          </cell>
          <cell r="AS201">
            <v>1</v>
          </cell>
          <cell r="AT201">
            <v>0</v>
          </cell>
          <cell r="AU201">
            <v>0</v>
          </cell>
        </row>
        <row r="202">
          <cell r="D202" t="str">
            <v>cecchish</v>
          </cell>
          <cell r="E202">
            <v>206239212</v>
          </cell>
          <cell r="F202" t="str">
            <v>A</v>
          </cell>
          <cell r="G202" t="str">
            <v>GREEN</v>
          </cell>
          <cell r="H202" t="str">
            <v>FULL_TIME</v>
          </cell>
          <cell r="I202">
            <v>900234</v>
          </cell>
          <cell r="J202" t="str">
            <v>Fastlink Outsourcing</v>
          </cell>
          <cell r="K202" t="str">
            <v>CECILIA CHISHIMBA</v>
          </cell>
          <cell r="L202" t="str">
            <v>Warehouse Associate (TEMP)</v>
          </cell>
          <cell r="M202" t="str">
            <v>Warehouse Associate 12M</v>
          </cell>
          <cell r="N202" t="str">
            <v>mnarshad</v>
          </cell>
          <cell r="O202">
            <v>1299</v>
          </cell>
          <cell r="P202" t="str">
            <v>AUH1</v>
          </cell>
          <cell r="Q202" t="str">
            <v>ARE</v>
          </cell>
          <cell r="R202" t="str">
            <v>FC034</v>
          </cell>
          <cell r="S202" t="str">
            <v>Day Shift</v>
          </cell>
          <cell r="T202">
            <v>99</v>
          </cell>
          <cell r="U202" t="str">
            <v>MENA_UAE_FC</v>
          </cell>
          <cell r="X202">
            <v>46257.333333333336</v>
          </cell>
          <cell r="Y202">
            <v>46257.75</v>
          </cell>
          <cell r="Z202" t="str">
            <v>Rest Day</v>
          </cell>
          <cell r="AA202" t="str">
            <v>Not Scheduled</v>
          </cell>
          <cell r="AB202" t="str">
            <v>Not Present</v>
          </cell>
          <cell r="AC202" t="str">
            <v>Outbound</v>
          </cell>
          <cell r="AD202" t="str">
            <v>Picking</v>
          </cell>
          <cell r="AE202" t="str">
            <v>Pick</v>
          </cell>
          <cell r="AF202" t="str">
            <v>Saturday</v>
          </cell>
          <cell r="AG202" t="str">
            <v>Sunday</v>
          </cell>
          <cell r="AH202">
            <v>13</v>
          </cell>
          <cell r="AJ202">
            <v>45942</v>
          </cell>
          <cell r="AM202" t="str">
            <v>TEMP</v>
          </cell>
          <cell r="AN202" t="str">
            <v>3P Onsite Worker</v>
          </cell>
          <cell r="AO202" t="str">
            <v>A</v>
          </cell>
          <cell r="AP202">
            <v>9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</row>
        <row r="203">
          <cell r="D203" t="str">
            <v>cenocasa</v>
          </cell>
          <cell r="E203">
            <v>203679308</v>
          </cell>
          <cell r="F203" t="str">
            <v>A</v>
          </cell>
          <cell r="G203" t="str">
            <v>GREEN</v>
          </cell>
          <cell r="H203" t="str">
            <v>FULL_TIME</v>
          </cell>
          <cell r="I203">
            <v>900234</v>
          </cell>
          <cell r="J203" t="str">
            <v>Fastlink Outsourcing</v>
          </cell>
          <cell r="K203" t="str">
            <v>Enock Asante</v>
          </cell>
          <cell r="L203" t="str">
            <v>Warehouse Associate (TEMP)</v>
          </cell>
          <cell r="M203" t="str">
            <v>Warehouse Associate 12M</v>
          </cell>
          <cell r="N203" t="str">
            <v>aanso</v>
          </cell>
          <cell r="O203">
            <v>1299</v>
          </cell>
          <cell r="P203" t="str">
            <v>AUH1</v>
          </cell>
          <cell r="Q203" t="str">
            <v>ARE</v>
          </cell>
          <cell r="R203" t="str">
            <v>FC159</v>
          </cell>
          <cell r="S203" t="str">
            <v>Day Shift</v>
          </cell>
          <cell r="T203">
            <v>99</v>
          </cell>
          <cell r="U203" t="str">
            <v>MENA_UAE_FC</v>
          </cell>
          <cell r="V203">
            <v>46257.331250000003</v>
          </cell>
          <cell r="W203">
            <v>46257.749305555553</v>
          </cell>
          <cell r="X203">
            <v>46257.333333333336</v>
          </cell>
          <cell r="Y203">
            <v>46257.75</v>
          </cell>
          <cell r="AA203" t="str">
            <v>Scheduled</v>
          </cell>
          <cell r="AB203" t="str">
            <v>Present</v>
          </cell>
          <cell r="AC203" t="str">
            <v>Customer returns</v>
          </cell>
          <cell r="AD203" t="str">
            <v>Customer Returns</v>
          </cell>
          <cell r="AE203" t="str">
            <v>Customer returns</v>
          </cell>
          <cell r="AF203" t="str">
            <v>Thursday</v>
          </cell>
          <cell r="AG203" t="str">
            <v>Friday</v>
          </cell>
          <cell r="AH203">
            <v>22</v>
          </cell>
          <cell r="AJ203">
            <v>45487</v>
          </cell>
          <cell r="AM203" t="str">
            <v>TEMP</v>
          </cell>
          <cell r="AN203" t="str">
            <v>3P Onsite Worker</v>
          </cell>
          <cell r="AO203" t="str">
            <v>A</v>
          </cell>
          <cell r="AP203">
            <v>9</v>
          </cell>
          <cell r="AQ203">
            <v>0</v>
          </cell>
          <cell r="AR203">
            <v>1</v>
          </cell>
          <cell r="AS203">
            <v>1</v>
          </cell>
          <cell r="AT203">
            <v>0</v>
          </cell>
          <cell r="AU203">
            <v>0</v>
          </cell>
        </row>
        <row r="204">
          <cell r="D204" t="str">
            <v>chaoseip</v>
          </cell>
          <cell r="E204">
            <v>205608617</v>
          </cell>
          <cell r="F204" t="str">
            <v>A</v>
          </cell>
          <cell r="G204" t="str">
            <v>GREEN</v>
          </cell>
          <cell r="H204" t="str">
            <v>FULL_TIME</v>
          </cell>
          <cell r="I204">
            <v>900234</v>
          </cell>
          <cell r="J204" t="str">
            <v>Dulsco L.L.C.</v>
          </cell>
          <cell r="K204" t="str">
            <v>CHARLES OSEI-POKU</v>
          </cell>
          <cell r="L204" t="str">
            <v>Warehouse Associate (TEMP)</v>
          </cell>
          <cell r="M204" t="str">
            <v>Warehouse Associate 8W</v>
          </cell>
          <cell r="N204" t="str">
            <v>aanso</v>
          </cell>
          <cell r="O204">
            <v>1299</v>
          </cell>
          <cell r="P204" t="str">
            <v>AUH1</v>
          </cell>
          <cell r="Q204" t="str">
            <v>ARE</v>
          </cell>
          <cell r="R204" t="str">
            <v>FC084</v>
          </cell>
          <cell r="S204" t="str">
            <v>Day Shift</v>
          </cell>
          <cell r="T204">
            <v>99</v>
          </cell>
          <cell r="U204" t="str">
            <v>MENA_UAE_FC</v>
          </cell>
          <cell r="V204">
            <v>46257.331944444442</v>
          </cell>
          <cell r="W204">
            <v>46257.749305555553</v>
          </cell>
          <cell r="X204">
            <v>46257.333333333336</v>
          </cell>
          <cell r="Y204">
            <v>46257.75</v>
          </cell>
          <cell r="AA204" t="str">
            <v>Scheduled</v>
          </cell>
          <cell r="AB204" t="str">
            <v>Present</v>
          </cell>
          <cell r="AC204" t="str">
            <v>Customer returns</v>
          </cell>
          <cell r="AD204" t="str">
            <v>Customer Returns</v>
          </cell>
          <cell r="AE204" t="str">
            <v>Customer returns</v>
          </cell>
          <cell r="AF204" t="str">
            <v>Monday</v>
          </cell>
          <cell r="AG204" t="str">
            <v>Tuesday</v>
          </cell>
          <cell r="AH204">
            <v>22</v>
          </cell>
          <cell r="AJ204">
            <v>45844</v>
          </cell>
          <cell r="AM204" t="str">
            <v>TEMP</v>
          </cell>
          <cell r="AN204" t="str">
            <v>3P Onsite Worker</v>
          </cell>
          <cell r="AO204" t="str">
            <v>A</v>
          </cell>
          <cell r="AP204">
            <v>9</v>
          </cell>
          <cell r="AQ204">
            <v>0</v>
          </cell>
          <cell r="AR204">
            <v>1</v>
          </cell>
          <cell r="AS204">
            <v>1</v>
          </cell>
          <cell r="AT204">
            <v>0</v>
          </cell>
          <cell r="AU204">
            <v>0</v>
          </cell>
        </row>
        <row r="205">
          <cell r="D205" t="str">
            <v>charmakp</v>
          </cell>
          <cell r="E205">
            <v>204864796</v>
          </cell>
          <cell r="F205" t="str">
            <v>A</v>
          </cell>
          <cell r="G205" t="str">
            <v>GREEN</v>
          </cell>
          <cell r="H205" t="str">
            <v>FULL_TIME</v>
          </cell>
          <cell r="I205">
            <v>900234</v>
          </cell>
          <cell r="J205" t="str">
            <v>Dulsco L.L.C.</v>
          </cell>
          <cell r="K205" t="str">
            <v>CHARLES AKPAKA</v>
          </cell>
          <cell r="L205" t="str">
            <v>Warehouse Associate (TEMP)</v>
          </cell>
          <cell r="M205" t="str">
            <v>Warehouse Associate 8W</v>
          </cell>
          <cell r="N205" t="str">
            <v>ansammar</v>
          </cell>
          <cell r="O205">
            <v>1299</v>
          </cell>
          <cell r="P205" t="str">
            <v>AUH1</v>
          </cell>
          <cell r="Q205" t="str">
            <v>ARE</v>
          </cell>
          <cell r="R205" t="str">
            <v>FC109</v>
          </cell>
          <cell r="S205" t="str">
            <v>Day Shift</v>
          </cell>
          <cell r="T205">
            <v>99</v>
          </cell>
          <cell r="U205" t="str">
            <v>MENA_UAE_FC</v>
          </cell>
          <cell r="V205">
            <v>46257.331250000003</v>
          </cell>
          <cell r="W205">
            <v>46257.749305555553</v>
          </cell>
          <cell r="X205">
            <v>46257.333333333336</v>
          </cell>
          <cell r="Y205">
            <v>46257.75</v>
          </cell>
          <cell r="AA205" t="str">
            <v>Scheduled</v>
          </cell>
          <cell r="AB205" t="str">
            <v>Present</v>
          </cell>
          <cell r="AC205" t="str">
            <v>Outbound</v>
          </cell>
          <cell r="AD205" t="str">
            <v>Picking</v>
          </cell>
          <cell r="AE205" t="str">
            <v>Pick</v>
          </cell>
          <cell r="AF205" t="str">
            <v>Tuesday</v>
          </cell>
          <cell r="AG205" t="str">
            <v>Wednesday</v>
          </cell>
          <cell r="AH205">
            <v>13</v>
          </cell>
          <cell r="AJ205">
            <v>45788</v>
          </cell>
          <cell r="AM205" t="str">
            <v>TEMP</v>
          </cell>
          <cell r="AN205" t="str">
            <v>3P Onsite Worker</v>
          </cell>
          <cell r="AO205" t="str">
            <v>A</v>
          </cell>
          <cell r="AP205">
            <v>9</v>
          </cell>
          <cell r="AQ205">
            <v>0</v>
          </cell>
          <cell r="AR205">
            <v>1</v>
          </cell>
          <cell r="AS205">
            <v>1</v>
          </cell>
          <cell r="AT205">
            <v>0</v>
          </cell>
          <cell r="AU205">
            <v>0</v>
          </cell>
        </row>
        <row r="206">
          <cell r="D206" t="str">
            <v>chashaav</v>
          </cell>
          <cell r="E206">
            <v>203918123</v>
          </cell>
          <cell r="F206" t="str">
            <v>A</v>
          </cell>
          <cell r="G206" t="str">
            <v>GREEN</v>
          </cell>
          <cell r="H206" t="str">
            <v>FULL_TIME</v>
          </cell>
          <cell r="I206">
            <v>900234</v>
          </cell>
          <cell r="J206" t="str">
            <v>Adecco</v>
          </cell>
          <cell r="K206" t="str">
            <v>Shaavan Chauhan</v>
          </cell>
          <cell r="L206" t="str">
            <v>Warehouse Associate (TEMP)</v>
          </cell>
          <cell r="M206" t="str">
            <v>Warehouse Associate 24M</v>
          </cell>
          <cell r="N206" t="str">
            <v>ansammar</v>
          </cell>
          <cell r="O206">
            <v>1299</v>
          </cell>
          <cell r="P206" t="str">
            <v>AUH1</v>
          </cell>
          <cell r="Q206" t="str">
            <v>ARE</v>
          </cell>
          <cell r="R206" t="str">
            <v>LK015</v>
          </cell>
          <cell r="S206" t="str">
            <v>Night Shift</v>
          </cell>
          <cell r="T206">
            <v>99</v>
          </cell>
          <cell r="U206" t="str">
            <v>MENA_UAE_FC</v>
          </cell>
          <cell r="V206">
            <v>46257.754166666666</v>
          </cell>
          <cell r="X206">
            <v>46257.756944444445</v>
          </cell>
          <cell r="Y206">
            <v>46258.173611111109</v>
          </cell>
          <cell r="AA206" t="str">
            <v>Scheduled</v>
          </cell>
          <cell r="AB206" t="str">
            <v>Present</v>
          </cell>
          <cell r="AC206" t="str">
            <v>Outbound</v>
          </cell>
          <cell r="AD206" t="str">
            <v>Picking</v>
          </cell>
          <cell r="AE206" t="str">
            <v>Pick</v>
          </cell>
          <cell r="AF206" t="str">
            <v>Tuesday</v>
          </cell>
          <cell r="AG206" t="str">
            <v>Wednesday</v>
          </cell>
          <cell r="AH206">
            <v>13</v>
          </cell>
          <cell r="AJ206">
            <v>45536</v>
          </cell>
          <cell r="AM206" t="str">
            <v>TEMP</v>
          </cell>
          <cell r="AN206" t="str">
            <v>3P Onsite Worker</v>
          </cell>
          <cell r="AO206" t="str">
            <v>A</v>
          </cell>
          <cell r="AP206">
            <v>9</v>
          </cell>
          <cell r="AQ206">
            <v>0</v>
          </cell>
          <cell r="AR206">
            <v>1</v>
          </cell>
          <cell r="AS206">
            <v>1</v>
          </cell>
          <cell r="AT206">
            <v>0</v>
          </cell>
          <cell r="AU206">
            <v>0</v>
          </cell>
        </row>
        <row r="207">
          <cell r="D207" t="str">
            <v>chatthud</v>
          </cell>
          <cell r="E207">
            <v>203342034</v>
          </cell>
          <cell r="F207" t="str">
            <v>A</v>
          </cell>
          <cell r="G207" t="str">
            <v>GREEN</v>
          </cell>
          <cell r="H207" t="str">
            <v>FULL_TIME</v>
          </cell>
          <cell r="I207">
            <v>900234</v>
          </cell>
          <cell r="J207" t="str">
            <v>Adecco</v>
          </cell>
          <cell r="K207" t="str">
            <v>CHATHURIKA THUSHARI</v>
          </cell>
          <cell r="L207" t="str">
            <v>Warehouse Associate (TEMP)</v>
          </cell>
          <cell r="M207" t="str">
            <v>Warehouse Associate 24M</v>
          </cell>
          <cell r="N207" t="str">
            <v>ansammar</v>
          </cell>
          <cell r="O207">
            <v>1299</v>
          </cell>
          <cell r="P207" t="str">
            <v>AUH1</v>
          </cell>
          <cell r="Q207" t="str">
            <v>ARE</v>
          </cell>
          <cell r="R207" t="str">
            <v>FC034</v>
          </cell>
          <cell r="S207" t="str">
            <v>Day Shift</v>
          </cell>
          <cell r="T207">
            <v>99</v>
          </cell>
          <cell r="U207" t="str">
            <v>MENA_UAE_FC</v>
          </cell>
          <cell r="X207">
            <v>46257.333333333336</v>
          </cell>
          <cell r="Y207">
            <v>46257.75</v>
          </cell>
          <cell r="Z207" t="str">
            <v>Rest Day</v>
          </cell>
          <cell r="AA207" t="str">
            <v>Not Scheduled</v>
          </cell>
          <cell r="AB207" t="str">
            <v>Not Present</v>
          </cell>
          <cell r="AC207" t="str">
            <v>Outbound</v>
          </cell>
          <cell r="AD207" t="str">
            <v>Picking</v>
          </cell>
          <cell r="AE207" t="str">
            <v>Pick</v>
          </cell>
          <cell r="AF207" t="str">
            <v>Saturday</v>
          </cell>
          <cell r="AG207" t="str">
            <v>Sunday</v>
          </cell>
          <cell r="AH207">
            <v>13</v>
          </cell>
          <cell r="AJ207">
            <v>45431</v>
          </cell>
          <cell r="AM207" t="str">
            <v>TEMP</v>
          </cell>
          <cell r="AN207" t="str">
            <v>3P Onsite Worker</v>
          </cell>
          <cell r="AO207" t="str">
            <v>A</v>
          </cell>
          <cell r="AP207">
            <v>9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</row>
        <row r="208">
          <cell r="D208" t="str">
            <v>chawezih</v>
          </cell>
          <cell r="E208">
            <v>206953974</v>
          </cell>
          <cell r="F208" t="str">
            <v>A</v>
          </cell>
          <cell r="G208" t="str">
            <v>GREEN</v>
          </cell>
          <cell r="H208" t="str">
            <v>FULL_TIME</v>
          </cell>
          <cell r="I208">
            <v>900234</v>
          </cell>
          <cell r="J208" t="str">
            <v>Dulsco L.L.C.</v>
          </cell>
          <cell r="K208" t="str">
            <v>CHAWEZI GERESHOM HARAWA</v>
          </cell>
          <cell r="L208" t="str">
            <v>Warehouse Associate (TEMP)</v>
          </cell>
          <cell r="M208" t="str">
            <v>Warehouse Associate 24M</v>
          </cell>
          <cell r="N208" t="str">
            <v>aanso</v>
          </cell>
          <cell r="O208">
            <v>1299</v>
          </cell>
          <cell r="P208" t="str">
            <v>AUH1</v>
          </cell>
          <cell r="Q208" t="str">
            <v>ARE</v>
          </cell>
          <cell r="R208" t="str">
            <v>FC109</v>
          </cell>
          <cell r="S208" t="str">
            <v>Day Shift</v>
          </cell>
          <cell r="T208">
            <v>99</v>
          </cell>
          <cell r="U208" t="str">
            <v>MENA_UAE_FC</v>
          </cell>
          <cell r="V208">
            <v>46257.333333333336</v>
          </cell>
          <cell r="W208">
            <v>46257.75</v>
          </cell>
          <cell r="X208">
            <v>46257.333333333336</v>
          </cell>
          <cell r="Y208">
            <v>46257.75</v>
          </cell>
          <cell r="AA208" t="str">
            <v>Scheduled</v>
          </cell>
          <cell r="AB208" t="str">
            <v>Present</v>
          </cell>
          <cell r="AC208" t="str">
            <v>Customer returns</v>
          </cell>
          <cell r="AD208" t="str">
            <v>Customer Returns</v>
          </cell>
          <cell r="AE208" t="str">
            <v>Customer returns</v>
          </cell>
          <cell r="AF208" t="str">
            <v>Tuesday</v>
          </cell>
          <cell r="AG208" t="str">
            <v>Wednesday</v>
          </cell>
          <cell r="AH208">
            <v>22</v>
          </cell>
          <cell r="AJ208">
            <v>46047</v>
          </cell>
          <cell r="AM208" t="str">
            <v>TEMP</v>
          </cell>
          <cell r="AN208" t="str">
            <v>3P Onsite Worker</v>
          </cell>
          <cell r="AO208" t="str">
            <v>A</v>
          </cell>
          <cell r="AP208">
            <v>9</v>
          </cell>
          <cell r="AQ208">
            <v>0</v>
          </cell>
          <cell r="AR208">
            <v>1</v>
          </cell>
          <cell r="AS208">
            <v>1</v>
          </cell>
          <cell r="AT208">
            <v>0</v>
          </cell>
          <cell r="AU208">
            <v>0</v>
          </cell>
        </row>
        <row r="209">
          <cell r="D209" t="str">
            <v>chebesha</v>
          </cell>
          <cell r="E209">
            <v>206192238</v>
          </cell>
          <cell r="F209" t="str">
            <v>A</v>
          </cell>
          <cell r="G209" t="str">
            <v>GREEN</v>
          </cell>
          <cell r="H209" t="str">
            <v>REDUCED</v>
          </cell>
          <cell r="I209">
            <v>900234</v>
          </cell>
          <cell r="J209" t="str">
            <v>EFS Facilities Services</v>
          </cell>
          <cell r="K209" t="str">
            <v>Sharon Chebet</v>
          </cell>
          <cell r="L209" t="str">
            <v>Warehouse Associate (TEMP)</v>
          </cell>
          <cell r="M209" t="str">
            <v>Warehouse Associate 8W</v>
          </cell>
          <cell r="N209" t="str">
            <v>ansammar</v>
          </cell>
          <cell r="O209">
            <v>1299</v>
          </cell>
          <cell r="P209" t="str">
            <v>AUH1</v>
          </cell>
          <cell r="Q209" t="str">
            <v>ARE</v>
          </cell>
          <cell r="R209" t="str">
            <v>FC559</v>
          </cell>
          <cell r="S209" t="str">
            <v>Night Shift</v>
          </cell>
          <cell r="T209">
            <v>99</v>
          </cell>
          <cell r="U209" t="str">
            <v>MENA_UAE_FC</v>
          </cell>
          <cell r="X209">
            <v>46257.756944444445</v>
          </cell>
          <cell r="Y209">
            <v>46258.090277777781</v>
          </cell>
          <cell r="Z209" t="str">
            <v>Rest Day</v>
          </cell>
          <cell r="AA209" t="str">
            <v>Not Scheduled</v>
          </cell>
          <cell r="AB209" t="str">
            <v>Not Present</v>
          </cell>
          <cell r="AC209" t="str">
            <v>Outbound</v>
          </cell>
          <cell r="AD209" t="str">
            <v>Sort - Batch</v>
          </cell>
          <cell r="AE209" t="str">
            <v>Sort</v>
          </cell>
          <cell r="AF209" t="str">
            <v>Saturday</v>
          </cell>
          <cell r="AG209" t="str">
            <v>Sunday</v>
          </cell>
          <cell r="AH209">
            <v>15</v>
          </cell>
          <cell r="AJ209">
            <v>46246</v>
          </cell>
          <cell r="AM209" t="str">
            <v>TEMP</v>
          </cell>
          <cell r="AN209" t="str">
            <v>3P Onsite Worker</v>
          </cell>
          <cell r="AO209" t="str">
            <v>A</v>
          </cell>
          <cell r="AP209">
            <v>7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</row>
        <row r="210">
          <cell r="D210" t="str">
            <v>chepfanc</v>
          </cell>
          <cell r="E210">
            <v>206015637</v>
          </cell>
          <cell r="F210" t="str">
            <v>A</v>
          </cell>
          <cell r="G210" t="str">
            <v>GREEN</v>
          </cell>
          <cell r="H210" t="str">
            <v>FULL_TIME</v>
          </cell>
          <cell r="I210">
            <v>900234</v>
          </cell>
          <cell r="J210" t="str">
            <v>Fastlink Outsourcing</v>
          </cell>
          <cell r="K210" t="str">
            <v>FANCY CHEPKEMOI</v>
          </cell>
          <cell r="L210" t="str">
            <v>Warehouse Associate (TEMP)</v>
          </cell>
          <cell r="M210" t="str">
            <v>Warehouse Associate 12M</v>
          </cell>
          <cell r="N210" t="str">
            <v>nnahla</v>
          </cell>
          <cell r="O210">
            <v>1299</v>
          </cell>
          <cell r="P210" t="str">
            <v>AUH1</v>
          </cell>
          <cell r="Q210" t="str">
            <v>ARE</v>
          </cell>
          <cell r="R210" t="str">
            <v>FC059</v>
          </cell>
          <cell r="S210" t="str">
            <v>Day Shift</v>
          </cell>
          <cell r="T210">
            <v>99</v>
          </cell>
          <cell r="U210" t="str">
            <v>MENA_UAE_FC</v>
          </cell>
          <cell r="X210">
            <v>46257.333333333336</v>
          </cell>
          <cell r="Y210">
            <v>46257.75</v>
          </cell>
          <cell r="Z210" t="str">
            <v>Rest Day</v>
          </cell>
          <cell r="AA210" t="str">
            <v>Not Scheduled</v>
          </cell>
          <cell r="AB210" t="str">
            <v>Not Present</v>
          </cell>
          <cell r="AC210" t="str">
            <v>Inbound</v>
          </cell>
          <cell r="AD210" t="str">
            <v>Vendor Receive</v>
          </cell>
          <cell r="AE210" t="str">
            <v>Receive</v>
          </cell>
          <cell r="AF210" t="str">
            <v>Sunday</v>
          </cell>
          <cell r="AG210" t="str">
            <v>Monday</v>
          </cell>
          <cell r="AH210">
            <v>1</v>
          </cell>
          <cell r="AJ210">
            <v>45914</v>
          </cell>
          <cell r="AM210" t="str">
            <v>TEMP</v>
          </cell>
          <cell r="AN210" t="str">
            <v>3P Onsite Worker</v>
          </cell>
          <cell r="AO210" t="str">
            <v>A</v>
          </cell>
          <cell r="AP210">
            <v>9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</row>
        <row r="211">
          <cell r="D211" t="str">
            <v>chepjoan</v>
          </cell>
          <cell r="E211">
            <v>206953570</v>
          </cell>
          <cell r="F211" t="str">
            <v>A</v>
          </cell>
          <cell r="G211" t="str">
            <v>GREEN</v>
          </cell>
          <cell r="H211" t="str">
            <v>FULL_TIME</v>
          </cell>
          <cell r="I211">
            <v>900234</v>
          </cell>
          <cell r="J211" t="str">
            <v>EFS Facilities Services</v>
          </cell>
          <cell r="K211" t="str">
            <v>Joan Chepngetich</v>
          </cell>
          <cell r="L211" t="str">
            <v>Warehouse Associate (TEMP)</v>
          </cell>
          <cell r="M211" t="str">
            <v>Warehouse Associate 12M</v>
          </cell>
          <cell r="N211" t="str">
            <v>aanso</v>
          </cell>
          <cell r="O211">
            <v>1299</v>
          </cell>
          <cell r="P211" t="str">
            <v>AUH1</v>
          </cell>
          <cell r="Q211" t="str">
            <v>ARE</v>
          </cell>
          <cell r="R211" t="str">
            <v>FC159</v>
          </cell>
          <cell r="S211" t="str">
            <v>Day Shift</v>
          </cell>
          <cell r="T211">
            <v>99</v>
          </cell>
          <cell r="U211" t="str">
            <v>MENA_UAE_FC</v>
          </cell>
          <cell r="V211">
            <v>46257.331250000003</v>
          </cell>
          <cell r="W211">
            <v>46257.749305555553</v>
          </cell>
          <cell r="X211">
            <v>46257.333333333336</v>
          </cell>
          <cell r="Y211">
            <v>46257.75</v>
          </cell>
          <cell r="AA211" t="str">
            <v>Scheduled</v>
          </cell>
          <cell r="AB211" t="str">
            <v>Present</v>
          </cell>
          <cell r="AC211" t="str">
            <v>Customer returns</v>
          </cell>
          <cell r="AD211" t="str">
            <v>Customer Returns</v>
          </cell>
          <cell r="AE211" t="str">
            <v>Customer returns</v>
          </cell>
          <cell r="AF211" t="str">
            <v>Thursday</v>
          </cell>
          <cell r="AG211" t="str">
            <v>Friday</v>
          </cell>
          <cell r="AH211">
            <v>22</v>
          </cell>
          <cell r="AJ211">
            <v>46047</v>
          </cell>
          <cell r="AM211" t="str">
            <v>TEMP</v>
          </cell>
          <cell r="AN211" t="str">
            <v>3P Onsite Worker</v>
          </cell>
          <cell r="AO211" t="str">
            <v>A</v>
          </cell>
          <cell r="AP211">
            <v>9</v>
          </cell>
          <cell r="AQ211">
            <v>0</v>
          </cell>
          <cell r="AR211">
            <v>1</v>
          </cell>
          <cell r="AS211">
            <v>1</v>
          </cell>
          <cell r="AT211">
            <v>0</v>
          </cell>
          <cell r="AU211">
            <v>0</v>
          </cell>
        </row>
        <row r="212">
          <cell r="D212" t="str">
            <v>chepkoil</v>
          </cell>
          <cell r="E212">
            <v>205853578</v>
          </cell>
          <cell r="F212" t="str">
            <v>A</v>
          </cell>
          <cell r="G212" t="str">
            <v>GREEN</v>
          </cell>
          <cell r="H212" t="str">
            <v>FULL_TIME</v>
          </cell>
          <cell r="I212">
            <v>900234</v>
          </cell>
          <cell r="J212" t="str">
            <v>EFS Facilities Services</v>
          </cell>
          <cell r="K212" t="str">
            <v>LOICE CHEPKOIR</v>
          </cell>
          <cell r="L212" t="str">
            <v>Warehouse Associate (TEMP)</v>
          </cell>
          <cell r="M212" t="str">
            <v>Warehouse Associate 8W</v>
          </cell>
          <cell r="N212" t="str">
            <v>mnarshad</v>
          </cell>
          <cell r="O212">
            <v>1299</v>
          </cell>
          <cell r="P212" t="str">
            <v>AUH1</v>
          </cell>
          <cell r="Q212" t="str">
            <v>ARE</v>
          </cell>
          <cell r="R212" t="str">
            <v>LK016</v>
          </cell>
          <cell r="S212" t="str">
            <v>Night Shift</v>
          </cell>
          <cell r="T212">
            <v>99</v>
          </cell>
          <cell r="U212" t="str">
            <v>MENA_UAE_FC</v>
          </cell>
          <cell r="V212">
            <v>46257.755555555559</v>
          </cell>
          <cell r="X212">
            <v>46257.756944444445</v>
          </cell>
          <cell r="Y212">
            <v>46258.173611111109</v>
          </cell>
          <cell r="AA212" t="str">
            <v>Scheduled</v>
          </cell>
          <cell r="AB212" t="str">
            <v>Present</v>
          </cell>
          <cell r="AC212" t="str">
            <v>Outbound</v>
          </cell>
          <cell r="AD212" t="str">
            <v>Picking</v>
          </cell>
          <cell r="AE212" t="str">
            <v>Pick</v>
          </cell>
          <cell r="AF212" t="str">
            <v>Wednesday</v>
          </cell>
          <cell r="AG212" t="str">
            <v>Thursday</v>
          </cell>
          <cell r="AH212">
            <v>13</v>
          </cell>
          <cell r="AJ212">
            <v>45893</v>
          </cell>
          <cell r="AM212" t="str">
            <v>TEMP</v>
          </cell>
          <cell r="AN212" t="str">
            <v>3P Onsite Worker</v>
          </cell>
          <cell r="AO212" t="str">
            <v>A</v>
          </cell>
          <cell r="AP212">
            <v>9</v>
          </cell>
          <cell r="AQ212">
            <v>0</v>
          </cell>
          <cell r="AR212">
            <v>1</v>
          </cell>
          <cell r="AS212">
            <v>1</v>
          </cell>
          <cell r="AT212">
            <v>0</v>
          </cell>
          <cell r="AU212">
            <v>0</v>
          </cell>
        </row>
        <row r="213">
          <cell r="D213" t="str">
            <v>chepkvio</v>
          </cell>
          <cell r="E213">
            <v>206953568</v>
          </cell>
          <cell r="F213" t="str">
            <v>A</v>
          </cell>
          <cell r="G213" t="str">
            <v>GREEN</v>
          </cell>
          <cell r="H213" t="str">
            <v>FULL_TIME</v>
          </cell>
          <cell r="I213">
            <v>900234</v>
          </cell>
          <cell r="J213" t="str">
            <v>EFS Facilities Services</v>
          </cell>
          <cell r="K213" t="str">
            <v>Violah Chepkirui</v>
          </cell>
          <cell r="L213" t="str">
            <v>Warehouse Associate (TEMP)</v>
          </cell>
          <cell r="M213" t="str">
            <v>Warehouse Associate 8W</v>
          </cell>
          <cell r="N213" t="str">
            <v>kebedeed</v>
          </cell>
          <cell r="O213">
            <v>1299</v>
          </cell>
          <cell r="P213" t="str">
            <v>AUH1</v>
          </cell>
          <cell r="Q213" t="str">
            <v>ARE</v>
          </cell>
          <cell r="R213" t="str">
            <v>FC159</v>
          </cell>
          <cell r="S213" t="str">
            <v>Day Shift</v>
          </cell>
          <cell r="T213">
            <v>99</v>
          </cell>
          <cell r="U213" t="str">
            <v>MENA_UAE_FC</v>
          </cell>
          <cell r="V213">
            <v>46257.331944444442</v>
          </cell>
          <cell r="W213">
            <v>46257.747916666667</v>
          </cell>
          <cell r="X213">
            <v>46257.333333333336</v>
          </cell>
          <cell r="Y213">
            <v>46257.75</v>
          </cell>
          <cell r="AA213" t="str">
            <v>Scheduled</v>
          </cell>
          <cell r="AB213" t="str">
            <v>Present</v>
          </cell>
          <cell r="AC213" t="str">
            <v>ICQA</v>
          </cell>
          <cell r="AD213" t="str">
            <v>IC/QA/CS</v>
          </cell>
          <cell r="AE213" t="str">
            <v>Support</v>
          </cell>
          <cell r="AF213" t="str">
            <v>Thursday</v>
          </cell>
          <cell r="AG213" t="str">
            <v>Friday</v>
          </cell>
          <cell r="AH213">
            <v>27</v>
          </cell>
          <cell r="AJ213">
            <v>46047</v>
          </cell>
          <cell r="AM213" t="str">
            <v>TEMP</v>
          </cell>
          <cell r="AN213" t="str">
            <v>3P Onsite Worker</v>
          </cell>
          <cell r="AO213" t="str">
            <v>A</v>
          </cell>
          <cell r="AP213">
            <v>9</v>
          </cell>
          <cell r="AQ213">
            <v>0</v>
          </cell>
          <cell r="AR213">
            <v>1</v>
          </cell>
          <cell r="AS213">
            <v>1</v>
          </cell>
          <cell r="AT213">
            <v>0</v>
          </cell>
          <cell r="AU213">
            <v>0</v>
          </cell>
        </row>
        <row r="214">
          <cell r="D214" t="str">
            <v>cheropeg</v>
          </cell>
          <cell r="E214">
            <v>206890216</v>
          </cell>
          <cell r="F214" t="str">
            <v>A</v>
          </cell>
          <cell r="G214" t="str">
            <v>GREEN</v>
          </cell>
          <cell r="H214" t="str">
            <v>REDUCED</v>
          </cell>
          <cell r="I214">
            <v>900234</v>
          </cell>
          <cell r="J214" t="str">
            <v>EFS Facilities Services</v>
          </cell>
          <cell r="K214" t="str">
            <v>GRASHA CHEROP</v>
          </cell>
          <cell r="L214" t="str">
            <v>Warehouse Associate (TEMP)</v>
          </cell>
          <cell r="M214" t="str">
            <v>Warehouse Associate 8W</v>
          </cell>
          <cell r="N214" t="str">
            <v>mnarshad</v>
          </cell>
          <cell r="O214">
            <v>1299</v>
          </cell>
          <cell r="P214" t="str">
            <v>AUH1</v>
          </cell>
          <cell r="Q214" t="str">
            <v>ARE</v>
          </cell>
          <cell r="R214" t="str">
            <v>FC556</v>
          </cell>
          <cell r="S214" t="str">
            <v>Night Shift</v>
          </cell>
          <cell r="T214">
            <v>99</v>
          </cell>
          <cell r="U214" t="str">
            <v>MENA_UAE_FC</v>
          </cell>
          <cell r="V214">
            <v>46257.754861111112</v>
          </cell>
          <cell r="X214">
            <v>46257.756944444445</v>
          </cell>
          <cell r="Y214">
            <v>46258.090277777781</v>
          </cell>
          <cell r="AA214" t="str">
            <v>Scheduled</v>
          </cell>
          <cell r="AB214" t="str">
            <v>Present</v>
          </cell>
          <cell r="AC214" t="str">
            <v>Outbound</v>
          </cell>
          <cell r="AD214" t="str">
            <v>Picking</v>
          </cell>
          <cell r="AE214" t="str">
            <v>Pick</v>
          </cell>
          <cell r="AF214" t="str">
            <v>Tuesday</v>
          </cell>
          <cell r="AG214" t="str">
            <v>Wednesday</v>
          </cell>
          <cell r="AH214">
            <v>13</v>
          </cell>
          <cell r="AJ214">
            <v>46251</v>
          </cell>
          <cell r="AM214" t="str">
            <v>TEMP</v>
          </cell>
          <cell r="AN214" t="str">
            <v>3P Onsite Worker</v>
          </cell>
          <cell r="AO214" t="str">
            <v>A</v>
          </cell>
          <cell r="AP214">
            <v>7</v>
          </cell>
          <cell r="AQ214">
            <v>0</v>
          </cell>
          <cell r="AR214">
            <v>1</v>
          </cell>
          <cell r="AS214">
            <v>1</v>
          </cell>
          <cell r="AT214">
            <v>0</v>
          </cell>
          <cell r="AU214">
            <v>0</v>
          </cell>
        </row>
        <row r="215">
          <cell r="D215" t="str">
            <v>chicharf</v>
          </cell>
          <cell r="E215">
            <v>203802274</v>
          </cell>
          <cell r="F215" t="str">
            <v>A</v>
          </cell>
          <cell r="G215" t="str">
            <v>GREEN</v>
          </cell>
          <cell r="H215" t="str">
            <v>FULL_TIME</v>
          </cell>
          <cell r="I215">
            <v>900234</v>
          </cell>
          <cell r="J215" t="str">
            <v>Fastlink Outsourcing</v>
          </cell>
          <cell r="K215" t="str">
            <v>CHARLES CHIBINDI</v>
          </cell>
          <cell r="L215" t="str">
            <v>Warehouse Associate (TEMP)</v>
          </cell>
          <cell r="M215" t="str">
            <v>Warehouse Associate 12M</v>
          </cell>
          <cell r="N215" t="str">
            <v>pparsin</v>
          </cell>
          <cell r="O215">
            <v>1299</v>
          </cell>
          <cell r="P215" t="str">
            <v>AUH1</v>
          </cell>
          <cell r="Q215" t="str">
            <v>ARE</v>
          </cell>
          <cell r="R215" t="str">
            <v>FC059</v>
          </cell>
          <cell r="S215" t="str">
            <v>Day Shift</v>
          </cell>
          <cell r="T215">
            <v>99</v>
          </cell>
          <cell r="U215" t="str">
            <v>MENA_UAE_FC</v>
          </cell>
          <cell r="X215">
            <v>46257.333333333336</v>
          </cell>
          <cell r="Y215">
            <v>46257.75</v>
          </cell>
          <cell r="Z215" t="str">
            <v>Rest Day</v>
          </cell>
          <cell r="AA215" t="str">
            <v>Not Scheduled</v>
          </cell>
          <cell r="AB215" t="str">
            <v>Not Present</v>
          </cell>
          <cell r="AC215" t="str">
            <v>Inbound</v>
          </cell>
          <cell r="AD215" t="str">
            <v>Inbound Stow</v>
          </cell>
          <cell r="AE215" t="str">
            <v>Stow</v>
          </cell>
          <cell r="AF215" t="str">
            <v>Sunday</v>
          </cell>
          <cell r="AG215" t="str">
            <v>Monday</v>
          </cell>
          <cell r="AH215">
            <v>3</v>
          </cell>
          <cell r="AJ215">
            <v>45515</v>
          </cell>
          <cell r="AM215" t="str">
            <v>TEMP</v>
          </cell>
          <cell r="AN215" t="str">
            <v>3P Onsite Worker</v>
          </cell>
          <cell r="AO215" t="str">
            <v>A</v>
          </cell>
          <cell r="AP215">
            <v>9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</row>
        <row r="216">
          <cell r="D216" t="str">
            <v>chijosua</v>
          </cell>
          <cell r="E216">
            <v>206953967</v>
          </cell>
          <cell r="F216" t="str">
            <v>A</v>
          </cell>
          <cell r="G216" t="str">
            <v>GREEN</v>
          </cell>
          <cell r="H216" t="str">
            <v>FULL_TIME</v>
          </cell>
          <cell r="I216">
            <v>900234</v>
          </cell>
          <cell r="J216" t="str">
            <v>Dulsco L.L.C.</v>
          </cell>
          <cell r="K216" t="str">
            <v>JOSUA CHISAMBA</v>
          </cell>
          <cell r="L216" t="str">
            <v>Warehouse Associate (TEMP)</v>
          </cell>
          <cell r="M216" t="str">
            <v>Warehouse Associate 24M</v>
          </cell>
          <cell r="N216" t="str">
            <v>bavameer</v>
          </cell>
          <cell r="O216">
            <v>1299</v>
          </cell>
          <cell r="P216" t="str">
            <v>AUH1</v>
          </cell>
          <cell r="Q216" t="str">
            <v>ARE</v>
          </cell>
          <cell r="R216" t="str">
            <v>FC159</v>
          </cell>
          <cell r="S216" t="str">
            <v>Day Shift</v>
          </cell>
          <cell r="T216">
            <v>99</v>
          </cell>
          <cell r="U216" t="str">
            <v>MENA_UAE_FC</v>
          </cell>
          <cell r="V216">
            <v>46257.330555555556</v>
          </cell>
          <cell r="W216">
            <v>46257.748611111114</v>
          </cell>
          <cell r="X216">
            <v>46257.333333333336</v>
          </cell>
          <cell r="Y216">
            <v>46257.75</v>
          </cell>
          <cell r="AA216" t="str">
            <v>Scheduled</v>
          </cell>
          <cell r="AB216" t="str">
            <v>Present</v>
          </cell>
          <cell r="AC216" t="str">
            <v>Customer returns</v>
          </cell>
          <cell r="AD216" t="str">
            <v>Customer Returns</v>
          </cell>
          <cell r="AE216" t="str">
            <v>Customer returns</v>
          </cell>
          <cell r="AF216" t="str">
            <v>Thursday</v>
          </cell>
          <cell r="AG216" t="str">
            <v>Friday</v>
          </cell>
          <cell r="AH216">
            <v>22</v>
          </cell>
          <cell r="AJ216">
            <v>46047</v>
          </cell>
          <cell r="AM216" t="str">
            <v>TEMP</v>
          </cell>
          <cell r="AN216" t="str">
            <v>3P Onsite Worker</v>
          </cell>
          <cell r="AO216" t="str">
            <v>A</v>
          </cell>
          <cell r="AP216">
            <v>9</v>
          </cell>
          <cell r="AQ216">
            <v>0</v>
          </cell>
          <cell r="AR216">
            <v>1</v>
          </cell>
          <cell r="AS216">
            <v>1</v>
          </cell>
          <cell r="AT216">
            <v>0</v>
          </cell>
          <cell r="AU216">
            <v>0</v>
          </cell>
        </row>
        <row r="217">
          <cell r="D217" t="str">
            <v>chingmel</v>
          </cell>
          <cell r="E217">
            <v>203555401</v>
          </cell>
          <cell r="F217" t="str">
            <v>A</v>
          </cell>
          <cell r="G217" t="str">
            <v>GREEN</v>
          </cell>
          <cell r="H217" t="str">
            <v>FULL_TIME</v>
          </cell>
          <cell r="I217">
            <v>900234</v>
          </cell>
          <cell r="J217" t="str">
            <v>Fastlink Outsourcing</v>
          </cell>
          <cell r="K217" t="str">
            <v>Melody Chingore</v>
          </cell>
          <cell r="L217" t="str">
            <v>Warehouse Associate (TEMP)</v>
          </cell>
          <cell r="M217" t="str">
            <v>Warehouse Associate 12M</v>
          </cell>
          <cell r="N217" t="str">
            <v>bavameer</v>
          </cell>
          <cell r="O217">
            <v>1299</v>
          </cell>
          <cell r="P217" t="str">
            <v>AUH1</v>
          </cell>
          <cell r="Q217" t="str">
            <v>ARE</v>
          </cell>
          <cell r="R217" t="str">
            <v>FC034</v>
          </cell>
          <cell r="S217" t="str">
            <v>Day Shift</v>
          </cell>
          <cell r="T217">
            <v>99</v>
          </cell>
          <cell r="U217" t="str">
            <v>MENA_UAE_FC</v>
          </cell>
          <cell r="X217">
            <v>46257.333333333336</v>
          </cell>
          <cell r="Y217">
            <v>46257.75</v>
          </cell>
          <cell r="Z217" t="str">
            <v>Rest Day</v>
          </cell>
          <cell r="AA217" t="str">
            <v>Not Scheduled</v>
          </cell>
          <cell r="AB217" t="str">
            <v>Not Present</v>
          </cell>
          <cell r="AC217" t="str">
            <v>Customer returns</v>
          </cell>
          <cell r="AD217" t="str">
            <v>Customer Returns</v>
          </cell>
          <cell r="AE217" t="str">
            <v>Customer returns</v>
          </cell>
          <cell r="AF217" t="str">
            <v>Saturday</v>
          </cell>
          <cell r="AG217" t="str">
            <v>Sunday</v>
          </cell>
          <cell r="AH217">
            <v>22</v>
          </cell>
          <cell r="AJ217">
            <v>45469</v>
          </cell>
          <cell r="AM217" t="str">
            <v>TEMP</v>
          </cell>
          <cell r="AN217" t="str">
            <v>3P Onsite Worker</v>
          </cell>
          <cell r="AO217" t="str">
            <v>A</v>
          </cell>
          <cell r="AP217">
            <v>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</row>
        <row r="218">
          <cell r="D218" t="str">
            <v>chirviol</v>
          </cell>
          <cell r="E218">
            <v>206192235</v>
          </cell>
          <cell r="F218" t="str">
            <v>A</v>
          </cell>
          <cell r="G218" t="str">
            <v>GREEN</v>
          </cell>
          <cell r="H218" t="str">
            <v>FULL_TIME</v>
          </cell>
          <cell r="I218">
            <v>900234</v>
          </cell>
          <cell r="J218" t="str">
            <v>EFS Facilities Services</v>
          </cell>
          <cell r="K218" t="str">
            <v>Viola chepkemboi chirchir</v>
          </cell>
          <cell r="L218" t="str">
            <v>Warehouse Associate (TEMP)</v>
          </cell>
          <cell r="M218" t="str">
            <v>Warehouse Associate 12M</v>
          </cell>
          <cell r="N218" t="str">
            <v>bavameer</v>
          </cell>
          <cell r="O218">
            <v>1299</v>
          </cell>
          <cell r="P218" t="str">
            <v>AUH1</v>
          </cell>
          <cell r="Q218" t="str">
            <v>ARE</v>
          </cell>
          <cell r="R218" t="str">
            <v>FC034</v>
          </cell>
          <cell r="S218" t="str">
            <v>Day Shift</v>
          </cell>
          <cell r="T218">
            <v>99</v>
          </cell>
          <cell r="U218" t="str">
            <v>MENA_UAE_FC</v>
          </cell>
          <cell r="X218">
            <v>46257.333333333336</v>
          </cell>
          <cell r="Y218">
            <v>46257.75</v>
          </cell>
          <cell r="Z218" t="str">
            <v>Rest Day</v>
          </cell>
          <cell r="AA218" t="str">
            <v>Not Scheduled</v>
          </cell>
          <cell r="AB218" t="str">
            <v>Not Present</v>
          </cell>
          <cell r="AC218" t="str">
            <v>Customer returns</v>
          </cell>
          <cell r="AD218" t="str">
            <v>Customer Returns</v>
          </cell>
          <cell r="AE218" t="str">
            <v>Customer returns</v>
          </cell>
          <cell r="AF218" t="str">
            <v>Saturday</v>
          </cell>
          <cell r="AG218" t="str">
            <v>Sunday</v>
          </cell>
          <cell r="AH218">
            <v>22</v>
          </cell>
          <cell r="AJ218">
            <v>45935</v>
          </cell>
          <cell r="AM218" t="str">
            <v>TEMP</v>
          </cell>
          <cell r="AN218" t="str">
            <v>3P Onsite Worker</v>
          </cell>
          <cell r="AO218" t="str">
            <v>A</v>
          </cell>
          <cell r="AP218">
            <v>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</row>
        <row r="219">
          <cell r="D219" t="str">
            <v>chjoycec</v>
          </cell>
          <cell r="E219">
            <v>206886731</v>
          </cell>
          <cell r="F219" t="str">
            <v>A</v>
          </cell>
          <cell r="G219" t="str">
            <v>GREEN</v>
          </cell>
          <cell r="H219" t="str">
            <v>REDUCED</v>
          </cell>
          <cell r="I219">
            <v>900234</v>
          </cell>
          <cell r="J219" t="str">
            <v>EFS Facilities Services</v>
          </cell>
          <cell r="K219" t="str">
            <v>JOYCE CHEROP CHERUIYOT</v>
          </cell>
          <cell r="L219" t="str">
            <v>Warehouse Associate (TEMP)</v>
          </cell>
          <cell r="M219" t="str">
            <v>Warehouse Associate 8W</v>
          </cell>
          <cell r="N219" t="str">
            <v>mnarshad</v>
          </cell>
          <cell r="O219">
            <v>1299</v>
          </cell>
          <cell r="P219" t="str">
            <v>AUH1</v>
          </cell>
          <cell r="Q219" t="str">
            <v>ARE</v>
          </cell>
          <cell r="R219" t="str">
            <v>FC556</v>
          </cell>
          <cell r="S219" t="str">
            <v>Night Shift</v>
          </cell>
          <cell r="T219">
            <v>99</v>
          </cell>
          <cell r="U219" t="str">
            <v>MENA_UAE_FC</v>
          </cell>
          <cell r="V219">
            <v>46257.755555555559</v>
          </cell>
          <cell r="X219">
            <v>46257.756944444445</v>
          </cell>
          <cell r="Y219">
            <v>46258.090277777781</v>
          </cell>
          <cell r="AA219" t="str">
            <v>Scheduled</v>
          </cell>
          <cell r="AB219" t="str">
            <v>Present</v>
          </cell>
          <cell r="AC219" t="str">
            <v>Outbound</v>
          </cell>
          <cell r="AD219" t="str">
            <v>Picking</v>
          </cell>
          <cell r="AE219" t="str">
            <v>Pick</v>
          </cell>
          <cell r="AF219" t="str">
            <v>Tuesday</v>
          </cell>
          <cell r="AG219" t="str">
            <v>Wednesday</v>
          </cell>
          <cell r="AH219">
            <v>13</v>
          </cell>
          <cell r="AJ219">
            <v>46251</v>
          </cell>
          <cell r="AM219" t="str">
            <v>TEMP</v>
          </cell>
          <cell r="AN219" t="str">
            <v>3P Onsite Worker</v>
          </cell>
          <cell r="AO219" t="str">
            <v>A</v>
          </cell>
          <cell r="AP219">
            <v>7</v>
          </cell>
          <cell r="AQ219">
            <v>0</v>
          </cell>
          <cell r="AR219">
            <v>1</v>
          </cell>
          <cell r="AS219">
            <v>1</v>
          </cell>
          <cell r="AT219">
            <v>0</v>
          </cell>
          <cell r="AU219">
            <v>0</v>
          </cell>
        </row>
        <row r="220">
          <cell r="D220" t="str">
            <v>chrbaid</v>
          </cell>
          <cell r="E220">
            <v>203851006</v>
          </cell>
          <cell r="F220" t="str">
            <v>A</v>
          </cell>
          <cell r="G220" t="str">
            <v>GREEN</v>
          </cell>
          <cell r="H220" t="str">
            <v>FULL_TIME</v>
          </cell>
          <cell r="I220">
            <v>900234</v>
          </cell>
          <cell r="J220" t="str">
            <v>Fastlink Outsourcing</v>
          </cell>
          <cell r="K220" t="str">
            <v>Christian Baiden</v>
          </cell>
          <cell r="L220" t="str">
            <v>Warehouse Associate (TEMP)</v>
          </cell>
          <cell r="M220" t="str">
            <v>Warehouse Associate 12M</v>
          </cell>
          <cell r="N220" t="str">
            <v>nnahla</v>
          </cell>
          <cell r="O220">
            <v>1299</v>
          </cell>
          <cell r="P220" t="str">
            <v>AUH1</v>
          </cell>
          <cell r="Q220" t="str">
            <v>ARE</v>
          </cell>
          <cell r="R220" t="str">
            <v>FC059</v>
          </cell>
          <cell r="S220" t="str">
            <v>Day Shift</v>
          </cell>
          <cell r="T220">
            <v>99</v>
          </cell>
          <cell r="U220" t="str">
            <v>MENA_UAE_FC</v>
          </cell>
          <cell r="X220">
            <v>46257.333333333336</v>
          </cell>
          <cell r="Y220">
            <v>46257.75</v>
          </cell>
          <cell r="Z220" t="str">
            <v>Rest Day</v>
          </cell>
          <cell r="AA220" t="str">
            <v>Not Scheduled</v>
          </cell>
          <cell r="AB220" t="str">
            <v>Not Present</v>
          </cell>
          <cell r="AC220" t="str">
            <v>Inbound</v>
          </cell>
          <cell r="AD220" t="str">
            <v>Vendor Receive</v>
          </cell>
          <cell r="AE220" t="str">
            <v>Receive</v>
          </cell>
          <cell r="AF220" t="str">
            <v>Sunday</v>
          </cell>
          <cell r="AG220" t="str">
            <v>Monday</v>
          </cell>
          <cell r="AH220">
            <v>1</v>
          </cell>
          <cell r="AJ220">
            <v>45523</v>
          </cell>
          <cell r="AM220" t="str">
            <v>TEMP</v>
          </cell>
          <cell r="AN220" t="str">
            <v>3P Onsite Worker</v>
          </cell>
          <cell r="AO220" t="str">
            <v>A</v>
          </cell>
          <cell r="AP220">
            <v>9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</row>
        <row r="221">
          <cell r="D221" t="str">
            <v>chsampan</v>
          </cell>
          <cell r="E221">
            <v>203555403</v>
          </cell>
          <cell r="F221" t="str">
            <v>A</v>
          </cell>
          <cell r="G221" t="str">
            <v>GREEN</v>
          </cell>
          <cell r="H221" t="str">
            <v>FULL_TIME</v>
          </cell>
          <cell r="I221">
            <v>900234</v>
          </cell>
          <cell r="J221" t="str">
            <v>Fastlink Outsourcing</v>
          </cell>
          <cell r="K221" t="str">
            <v>Christiana Sampana</v>
          </cell>
          <cell r="L221" t="str">
            <v>Warehouse Associate (TEMP)</v>
          </cell>
          <cell r="M221" t="str">
            <v>Warehouse Associate 12M</v>
          </cell>
          <cell r="N221" t="str">
            <v>aanso</v>
          </cell>
          <cell r="O221">
            <v>1299</v>
          </cell>
          <cell r="P221" t="str">
            <v>AUH1</v>
          </cell>
          <cell r="Q221" t="str">
            <v>ARE</v>
          </cell>
          <cell r="R221" t="str">
            <v>FC034</v>
          </cell>
          <cell r="S221" t="str">
            <v>Day Shift</v>
          </cell>
          <cell r="T221">
            <v>99</v>
          </cell>
          <cell r="U221" t="str">
            <v>MENA_UAE_FC</v>
          </cell>
          <cell r="X221">
            <v>46257.333333333336</v>
          </cell>
          <cell r="Y221">
            <v>46257.75</v>
          </cell>
          <cell r="Z221" t="str">
            <v>Rest Day</v>
          </cell>
          <cell r="AA221" t="str">
            <v>Not Scheduled</v>
          </cell>
          <cell r="AB221" t="str">
            <v>Not Present</v>
          </cell>
          <cell r="AC221" t="str">
            <v>Customer returns</v>
          </cell>
          <cell r="AD221" t="str">
            <v>Customer Returns</v>
          </cell>
          <cell r="AE221" t="str">
            <v>Customer returns</v>
          </cell>
          <cell r="AF221" t="str">
            <v>Saturday</v>
          </cell>
          <cell r="AG221" t="str">
            <v>Sunday</v>
          </cell>
          <cell r="AH221">
            <v>22</v>
          </cell>
          <cell r="AJ221">
            <v>45469</v>
          </cell>
          <cell r="AM221" t="str">
            <v>TEMP</v>
          </cell>
          <cell r="AN221" t="str">
            <v>3P Onsite Worker</v>
          </cell>
          <cell r="AO221" t="str">
            <v>A</v>
          </cell>
          <cell r="AP221">
            <v>9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</row>
        <row r="222">
          <cell r="D222" t="str">
            <v>ciliatan</v>
          </cell>
          <cell r="E222">
            <v>206015633</v>
          </cell>
          <cell r="F222" t="str">
            <v>A</v>
          </cell>
          <cell r="G222" t="str">
            <v>GREEN</v>
          </cell>
          <cell r="H222" t="str">
            <v>FULL_TIME</v>
          </cell>
          <cell r="I222">
            <v>900234</v>
          </cell>
          <cell r="J222" t="str">
            <v>Fastlink Outsourcing</v>
          </cell>
          <cell r="K222" t="str">
            <v>TANDU CILIA NAMA</v>
          </cell>
          <cell r="L222" t="str">
            <v>Warehouse Associate (TEMP)</v>
          </cell>
          <cell r="M222" t="str">
            <v>Warehouse Associate 12M</v>
          </cell>
          <cell r="N222" t="str">
            <v>nnahla</v>
          </cell>
          <cell r="O222">
            <v>1299</v>
          </cell>
          <cell r="P222" t="str">
            <v>AUH1</v>
          </cell>
          <cell r="Q222" t="str">
            <v>ARE</v>
          </cell>
          <cell r="R222" t="str">
            <v>FC059</v>
          </cell>
          <cell r="S222" t="str">
            <v>Day Shift</v>
          </cell>
          <cell r="T222">
            <v>99</v>
          </cell>
          <cell r="U222" t="str">
            <v>MENA_UAE_FC</v>
          </cell>
          <cell r="X222">
            <v>46257.333333333336</v>
          </cell>
          <cell r="Y222">
            <v>46257.75</v>
          </cell>
          <cell r="Z222" t="str">
            <v>Rest Day</v>
          </cell>
          <cell r="AA222" t="str">
            <v>Not Scheduled</v>
          </cell>
          <cell r="AB222" t="str">
            <v>Not Present</v>
          </cell>
          <cell r="AC222" t="str">
            <v>Inbound</v>
          </cell>
          <cell r="AD222" t="str">
            <v>Vendor Receive</v>
          </cell>
          <cell r="AE222" t="str">
            <v>Receive</v>
          </cell>
          <cell r="AF222" t="str">
            <v>Sunday</v>
          </cell>
          <cell r="AG222" t="str">
            <v>Monday</v>
          </cell>
          <cell r="AH222">
            <v>1</v>
          </cell>
          <cell r="AJ222">
            <v>45914</v>
          </cell>
          <cell r="AM222" t="str">
            <v>TEMP</v>
          </cell>
          <cell r="AN222" t="str">
            <v>3P Onsite Worker</v>
          </cell>
          <cell r="AO222" t="str">
            <v>A</v>
          </cell>
          <cell r="AP222">
            <v>9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</row>
        <row r="223">
          <cell r="D223" t="str">
            <v>cjoheyia</v>
          </cell>
          <cell r="E223">
            <v>206072876</v>
          </cell>
          <cell r="F223" t="str">
            <v>A</v>
          </cell>
          <cell r="G223" t="str">
            <v>GREEN</v>
          </cell>
          <cell r="H223" t="str">
            <v>FULL_TIME</v>
          </cell>
          <cell r="I223">
            <v>900234</v>
          </cell>
          <cell r="J223" t="str">
            <v>Fastlink Outsourcing</v>
          </cell>
          <cell r="K223" t="str">
            <v>John Eyiah</v>
          </cell>
          <cell r="L223" t="str">
            <v>Warehouse Associate (TEMP)</v>
          </cell>
          <cell r="M223" t="str">
            <v>Warehouse Associate 12M</v>
          </cell>
          <cell r="N223" t="str">
            <v>pparsin</v>
          </cell>
          <cell r="O223">
            <v>1299</v>
          </cell>
          <cell r="P223" t="str">
            <v>AUH1</v>
          </cell>
          <cell r="Q223" t="str">
            <v>ARE</v>
          </cell>
          <cell r="R223" t="str">
            <v>FC059</v>
          </cell>
          <cell r="S223" t="str">
            <v>Day Shift</v>
          </cell>
          <cell r="T223">
            <v>99</v>
          </cell>
          <cell r="U223" t="str">
            <v>MENA_UAE_FC</v>
          </cell>
          <cell r="X223">
            <v>46257.333333333336</v>
          </cell>
          <cell r="Y223">
            <v>46257.75</v>
          </cell>
          <cell r="Z223" t="str">
            <v>Rest Day</v>
          </cell>
          <cell r="AA223" t="str">
            <v>Not Scheduled</v>
          </cell>
          <cell r="AB223" t="str">
            <v>Not Present</v>
          </cell>
          <cell r="AC223" t="str">
            <v>Inbound</v>
          </cell>
          <cell r="AD223" t="str">
            <v>Inbound Stow</v>
          </cell>
          <cell r="AE223" t="str">
            <v>Stow</v>
          </cell>
          <cell r="AF223" t="str">
            <v>Sunday</v>
          </cell>
          <cell r="AG223" t="str">
            <v>Monday</v>
          </cell>
          <cell r="AH223">
            <v>3</v>
          </cell>
          <cell r="AJ223">
            <v>45921</v>
          </cell>
          <cell r="AM223" t="str">
            <v>TEMP</v>
          </cell>
          <cell r="AN223" t="str">
            <v>3P Onsite Worker</v>
          </cell>
          <cell r="AO223" t="str">
            <v>A</v>
          </cell>
          <cell r="AP223">
            <v>9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</row>
        <row r="224">
          <cell r="D224" t="str">
            <v>clarfien</v>
          </cell>
          <cell r="E224">
            <v>203881660</v>
          </cell>
          <cell r="F224" t="str">
            <v>A</v>
          </cell>
          <cell r="G224" t="str">
            <v>GREEN</v>
          </cell>
          <cell r="H224" t="str">
            <v>FULL_TIME</v>
          </cell>
          <cell r="I224">
            <v>900234</v>
          </cell>
          <cell r="J224" t="str">
            <v>Fastlink Outsourcing</v>
          </cell>
          <cell r="K224" t="str">
            <v>Clarise Fienmbu</v>
          </cell>
          <cell r="L224" t="str">
            <v>Warehouse Associate (TEMP)</v>
          </cell>
          <cell r="M224" t="str">
            <v>Warehouse Associate 12M</v>
          </cell>
          <cell r="N224" t="str">
            <v>bizthoma</v>
          </cell>
          <cell r="O224">
            <v>1299</v>
          </cell>
          <cell r="P224" t="str">
            <v>AUH1</v>
          </cell>
          <cell r="Q224" t="str">
            <v>ARE</v>
          </cell>
          <cell r="R224" t="str">
            <v>LK011</v>
          </cell>
          <cell r="S224" t="str">
            <v>Night Shift</v>
          </cell>
          <cell r="T224">
            <v>99</v>
          </cell>
          <cell r="U224" t="str">
            <v>MENA_UAE_FC</v>
          </cell>
          <cell r="V224">
            <v>46257.755555555559</v>
          </cell>
          <cell r="X224">
            <v>46257.756944444445</v>
          </cell>
          <cell r="Y224">
            <v>46258.173611111109</v>
          </cell>
          <cell r="AA224" t="str">
            <v>Scheduled</v>
          </cell>
          <cell r="AB224" t="str">
            <v>Present</v>
          </cell>
          <cell r="AC224" t="str">
            <v>Outbound</v>
          </cell>
          <cell r="AD224" t="str">
            <v>Picking</v>
          </cell>
          <cell r="AE224" t="str">
            <v>Pick</v>
          </cell>
          <cell r="AF224" t="str">
            <v>Friday</v>
          </cell>
          <cell r="AG224" t="str">
            <v>Saturday</v>
          </cell>
          <cell r="AH224">
            <v>13</v>
          </cell>
          <cell r="AJ224">
            <v>45529</v>
          </cell>
          <cell r="AM224" t="str">
            <v>TEMP</v>
          </cell>
          <cell r="AN224" t="str">
            <v>3P Onsite Worker</v>
          </cell>
          <cell r="AO224" t="str">
            <v>A</v>
          </cell>
          <cell r="AP224">
            <v>9</v>
          </cell>
          <cell r="AQ224">
            <v>0</v>
          </cell>
          <cell r="AR224">
            <v>1</v>
          </cell>
          <cell r="AS224">
            <v>1</v>
          </cell>
          <cell r="AT224">
            <v>0</v>
          </cell>
          <cell r="AU224">
            <v>0</v>
          </cell>
        </row>
        <row r="225">
          <cell r="D225" t="str">
            <v>cmaforun</v>
          </cell>
          <cell r="E225">
            <v>205996683</v>
          </cell>
          <cell r="F225" t="str">
            <v>A</v>
          </cell>
          <cell r="G225" t="str">
            <v>GREEN</v>
          </cell>
          <cell r="H225" t="str">
            <v>FULL_TIME</v>
          </cell>
          <cell r="I225">
            <v>900234</v>
          </cell>
          <cell r="J225" t="str">
            <v>Fastlink Outsourcing</v>
          </cell>
          <cell r="K225" t="str">
            <v>CHANTAL MAFOR UNABI</v>
          </cell>
          <cell r="L225" t="str">
            <v>Warehouse Associate (TEMP)</v>
          </cell>
          <cell r="M225" t="str">
            <v>Warehouse Associate 12M</v>
          </cell>
          <cell r="N225" t="str">
            <v>kebedeed</v>
          </cell>
          <cell r="O225">
            <v>1299</v>
          </cell>
          <cell r="P225" t="str">
            <v>AUH1</v>
          </cell>
          <cell r="Q225" t="str">
            <v>ARE</v>
          </cell>
          <cell r="R225" t="str">
            <v>FC109</v>
          </cell>
          <cell r="S225" t="str">
            <v>Day Shift</v>
          </cell>
          <cell r="T225">
            <v>99</v>
          </cell>
          <cell r="U225" t="str">
            <v>MENA_UAE_FC</v>
          </cell>
          <cell r="V225">
            <v>46257.331944444442</v>
          </cell>
          <cell r="W225">
            <v>46257.748611111114</v>
          </cell>
          <cell r="X225">
            <v>46257.333333333336</v>
          </cell>
          <cell r="Y225">
            <v>46257.75</v>
          </cell>
          <cell r="AA225" t="str">
            <v>Scheduled</v>
          </cell>
          <cell r="AB225" t="str">
            <v>Present</v>
          </cell>
          <cell r="AC225" t="str">
            <v>ICQA</v>
          </cell>
          <cell r="AD225" t="str">
            <v>IC/QA/CS</v>
          </cell>
          <cell r="AE225" t="str">
            <v>Support</v>
          </cell>
          <cell r="AF225" t="str">
            <v>Tuesday</v>
          </cell>
          <cell r="AG225" t="str">
            <v>Wednesday</v>
          </cell>
          <cell r="AH225">
            <v>27</v>
          </cell>
          <cell r="AJ225">
            <v>45914</v>
          </cell>
          <cell r="AM225" t="str">
            <v>TEMP</v>
          </cell>
          <cell r="AN225" t="str">
            <v>3P Onsite Worker</v>
          </cell>
          <cell r="AO225" t="str">
            <v>A</v>
          </cell>
          <cell r="AP225">
            <v>9</v>
          </cell>
          <cell r="AQ225">
            <v>0</v>
          </cell>
          <cell r="AR225">
            <v>1</v>
          </cell>
          <cell r="AS225">
            <v>1</v>
          </cell>
          <cell r="AT225">
            <v>0</v>
          </cell>
          <cell r="AU225">
            <v>0</v>
          </cell>
        </row>
        <row r="226">
          <cell r="D226" t="str">
            <v>cokipchu</v>
          </cell>
          <cell r="E226">
            <v>205495596</v>
          </cell>
          <cell r="F226" t="str">
            <v>A</v>
          </cell>
          <cell r="G226" t="str">
            <v>GREEN</v>
          </cell>
          <cell r="H226" t="str">
            <v>FULL_TIME</v>
          </cell>
          <cell r="I226">
            <v>900234</v>
          </cell>
          <cell r="J226" t="str">
            <v>EFS Facilities Services</v>
          </cell>
          <cell r="K226" t="str">
            <v>COSMAS KIPCHUMBA</v>
          </cell>
          <cell r="L226" t="str">
            <v>Warehouse Associate (TEMP)</v>
          </cell>
          <cell r="M226" t="str">
            <v>Warehouse Associate 8W</v>
          </cell>
          <cell r="N226" t="str">
            <v>vkkatyal</v>
          </cell>
          <cell r="O226">
            <v>1299</v>
          </cell>
          <cell r="P226" t="str">
            <v>AUH1</v>
          </cell>
          <cell r="Q226" t="str">
            <v>ARE</v>
          </cell>
          <cell r="R226" t="str">
            <v>FC109</v>
          </cell>
          <cell r="S226" t="str">
            <v>Day Shift</v>
          </cell>
          <cell r="T226">
            <v>99</v>
          </cell>
          <cell r="U226" t="str">
            <v>MENA_UAE_FC</v>
          </cell>
          <cell r="V226">
            <v>46257.331944444442</v>
          </cell>
          <cell r="W226">
            <v>46257.748611111114</v>
          </cell>
          <cell r="X226">
            <v>46257.333333333336</v>
          </cell>
          <cell r="Y226">
            <v>46257.75</v>
          </cell>
          <cell r="AA226" t="str">
            <v>Scheduled</v>
          </cell>
          <cell r="AB226" t="str">
            <v>Present</v>
          </cell>
          <cell r="AC226" t="str">
            <v>Inbound</v>
          </cell>
          <cell r="AD226" t="str">
            <v>Inbound Stow</v>
          </cell>
          <cell r="AE226" t="str">
            <v>Stow</v>
          </cell>
          <cell r="AF226" t="str">
            <v>Tuesday</v>
          </cell>
          <cell r="AG226" t="str">
            <v>Wednesday</v>
          </cell>
          <cell r="AH226">
            <v>3</v>
          </cell>
          <cell r="AJ226">
            <v>45830</v>
          </cell>
          <cell r="AM226" t="str">
            <v>TEMP</v>
          </cell>
          <cell r="AN226" t="str">
            <v>3P Onsite Worker</v>
          </cell>
          <cell r="AO226" t="str">
            <v>A</v>
          </cell>
          <cell r="AP226">
            <v>9</v>
          </cell>
          <cell r="AQ226">
            <v>0</v>
          </cell>
          <cell r="AR226">
            <v>1</v>
          </cell>
          <cell r="AS226">
            <v>1</v>
          </cell>
          <cell r="AT226">
            <v>0</v>
          </cell>
          <cell r="AU226">
            <v>0</v>
          </cell>
        </row>
        <row r="227">
          <cell r="D227" t="str">
            <v>commeygs</v>
          </cell>
          <cell r="E227">
            <v>206884029</v>
          </cell>
          <cell r="F227" t="str">
            <v>A</v>
          </cell>
          <cell r="G227" t="str">
            <v>GREEN</v>
          </cell>
          <cell r="H227" t="str">
            <v>REDUCED</v>
          </cell>
          <cell r="I227">
            <v>900234</v>
          </cell>
          <cell r="J227" t="str">
            <v>EFS Facilities Services</v>
          </cell>
          <cell r="K227" t="str">
            <v>GRACE COMMEY</v>
          </cell>
          <cell r="L227" t="str">
            <v>Warehouse Associate (TEMP)</v>
          </cell>
          <cell r="M227" t="str">
            <v>Warehouse Associate 8W</v>
          </cell>
          <cell r="N227" t="str">
            <v>mnarshad</v>
          </cell>
          <cell r="O227">
            <v>1299</v>
          </cell>
          <cell r="P227" t="str">
            <v>AUH1</v>
          </cell>
          <cell r="Q227" t="str">
            <v>ARE</v>
          </cell>
          <cell r="R227" t="str">
            <v>FC555</v>
          </cell>
          <cell r="S227" t="str">
            <v>Night Shift</v>
          </cell>
          <cell r="T227">
            <v>99</v>
          </cell>
          <cell r="U227" t="str">
            <v>MENA_UAE_FC</v>
          </cell>
          <cell r="V227">
            <v>46257.756249999999</v>
          </cell>
          <cell r="X227">
            <v>46257.756944444445</v>
          </cell>
          <cell r="Y227">
            <v>46258.090277777781</v>
          </cell>
          <cell r="AA227" t="str">
            <v>Scheduled</v>
          </cell>
          <cell r="AB227" t="str">
            <v>Present</v>
          </cell>
          <cell r="AC227" t="str">
            <v>Outbound</v>
          </cell>
          <cell r="AD227" t="str">
            <v>Sort - Batch</v>
          </cell>
          <cell r="AE227" t="str">
            <v>Sort</v>
          </cell>
          <cell r="AF227" t="str">
            <v>Monday</v>
          </cell>
          <cell r="AG227" t="str">
            <v>Tuesday</v>
          </cell>
          <cell r="AH227">
            <v>15</v>
          </cell>
          <cell r="AJ227">
            <v>46251</v>
          </cell>
          <cell r="AM227" t="str">
            <v>TEMP</v>
          </cell>
          <cell r="AN227" t="str">
            <v>3P Onsite Worker</v>
          </cell>
          <cell r="AO227" t="str">
            <v>A</v>
          </cell>
          <cell r="AP227">
            <v>7</v>
          </cell>
          <cell r="AQ227">
            <v>0</v>
          </cell>
          <cell r="AR227">
            <v>1</v>
          </cell>
          <cell r="AS227">
            <v>1</v>
          </cell>
          <cell r="AT227">
            <v>0</v>
          </cell>
          <cell r="AU227">
            <v>0</v>
          </cell>
        </row>
        <row r="228">
          <cell r="D228" t="str">
            <v>conteeun</v>
          </cell>
          <cell r="E228">
            <v>206296205</v>
          </cell>
          <cell r="F228" t="str">
            <v>A</v>
          </cell>
          <cell r="G228" t="str">
            <v>GREEN</v>
          </cell>
          <cell r="H228" t="str">
            <v>FULL_TIME</v>
          </cell>
          <cell r="I228">
            <v>900234</v>
          </cell>
          <cell r="J228" t="str">
            <v>EFS Facilities Services</v>
          </cell>
          <cell r="K228" t="str">
            <v>UNISA A. CONTEH</v>
          </cell>
          <cell r="L228" t="str">
            <v>Warehouse Associate (TEMP)</v>
          </cell>
          <cell r="M228" t="str">
            <v>Warehouse Associate 8W</v>
          </cell>
          <cell r="N228" t="str">
            <v>bavameer</v>
          </cell>
          <cell r="O228">
            <v>1299</v>
          </cell>
          <cell r="P228" t="str">
            <v>AUH1</v>
          </cell>
          <cell r="Q228" t="str">
            <v>ARE</v>
          </cell>
          <cell r="R228" t="str">
            <v>LK014</v>
          </cell>
          <cell r="S228" t="str">
            <v>Night Shift</v>
          </cell>
          <cell r="T228">
            <v>99</v>
          </cell>
          <cell r="U228" t="str">
            <v>MENA_UAE_FC</v>
          </cell>
          <cell r="V228">
            <v>46257.755555555559</v>
          </cell>
          <cell r="X228">
            <v>46257.756944444445</v>
          </cell>
          <cell r="Y228">
            <v>46258.173611111109</v>
          </cell>
          <cell r="AA228" t="str">
            <v>Scheduled</v>
          </cell>
          <cell r="AB228" t="str">
            <v>Present</v>
          </cell>
          <cell r="AC228" t="str">
            <v>Customer returns</v>
          </cell>
          <cell r="AD228" t="str">
            <v>Customer Returns</v>
          </cell>
          <cell r="AE228" t="str">
            <v>Customer returns</v>
          </cell>
          <cell r="AF228" t="str">
            <v>Monday</v>
          </cell>
          <cell r="AG228" t="str">
            <v>Tuesday</v>
          </cell>
          <cell r="AH228">
            <v>22</v>
          </cell>
          <cell r="AJ228">
            <v>45949</v>
          </cell>
          <cell r="AM228" t="str">
            <v>TEMP</v>
          </cell>
          <cell r="AN228" t="str">
            <v>3P Onsite Worker</v>
          </cell>
          <cell r="AO228" t="str">
            <v>A</v>
          </cell>
          <cell r="AP228">
            <v>9</v>
          </cell>
          <cell r="AQ228">
            <v>0</v>
          </cell>
          <cell r="AR228">
            <v>1</v>
          </cell>
          <cell r="AS228">
            <v>1</v>
          </cell>
          <cell r="AT228">
            <v>0</v>
          </cell>
          <cell r="AU228">
            <v>0</v>
          </cell>
        </row>
        <row r="229">
          <cell r="D229" t="str">
            <v>conteiby</v>
          </cell>
          <cell r="E229">
            <v>204319464</v>
          </cell>
          <cell r="F229" t="str">
            <v>A</v>
          </cell>
          <cell r="G229" t="str">
            <v>GREEN</v>
          </cell>
          <cell r="H229" t="str">
            <v>FULL_TIME</v>
          </cell>
          <cell r="I229">
            <v>900234</v>
          </cell>
          <cell r="J229" t="str">
            <v>Quesscorp</v>
          </cell>
          <cell r="K229" t="str">
            <v>Ibrahim A Conteh</v>
          </cell>
          <cell r="L229" t="str">
            <v>Warehouse Associate (TEMP)</v>
          </cell>
          <cell r="M229" t="str">
            <v>Warehouse Associate 8W</v>
          </cell>
          <cell r="N229" t="str">
            <v>aanso</v>
          </cell>
          <cell r="O229">
            <v>1299</v>
          </cell>
          <cell r="P229" t="str">
            <v>AUH1</v>
          </cell>
          <cell r="Q229" t="str">
            <v>ARE</v>
          </cell>
          <cell r="R229" t="str">
            <v>FC109</v>
          </cell>
          <cell r="S229" t="str">
            <v>Day Shift</v>
          </cell>
          <cell r="T229">
            <v>99</v>
          </cell>
          <cell r="U229" t="str">
            <v>MENA_UAE_FC</v>
          </cell>
          <cell r="V229">
            <v>46257.332638888889</v>
          </cell>
          <cell r="W229">
            <v>46257.749305555553</v>
          </cell>
          <cell r="X229">
            <v>46257.333333333336</v>
          </cell>
          <cell r="Y229">
            <v>46257.75</v>
          </cell>
          <cell r="AA229" t="str">
            <v>Scheduled</v>
          </cell>
          <cell r="AB229" t="str">
            <v>Present</v>
          </cell>
          <cell r="AC229" t="str">
            <v>Customer returns</v>
          </cell>
          <cell r="AD229" t="str">
            <v>Customer Returns</v>
          </cell>
          <cell r="AE229" t="str">
            <v>Customer returns</v>
          </cell>
          <cell r="AF229" t="str">
            <v>Tuesday</v>
          </cell>
          <cell r="AG229" t="str">
            <v>Wednesday</v>
          </cell>
          <cell r="AH229">
            <v>22</v>
          </cell>
          <cell r="AJ229">
            <v>45588</v>
          </cell>
          <cell r="AM229" t="str">
            <v>TEMP</v>
          </cell>
          <cell r="AN229" t="str">
            <v>3P Onsite Worker</v>
          </cell>
          <cell r="AO229" t="str">
            <v>A</v>
          </cell>
          <cell r="AP229">
            <v>9</v>
          </cell>
          <cell r="AQ229">
            <v>0</v>
          </cell>
          <cell r="AR229">
            <v>1</v>
          </cell>
          <cell r="AS229">
            <v>1</v>
          </cell>
          <cell r="AT229">
            <v>0</v>
          </cell>
          <cell r="AU229">
            <v>0</v>
          </cell>
        </row>
        <row r="230">
          <cell r="D230" t="str">
            <v>cosmkibe</v>
          </cell>
          <cell r="E230">
            <v>205271074</v>
          </cell>
          <cell r="F230" t="str">
            <v>A</v>
          </cell>
          <cell r="G230" t="str">
            <v>GREEN</v>
          </cell>
          <cell r="H230" t="str">
            <v>REDUCED</v>
          </cell>
          <cell r="I230">
            <v>900234</v>
          </cell>
          <cell r="J230" t="str">
            <v>EFS Facilities Services</v>
          </cell>
          <cell r="K230" t="str">
            <v>Cosmas Kirwa Kibet</v>
          </cell>
          <cell r="L230" t="str">
            <v>Warehouse Associate (TEMP)</v>
          </cell>
          <cell r="M230" t="str">
            <v>Warehouse Associate 8W</v>
          </cell>
          <cell r="N230" t="str">
            <v>scariav</v>
          </cell>
          <cell r="O230">
            <v>1299</v>
          </cell>
          <cell r="P230" t="str">
            <v>AUH1</v>
          </cell>
          <cell r="Q230" t="str">
            <v>ARE</v>
          </cell>
          <cell r="R230" t="str">
            <v>FC558</v>
          </cell>
          <cell r="S230" t="str">
            <v>Night Shift</v>
          </cell>
          <cell r="T230">
            <v>99</v>
          </cell>
          <cell r="U230" t="str">
            <v>MENA_UAE_FC</v>
          </cell>
          <cell r="V230">
            <v>46257.756944444445</v>
          </cell>
          <cell r="X230">
            <v>46257.756944444445</v>
          </cell>
          <cell r="Y230">
            <v>46258.090277777781</v>
          </cell>
          <cell r="AA230" t="str">
            <v>Scheduled</v>
          </cell>
          <cell r="AB230" t="str">
            <v>Present</v>
          </cell>
          <cell r="AC230" t="str">
            <v>Outbound</v>
          </cell>
          <cell r="AD230" t="str">
            <v>Picking</v>
          </cell>
          <cell r="AE230" t="str">
            <v>Pick</v>
          </cell>
          <cell r="AF230" t="str">
            <v>Thursday</v>
          </cell>
          <cell r="AG230" t="str">
            <v>Friday</v>
          </cell>
          <cell r="AH230">
            <v>13</v>
          </cell>
          <cell r="AJ230">
            <v>46251</v>
          </cell>
          <cell r="AM230" t="str">
            <v>TEMP</v>
          </cell>
          <cell r="AN230" t="str">
            <v>3P Onsite Worker</v>
          </cell>
          <cell r="AO230" t="str">
            <v>A</v>
          </cell>
          <cell r="AP230">
            <v>7</v>
          </cell>
          <cell r="AQ230">
            <v>0</v>
          </cell>
          <cell r="AR230">
            <v>1</v>
          </cell>
          <cell r="AS230">
            <v>1</v>
          </cell>
          <cell r="AT230">
            <v>0</v>
          </cell>
          <cell r="AU230">
            <v>0</v>
          </cell>
        </row>
        <row r="231">
          <cell r="D231" t="str">
            <v>craymana</v>
          </cell>
          <cell r="E231">
            <v>103020246</v>
          </cell>
          <cell r="F231" t="str">
            <v>A</v>
          </cell>
          <cell r="G231" t="str">
            <v>BLUE</v>
          </cell>
          <cell r="H231" t="str">
            <v>FULL_TIME</v>
          </cell>
          <cell r="I231" t="str">
            <v>P03251</v>
          </cell>
          <cell r="K231" t="str">
            <v>Christian Ray Manalo</v>
          </cell>
          <cell r="L231" t="str">
            <v>FC Associate I</v>
          </cell>
          <cell r="M231" t="str">
            <v>FC Associate I</v>
          </cell>
          <cell r="N231" t="str">
            <v>scariav</v>
          </cell>
          <cell r="O231">
            <v>1299</v>
          </cell>
          <cell r="P231" t="str">
            <v>AUH1</v>
          </cell>
          <cell r="Q231" t="str">
            <v>ARE</v>
          </cell>
          <cell r="R231" t="str">
            <v>FC059</v>
          </cell>
          <cell r="S231" t="str">
            <v>Day Shift</v>
          </cell>
          <cell r="T231">
            <v>1</v>
          </cell>
          <cell r="U231" t="str">
            <v>MENA_UAE_FC</v>
          </cell>
          <cell r="X231">
            <v>46257.333333333336</v>
          </cell>
          <cell r="Y231">
            <v>46257.75</v>
          </cell>
          <cell r="Z231" t="str">
            <v>Rest Day</v>
          </cell>
          <cell r="AA231" t="str">
            <v>Not Scheduled</v>
          </cell>
          <cell r="AB231" t="str">
            <v>Not Present</v>
          </cell>
          <cell r="AC231" t="str">
            <v>Outbound</v>
          </cell>
          <cell r="AD231" t="str">
            <v>Pack - Single</v>
          </cell>
          <cell r="AE231" t="str">
            <v>Pack</v>
          </cell>
          <cell r="AF231" t="str">
            <v>Sunday</v>
          </cell>
          <cell r="AG231" t="str">
            <v>Monday</v>
          </cell>
          <cell r="AH231">
            <v>18</v>
          </cell>
          <cell r="AJ231">
            <v>43057</v>
          </cell>
          <cell r="AM231" t="str">
            <v>FC</v>
          </cell>
          <cell r="AN231" t="str">
            <v>Regular Full Time</v>
          </cell>
          <cell r="AO231" t="str">
            <v>A</v>
          </cell>
          <cell r="AP231">
            <v>9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</row>
        <row r="232">
          <cell r="D232" t="str">
            <v>cshingai</v>
          </cell>
          <cell r="E232">
            <v>203512943</v>
          </cell>
          <cell r="F232" t="str">
            <v>A</v>
          </cell>
          <cell r="G232" t="str">
            <v>GREEN</v>
          </cell>
          <cell r="H232" t="str">
            <v>FULL_TIME</v>
          </cell>
          <cell r="I232">
            <v>900234</v>
          </cell>
          <cell r="J232" t="str">
            <v>Fastlink Outsourcing</v>
          </cell>
          <cell r="K232" t="str">
            <v>Shingai Chinaa</v>
          </cell>
          <cell r="L232" t="str">
            <v>Warehouse Associate (TEMP)</v>
          </cell>
          <cell r="M232" t="str">
            <v>Warehouse Associate 12M</v>
          </cell>
          <cell r="N232" t="str">
            <v>ansammar</v>
          </cell>
          <cell r="O232">
            <v>1299</v>
          </cell>
          <cell r="P232" t="str">
            <v>AUH1</v>
          </cell>
          <cell r="Q232" t="str">
            <v>ARE</v>
          </cell>
          <cell r="R232" t="str">
            <v>LK015</v>
          </cell>
          <cell r="S232" t="str">
            <v>Night Shift</v>
          </cell>
          <cell r="T232">
            <v>99</v>
          </cell>
          <cell r="U232" t="str">
            <v>MENA_UAE_FC</v>
          </cell>
          <cell r="V232">
            <v>46257.74722222222</v>
          </cell>
          <cell r="X232">
            <v>46257.756944444445</v>
          </cell>
          <cell r="Y232">
            <v>46258.173611111109</v>
          </cell>
          <cell r="AA232" t="str">
            <v>Scheduled</v>
          </cell>
          <cell r="AB232" t="str">
            <v>Present</v>
          </cell>
          <cell r="AC232" t="str">
            <v>Outbound</v>
          </cell>
          <cell r="AD232" t="str">
            <v>Picking</v>
          </cell>
          <cell r="AE232" t="str">
            <v>Pick</v>
          </cell>
          <cell r="AF232" t="str">
            <v>Tuesday</v>
          </cell>
          <cell r="AG232" t="str">
            <v>Wednesday</v>
          </cell>
          <cell r="AH232">
            <v>13</v>
          </cell>
          <cell r="AJ232">
            <v>45462</v>
          </cell>
          <cell r="AM232" t="str">
            <v>TEMP</v>
          </cell>
          <cell r="AN232" t="str">
            <v>3P Onsite Worker</v>
          </cell>
          <cell r="AO232" t="str">
            <v>A</v>
          </cell>
          <cell r="AP232">
            <v>9</v>
          </cell>
          <cell r="AQ232">
            <v>0</v>
          </cell>
          <cell r="AR232">
            <v>1</v>
          </cell>
          <cell r="AS232">
            <v>1</v>
          </cell>
          <cell r="AT232">
            <v>0</v>
          </cell>
          <cell r="AU232">
            <v>0</v>
          </cell>
        </row>
        <row r="233">
          <cell r="D233" t="str">
            <v>cudjoeif</v>
          </cell>
          <cell r="E233">
            <v>204865037</v>
          </cell>
          <cell r="F233" t="str">
            <v>A</v>
          </cell>
          <cell r="G233" t="str">
            <v>GREEN</v>
          </cell>
          <cell r="H233" t="str">
            <v>FULL_TIME</v>
          </cell>
          <cell r="I233">
            <v>900234</v>
          </cell>
          <cell r="J233" t="str">
            <v>Dulsco L.L.C.</v>
          </cell>
          <cell r="K233" t="str">
            <v>FRANCIS CUDJOE</v>
          </cell>
          <cell r="L233" t="str">
            <v>Warehouse Associate (TEMP)</v>
          </cell>
          <cell r="M233" t="str">
            <v>Warehouse Associate 24M</v>
          </cell>
          <cell r="N233" t="str">
            <v>lraghava</v>
          </cell>
          <cell r="O233">
            <v>1299</v>
          </cell>
          <cell r="P233" t="str">
            <v>AUH1</v>
          </cell>
          <cell r="Q233" t="str">
            <v>ARE</v>
          </cell>
          <cell r="R233" t="str">
            <v>FC134</v>
          </cell>
          <cell r="S233" t="str">
            <v>Day Shift</v>
          </cell>
          <cell r="T233">
            <v>99</v>
          </cell>
          <cell r="U233" t="str">
            <v>MENA_UAE_FC</v>
          </cell>
          <cell r="V233">
            <v>46257.333333333336</v>
          </cell>
          <cell r="W233">
            <v>46257.748611111114</v>
          </cell>
          <cell r="X233">
            <v>46257.333333333336</v>
          </cell>
          <cell r="Y233">
            <v>46257.75</v>
          </cell>
          <cell r="AA233" t="str">
            <v>Scheduled</v>
          </cell>
          <cell r="AB233" t="str">
            <v>Present</v>
          </cell>
          <cell r="AC233" t="str">
            <v>Outbound</v>
          </cell>
          <cell r="AD233" t="str">
            <v>Picking</v>
          </cell>
          <cell r="AE233" t="str">
            <v>Pick</v>
          </cell>
          <cell r="AF233" t="str">
            <v>Wednesday</v>
          </cell>
          <cell r="AG233" t="str">
            <v>Thursday</v>
          </cell>
          <cell r="AH233">
            <v>13</v>
          </cell>
          <cell r="AJ233">
            <v>45893</v>
          </cell>
          <cell r="AM233" t="str">
            <v>TEMP</v>
          </cell>
          <cell r="AN233" t="str">
            <v>3P Onsite Worker</v>
          </cell>
          <cell r="AO233" t="str">
            <v>A</v>
          </cell>
          <cell r="AP233">
            <v>9</v>
          </cell>
          <cell r="AQ233">
            <v>0</v>
          </cell>
          <cell r="AR233">
            <v>1</v>
          </cell>
          <cell r="AS233">
            <v>1</v>
          </cell>
          <cell r="AT233">
            <v>0</v>
          </cell>
          <cell r="AU233">
            <v>0</v>
          </cell>
        </row>
        <row r="234">
          <cell r="D234" t="str">
            <v>curtgonl</v>
          </cell>
          <cell r="E234">
            <v>204013689</v>
          </cell>
          <cell r="F234" t="str">
            <v>A</v>
          </cell>
          <cell r="G234" t="str">
            <v>GREEN</v>
          </cell>
          <cell r="H234" t="str">
            <v>FULL_TIME</v>
          </cell>
          <cell r="I234">
            <v>900234</v>
          </cell>
          <cell r="J234" t="str">
            <v>Fastlink Outsourcing</v>
          </cell>
          <cell r="K234" t="str">
            <v>Curtis Gonluee Scell</v>
          </cell>
          <cell r="L234" t="str">
            <v>Warehouse Associate (TEMP)</v>
          </cell>
          <cell r="M234" t="str">
            <v>Warehouse Associate 12M</v>
          </cell>
          <cell r="N234" t="str">
            <v>bizthoma</v>
          </cell>
          <cell r="O234">
            <v>1299</v>
          </cell>
          <cell r="P234" t="str">
            <v>AUH1</v>
          </cell>
          <cell r="Q234" t="str">
            <v>ARE</v>
          </cell>
          <cell r="R234" t="str">
            <v>LK011</v>
          </cell>
          <cell r="S234" t="str">
            <v>Night Shift</v>
          </cell>
          <cell r="T234">
            <v>99</v>
          </cell>
          <cell r="U234" t="str">
            <v>MENA_UAE_FC</v>
          </cell>
          <cell r="V234">
            <v>46257.757638888892</v>
          </cell>
          <cell r="X234">
            <v>46257.756944444445</v>
          </cell>
          <cell r="Y234">
            <v>46258.173611111109</v>
          </cell>
          <cell r="AA234" t="str">
            <v>Scheduled</v>
          </cell>
          <cell r="AB234" t="str">
            <v>Present</v>
          </cell>
          <cell r="AC234" t="str">
            <v>Outbound</v>
          </cell>
          <cell r="AD234" t="str">
            <v>Picking</v>
          </cell>
          <cell r="AE234" t="str">
            <v>Pick</v>
          </cell>
          <cell r="AF234" t="str">
            <v>Friday</v>
          </cell>
          <cell r="AG234" t="str">
            <v>Saturday</v>
          </cell>
          <cell r="AH234">
            <v>13</v>
          </cell>
          <cell r="AJ234">
            <v>45550</v>
          </cell>
          <cell r="AM234" t="str">
            <v>TEMP</v>
          </cell>
          <cell r="AN234" t="str">
            <v>3P Onsite Worker</v>
          </cell>
          <cell r="AO234" t="str">
            <v>A</v>
          </cell>
          <cell r="AP234">
            <v>9</v>
          </cell>
          <cell r="AQ234">
            <v>0</v>
          </cell>
          <cell r="AR234">
            <v>1</v>
          </cell>
          <cell r="AS234">
            <v>1</v>
          </cell>
          <cell r="AT234">
            <v>0</v>
          </cell>
          <cell r="AU234">
            <v>0</v>
          </cell>
        </row>
        <row r="235">
          <cell r="D235" t="str">
            <v>cynttanu</v>
          </cell>
          <cell r="E235">
            <v>206136735</v>
          </cell>
          <cell r="F235" t="str">
            <v>A</v>
          </cell>
          <cell r="G235" t="str">
            <v>GREEN</v>
          </cell>
          <cell r="H235" t="str">
            <v>FULL_TIME</v>
          </cell>
          <cell r="I235">
            <v>900234</v>
          </cell>
          <cell r="J235" t="str">
            <v>EFS Facilities Services</v>
          </cell>
          <cell r="K235" t="str">
            <v>Cynthia Jepkoech Tanui</v>
          </cell>
          <cell r="L235" t="str">
            <v>Warehouse Associate (TEMP)</v>
          </cell>
          <cell r="M235" t="str">
            <v>Warehouse Associate 8W</v>
          </cell>
          <cell r="N235" t="str">
            <v>mnarshad</v>
          </cell>
          <cell r="O235">
            <v>1299</v>
          </cell>
          <cell r="P235" t="str">
            <v>AUH1</v>
          </cell>
          <cell r="Q235" t="str">
            <v>ARE</v>
          </cell>
          <cell r="R235" t="str">
            <v>FC555</v>
          </cell>
          <cell r="S235" t="str">
            <v>Night Shift</v>
          </cell>
          <cell r="T235">
            <v>99</v>
          </cell>
          <cell r="U235" t="str">
            <v>MENA_UAE_FC</v>
          </cell>
          <cell r="V235">
            <v>46257.755555555559</v>
          </cell>
          <cell r="X235">
            <v>46257.756944444445</v>
          </cell>
          <cell r="Y235">
            <v>46258.090277777781</v>
          </cell>
          <cell r="AA235" t="str">
            <v>Scheduled</v>
          </cell>
          <cell r="AB235" t="str">
            <v>Present</v>
          </cell>
          <cell r="AC235" t="str">
            <v>Outbound</v>
          </cell>
          <cell r="AD235" t="str">
            <v>Pack - Single</v>
          </cell>
          <cell r="AE235" t="str">
            <v>Pack</v>
          </cell>
          <cell r="AF235" t="str">
            <v>Monday</v>
          </cell>
          <cell r="AG235" t="str">
            <v>Tuesday</v>
          </cell>
          <cell r="AH235">
            <v>18</v>
          </cell>
          <cell r="AJ235">
            <v>46237</v>
          </cell>
          <cell r="AM235" t="str">
            <v>TEMP</v>
          </cell>
          <cell r="AN235" t="str">
            <v>3P Onsite Worker</v>
          </cell>
          <cell r="AO235" t="str">
            <v>A</v>
          </cell>
          <cell r="AP235">
            <v>7</v>
          </cell>
          <cell r="AQ235">
            <v>0</v>
          </cell>
          <cell r="AR235">
            <v>1</v>
          </cell>
          <cell r="AS235">
            <v>1</v>
          </cell>
          <cell r="AT235">
            <v>0</v>
          </cell>
          <cell r="AU235">
            <v>0</v>
          </cell>
        </row>
        <row r="236">
          <cell r="D236" t="str">
            <v>daangmor</v>
          </cell>
          <cell r="E236">
            <v>204299544</v>
          </cell>
          <cell r="F236" t="str">
            <v>A</v>
          </cell>
          <cell r="G236" t="str">
            <v>GREEN</v>
          </cell>
          <cell r="H236" t="str">
            <v>FULL_TIME</v>
          </cell>
          <cell r="I236">
            <v>900234</v>
          </cell>
          <cell r="J236" t="str">
            <v>Quesscorp</v>
          </cell>
          <cell r="K236" t="str">
            <v>Daniel Teye-Kwasi Angmortey</v>
          </cell>
          <cell r="L236" t="str">
            <v>Warehouse Associate (TEMP)</v>
          </cell>
          <cell r="M236" t="str">
            <v>Warehouse Associate 24M</v>
          </cell>
          <cell r="N236" t="str">
            <v>aanso</v>
          </cell>
          <cell r="O236">
            <v>1299</v>
          </cell>
          <cell r="P236" t="str">
            <v>AUH1</v>
          </cell>
          <cell r="Q236" t="str">
            <v>ARE</v>
          </cell>
          <cell r="R236" t="str">
            <v>LK016</v>
          </cell>
          <cell r="S236" t="str">
            <v>Night Shift</v>
          </cell>
          <cell r="T236">
            <v>99</v>
          </cell>
          <cell r="U236" t="str">
            <v>MENA_UAE_FC</v>
          </cell>
          <cell r="V236">
            <v>46257.755555555559</v>
          </cell>
          <cell r="X236">
            <v>46257.756944444445</v>
          </cell>
          <cell r="Y236">
            <v>46258.173611111109</v>
          </cell>
          <cell r="AA236" t="str">
            <v>Scheduled</v>
          </cell>
          <cell r="AB236" t="str">
            <v>Present</v>
          </cell>
          <cell r="AC236" t="str">
            <v>Customer returns</v>
          </cell>
          <cell r="AD236" t="str">
            <v>Customer Returns</v>
          </cell>
          <cell r="AE236" t="str">
            <v>Customer returns</v>
          </cell>
          <cell r="AF236" t="str">
            <v>Wednesday</v>
          </cell>
          <cell r="AG236" t="str">
            <v>Thursday</v>
          </cell>
          <cell r="AH236">
            <v>22</v>
          </cell>
          <cell r="AJ236">
            <v>45585</v>
          </cell>
          <cell r="AM236" t="str">
            <v>TEMP</v>
          </cell>
          <cell r="AN236" t="str">
            <v>3P Onsite Worker</v>
          </cell>
          <cell r="AO236" t="str">
            <v>A</v>
          </cell>
          <cell r="AP236">
            <v>9</v>
          </cell>
          <cell r="AQ236">
            <v>0</v>
          </cell>
          <cell r="AR236">
            <v>1</v>
          </cell>
          <cell r="AS236">
            <v>1</v>
          </cell>
          <cell r="AT236">
            <v>0</v>
          </cell>
          <cell r="AU236">
            <v>0</v>
          </cell>
        </row>
        <row r="237">
          <cell r="D237" t="str">
            <v>daatinga</v>
          </cell>
          <cell r="E237">
            <v>204138497</v>
          </cell>
          <cell r="F237" t="str">
            <v>A</v>
          </cell>
          <cell r="G237" t="str">
            <v>GREEN</v>
          </cell>
          <cell r="H237" t="str">
            <v>FULL_TIME</v>
          </cell>
          <cell r="I237">
            <v>900234</v>
          </cell>
          <cell r="J237" t="str">
            <v>Fastlink Outsourcing</v>
          </cell>
          <cell r="K237" t="str">
            <v>DANIEL DOK ATINGA</v>
          </cell>
          <cell r="L237" t="str">
            <v>Warehouse Associate (TEMP)</v>
          </cell>
          <cell r="M237" t="str">
            <v>Warehouse Associate 12M</v>
          </cell>
          <cell r="N237" t="str">
            <v>bizthoma</v>
          </cell>
          <cell r="O237">
            <v>1299</v>
          </cell>
          <cell r="P237" t="str">
            <v>AUH1</v>
          </cell>
          <cell r="Q237" t="str">
            <v>ARE</v>
          </cell>
          <cell r="R237" t="str">
            <v>LK012</v>
          </cell>
          <cell r="S237" t="str">
            <v>Night Shift</v>
          </cell>
          <cell r="T237">
            <v>99</v>
          </cell>
          <cell r="U237" t="str">
            <v>MENA_UAE_FC</v>
          </cell>
          <cell r="X237">
            <v>46257.756944444445</v>
          </cell>
          <cell r="Y237">
            <v>46258.173611111109</v>
          </cell>
          <cell r="Z237" t="str">
            <v>Rest Day</v>
          </cell>
          <cell r="AA237" t="str">
            <v>Not Scheduled</v>
          </cell>
          <cell r="AB237" t="str">
            <v>Not Present</v>
          </cell>
          <cell r="AC237" t="str">
            <v>Outbound</v>
          </cell>
          <cell r="AD237" t="str">
            <v>Picking</v>
          </cell>
          <cell r="AE237" t="str">
            <v>Pick</v>
          </cell>
          <cell r="AF237" t="str">
            <v>Saturday</v>
          </cell>
          <cell r="AG237" t="str">
            <v>Sunday</v>
          </cell>
          <cell r="AH237">
            <v>13</v>
          </cell>
          <cell r="AJ237">
            <v>45564</v>
          </cell>
          <cell r="AM237" t="str">
            <v>TEMP</v>
          </cell>
          <cell r="AN237" t="str">
            <v>3P Onsite Worker</v>
          </cell>
          <cell r="AO237" t="str">
            <v>A</v>
          </cell>
          <cell r="AP237">
            <v>9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</row>
        <row r="238">
          <cell r="D238" t="str">
            <v>dabarich</v>
          </cell>
          <cell r="E238">
            <v>204094494</v>
          </cell>
          <cell r="F238" t="str">
            <v>A</v>
          </cell>
          <cell r="G238" t="str">
            <v>GREEN</v>
          </cell>
          <cell r="H238" t="str">
            <v>FULL_TIME</v>
          </cell>
          <cell r="I238">
            <v>900234</v>
          </cell>
          <cell r="J238" t="str">
            <v>Quesscorp</v>
          </cell>
          <cell r="K238" t="str">
            <v>Richard Boateng Ababio</v>
          </cell>
          <cell r="L238" t="str">
            <v>Warehouse Associate (TEMP)</v>
          </cell>
          <cell r="M238" t="str">
            <v>Warehouse Associate 24M</v>
          </cell>
          <cell r="N238" t="str">
            <v>bizthoma</v>
          </cell>
          <cell r="O238">
            <v>1299</v>
          </cell>
          <cell r="P238" t="str">
            <v>AUH1</v>
          </cell>
          <cell r="Q238" t="str">
            <v>ARE</v>
          </cell>
          <cell r="R238" t="str">
            <v>LK011</v>
          </cell>
          <cell r="S238" t="str">
            <v>Night Shift</v>
          </cell>
          <cell r="T238">
            <v>99</v>
          </cell>
          <cell r="U238" t="str">
            <v>MENA_UAE_FC</v>
          </cell>
          <cell r="V238">
            <v>46257.758333333331</v>
          </cell>
          <cell r="X238">
            <v>46257.756944444445</v>
          </cell>
          <cell r="Y238">
            <v>46258.173611111109</v>
          </cell>
          <cell r="AA238" t="str">
            <v>Scheduled</v>
          </cell>
          <cell r="AB238" t="str">
            <v>Present</v>
          </cell>
          <cell r="AC238" t="str">
            <v>Outbound</v>
          </cell>
          <cell r="AD238" t="str">
            <v>Sort - Batch</v>
          </cell>
          <cell r="AE238" t="str">
            <v>Sort</v>
          </cell>
          <cell r="AF238" t="str">
            <v>Friday</v>
          </cell>
          <cell r="AG238" t="str">
            <v>Saturday</v>
          </cell>
          <cell r="AH238">
            <v>15</v>
          </cell>
          <cell r="AJ238">
            <v>45560</v>
          </cell>
          <cell r="AM238" t="str">
            <v>TEMP</v>
          </cell>
          <cell r="AN238" t="str">
            <v>3P Onsite Worker</v>
          </cell>
          <cell r="AO238" t="str">
            <v>A</v>
          </cell>
          <cell r="AP238">
            <v>9</v>
          </cell>
          <cell r="AQ238">
            <v>0</v>
          </cell>
          <cell r="AR238">
            <v>1</v>
          </cell>
          <cell r="AS238">
            <v>1</v>
          </cell>
          <cell r="AT238">
            <v>0</v>
          </cell>
          <cell r="AU238">
            <v>0</v>
          </cell>
        </row>
        <row r="239">
          <cell r="D239" t="str">
            <v>dachepkv</v>
          </cell>
          <cell r="E239">
            <v>206491325</v>
          </cell>
          <cell r="F239" t="str">
            <v>A</v>
          </cell>
          <cell r="G239" t="str">
            <v>GREEN</v>
          </cell>
          <cell r="H239" t="str">
            <v>FULL_TIME</v>
          </cell>
          <cell r="I239">
            <v>900234</v>
          </cell>
          <cell r="J239" t="str">
            <v>EFS Facilities Services</v>
          </cell>
          <cell r="K239" t="str">
            <v>DAISY CHEPKOECH</v>
          </cell>
          <cell r="L239" t="str">
            <v>Warehouse Associate (TEMP)</v>
          </cell>
          <cell r="M239" t="str">
            <v>Warehouse Associate 8W</v>
          </cell>
          <cell r="N239" t="str">
            <v>scariav</v>
          </cell>
          <cell r="O239">
            <v>1299</v>
          </cell>
          <cell r="P239" t="str">
            <v>AUH1</v>
          </cell>
          <cell r="Q239" t="str">
            <v>ARE</v>
          </cell>
          <cell r="R239" t="str">
            <v>FC084</v>
          </cell>
          <cell r="S239" t="str">
            <v>Day Shift</v>
          </cell>
          <cell r="T239">
            <v>99</v>
          </cell>
          <cell r="U239" t="str">
            <v>MENA_UAE_FC</v>
          </cell>
          <cell r="V239">
            <v>46257.332638888889</v>
          </cell>
          <cell r="W239">
            <v>46257.748611111114</v>
          </cell>
          <cell r="X239">
            <v>46257.333333333336</v>
          </cell>
          <cell r="Y239">
            <v>46257.75</v>
          </cell>
          <cell r="AA239" t="str">
            <v>Scheduled</v>
          </cell>
          <cell r="AB239" t="str">
            <v>Present</v>
          </cell>
          <cell r="AC239" t="str">
            <v>Outbound</v>
          </cell>
          <cell r="AD239" t="str">
            <v>Picking</v>
          </cell>
          <cell r="AE239" t="str">
            <v>Pick</v>
          </cell>
          <cell r="AF239" t="str">
            <v>Monday</v>
          </cell>
          <cell r="AG239" t="str">
            <v>Tuesday</v>
          </cell>
          <cell r="AH239">
            <v>13</v>
          </cell>
          <cell r="AJ239">
            <v>45970</v>
          </cell>
          <cell r="AM239" t="str">
            <v>TEMP</v>
          </cell>
          <cell r="AN239" t="str">
            <v>3P Onsite Worker</v>
          </cell>
          <cell r="AO239" t="str">
            <v>A</v>
          </cell>
          <cell r="AP239">
            <v>9</v>
          </cell>
          <cell r="AQ239">
            <v>0</v>
          </cell>
          <cell r="AR239">
            <v>1</v>
          </cell>
          <cell r="AS239">
            <v>1</v>
          </cell>
          <cell r="AT239">
            <v>0</v>
          </cell>
          <cell r="AU239">
            <v>0</v>
          </cell>
        </row>
        <row r="240">
          <cell r="D240" t="str">
            <v>damiakat</v>
          </cell>
          <cell r="E240">
            <v>204010041</v>
          </cell>
          <cell r="F240" t="str">
            <v>A</v>
          </cell>
          <cell r="G240" t="str">
            <v>GREEN</v>
          </cell>
          <cell r="H240" t="str">
            <v>FULL_TIME</v>
          </cell>
          <cell r="I240">
            <v>900234</v>
          </cell>
          <cell r="J240" t="str">
            <v>Dulsco L.L.C.</v>
          </cell>
          <cell r="K240" t="str">
            <v>DAMIANO KATO</v>
          </cell>
          <cell r="L240" t="str">
            <v>Warehouse Associate (TEMP)</v>
          </cell>
          <cell r="M240" t="str">
            <v>Warehouse Associate 24M</v>
          </cell>
          <cell r="N240" t="str">
            <v>scariav</v>
          </cell>
          <cell r="O240">
            <v>1299</v>
          </cell>
          <cell r="P240" t="str">
            <v>AUH1</v>
          </cell>
          <cell r="Q240" t="str">
            <v>ARE</v>
          </cell>
          <cell r="R240" t="str">
            <v>LK016</v>
          </cell>
          <cell r="S240" t="str">
            <v>Night Shift</v>
          </cell>
          <cell r="T240">
            <v>99</v>
          </cell>
          <cell r="U240" t="str">
            <v>MENA_UAE_FC</v>
          </cell>
          <cell r="V240">
            <v>46257.756944444445</v>
          </cell>
          <cell r="X240">
            <v>46257.756944444445</v>
          </cell>
          <cell r="Y240">
            <v>46258.173611111109</v>
          </cell>
          <cell r="AA240" t="str">
            <v>Scheduled</v>
          </cell>
          <cell r="AB240" t="str">
            <v>Present</v>
          </cell>
          <cell r="AC240" t="str">
            <v>Outbound</v>
          </cell>
          <cell r="AD240" t="str">
            <v>Sort - Batch</v>
          </cell>
          <cell r="AE240" t="str">
            <v>Sort</v>
          </cell>
          <cell r="AF240" t="str">
            <v>Wednesday</v>
          </cell>
          <cell r="AG240" t="str">
            <v>Thursday</v>
          </cell>
          <cell r="AH240">
            <v>15</v>
          </cell>
          <cell r="AJ240">
            <v>45550</v>
          </cell>
          <cell r="AM240" t="str">
            <v>TEMP</v>
          </cell>
          <cell r="AN240" t="str">
            <v>3P Onsite Worker</v>
          </cell>
          <cell r="AO240" t="str">
            <v>A</v>
          </cell>
          <cell r="AP240">
            <v>9</v>
          </cell>
          <cell r="AQ240">
            <v>0</v>
          </cell>
          <cell r="AR240">
            <v>1</v>
          </cell>
          <cell r="AS240">
            <v>1</v>
          </cell>
          <cell r="AT240">
            <v>0</v>
          </cell>
          <cell r="AU240">
            <v>0</v>
          </cell>
        </row>
        <row r="241">
          <cell r="D241" t="str">
            <v>damisuse</v>
          </cell>
          <cell r="E241">
            <v>206873867</v>
          </cell>
          <cell r="F241" t="str">
            <v>A</v>
          </cell>
          <cell r="G241" t="str">
            <v>GREEN</v>
          </cell>
          <cell r="H241" t="str">
            <v>FULL_TIME</v>
          </cell>
          <cell r="I241">
            <v>900234</v>
          </cell>
          <cell r="J241" t="str">
            <v>Dulsco L.L.C.</v>
          </cell>
          <cell r="K241" t="str">
            <v>MISUSERA DAVID LUBWAMA</v>
          </cell>
          <cell r="L241" t="str">
            <v>Warehouse Associate (TEMP)</v>
          </cell>
          <cell r="M241" t="str">
            <v>Warehouse Associate 8W</v>
          </cell>
          <cell r="N241" t="str">
            <v>vkkatyal</v>
          </cell>
          <cell r="O241">
            <v>1299</v>
          </cell>
          <cell r="P241" t="str">
            <v>AUH1</v>
          </cell>
          <cell r="Q241" t="str">
            <v>ARE</v>
          </cell>
          <cell r="R241" t="str">
            <v>LK012</v>
          </cell>
          <cell r="S241" t="str">
            <v>Night Shift</v>
          </cell>
          <cell r="T241">
            <v>99</v>
          </cell>
          <cell r="U241" t="str">
            <v>MENA_UAE_FC</v>
          </cell>
          <cell r="X241">
            <v>46257.756944444445</v>
          </cell>
          <cell r="Y241">
            <v>46258.173611111109</v>
          </cell>
          <cell r="Z241" t="str">
            <v>Rest Day</v>
          </cell>
          <cell r="AA241" t="str">
            <v>Not Scheduled</v>
          </cell>
          <cell r="AB241" t="str">
            <v>Not Present</v>
          </cell>
          <cell r="AC241" t="str">
            <v>Inbound</v>
          </cell>
          <cell r="AD241" t="str">
            <v>Inbound Stow</v>
          </cell>
          <cell r="AE241" t="str">
            <v>Stow</v>
          </cell>
          <cell r="AF241" t="str">
            <v>Saturday</v>
          </cell>
          <cell r="AG241" t="str">
            <v>Sunday</v>
          </cell>
          <cell r="AH241">
            <v>3</v>
          </cell>
          <cell r="AJ241">
            <v>46019</v>
          </cell>
          <cell r="AM241" t="str">
            <v>TEMP</v>
          </cell>
          <cell r="AN241" t="str">
            <v>3P Onsite Worker</v>
          </cell>
          <cell r="AO241" t="str">
            <v>A</v>
          </cell>
          <cell r="AP241">
            <v>9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</row>
        <row r="242">
          <cell r="D242" t="str">
            <v>danaaoda</v>
          </cell>
          <cell r="E242">
            <v>204967147</v>
          </cell>
          <cell r="F242" t="str">
            <v>A</v>
          </cell>
          <cell r="G242" t="str">
            <v>GREEN</v>
          </cell>
          <cell r="H242" t="str">
            <v>FULL_TIME</v>
          </cell>
          <cell r="I242">
            <v>900234</v>
          </cell>
          <cell r="J242" t="str">
            <v>Dulsco L.L.C.</v>
          </cell>
          <cell r="K242" t="str">
            <v>DAVID DANAA</v>
          </cell>
          <cell r="L242" t="str">
            <v>Warehouse Associate (TEMP)</v>
          </cell>
          <cell r="M242" t="str">
            <v>Warehouse Associate 24M</v>
          </cell>
          <cell r="N242" t="str">
            <v>lraghava</v>
          </cell>
          <cell r="O242">
            <v>1299</v>
          </cell>
          <cell r="P242" t="str">
            <v>AUH1</v>
          </cell>
          <cell r="Q242" t="str">
            <v>ARE</v>
          </cell>
          <cell r="R242" t="str">
            <v>FC109</v>
          </cell>
          <cell r="S242" t="str">
            <v>Day Shift</v>
          </cell>
          <cell r="T242">
            <v>99</v>
          </cell>
          <cell r="U242" t="str">
            <v>MENA_UAE_FC</v>
          </cell>
          <cell r="V242">
            <v>46257.331944444442</v>
          </cell>
          <cell r="W242">
            <v>46257.75</v>
          </cell>
          <cell r="X242">
            <v>46257.333333333336</v>
          </cell>
          <cell r="Y242">
            <v>46257.75</v>
          </cell>
          <cell r="AA242" t="str">
            <v>Scheduled</v>
          </cell>
          <cell r="AB242" t="str">
            <v>Present</v>
          </cell>
          <cell r="AC242" t="str">
            <v>Outbound</v>
          </cell>
          <cell r="AD242" t="str">
            <v>Picking</v>
          </cell>
          <cell r="AE242" t="str">
            <v>Pick</v>
          </cell>
          <cell r="AF242" t="str">
            <v>Tuesday</v>
          </cell>
          <cell r="AG242" t="str">
            <v>Wednesday</v>
          </cell>
          <cell r="AH242">
            <v>13</v>
          </cell>
          <cell r="AJ242">
            <v>45788</v>
          </cell>
          <cell r="AM242" t="str">
            <v>TEMP</v>
          </cell>
          <cell r="AN242" t="str">
            <v>3P Onsite Worker</v>
          </cell>
          <cell r="AO242" t="str">
            <v>A</v>
          </cell>
          <cell r="AP242">
            <v>9</v>
          </cell>
          <cell r="AQ242">
            <v>0</v>
          </cell>
          <cell r="AR242">
            <v>1</v>
          </cell>
          <cell r="AS242">
            <v>1</v>
          </cell>
          <cell r="AT242">
            <v>0</v>
          </cell>
          <cell r="AU242">
            <v>0</v>
          </cell>
        </row>
        <row r="243">
          <cell r="D243" t="str">
            <v>dangbaso</v>
          </cell>
          <cell r="E243">
            <v>206065195</v>
          </cell>
          <cell r="F243" t="str">
            <v>A</v>
          </cell>
          <cell r="G243" t="str">
            <v>GREEN</v>
          </cell>
          <cell r="H243" t="str">
            <v>FULL_TIME</v>
          </cell>
          <cell r="I243">
            <v>900234</v>
          </cell>
          <cell r="J243" t="str">
            <v>Fastlink Outsourcing</v>
          </cell>
          <cell r="K243" t="str">
            <v>Daniel Basonege</v>
          </cell>
          <cell r="L243" t="str">
            <v>Warehouse Associate (TEMP)</v>
          </cell>
          <cell r="M243" t="str">
            <v>Warehouse Associate 12M</v>
          </cell>
          <cell r="N243" t="str">
            <v>abbaszoo</v>
          </cell>
          <cell r="O243">
            <v>1299</v>
          </cell>
          <cell r="P243" t="str">
            <v>AUH1</v>
          </cell>
          <cell r="Q243" t="str">
            <v>ARE</v>
          </cell>
          <cell r="R243" t="str">
            <v>FC109</v>
          </cell>
          <cell r="S243" t="str">
            <v>Day Shift</v>
          </cell>
          <cell r="T243">
            <v>99</v>
          </cell>
          <cell r="U243" t="str">
            <v>MENA_UAE_FC</v>
          </cell>
          <cell r="V243">
            <v>46257.331944444442</v>
          </cell>
          <cell r="W243">
            <v>46257.750694444447</v>
          </cell>
          <cell r="X243">
            <v>46257.333333333336</v>
          </cell>
          <cell r="Y243">
            <v>46257.75</v>
          </cell>
          <cell r="AA243" t="str">
            <v>Scheduled</v>
          </cell>
          <cell r="AB243" t="str">
            <v>Present</v>
          </cell>
          <cell r="AC243" t="str">
            <v>Inbound</v>
          </cell>
          <cell r="AD243" t="str">
            <v>Vendor Receive</v>
          </cell>
          <cell r="AE243" t="str">
            <v>Receive</v>
          </cell>
          <cell r="AF243" t="str">
            <v>Tuesday</v>
          </cell>
          <cell r="AG243" t="str">
            <v>Wednesday</v>
          </cell>
          <cell r="AH243">
            <v>1</v>
          </cell>
          <cell r="AJ243">
            <v>45921</v>
          </cell>
          <cell r="AM243" t="str">
            <v>TEMP</v>
          </cell>
          <cell r="AN243" t="str">
            <v>3P Onsite Worker</v>
          </cell>
          <cell r="AO243" t="str">
            <v>A</v>
          </cell>
          <cell r="AP243">
            <v>9</v>
          </cell>
          <cell r="AQ243">
            <v>0</v>
          </cell>
          <cell r="AR243">
            <v>1</v>
          </cell>
          <cell r="AS243">
            <v>1</v>
          </cell>
          <cell r="AT243">
            <v>0</v>
          </cell>
          <cell r="AU243">
            <v>0</v>
          </cell>
        </row>
        <row r="244">
          <cell r="D244" t="str">
            <v>daniboah</v>
          </cell>
          <cell r="E244">
            <v>203469449</v>
          </cell>
          <cell r="F244" t="str">
            <v>A</v>
          </cell>
          <cell r="G244" t="str">
            <v>GREEN</v>
          </cell>
          <cell r="H244" t="str">
            <v>FULL_TIME</v>
          </cell>
          <cell r="I244">
            <v>900234</v>
          </cell>
          <cell r="J244" t="str">
            <v>Adecco</v>
          </cell>
          <cell r="K244" t="str">
            <v>Daniel Boahen</v>
          </cell>
          <cell r="L244" t="str">
            <v>Warehouse Associate (TEMP)</v>
          </cell>
          <cell r="M244" t="str">
            <v>Warehouse Associate 24M</v>
          </cell>
          <cell r="N244" t="str">
            <v>aanso</v>
          </cell>
          <cell r="O244">
            <v>1299</v>
          </cell>
          <cell r="P244" t="str">
            <v>AUH1</v>
          </cell>
          <cell r="Q244" t="str">
            <v>ARE</v>
          </cell>
          <cell r="R244" t="str">
            <v>FC009</v>
          </cell>
          <cell r="S244" t="str">
            <v>Day Shift</v>
          </cell>
          <cell r="T244">
            <v>99</v>
          </cell>
          <cell r="U244" t="str">
            <v>MENA_UAE_FC</v>
          </cell>
          <cell r="V244">
            <v>46257.331944444442</v>
          </cell>
          <cell r="W244">
            <v>46257.749305555553</v>
          </cell>
          <cell r="X244">
            <v>46257.333333333336</v>
          </cell>
          <cell r="Y244">
            <v>46257.75</v>
          </cell>
          <cell r="AA244" t="str">
            <v>Scheduled</v>
          </cell>
          <cell r="AB244" t="str">
            <v>Present</v>
          </cell>
          <cell r="AC244" t="str">
            <v>Customer returns</v>
          </cell>
          <cell r="AD244" t="str">
            <v>Customer Returns</v>
          </cell>
          <cell r="AE244" t="str">
            <v>Customer returns</v>
          </cell>
          <cell r="AF244" t="str">
            <v>Friday</v>
          </cell>
          <cell r="AG244" t="str">
            <v>Saturday</v>
          </cell>
          <cell r="AH244">
            <v>22</v>
          </cell>
          <cell r="AJ244">
            <v>45455</v>
          </cell>
          <cell r="AM244" t="str">
            <v>TEMP</v>
          </cell>
          <cell r="AN244" t="str">
            <v>3P Onsite Worker</v>
          </cell>
          <cell r="AO244" t="str">
            <v>A</v>
          </cell>
          <cell r="AP244">
            <v>9</v>
          </cell>
          <cell r="AQ244">
            <v>0</v>
          </cell>
          <cell r="AR244">
            <v>1</v>
          </cell>
          <cell r="AS244">
            <v>1</v>
          </cell>
          <cell r="AT244">
            <v>0</v>
          </cell>
          <cell r="AU244">
            <v>0</v>
          </cell>
        </row>
        <row r="245">
          <cell r="D245" t="str">
            <v>danjuali</v>
          </cell>
          <cell r="E245">
            <v>204246160</v>
          </cell>
          <cell r="F245" t="str">
            <v>A</v>
          </cell>
          <cell r="G245" t="str">
            <v>GREEN</v>
          </cell>
          <cell r="H245" t="str">
            <v>FULL_TIME</v>
          </cell>
          <cell r="I245">
            <v>900234</v>
          </cell>
          <cell r="J245" t="str">
            <v>Quesscorp</v>
          </cell>
          <cell r="K245" t="str">
            <v>Danjuma Ali Muhammad</v>
          </cell>
          <cell r="L245" t="str">
            <v>Warehouse Associate (TEMP)</v>
          </cell>
          <cell r="M245" t="str">
            <v>Warehouse Associate 24M</v>
          </cell>
          <cell r="N245" t="str">
            <v>kebedeed</v>
          </cell>
          <cell r="O245">
            <v>1299</v>
          </cell>
          <cell r="P245" t="str">
            <v>AUH1</v>
          </cell>
          <cell r="Q245" t="str">
            <v>ARE</v>
          </cell>
          <cell r="R245" t="str">
            <v>FC109</v>
          </cell>
          <cell r="S245" t="str">
            <v>Day Shift</v>
          </cell>
          <cell r="T245">
            <v>99</v>
          </cell>
          <cell r="U245" t="str">
            <v>MENA_UAE_FC</v>
          </cell>
          <cell r="V245">
            <v>46257.333333333336</v>
          </cell>
          <cell r="W245">
            <v>46257.748611111114</v>
          </cell>
          <cell r="X245">
            <v>46257.333333333336</v>
          </cell>
          <cell r="Y245">
            <v>46257.75</v>
          </cell>
          <cell r="AA245" t="str">
            <v>Scheduled</v>
          </cell>
          <cell r="AB245" t="str">
            <v>Present</v>
          </cell>
          <cell r="AC245" t="str">
            <v>ICQA</v>
          </cell>
          <cell r="AD245" t="str">
            <v>IC/QA/CS</v>
          </cell>
          <cell r="AE245" t="str">
            <v>Support</v>
          </cell>
          <cell r="AF245" t="str">
            <v>Tuesday</v>
          </cell>
          <cell r="AG245" t="str">
            <v>Wednesday</v>
          </cell>
          <cell r="AH245">
            <v>27</v>
          </cell>
          <cell r="AJ245">
            <v>45578</v>
          </cell>
          <cell r="AM245" t="str">
            <v>TEMP</v>
          </cell>
          <cell r="AN245" t="str">
            <v>3P Onsite Worker</v>
          </cell>
          <cell r="AO245" t="str">
            <v>A</v>
          </cell>
          <cell r="AP245">
            <v>9</v>
          </cell>
          <cell r="AQ245">
            <v>0</v>
          </cell>
          <cell r="AR245">
            <v>1</v>
          </cell>
          <cell r="AS245">
            <v>1</v>
          </cell>
          <cell r="AT245">
            <v>0</v>
          </cell>
          <cell r="AU245">
            <v>0</v>
          </cell>
        </row>
        <row r="246">
          <cell r="D246" t="str">
            <v>darelall</v>
          </cell>
          <cell r="E246">
            <v>203555843</v>
          </cell>
          <cell r="F246" t="str">
            <v>A</v>
          </cell>
          <cell r="G246" t="str">
            <v>GREEN</v>
          </cell>
          <cell r="H246" t="str">
            <v>FULL_TIME</v>
          </cell>
          <cell r="I246">
            <v>900234</v>
          </cell>
          <cell r="J246" t="str">
            <v>Adecco</v>
          </cell>
          <cell r="K246" t="str">
            <v>Allen D. Arellano</v>
          </cell>
          <cell r="L246" t="str">
            <v>Warehouse Associate (TEMP)</v>
          </cell>
          <cell r="M246" t="str">
            <v>Warehouse Associate 24M</v>
          </cell>
          <cell r="N246" t="str">
            <v>mnarshad</v>
          </cell>
          <cell r="O246">
            <v>1299</v>
          </cell>
          <cell r="P246" t="str">
            <v>AUH1</v>
          </cell>
          <cell r="Q246" t="str">
            <v>ARE</v>
          </cell>
          <cell r="R246" t="str">
            <v>FC034</v>
          </cell>
          <cell r="S246" t="str">
            <v>Day Shift</v>
          </cell>
          <cell r="T246">
            <v>99</v>
          </cell>
          <cell r="U246" t="str">
            <v>MENA_UAE_FC</v>
          </cell>
          <cell r="X246">
            <v>46257.333333333336</v>
          </cell>
          <cell r="Y246">
            <v>46257.75</v>
          </cell>
          <cell r="Z246" t="str">
            <v>Rest Day</v>
          </cell>
          <cell r="AA246" t="str">
            <v>Not Scheduled</v>
          </cell>
          <cell r="AB246" t="str">
            <v>Not Present</v>
          </cell>
          <cell r="AC246" t="str">
            <v>Outbound</v>
          </cell>
          <cell r="AD246" t="str">
            <v>Picking</v>
          </cell>
          <cell r="AE246" t="str">
            <v>Pick</v>
          </cell>
          <cell r="AF246" t="str">
            <v>Saturday</v>
          </cell>
          <cell r="AG246" t="str">
            <v>Sunday</v>
          </cell>
          <cell r="AH246">
            <v>13</v>
          </cell>
          <cell r="AJ246">
            <v>45469</v>
          </cell>
          <cell r="AM246" t="str">
            <v>TEMP</v>
          </cell>
          <cell r="AN246" t="str">
            <v>3P Onsite Worker</v>
          </cell>
          <cell r="AO246" t="str">
            <v>A</v>
          </cell>
          <cell r="AP246">
            <v>9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</row>
        <row r="247">
          <cell r="D247" t="str">
            <v>darkwamj</v>
          </cell>
          <cell r="E247">
            <v>203521526</v>
          </cell>
          <cell r="F247" t="str">
            <v>A</v>
          </cell>
          <cell r="G247" t="str">
            <v>GREEN</v>
          </cell>
          <cell r="H247" t="str">
            <v>FULL_TIME</v>
          </cell>
          <cell r="I247">
            <v>900234</v>
          </cell>
          <cell r="J247" t="str">
            <v>Fastlink Outsourcing</v>
          </cell>
          <cell r="K247" t="str">
            <v>Michael Darkwah</v>
          </cell>
          <cell r="L247" t="str">
            <v>Warehouse Associate (TEMP)</v>
          </cell>
          <cell r="M247" t="str">
            <v>Warehouse Associate 12M</v>
          </cell>
          <cell r="N247" t="str">
            <v>nnahla</v>
          </cell>
          <cell r="O247">
            <v>1299</v>
          </cell>
          <cell r="P247" t="str">
            <v>AUH1</v>
          </cell>
          <cell r="Q247" t="str">
            <v>ARE</v>
          </cell>
          <cell r="R247" t="str">
            <v>FC059</v>
          </cell>
          <cell r="S247" t="str">
            <v>Day Shift</v>
          </cell>
          <cell r="T247">
            <v>99</v>
          </cell>
          <cell r="U247" t="str">
            <v>MENA_UAE_FC</v>
          </cell>
          <cell r="X247">
            <v>46257.333333333336</v>
          </cell>
          <cell r="Y247">
            <v>46257.75</v>
          </cell>
          <cell r="Z247" t="str">
            <v>Rest Day</v>
          </cell>
          <cell r="AA247" t="str">
            <v>Not Scheduled</v>
          </cell>
          <cell r="AB247" t="str">
            <v>Not Present</v>
          </cell>
          <cell r="AC247" t="str">
            <v>Inbound</v>
          </cell>
          <cell r="AD247" t="str">
            <v>Inbound Stow</v>
          </cell>
          <cell r="AE247" t="str">
            <v>Stow</v>
          </cell>
          <cell r="AF247" t="str">
            <v>Sunday</v>
          </cell>
          <cell r="AG247" t="str">
            <v>Monday</v>
          </cell>
          <cell r="AH247">
            <v>3</v>
          </cell>
          <cell r="AJ247">
            <v>45462</v>
          </cell>
          <cell r="AM247" t="str">
            <v>TEMP</v>
          </cell>
          <cell r="AN247" t="str">
            <v>3P Onsite Worker</v>
          </cell>
          <cell r="AO247" t="str">
            <v>A</v>
          </cell>
          <cell r="AP247">
            <v>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</row>
        <row r="248">
          <cell r="D248" t="str">
            <v>dasaemma</v>
          </cell>
          <cell r="E248">
            <v>204138500</v>
          </cell>
          <cell r="F248" t="str">
            <v>A</v>
          </cell>
          <cell r="G248" t="str">
            <v>GREEN</v>
          </cell>
          <cell r="H248" t="str">
            <v>FULL_TIME</v>
          </cell>
          <cell r="I248">
            <v>900234</v>
          </cell>
          <cell r="J248" t="str">
            <v>Quesscorp</v>
          </cell>
          <cell r="K248" t="str">
            <v>Emmanuel Asante</v>
          </cell>
          <cell r="L248" t="str">
            <v>Warehouse Associate (TEMP)</v>
          </cell>
          <cell r="M248" t="str">
            <v>Warehouse Associate 24M</v>
          </cell>
          <cell r="N248" t="str">
            <v>mnarshad</v>
          </cell>
          <cell r="O248">
            <v>1299</v>
          </cell>
          <cell r="P248" t="str">
            <v>AUH1</v>
          </cell>
          <cell r="Q248" t="str">
            <v>ARE</v>
          </cell>
          <cell r="R248" t="str">
            <v>FC109</v>
          </cell>
          <cell r="S248" t="str">
            <v>Day Shift</v>
          </cell>
          <cell r="T248">
            <v>99</v>
          </cell>
          <cell r="U248" t="str">
            <v>MENA_UAE_FC</v>
          </cell>
          <cell r="V248">
            <v>46257.334027777775</v>
          </cell>
          <cell r="W248">
            <v>46257.747916666667</v>
          </cell>
          <cell r="X248">
            <v>46257.333333333336</v>
          </cell>
          <cell r="Y248">
            <v>46257.75</v>
          </cell>
          <cell r="AA248" t="str">
            <v>Scheduled</v>
          </cell>
          <cell r="AB248" t="str">
            <v>Present</v>
          </cell>
          <cell r="AC248" t="str">
            <v>Outbound</v>
          </cell>
          <cell r="AD248" t="str">
            <v>Pack - Single</v>
          </cell>
          <cell r="AE248" t="str">
            <v>Pack</v>
          </cell>
          <cell r="AF248" t="str">
            <v>Tuesday</v>
          </cell>
          <cell r="AG248" t="str">
            <v>Wednesday</v>
          </cell>
          <cell r="AH248">
            <v>18</v>
          </cell>
          <cell r="AJ248">
            <v>45564</v>
          </cell>
          <cell r="AM248" t="str">
            <v>TEMP</v>
          </cell>
          <cell r="AN248" t="str">
            <v>3P Onsite Worker</v>
          </cell>
          <cell r="AO248" t="str">
            <v>A</v>
          </cell>
          <cell r="AP248">
            <v>9</v>
          </cell>
          <cell r="AQ248">
            <v>0</v>
          </cell>
          <cell r="AR248">
            <v>1</v>
          </cell>
          <cell r="AS248">
            <v>1</v>
          </cell>
          <cell r="AT248">
            <v>0</v>
          </cell>
          <cell r="AU248">
            <v>0</v>
          </cell>
        </row>
        <row r="249">
          <cell r="D249" t="str">
            <v>davawaya</v>
          </cell>
          <cell r="E249">
            <v>206846688</v>
          </cell>
          <cell r="F249" t="str">
            <v>A</v>
          </cell>
          <cell r="G249" t="str">
            <v>GREEN</v>
          </cell>
          <cell r="H249" t="str">
            <v>FULL_TIME</v>
          </cell>
          <cell r="I249">
            <v>900234</v>
          </cell>
          <cell r="J249" t="str">
            <v>Dulsco L.L.C.</v>
          </cell>
          <cell r="K249" t="str">
            <v>DAVIS WAYABIRA</v>
          </cell>
          <cell r="L249" t="str">
            <v>Warehouse Associate (TEMP)</v>
          </cell>
          <cell r="M249" t="str">
            <v>Warehouse Associate 8W</v>
          </cell>
          <cell r="N249" t="str">
            <v>lraghava</v>
          </cell>
          <cell r="O249">
            <v>1299</v>
          </cell>
          <cell r="P249" t="str">
            <v>AUH1</v>
          </cell>
          <cell r="Q249" t="str">
            <v>ARE</v>
          </cell>
          <cell r="R249" t="str">
            <v>LK013</v>
          </cell>
          <cell r="S249" t="str">
            <v>Night Shift</v>
          </cell>
          <cell r="T249">
            <v>99</v>
          </cell>
          <cell r="U249" t="str">
            <v>MENA_UAE_FC</v>
          </cell>
          <cell r="X249">
            <v>46257.756944444445</v>
          </cell>
          <cell r="Y249">
            <v>46258.173611111109</v>
          </cell>
          <cell r="Z249" t="str">
            <v>Rest Day</v>
          </cell>
          <cell r="AA249" t="str">
            <v>Not Scheduled</v>
          </cell>
          <cell r="AB249" t="str">
            <v>Not Present</v>
          </cell>
          <cell r="AC249" t="str">
            <v>Outbound</v>
          </cell>
          <cell r="AD249" t="str">
            <v>Picking</v>
          </cell>
          <cell r="AE249" t="str">
            <v>Pick</v>
          </cell>
          <cell r="AF249" t="str">
            <v>Sunday</v>
          </cell>
          <cell r="AG249" t="str">
            <v>Monday</v>
          </cell>
          <cell r="AH249">
            <v>13</v>
          </cell>
          <cell r="AJ249">
            <v>46012</v>
          </cell>
          <cell r="AM249" t="str">
            <v>TEMP</v>
          </cell>
          <cell r="AN249" t="str">
            <v>3P Onsite Worker</v>
          </cell>
          <cell r="AO249" t="str">
            <v>A</v>
          </cell>
          <cell r="AP249">
            <v>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</row>
        <row r="250">
          <cell r="D250" t="str">
            <v>daviboag</v>
          </cell>
          <cell r="E250">
            <v>206239521</v>
          </cell>
          <cell r="F250" t="str">
            <v>A</v>
          </cell>
          <cell r="G250" t="str">
            <v>GREEN</v>
          </cell>
          <cell r="H250" t="str">
            <v>FULL_TIME</v>
          </cell>
          <cell r="I250">
            <v>900234</v>
          </cell>
          <cell r="J250" t="str">
            <v>Dulsco L.L.C.</v>
          </cell>
          <cell r="K250" t="str">
            <v>BOATENG DAVID</v>
          </cell>
          <cell r="L250" t="str">
            <v>Warehouse Associate (TEMP)</v>
          </cell>
          <cell r="M250" t="str">
            <v>Warehouse Associate 8W</v>
          </cell>
          <cell r="N250" t="str">
            <v>scariav</v>
          </cell>
          <cell r="O250">
            <v>1299</v>
          </cell>
          <cell r="P250" t="str">
            <v>AUH1</v>
          </cell>
          <cell r="Q250" t="str">
            <v>ARE</v>
          </cell>
          <cell r="R250" t="str">
            <v>LK015</v>
          </cell>
          <cell r="S250" t="str">
            <v>Night Shift</v>
          </cell>
          <cell r="T250">
            <v>99</v>
          </cell>
          <cell r="U250" t="str">
            <v>MENA_UAE_FC</v>
          </cell>
          <cell r="V250">
            <v>46257.755555555559</v>
          </cell>
          <cell r="X250">
            <v>46257.756944444445</v>
          </cell>
          <cell r="Y250">
            <v>46258.173611111109</v>
          </cell>
          <cell r="AA250" t="str">
            <v>Scheduled</v>
          </cell>
          <cell r="AB250" t="str">
            <v>Present</v>
          </cell>
          <cell r="AC250" t="str">
            <v>Outbound</v>
          </cell>
          <cell r="AD250" t="str">
            <v>Sort - Batch</v>
          </cell>
          <cell r="AE250" t="str">
            <v>Sort</v>
          </cell>
          <cell r="AF250" t="str">
            <v>Tuesday</v>
          </cell>
          <cell r="AG250" t="str">
            <v>Wednesday</v>
          </cell>
          <cell r="AH250">
            <v>15</v>
          </cell>
          <cell r="AJ250">
            <v>45942</v>
          </cell>
          <cell r="AM250" t="str">
            <v>TEMP</v>
          </cell>
          <cell r="AN250" t="str">
            <v>3P Onsite Worker</v>
          </cell>
          <cell r="AO250" t="str">
            <v>A</v>
          </cell>
          <cell r="AP250">
            <v>9</v>
          </cell>
          <cell r="AQ250">
            <v>0</v>
          </cell>
          <cell r="AR250">
            <v>1</v>
          </cell>
          <cell r="AS250">
            <v>1</v>
          </cell>
          <cell r="AT250">
            <v>0</v>
          </cell>
          <cell r="AU250">
            <v>0</v>
          </cell>
        </row>
        <row r="251">
          <cell r="D251" t="str">
            <v>ddumalla</v>
          </cell>
          <cell r="E251">
            <v>206875142</v>
          </cell>
          <cell r="F251" t="str">
            <v>A</v>
          </cell>
          <cell r="G251" t="str">
            <v>GREEN</v>
          </cell>
          <cell r="H251" t="str">
            <v>FULL_TIME</v>
          </cell>
          <cell r="I251">
            <v>900234</v>
          </cell>
          <cell r="J251" t="str">
            <v>Dulsco L.L.C.</v>
          </cell>
          <cell r="K251" t="str">
            <v>ALLAN DDUMBA SSENTAMU</v>
          </cell>
          <cell r="L251" t="str">
            <v>Warehouse Associate (TEMP)</v>
          </cell>
          <cell r="M251" t="str">
            <v>Warehouse Associate 8W</v>
          </cell>
          <cell r="N251" t="str">
            <v>aanso</v>
          </cell>
          <cell r="O251">
            <v>1299</v>
          </cell>
          <cell r="P251" t="str">
            <v>AUH1</v>
          </cell>
          <cell r="Q251" t="str">
            <v>ARE</v>
          </cell>
          <cell r="R251" t="str">
            <v>LK013</v>
          </cell>
          <cell r="S251" t="str">
            <v>Night Shift</v>
          </cell>
          <cell r="T251">
            <v>99</v>
          </cell>
          <cell r="U251" t="str">
            <v>MENA_UAE_FC</v>
          </cell>
          <cell r="X251">
            <v>46257.756944444445</v>
          </cell>
          <cell r="Y251">
            <v>46258.173611111109</v>
          </cell>
          <cell r="Z251" t="str">
            <v>Rest Day</v>
          </cell>
          <cell r="AA251" t="str">
            <v>Not Scheduled</v>
          </cell>
          <cell r="AB251" t="str">
            <v>Not Present</v>
          </cell>
          <cell r="AC251" t="str">
            <v>Customer returns</v>
          </cell>
          <cell r="AD251" t="str">
            <v>Customer Returns</v>
          </cell>
          <cell r="AE251" t="str">
            <v>Customer returns</v>
          </cell>
          <cell r="AF251" t="str">
            <v>Sunday</v>
          </cell>
          <cell r="AG251" t="str">
            <v>Monday</v>
          </cell>
          <cell r="AH251">
            <v>22</v>
          </cell>
          <cell r="AJ251">
            <v>46019</v>
          </cell>
          <cell r="AM251" t="str">
            <v>TEMP</v>
          </cell>
          <cell r="AN251" t="str">
            <v>3P Onsite Worker</v>
          </cell>
          <cell r="AO251" t="str">
            <v>A</v>
          </cell>
          <cell r="AP251">
            <v>9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</row>
        <row r="252">
          <cell r="D252" t="str">
            <v>dekiwanu</v>
          </cell>
          <cell r="E252">
            <v>203850766</v>
          </cell>
          <cell r="F252" t="str">
            <v>A</v>
          </cell>
          <cell r="G252" t="str">
            <v>GREEN</v>
          </cell>
          <cell r="H252" t="str">
            <v>FULL_TIME</v>
          </cell>
          <cell r="I252">
            <v>900234</v>
          </cell>
          <cell r="J252" t="str">
            <v>Dulsco L.L.C.</v>
          </cell>
          <cell r="K252" t="str">
            <v>Derrick Kiwanuka</v>
          </cell>
          <cell r="L252" t="str">
            <v>Warehouse Associate (TEMP)</v>
          </cell>
          <cell r="M252" t="str">
            <v>Warehouse Associate 24M</v>
          </cell>
          <cell r="N252" t="str">
            <v>bizthoma</v>
          </cell>
          <cell r="O252">
            <v>1299</v>
          </cell>
          <cell r="P252" t="str">
            <v>AUH1</v>
          </cell>
          <cell r="Q252" t="str">
            <v>ARE</v>
          </cell>
          <cell r="R252" t="str">
            <v>LK015</v>
          </cell>
          <cell r="S252" t="str">
            <v>Night Shift</v>
          </cell>
          <cell r="T252">
            <v>99</v>
          </cell>
          <cell r="U252" t="str">
            <v>MENA_UAE_FC</v>
          </cell>
          <cell r="V252">
            <v>46257.756944444445</v>
          </cell>
          <cell r="X252">
            <v>46257.756944444445</v>
          </cell>
          <cell r="Y252">
            <v>46258.173611111109</v>
          </cell>
          <cell r="AA252" t="str">
            <v>Scheduled</v>
          </cell>
          <cell r="AB252" t="str">
            <v>Present</v>
          </cell>
          <cell r="AC252" t="str">
            <v>Outbound</v>
          </cell>
          <cell r="AD252" t="str">
            <v>Picking</v>
          </cell>
          <cell r="AE252" t="str">
            <v>Pick</v>
          </cell>
          <cell r="AF252" t="str">
            <v>Tuesday</v>
          </cell>
          <cell r="AG252" t="str">
            <v>Wednesday</v>
          </cell>
          <cell r="AH252">
            <v>13</v>
          </cell>
          <cell r="AJ252">
            <v>45523</v>
          </cell>
          <cell r="AM252" t="str">
            <v>TEMP</v>
          </cell>
          <cell r="AN252" t="str">
            <v>3P Onsite Worker</v>
          </cell>
          <cell r="AO252" t="str">
            <v>A</v>
          </cell>
          <cell r="AP252">
            <v>9</v>
          </cell>
          <cell r="AQ252">
            <v>0</v>
          </cell>
          <cell r="AR252">
            <v>1</v>
          </cell>
          <cell r="AS252">
            <v>1</v>
          </cell>
          <cell r="AT252">
            <v>0</v>
          </cell>
          <cell r="AU252">
            <v>0</v>
          </cell>
        </row>
        <row r="253">
          <cell r="D253" t="str">
            <v>denjeria</v>
          </cell>
          <cell r="E253">
            <v>205671334</v>
          </cell>
          <cell r="F253" t="str">
            <v>A</v>
          </cell>
          <cell r="G253" t="str">
            <v>BLUE</v>
          </cell>
          <cell r="H253" t="str">
            <v>FULL_TIME</v>
          </cell>
          <cell r="I253" t="str">
            <v>P03231</v>
          </cell>
          <cell r="K253" t="str">
            <v>Denin Jeril</v>
          </cell>
          <cell r="L253" t="str">
            <v>FC Associate III</v>
          </cell>
          <cell r="M253" t="str">
            <v>Operations Supervisor</v>
          </cell>
          <cell r="N253" t="str">
            <v>vkkatyal</v>
          </cell>
          <cell r="O253">
            <v>1299</v>
          </cell>
          <cell r="P253" t="str">
            <v>AUH1</v>
          </cell>
          <cell r="Q253" t="str">
            <v>ARE</v>
          </cell>
          <cell r="R253" t="str">
            <v>FC059</v>
          </cell>
          <cell r="S253" t="str">
            <v>Day Shift</v>
          </cell>
          <cell r="T253">
            <v>3</v>
          </cell>
          <cell r="U253" t="str">
            <v>MENA_UAE_FC</v>
          </cell>
          <cell r="X253">
            <v>46257.333333333336</v>
          </cell>
          <cell r="Y253">
            <v>46257.75</v>
          </cell>
          <cell r="Z253" t="str">
            <v>Rest Day</v>
          </cell>
          <cell r="AA253" t="str">
            <v>Not Scheduled</v>
          </cell>
          <cell r="AB253" t="str">
            <v>Not Present</v>
          </cell>
          <cell r="AC253" t="str">
            <v>Inbound</v>
          </cell>
          <cell r="AD253" t="str">
            <v>IB Lead/PA</v>
          </cell>
          <cell r="AE253" t="str">
            <v>Receive</v>
          </cell>
          <cell r="AF253" t="str">
            <v>Sunday</v>
          </cell>
          <cell r="AG253" t="str">
            <v>Monday</v>
          </cell>
          <cell r="AH253">
            <v>5</v>
          </cell>
          <cell r="AJ253">
            <v>46061</v>
          </cell>
          <cell r="AM253" t="str">
            <v>FC</v>
          </cell>
          <cell r="AN253" t="str">
            <v>Regular Full Time</v>
          </cell>
          <cell r="AO253" t="str">
            <v>A</v>
          </cell>
          <cell r="AP253">
            <v>9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</row>
        <row r="254">
          <cell r="D254" t="str">
            <v>denmbium</v>
          </cell>
          <cell r="E254">
            <v>205861618</v>
          </cell>
          <cell r="F254" t="str">
            <v>A</v>
          </cell>
          <cell r="G254" t="str">
            <v>GREEN</v>
          </cell>
          <cell r="H254" t="str">
            <v>FULL_TIME</v>
          </cell>
          <cell r="I254">
            <v>900234</v>
          </cell>
          <cell r="J254" t="str">
            <v>EFS Facilities Services</v>
          </cell>
          <cell r="K254" t="str">
            <v>Dennis Mbiu</v>
          </cell>
          <cell r="L254" t="str">
            <v>Warehouse Associate (TEMP)</v>
          </cell>
          <cell r="M254" t="str">
            <v>Warehouse Associate 8W</v>
          </cell>
          <cell r="N254" t="str">
            <v>bizthoma</v>
          </cell>
          <cell r="O254">
            <v>1299</v>
          </cell>
          <cell r="P254" t="str">
            <v>AUH1</v>
          </cell>
          <cell r="Q254" t="str">
            <v>ARE</v>
          </cell>
          <cell r="R254" t="str">
            <v>LK017</v>
          </cell>
          <cell r="S254" t="str">
            <v>Night Shift</v>
          </cell>
          <cell r="T254">
            <v>99</v>
          </cell>
          <cell r="U254" t="str">
            <v>MENA_UAE_FC</v>
          </cell>
          <cell r="V254">
            <v>46257.756249999999</v>
          </cell>
          <cell r="X254">
            <v>46257.756944444445</v>
          </cell>
          <cell r="Y254">
            <v>46258.173611111109</v>
          </cell>
          <cell r="AA254" t="str">
            <v>Scheduled</v>
          </cell>
          <cell r="AB254" t="str">
            <v>Present</v>
          </cell>
          <cell r="AC254" t="str">
            <v>Outbound</v>
          </cell>
          <cell r="AD254" t="str">
            <v>Picking</v>
          </cell>
          <cell r="AE254" t="str">
            <v>Pick</v>
          </cell>
          <cell r="AF254" t="str">
            <v>Thursday</v>
          </cell>
          <cell r="AG254" t="str">
            <v>Friday</v>
          </cell>
          <cell r="AH254">
            <v>13</v>
          </cell>
          <cell r="AJ254">
            <v>45900</v>
          </cell>
          <cell r="AM254" t="str">
            <v>TEMP</v>
          </cell>
          <cell r="AN254" t="str">
            <v>3P Onsite Worker</v>
          </cell>
          <cell r="AO254" t="str">
            <v>A</v>
          </cell>
          <cell r="AP254">
            <v>9</v>
          </cell>
          <cell r="AQ254">
            <v>0</v>
          </cell>
          <cell r="AR254">
            <v>1</v>
          </cell>
          <cell r="AS254">
            <v>1</v>
          </cell>
          <cell r="AT254">
            <v>0</v>
          </cell>
          <cell r="AU254">
            <v>0</v>
          </cell>
        </row>
        <row r="255">
          <cell r="D255" t="str">
            <v>denniaap</v>
          </cell>
          <cell r="E255">
            <v>203851004</v>
          </cell>
          <cell r="F255" t="str">
            <v>A</v>
          </cell>
          <cell r="G255" t="str">
            <v>GREEN</v>
          </cell>
          <cell r="H255" t="str">
            <v>FULL_TIME</v>
          </cell>
          <cell r="I255">
            <v>900234</v>
          </cell>
          <cell r="J255" t="str">
            <v>Fastlink Outsourcing</v>
          </cell>
          <cell r="K255" t="str">
            <v>Dennis Appau</v>
          </cell>
          <cell r="L255" t="str">
            <v>Warehouse Associate (TEMP)</v>
          </cell>
          <cell r="M255" t="str">
            <v>Warehouse Associate 12M</v>
          </cell>
          <cell r="N255" t="str">
            <v>abbaszoo</v>
          </cell>
          <cell r="O255">
            <v>1299</v>
          </cell>
          <cell r="P255" t="str">
            <v>AUH1</v>
          </cell>
          <cell r="Q255" t="str">
            <v>ARE</v>
          </cell>
          <cell r="R255" t="str">
            <v>LK015</v>
          </cell>
          <cell r="S255" t="str">
            <v>Night Shift</v>
          </cell>
          <cell r="T255">
            <v>99</v>
          </cell>
          <cell r="U255" t="str">
            <v>MENA_UAE_FC</v>
          </cell>
          <cell r="V255">
            <v>46257.754861111112</v>
          </cell>
          <cell r="W255">
            <v>46257.756944444445</v>
          </cell>
          <cell r="X255">
            <v>46257.756944444445</v>
          </cell>
          <cell r="Y255">
            <v>46258.173611111109</v>
          </cell>
          <cell r="AA255" t="str">
            <v>Scheduled</v>
          </cell>
          <cell r="AB255" t="str">
            <v>Present</v>
          </cell>
          <cell r="AC255" t="str">
            <v>Inbound</v>
          </cell>
          <cell r="AD255" t="str">
            <v>Vendor Receive</v>
          </cell>
          <cell r="AE255" t="str">
            <v>Receive</v>
          </cell>
          <cell r="AF255" t="str">
            <v>Tuesday</v>
          </cell>
          <cell r="AG255" t="str">
            <v>Wednesday</v>
          </cell>
          <cell r="AH255">
            <v>1</v>
          </cell>
          <cell r="AJ255">
            <v>45523</v>
          </cell>
          <cell r="AM255" t="str">
            <v>TEMP</v>
          </cell>
          <cell r="AN255" t="str">
            <v>3P Onsite Worker</v>
          </cell>
          <cell r="AO255" t="str">
            <v>A</v>
          </cell>
          <cell r="AP255">
            <v>9</v>
          </cell>
          <cell r="AQ255">
            <v>0</v>
          </cell>
          <cell r="AR255">
            <v>1</v>
          </cell>
          <cell r="AS255">
            <v>1</v>
          </cell>
          <cell r="AT255">
            <v>0</v>
          </cell>
          <cell r="AU255">
            <v>0</v>
          </cell>
        </row>
        <row r="256">
          <cell r="D256" t="str">
            <v>depporah</v>
          </cell>
          <cell r="E256">
            <v>206247771</v>
          </cell>
          <cell r="F256" t="str">
            <v>A</v>
          </cell>
          <cell r="G256" t="str">
            <v>GREEN</v>
          </cell>
          <cell r="H256" t="str">
            <v>FULL_TIME</v>
          </cell>
          <cell r="I256">
            <v>900234</v>
          </cell>
          <cell r="J256" t="str">
            <v>EFS Facilities Services</v>
          </cell>
          <cell r="K256" t="str">
            <v>Depporah Nyamusi Samwel</v>
          </cell>
          <cell r="L256" t="str">
            <v>Warehouse Associate (TEMP)</v>
          </cell>
          <cell r="M256" t="str">
            <v>Warehouse Associate 8W</v>
          </cell>
          <cell r="N256" t="str">
            <v>bizthoma</v>
          </cell>
          <cell r="O256">
            <v>1299</v>
          </cell>
          <cell r="P256" t="str">
            <v>AUH1</v>
          </cell>
          <cell r="Q256" t="str">
            <v>ARE</v>
          </cell>
          <cell r="R256" t="str">
            <v>FC552</v>
          </cell>
          <cell r="S256" t="str">
            <v>Night Shift</v>
          </cell>
          <cell r="T256">
            <v>99</v>
          </cell>
          <cell r="U256" t="str">
            <v>MENA_UAE_FC</v>
          </cell>
          <cell r="V256">
            <v>46257.754166666666</v>
          </cell>
          <cell r="X256">
            <v>46257.756944444445</v>
          </cell>
          <cell r="Y256">
            <v>46258.090277777781</v>
          </cell>
          <cell r="AA256" t="str">
            <v>Scheduled</v>
          </cell>
          <cell r="AB256" t="str">
            <v>Present</v>
          </cell>
          <cell r="AC256" t="str">
            <v>Outbound</v>
          </cell>
          <cell r="AD256" t="str">
            <v>Picking</v>
          </cell>
          <cell r="AE256" t="str">
            <v>Pick</v>
          </cell>
          <cell r="AF256" t="str">
            <v>Friday</v>
          </cell>
          <cell r="AG256" t="str">
            <v>Saturday</v>
          </cell>
          <cell r="AH256">
            <v>13</v>
          </cell>
          <cell r="AJ256">
            <v>46225</v>
          </cell>
          <cell r="AM256" t="str">
            <v>TEMP</v>
          </cell>
          <cell r="AN256" t="str">
            <v>3P Onsite Worker</v>
          </cell>
          <cell r="AO256" t="str">
            <v>A</v>
          </cell>
          <cell r="AP256">
            <v>7</v>
          </cell>
          <cell r="AQ256">
            <v>0</v>
          </cell>
          <cell r="AR256">
            <v>1</v>
          </cell>
          <cell r="AS256">
            <v>1</v>
          </cell>
          <cell r="AT256">
            <v>0</v>
          </cell>
          <cell r="AU256">
            <v>0</v>
          </cell>
        </row>
        <row r="257">
          <cell r="D257" t="str">
            <v>derriatt</v>
          </cell>
          <cell r="E257">
            <v>203908841</v>
          </cell>
          <cell r="F257" t="str">
            <v>A</v>
          </cell>
          <cell r="G257" t="str">
            <v>GREEN</v>
          </cell>
          <cell r="H257" t="str">
            <v>FULL_TIME</v>
          </cell>
          <cell r="I257">
            <v>900234</v>
          </cell>
          <cell r="J257" t="str">
            <v>Fastlink Outsourcing</v>
          </cell>
          <cell r="K257" t="str">
            <v>Derrickson Attipoe</v>
          </cell>
          <cell r="L257" t="str">
            <v>Warehouse Associate (TEMP)</v>
          </cell>
          <cell r="M257" t="str">
            <v>Warehouse Associate 12M</v>
          </cell>
          <cell r="N257" t="str">
            <v>amanmish</v>
          </cell>
          <cell r="O257">
            <v>1299</v>
          </cell>
          <cell r="P257" t="str">
            <v>AUH1</v>
          </cell>
          <cell r="Q257" t="str">
            <v>ARE</v>
          </cell>
          <cell r="R257" t="str">
            <v>FC059</v>
          </cell>
          <cell r="S257" t="str">
            <v>Day Shift</v>
          </cell>
          <cell r="T257">
            <v>99</v>
          </cell>
          <cell r="U257" t="str">
            <v>MENA_UAE_FC</v>
          </cell>
          <cell r="X257">
            <v>46257.333333333336</v>
          </cell>
          <cell r="Y257">
            <v>46257.75</v>
          </cell>
          <cell r="Z257" t="str">
            <v>Rest Day</v>
          </cell>
          <cell r="AA257" t="str">
            <v>Not Scheduled</v>
          </cell>
          <cell r="AB257" t="str">
            <v>Not Present</v>
          </cell>
          <cell r="AC257" t="str">
            <v>Outbound</v>
          </cell>
          <cell r="AD257" t="str">
            <v>Picking</v>
          </cell>
          <cell r="AE257" t="str">
            <v>Pick</v>
          </cell>
          <cell r="AF257" t="str">
            <v>Sunday</v>
          </cell>
          <cell r="AG257" t="str">
            <v>Monday</v>
          </cell>
          <cell r="AH257">
            <v>13</v>
          </cell>
          <cell r="AJ257">
            <v>45536</v>
          </cell>
          <cell r="AM257" t="str">
            <v>TEMP</v>
          </cell>
          <cell r="AN257" t="str">
            <v>3P Onsite Worker</v>
          </cell>
          <cell r="AO257" t="str">
            <v>A</v>
          </cell>
          <cell r="AP257">
            <v>9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</row>
        <row r="258">
          <cell r="D258" t="str">
            <v>derrkabu</v>
          </cell>
          <cell r="E258">
            <v>206915474</v>
          </cell>
          <cell r="F258" t="str">
            <v>A</v>
          </cell>
          <cell r="G258" t="str">
            <v>GREEN</v>
          </cell>
          <cell r="H258" t="str">
            <v>FULL_TIME</v>
          </cell>
          <cell r="I258">
            <v>900234</v>
          </cell>
          <cell r="J258" t="str">
            <v>Dulsco L.L.C.</v>
          </cell>
          <cell r="K258" t="str">
            <v>DERRICK KABUYE</v>
          </cell>
          <cell r="L258" t="str">
            <v>Warehouse Associate (TEMP)</v>
          </cell>
          <cell r="M258" t="str">
            <v>Warehouse Associate 8W</v>
          </cell>
          <cell r="N258" t="str">
            <v>scariav</v>
          </cell>
          <cell r="O258">
            <v>1299</v>
          </cell>
          <cell r="P258" t="str">
            <v>AUH1</v>
          </cell>
          <cell r="Q258" t="str">
            <v>ARE</v>
          </cell>
          <cell r="R258" t="str">
            <v>FC159</v>
          </cell>
          <cell r="S258" t="str">
            <v>Day Shift</v>
          </cell>
          <cell r="T258">
            <v>99</v>
          </cell>
          <cell r="U258" t="str">
            <v>MENA_UAE_FC</v>
          </cell>
          <cell r="V258">
            <v>46257.330555555556</v>
          </cell>
          <cell r="W258">
            <v>46257.747916666667</v>
          </cell>
          <cell r="X258">
            <v>46257.333333333336</v>
          </cell>
          <cell r="Y258">
            <v>46257.75</v>
          </cell>
          <cell r="AA258" t="str">
            <v>Scheduled</v>
          </cell>
          <cell r="AB258" t="str">
            <v>Present</v>
          </cell>
          <cell r="AC258" t="str">
            <v>Outbound</v>
          </cell>
          <cell r="AD258" t="str">
            <v>Picking</v>
          </cell>
          <cell r="AE258" t="str">
            <v>Pick</v>
          </cell>
          <cell r="AF258" t="str">
            <v>Thursday</v>
          </cell>
          <cell r="AG258" t="str">
            <v>Friday</v>
          </cell>
          <cell r="AH258">
            <v>13</v>
          </cell>
          <cell r="AJ258">
            <v>46033</v>
          </cell>
          <cell r="AM258" t="str">
            <v>TEMP</v>
          </cell>
          <cell r="AN258" t="str">
            <v>3P Onsite Worker</v>
          </cell>
          <cell r="AO258" t="str">
            <v>A</v>
          </cell>
          <cell r="AP258">
            <v>9</v>
          </cell>
          <cell r="AQ258">
            <v>0</v>
          </cell>
          <cell r="AR258">
            <v>1</v>
          </cell>
          <cell r="AS258">
            <v>1</v>
          </cell>
          <cell r="AT258">
            <v>0</v>
          </cell>
          <cell r="AU258">
            <v>0</v>
          </cell>
        </row>
        <row r="259">
          <cell r="D259" t="str">
            <v>derwardz</v>
          </cell>
          <cell r="E259">
            <v>204319798</v>
          </cell>
          <cell r="F259" t="str">
            <v>A</v>
          </cell>
          <cell r="G259" t="str">
            <v>GREEN</v>
          </cell>
          <cell r="H259" t="str">
            <v>FULL_TIME</v>
          </cell>
          <cell r="I259">
            <v>900234</v>
          </cell>
          <cell r="J259" t="str">
            <v>Quesscorp</v>
          </cell>
          <cell r="K259" t="str">
            <v>Derrick Brew Ward</v>
          </cell>
          <cell r="L259" t="str">
            <v>Warehouse Associate (TEMP)</v>
          </cell>
          <cell r="M259" t="str">
            <v>Warehouse Associate 24M</v>
          </cell>
          <cell r="N259" t="str">
            <v>ansammar</v>
          </cell>
          <cell r="O259">
            <v>1299</v>
          </cell>
          <cell r="P259" t="str">
            <v>AUH1</v>
          </cell>
          <cell r="Q259" t="str">
            <v>ARE</v>
          </cell>
          <cell r="R259" t="str">
            <v>LK011</v>
          </cell>
          <cell r="S259" t="str">
            <v>Night Shift</v>
          </cell>
          <cell r="T259">
            <v>99</v>
          </cell>
          <cell r="U259" t="str">
            <v>MENA_UAE_FC</v>
          </cell>
          <cell r="V259">
            <v>46257.756944444445</v>
          </cell>
          <cell r="X259">
            <v>46257.756944444445</v>
          </cell>
          <cell r="Y259">
            <v>46258.173611111109</v>
          </cell>
          <cell r="AA259" t="str">
            <v>Scheduled</v>
          </cell>
          <cell r="AB259" t="str">
            <v>Present</v>
          </cell>
          <cell r="AC259" t="str">
            <v>Outbound</v>
          </cell>
          <cell r="AD259" t="str">
            <v>Pack - Single</v>
          </cell>
          <cell r="AE259" t="str">
            <v>Pack</v>
          </cell>
          <cell r="AF259" t="str">
            <v>Friday</v>
          </cell>
          <cell r="AG259" t="str">
            <v>Saturday</v>
          </cell>
          <cell r="AH259">
            <v>18</v>
          </cell>
          <cell r="AJ259">
            <v>45585</v>
          </cell>
          <cell r="AM259" t="str">
            <v>TEMP</v>
          </cell>
          <cell r="AN259" t="str">
            <v>3P Onsite Worker</v>
          </cell>
          <cell r="AO259" t="str">
            <v>A</v>
          </cell>
          <cell r="AP259">
            <v>9</v>
          </cell>
          <cell r="AQ259">
            <v>0</v>
          </cell>
          <cell r="AR259">
            <v>1</v>
          </cell>
          <cell r="AS259">
            <v>1</v>
          </cell>
          <cell r="AT259">
            <v>0</v>
          </cell>
          <cell r="AU259">
            <v>0</v>
          </cell>
        </row>
        <row r="260">
          <cell r="D260" t="str">
            <v>devisain</v>
          </cell>
          <cell r="E260">
            <v>203522193</v>
          </cell>
          <cell r="F260" t="str">
            <v>A</v>
          </cell>
          <cell r="G260" t="str">
            <v>GREEN</v>
          </cell>
          <cell r="H260" t="str">
            <v>FULL_TIME</v>
          </cell>
          <cell r="I260">
            <v>900234</v>
          </cell>
          <cell r="J260" t="str">
            <v>Adecco</v>
          </cell>
          <cell r="K260" t="str">
            <v>Ainembabazi Devis</v>
          </cell>
          <cell r="L260" t="str">
            <v>Warehouse Associate (TEMP)</v>
          </cell>
          <cell r="M260" t="str">
            <v>Warehouse Associate 24M</v>
          </cell>
          <cell r="N260" t="str">
            <v>bizthoma</v>
          </cell>
          <cell r="O260">
            <v>1299</v>
          </cell>
          <cell r="P260" t="str">
            <v>AUH1</v>
          </cell>
          <cell r="Q260" t="str">
            <v>ARE</v>
          </cell>
          <cell r="R260" t="str">
            <v>LK016</v>
          </cell>
          <cell r="S260" t="str">
            <v>Night Shift</v>
          </cell>
          <cell r="T260">
            <v>99</v>
          </cell>
          <cell r="U260" t="str">
            <v>MENA_UAE_FC</v>
          </cell>
          <cell r="V260">
            <v>46257.757638888892</v>
          </cell>
          <cell r="X260">
            <v>46257.756944444445</v>
          </cell>
          <cell r="Y260">
            <v>46258.173611111109</v>
          </cell>
          <cell r="AA260" t="str">
            <v>Scheduled</v>
          </cell>
          <cell r="AB260" t="str">
            <v>Present</v>
          </cell>
          <cell r="AC260" t="str">
            <v>Outbound</v>
          </cell>
          <cell r="AD260" t="str">
            <v>Pack - Single</v>
          </cell>
          <cell r="AE260" t="str">
            <v>Pack</v>
          </cell>
          <cell r="AF260" t="str">
            <v>Wednesday</v>
          </cell>
          <cell r="AG260" t="str">
            <v>Thursday</v>
          </cell>
          <cell r="AH260">
            <v>18</v>
          </cell>
          <cell r="AJ260">
            <v>45462</v>
          </cell>
          <cell r="AM260" t="str">
            <v>TEMP</v>
          </cell>
          <cell r="AN260" t="str">
            <v>3P Onsite Worker</v>
          </cell>
          <cell r="AO260" t="str">
            <v>A</v>
          </cell>
          <cell r="AP260">
            <v>9</v>
          </cell>
          <cell r="AQ260">
            <v>0</v>
          </cell>
          <cell r="AR260">
            <v>1</v>
          </cell>
          <cell r="AS260">
            <v>1</v>
          </cell>
          <cell r="AT260">
            <v>0</v>
          </cell>
          <cell r="AU260">
            <v>0</v>
          </cell>
        </row>
        <row r="261">
          <cell r="D261" t="str">
            <v>devssebb</v>
          </cell>
          <cell r="E261">
            <v>206949309</v>
          </cell>
          <cell r="F261" t="str">
            <v>A</v>
          </cell>
          <cell r="G261" t="str">
            <v>GREEN</v>
          </cell>
          <cell r="H261" t="str">
            <v>FULL_TIME</v>
          </cell>
          <cell r="I261">
            <v>900234</v>
          </cell>
          <cell r="J261" t="str">
            <v>Dulsco L.L.C.</v>
          </cell>
          <cell r="K261" t="str">
            <v>DEVIS SSEBBUGGA</v>
          </cell>
          <cell r="L261" t="str">
            <v>Warehouse Associate (TEMP)</v>
          </cell>
          <cell r="M261" t="str">
            <v>Warehouse Associate 24M</v>
          </cell>
          <cell r="N261" t="str">
            <v>aanso</v>
          </cell>
          <cell r="O261">
            <v>1299</v>
          </cell>
          <cell r="P261" t="str">
            <v>AUH1</v>
          </cell>
          <cell r="Q261" t="str">
            <v>ARE</v>
          </cell>
          <cell r="R261" t="str">
            <v>LK015</v>
          </cell>
          <cell r="S261" t="str">
            <v>Night Shift</v>
          </cell>
          <cell r="T261">
            <v>99</v>
          </cell>
          <cell r="U261" t="str">
            <v>MENA_UAE_FC</v>
          </cell>
          <cell r="V261">
            <v>46257.754166666666</v>
          </cell>
          <cell r="X261">
            <v>46257.756944444445</v>
          </cell>
          <cell r="Y261">
            <v>46258.173611111109</v>
          </cell>
          <cell r="AA261" t="str">
            <v>Scheduled</v>
          </cell>
          <cell r="AB261" t="str">
            <v>Present</v>
          </cell>
          <cell r="AC261" t="str">
            <v>Customer returns</v>
          </cell>
          <cell r="AD261" t="str">
            <v>Customer Returns</v>
          </cell>
          <cell r="AE261" t="str">
            <v>Customer returns</v>
          </cell>
          <cell r="AF261" t="str">
            <v>Tuesday</v>
          </cell>
          <cell r="AG261" t="str">
            <v>Wednesday</v>
          </cell>
          <cell r="AH261">
            <v>22</v>
          </cell>
          <cell r="AJ261">
            <v>46047</v>
          </cell>
          <cell r="AM261" t="str">
            <v>TEMP</v>
          </cell>
          <cell r="AN261" t="str">
            <v>3P Onsite Worker</v>
          </cell>
          <cell r="AO261" t="str">
            <v>A</v>
          </cell>
          <cell r="AP261">
            <v>9</v>
          </cell>
          <cell r="AQ261">
            <v>0</v>
          </cell>
          <cell r="AR261">
            <v>1</v>
          </cell>
          <cell r="AS261">
            <v>1</v>
          </cell>
          <cell r="AT261">
            <v>0</v>
          </cell>
          <cell r="AU261">
            <v>0</v>
          </cell>
        </row>
        <row r="262">
          <cell r="D262" t="str">
            <v>dhobhada</v>
          </cell>
          <cell r="E262">
            <v>204246157</v>
          </cell>
          <cell r="F262" t="str">
            <v>A</v>
          </cell>
          <cell r="G262" t="str">
            <v>GREEN</v>
          </cell>
          <cell r="H262" t="str">
            <v>FULL_TIME</v>
          </cell>
          <cell r="I262">
            <v>900234</v>
          </cell>
          <cell r="J262" t="str">
            <v>Quesscorp</v>
          </cell>
          <cell r="K262" t="str">
            <v>Dadirai Dhobha</v>
          </cell>
          <cell r="L262" t="str">
            <v>Warehouse Associate (TEMP)</v>
          </cell>
          <cell r="M262" t="str">
            <v>Warehouse Associate 24M</v>
          </cell>
          <cell r="N262" t="str">
            <v>vkkatyal</v>
          </cell>
          <cell r="O262">
            <v>1299</v>
          </cell>
          <cell r="P262" t="str">
            <v>AUH1</v>
          </cell>
          <cell r="Q262" t="str">
            <v>ARE</v>
          </cell>
          <cell r="R262" t="str">
            <v>FC109</v>
          </cell>
          <cell r="S262" t="str">
            <v>Day Shift</v>
          </cell>
          <cell r="T262">
            <v>99</v>
          </cell>
          <cell r="U262" t="str">
            <v>MENA_UAE_FC</v>
          </cell>
          <cell r="V262">
            <v>46257.331944444442</v>
          </cell>
          <cell r="W262">
            <v>46257.745833333334</v>
          </cell>
          <cell r="X262">
            <v>46257.333333333336</v>
          </cell>
          <cell r="Y262">
            <v>46257.75</v>
          </cell>
          <cell r="AA262" t="str">
            <v>Scheduled</v>
          </cell>
          <cell r="AB262" t="str">
            <v>Present</v>
          </cell>
          <cell r="AC262" t="str">
            <v>Inbound</v>
          </cell>
          <cell r="AD262" t="str">
            <v>Inbound Stow</v>
          </cell>
          <cell r="AE262" t="str">
            <v>Stow</v>
          </cell>
          <cell r="AF262" t="str">
            <v>Tuesday</v>
          </cell>
          <cell r="AG262" t="str">
            <v>Wednesday</v>
          </cell>
          <cell r="AH262">
            <v>3</v>
          </cell>
          <cell r="AJ262">
            <v>45578</v>
          </cell>
          <cell r="AM262" t="str">
            <v>TEMP</v>
          </cell>
          <cell r="AN262" t="str">
            <v>3P Onsite Worker</v>
          </cell>
          <cell r="AO262" t="str">
            <v>A</v>
          </cell>
          <cell r="AP262">
            <v>9</v>
          </cell>
          <cell r="AQ262">
            <v>0</v>
          </cell>
          <cell r="AR262">
            <v>1</v>
          </cell>
          <cell r="AS262">
            <v>1</v>
          </cell>
          <cell r="AT262">
            <v>0</v>
          </cell>
          <cell r="AU262">
            <v>0</v>
          </cell>
        </row>
        <row r="263">
          <cell r="D263" t="str">
            <v>dianahje</v>
          </cell>
          <cell r="E263">
            <v>206503618</v>
          </cell>
          <cell r="F263" t="str">
            <v>A</v>
          </cell>
          <cell r="G263" t="str">
            <v>GREEN</v>
          </cell>
          <cell r="H263" t="str">
            <v>FULL_TIME</v>
          </cell>
          <cell r="I263">
            <v>900234</v>
          </cell>
          <cell r="J263" t="str">
            <v>EFS Facilities Services</v>
          </cell>
          <cell r="K263" t="str">
            <v>DIANAH JEROTICH AGUI</v>
          </cell>
          <cell r="L263" t="str">
            <v>Warehouse Associate (TEMP)</v>
          </cell>
          <cell r="M263" t="str">
            <v>Warehouse Associate 8W</v>
          </cell>
          <cell r="N263" t="str">
            <v>lraghava</v>
          </cell>
          <cell r="O263">
            <v>1299</v>
          </cell>
          <cell r="P263" t="str">
            <v>AUH1</v>
          </cell>
          <cell r="Q263" t="str">
            <v>ARE</v>
          </cell>
          <cell r="R263" t="str">
            <v>LK011</v>
          </cell>
          <cell r="S263" t="str">
            <v>Night Shift</v>
          </cell>
          <cell r="T263">
            <v>99</v>
          </cell>
          <cell r="U263" t="str">
            <v>MENA_UAE_FC</v>
          </cell>
          <cell r="V263">
            <v>46257.756249999999</v>
          </cell>
          <cell r="X263">
            <v>46257.756944444445</v>
          </cell>
          <cell r="Y263">
            <v>46258.173611111109</v>
          </cell>
          <cell r="AA263" t="str">
            <v>Scheduled</v>
          </cell>
          <cell r="AB263" t="str">
            <v>Present</v>
          </cell>
          <cell r="AC263" t="str">
            <v>Outbound</v>
          </cell>
          <cell r="AD263" t="str">
            <v>Picking</v>
          </cell>
          <cell r="AE263" t="str">
            <v>Pick</v>
          </cell>
          <cell r="AF263" t="str">
            <v>Friday</v>
          </cell>
          <cell r="AG263" t="str">
            <v>Saturday</v>
          </cell>
          <cell r="AH263">
            <v>13</v>
          </cell>
          <cell r="AJ263">
            <v>45970</v>
          </cell>
          <cell r="AM263" t="str">
            <v>TEMP</v>
          </cell>
          <cell r="AN263" t="str">
            <v>3P Onsite Worker</v>
          </cell>
          <cell r="AO263" t="str">
            <v>A</v>
          </cell>
          <cell r="AP263">
            <v>9</v>
          </cell>
          <cell r="AQ263">
            <v>0</v>
          </cell>
          <cell r="AR263">
            <v>1</v>
          </cell>
          <cell r="AS263">
            <v>1</v>
          </cell>
          <cell r="AT263">
            <v>0</v>
          </cell>
          <cell r="AU263">
            <v>0</v>
          </cell>
        </row>
        <row r="264">
          <cell r="D264" t="str">
            <v>dianajek</v>
          </cell>
          <cell r="E264">
            <v>206953797</v>
          </cell>
          <cell r="F264" t="str">
            <v>A</v>
          </cell>
          <cell r="G264" t="str">
            <v>GREEN</v>
          </cell>
          <cell r="H264" t="str">
            <v>FULL_TIME</v>
          </cell>
          <cell r="I264">
            <v>900234</v>
          </cell>
          <cell r="J264" t="str">
            <v>EFS Facilities Services</v>
          </cell>
          <cell r="K264" t="str">
            <v>Diana Jerono Kimutai</v>
          </cell>
          <cell r="L264" t="str">
            <v>Warehouse Associate (TEMP)</v>
          </cell>
          <cell r="M264" t="str">
            <v>Warehouse Associate 24M</v>
          </cell>
          <cell r="N264" t="str">
            <v>kebedeed</v>
          </cell>
          <cell r="O264">
            <v>1299</v>
          </cell>
          <cell r="P264" t="str">
            <v>AUH1</v>
          </cell>
          <cell r="Q264" t="str">
            <v>ARE</v>
          </cell>
          <cell r="R264" t="str">
            <v>FC084</v>
          </cell>
          <cell r="S264" t="str">
            <v>Day Shift</v>
          </cell>
          <cell r="T264">
            <v>99</v>
          </cell>
          <cell r="U264" t="str">
            <v>MENA_UAE_FC</v>
          </cell>
          <cell r="V264">
            <v>46257.331944444442</v>
          </cell>
          <cell r="W264">
            <v>46257.747916666667</v>
          </cell>
          <cell r="X264">
            <v>46257.333333333336</v>
          </cell>
          <cell r="Y264">
            <v>46257.75</v>
          </cell>
          <cell r="AA264" t="str">
            <v>Scheduled</v>
          </cell>
          <cell r="AB264" t="str">
            <v>Present</v>
          </cell>
          <cell r="AC264" t="str">
            <v>ICQA</v>
          </cell>
          <cell r="AD264" t="str">
            <v>IC/QA/CS</v>
          </cell>
          <cell r="AE264" t="str">
            <v>Support</v>
          </cell>
          <cell r="AF264" t="str">
            <v>Monday</v>
          </cell>
          <cell r="AG264" t="str">
            <v>Tuesday</v>
          </cell>
          <cell r="AH264">
            <v>27</v>
          </cell>
          <cell r="AJ264">
            <v>46047</v>
          </cell>
          <cell r="AM264" t="str">
            <v>TEMP</v>
          </cell>
          <cell r="AN264" t="str">
            <v>3P Onsite Worker</v>
          </cell>
          <cell r="AO264" t="str">
            <v>A</v>
          </cell>
          <cell r="AP264">
            <v>9</v>
          </cell>
          <cell r="AQ264">
            <v>0</v>
          </cell>
          <cell r="AR264">
            <v>1</v>
          </cell>
          <cell r="AS264">
            <v>1</v>
          </cell>
          <cell r="AT264">
            <v>0</v>
          </cell>
          <cell r="AU264">
            <v>0</v>
          </cell>
        </row>
        <row r="265">
          <cell r="D265" t="str">
            <v>diclklin</v>
          </cell>
          <cell r="E265">
            <v>204246161</v>
          </cell>
          <cell r="F265" t="str">
            <v>A</v>
          </cell>
          <cell r="G265" t="str">
            <v>GREEN</v>
          </cell>
          <cell r="H265" t="str">
            <v>FULL_TIME</v>
          </cell>
          <cell r="I265">
            <v>900234</v>
          </cell>
          <cell r="J265" t="str">
            <v>Quesscorp</v>
          </cell>
          <cell r="K265" t="str">
            <v>Dickson Kojo Klinogo</v>
          </cell>
          <cell r="L265" t="str">
            <v>Warehouse Associate (TEMP)</v>
          </cell>
          <cell r="M265" t="str">
            <v>Warehouse Associate 24M</v>
          </cell>
          <cell r="N265" t="str">
            <v>pparsin</v>
          </cell>
          <cell r="O265">
            <v>1299</v>
          </cell>
          <cell r="P265" t="str">
            <v>AUH1</v>
          </cell>
          <cell r="Q265" t="str">
            <v>ARE</v>
          </cell>
          <cell r="R265" t="str">
            <v>FC059</v>
          </cell>
          <cell r="S265" t="str">
            <v>Day Shift</v>
          </cell>
          <cell r="T265">
            <v>99</v>
          </cell>
          <cell r="U265" t="str">
            <v>MENA_UAE_FC</v>
          </cell>
          <cell r="X265">
            <v>46257.333333333336</v>
          </cell>
          <cell r="Y265">
            <v>46257.75</v>
          </cell>
          <cell r="Z265" t="str">
            <v>Rest Day</v>
          </cell>
          <cell r="AA265" t="str">
            <v>Not Scheduled</v>
          </cell>
          <cell r="AB265" t="str">
            <v>Not Present</v>
          </cell>
          <cell r="AC265" t="str">
            <v>Inbound</v>
          </cell>
          <cell r="AD265" t="str">
            <v>IB Problem Solve</v>
          </cell>
          <cell r="AE265" t="str">
            <v>Receive</v>
          </cell>
          <cell r="AF265" t="str">
            <v>Sunday</v>
          </cell>
          <cell r="AG265" t="str">
            <v>Monday</v>
          </cell>
          <cell r="AH265">
            <v>6</v>
          </cell>
          <cell r="AJ265">
            <v>45578</v>
          </cell>
          <cell r="AM265" t="str">
            <v>TEMP</v>
          </cell>
          <cell r="AN265" t="str">
            <v>3P Onsite Worker</v>
          </cell>
          <cell r="AO265" t="str">
            <v>A</v>
          </cell>
          <cell r="AP265">
            <v>9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</row>
        <row r="266">
          <cell r="D266" t="str">
            <v>dilwinja</v>
          </cell>
          <cell r="E266">
            <v>203813032</v>
          </cell>
          <cell r="F266" t="str">
            <v>A</v>
          </cell>
          <cell r="G266" t="str">
            <v>GREEN</v>
          </cell>
          <cell r="H266" t="str">
            <v>FULL_TIME</v>
          </cell>
          <cell r="I266">
            <v>900234</v>
          </cell>
          <cell r="J266" t="str">
            <v>Adecco</v>
          </cell>
          <cell r="K266" t="str">
            <v>DILWIN JOSE</v>
          </cell>
          <cell r="L266" t="str">
            <v>Warehouse Associate (TEMP)</v>
          </cell>
          <cell r="M266" t="str">
            <v>Warehouse Associate 24M</v>
          </cell>
          <cell r="N266" t="str">
            <v>ansammar</v>
          </cell>
          <cell r="O266">
            <v>1299</v>
          </cell>
          <cell r="P266" t="str">
            <v>AUH1</v>
          </cell>
          <cell r="Q266" t="str">
            <v>ARE</v>
          </cell>
          <cell r="R266" t="str">
            <v>FC159</v>
          </cell>
          <cell r="S266" t="str">
            <v>Day Shift</v>
          </cell>
          <cell r="T266">
            <v>99</v>
          </cell>
          <cell r="U266" t="str">
            <v>MENA_UAE_FC</v>
          </cell>
          <cell r="V266">
            <v>46257.330555555556</v>
          </cell>
          <cell r="W266">
            <v>46257.75</v>
          </cell>
          <cell r="X266">
            <v>46257.333333333336</v>
          </cell>
          <cell r="Y266">
            <v>46257.75</v>
          </cell>
          <cell r="AA266" t="str">
            <v>Scheduled</v>
          </cell>
          <cell r="AB266" t="str">
            <v>Present</v>
          </cell>
          <cell r="AC266" t="str">
            <v>Outbound</v>
          </cell>
          <cell r="AD266" t="str">
            <v>Picking</v>
          </cell>
          <cell r="AE266" t="str">
            <v>Pick</v>
          </cell>
          <cell r="AF266" t="str">
            <v>Thursday</v>
          </cell>
          <cell r="AG266" t="str">
            <v>Friday</v>
          </cell>
          <cell r="AH266">
            <v>13</v>
          </cell>
          <cell r="AJ266">
            <v>45516</v>
          </cell>
          <cell r="AM266" t="str">
            <v>TEMP</v>
          </cell>
          <cell r="AN266" t="str">
            <v>3P Onsite Worker</v>
          </cell>
          <cell r="AO266" t="str">
            <v>A</v>
          </cell>
          <cell r="AP266">
            <v>9</v>
          </cell>
          <cell r="AQ266">
            <v>0</v>
          </cell>
          <cell r="AR266">
            <v>1</v>
          </cell>
          <cell r="AS266">
            <v>1</v>
          </cell>
          <cell r="AT266">
            <v>0</v>
          </cell>
          <cell r="AU266">
            <v>0</v>
          </cell>
        </row>
        <row r="267">
          <cell r="D267" t="str">
            <v>dimohanr</v>
          </cell>
          <cell r="E267">
            <v>102582327</v>
          </cell>
          <cell r="F267" t="str">
            <v>A</v>
          </cell>
          <cell r="G267" t="str">
            <v>BLUE</v>
          </cell>
          <cell r="H267" t="str">
            <v>FULL_TIME</v>
          </cell>
          <cell r="I267" t="str">
            <v>P03231</v>
          </cell>
          <cell r="K267" t="str">
            <v>Dineshkumar Mohanraj</v>
          </cell>
          <cell r="L267" t="str">
            <v>FC Associate III</v>
          </cell>
          <cell r="M267" t="str">
            <v>Operations Supervisor</v>
          </cell>
          <cell r="N267" t="str">
            <v>vkkatyal</v>
          </cell>
          <cell r="O267">
            <v>1299</v>
          </cell>
          <cell r="P267" t="str">
            <v>AUH1</v>
          </cell>
          <cell r="Q267" t="str">
            <v>ARE</v>
          </cell>
          <cell r="R267" t="str">
            <v>LK013</v>
          </cell>
          <cell r="S267" t="str">
            <v>Night Shift</v>
          </cell>
          <cell r="T267">
            <v>3</v>
          </cell>
          <cell r="U267" t="str">
            <v>MENA_UAE_FC</v>
          </cell>
          <cell r="X267">
            <v>46257.756944444445</v>
          </cell>
          <cell r="Y267">
            <v>46258.173611111109</v>
          </cell>
          <cell r="Z267" t="str">
            <v>Rest Day</v>
          </cell>
          <cell r="AA267" t="str">
            <v>Not Scheduled</v>
          </cell>
          <cell r="AB267" t="str">
            <v>Not Present</v>
          </cell>
          <cell r="AC267" t="str">
            <v>Inbound</v>
          </cell>
          <cell r="AD267" t="str">
            <v>IB Lead/PA</v>
          </cell>
          <cell r="AE267" t="str">
            <v>Receive</v>
          </cell>
          <cell r="AF267" t="str">
            <v>Sunday</v>
          </cell>
          <cell r="AG267" t="str">
            <v>Monday</v>
          </cell>
          <cell r="AH267">
            <v>5</v>
          </cell>
          <cell r="AJ267">
            <v>42959</v>
          </cell>
          <cell r="AM267" t="str">
            <v>FC</v>
          </cell>
          <cell r="AN267" t="str">
            <v>Regular Full Time</v>
          </cell>
          <cell r="AO267" t="str">
            <v>A</v>
          </cell>
          <cell r="AP267">
            <v>9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</row>
        <row r="268">
          <cell r="D268" t="str">
            <v>dogfranc</v>
          </cell>
          <cell r="E268">
            <v>204246172</v>
          </cell>
          <cell r="F268" t="str">
            <v>A</v>
          </cell>
          <cell r="G268" t="str">
            <v>GREEN</v>
          </cell>
          <cell r="H268" t="str">
            <v>FULL_TIME</v>
          </cell>
          <cell r="I268">
            <v>900234</v>
          </cell>
          <cell r="J268" t="str">
            <v>Quesscorp</v>
          </cell>
          <cell r="K268" t="str">
            <v>Francis Yaw Dogli</v>
          </cell>
          <cell r="L268" t="str">
            <v>Warehouse Associate (TEMP)</v>
          </cell>
          <cell r="M268" t="str">
            <v>Warehouse Associate 8W</v>
          </cell>
          <cell r="N268" t="str">
            <v>aanso</v>
          </cell>
          <cell r="O268">
            <v>1299</v>
          </cell>
          <cell r="P268" t="str">
            <v>AUH1</v>
          </cell>
          <cell r="Q268" t="str">
            <v>ARE</v>
          </cell>
          <cell r="R268" t="str">
            <v>LK017</v>
          </cell>
          <cell r="S268" t="str">
            <v>Night Shift</v>
          </cell>
          <cell r="T268">
            <v>99</v>
          </cell>
          <cell r="U268" t="str">
            <v>MENA_UAE_FC</v>
          </cell>
          <cell r="V268">
            <v>46257.754166666666</v>
          </cell>
          <cell r="X268">
            <v>46257.756944444445</v>
          </cell>
          <cell r="Y268">
            <v>46258.173611111109</v>
          </cell>
          <cell r="AA268" t="str">
            <v>Scheduled</v>
          </cell>
          <cell r="AB268" t="str">
            <v>Present</v>
          </cell>
          <cell r="AC268" t="str">
            <v>Customer returns</v>
          </cell>
          <cell r="AD268" t="str">
            <v>Customer Returns</v>
          </cell>
          <cell r="AE268" t="str">
            <v>Customer returns</v>
          </cell>
          <cell r="AF268" t="str">
            <v>Thursday</v>
          </cell>
          <cell r="AG268" t="str">
            <v>Friday</v>
          </cell>
          <cell r="AH268">
            <v>22</v>
          </cell>
          <cell r="AJ268">
            <v>46019</v>
          </cell>
          <cell r="AM268" t="str">
            <v>TEMP</v>
          </cell>
          <cell r="AN268" t="str">
            <v>3P Onsite Worker</v>
          </cell>
          <cell r="AO268" t="str">
            <v>A</v>
          </cell>
          <cell r="AP268">
            <v>9</v>
          </cell>
          <cell r="AQ268">
            <v>0</v>
          </cell>
          <cell r="AR268">
            <v>1</v>
          </cell>
          <cell r="AS268">
            <v>1</v>
          </cell>
          <cell r="AT268">
            <v>0</v>
          </cell>
          <cell r="AU268">
            <v>0</v>
          </cell>
        </row>
        <row r="269">
          <cell r="D269" t="str">
            <v>dorasare</v>
          </cell>
          <cell r="E269">
            <v>203468318</v>
          </cell>
          <cell r="F269" t="str">
            <v>A</v>
          </cell>
          <cell r="G269" t="str">
            <v>GREEN</v>
          </cell>
          <cell r="H269" t="str">
            <v>FULL_TIME</v>
          </cell>
          <cell r="I269">
            <v>900234</v>
          </cell>
          <cell r="J269" t="str">
            <v>Fastlink Outsourcing</v>
          </cell>
          <cell r="K269" t="str">
            <v>Dorothy Asare</v>
          </cell>
          <cell r="L269" t="str">
            <v>Warehouse Associate (TEMP)</v>
          </cell>
          <cell r="M269" t="str">
            <v>Warehouse Associate 12M</v>
          </cell>
          <cell r="N269" t="str">
            <v>nnahla</v>
          </cell>
          <cell r="O269">
            <v>1299</v>
          </cell>
          <cell r="P269" t="str">
            <v>AUH1</v>
          </cell>
          <cell r="Q269" t="str">
            <v>ARE</v>
          </cell>
          <cell r="R269" t="str">
            <v>FC059</v>
          </cell>
          <cell r="S269" t="str">
            <v>Day Shift</v>
          </cell>
          <cell r="T269">
            <v>99</v>
          </cell>
          <cell r="U269" t="str">
            <v>MENA_UAE_FC</v>
          </cell>
          <cell r="X269">
            <v>46257.333333333336</v>
          </cell>
          <cell r="Y269">
            <v>46257.75</v>
          </cell>
          <cell r="Z269" t="str">
            <v>Rest Day</v>
          </cell>
          <cell r="AA269" t="str">
            <v>Not Scheduled</v>
          </cell>
          <cell r="AB269" t="str">
            <v>Not Present</v>
          </cell>
          <cell r="AC269" t="str">
            <v>Inbound</v>
          </cell>
          <cell r="AD269" t="str">
            <v>Inbound Stow</v>
          </cell>
          <cell r="AE269" t="str">
            <v>Stow</v>
          </cell>
          <cell r="AF269" t="str">
            <v>Sunday</v>
          </cell>
          <cell r="AG269" t="str">
            <v>Monday</v>
          </cell>
          <cell r="AH269">
            <v>3</v>
          </cell>
          <cell r="AJ269">
            <v>45455</v>
          </cell>
          <cell r="AM269" t="str">
            <v>TEMP</v>
          </cell>
          <cell r="AN269" t="str">
            <v>3P Onsite Worker</v>
          </cell>
          <cell r="AO269" t="str">
            <v>A</v>
          </cell>
          <cell r="AP269">
            <v>9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</row>
        <row r="270">
          <cell r="D270" t="str">
            <v>douglalx</v>
          </cell>
          <cell r="E270">
            <v>206873868</v>
          </cell>
          <cell r="F270" t="str">
            <v>A</v>
          </cell>
          <cell r="G270" t="str">
            <v>GREEN</v>
          </cell>
          <cell r="H270" t="str">
            <v>FULL_TIME</v>
          </cell>
          <cell r="I270">
            <v>900234</v>
          </cell>
          <cell r="J270" t="str">
            <v>Dulsco L.L.C.</v>
          </cell>
          <cell r="K270" t="str">
            <v>DOUGLAS ALEXANDA BIYUNGU</v>
          </cell>
          <cell r="L270" t="str">
            <v>Warehouse Associate (TEMP)</v>
          </cell>
          <cell r="M270" t="str">
            <v>Warehouse Associate 8W</v>
          </cell>
          <cell r="N270" t="str">
            <v>vkkatyal</v>
          </cell>
          <cell r="O270">
            <v>1299</v>
          </cell>
          <cell r="P270" t="str">
            <v>AUH1</v>
          </cell>
          <cell r="Q270" t="str">
            <v>ARE</v>
          </cell>
          <cell r="R270" t="str">
            <v>FC059</v>
          </cell>
          <cell r="S270" t="str">
            <v>Day Shift</v>
          </cell>
          <cell r="T270">
            <v>99</v>
          </cell>
          <cell r="U270" t="str">
            <v>MENA_UAE_FC</v>
          </cell>
          <cell r="X270">
            <v>46257.333333333336</v>
          </cell>
          <cell r="Y270">
            <v>46257.75</v>
          </cell>
          <cell r="Z270" t="str">
            <v>Rest Day</v>
          </cell>
          <cell r="AA270" t="str">
            <v>Not Scheduled</v>
          </cell>
          <cell r="AB270" t="str">
            <v>Not Present</v>
          </cell>
          <cell r="AC270" t="str">
            <v>Inbound</v>
          </cell>
          <cell r="AD270" t="str">
            <v>Inbound Stow</v>
          </cell>
          <cell r="AE270" t="str">
            <v>Stow</v>
          </cell>
          <cell r="AF270" t="str">
            <v>Sunday</v>
          </cell>
          <cell r="AG270" t="str">
            <v>Monday</v>
          </cell>
          <cell r="AH270">
            <v>3</v>
          </cell>
          <cell r="AJ270">
            <v>46019</v>
          </cell>
          <cell r="AM270" t="str">
            <v>TEMP</v>
          </cell>
          <cell r="AN270" t="str">
            <v>3P Onsite Worker</v>
          </cell>
          <cell r="AO270" t="str">
            <v>A</v>
          </cell>
          <cell r="AP270">
            <v>9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</row>
        <row r="271">
          <cell r="D271" t="str">
            <v>dpbikram</v>
          </cell>
          <cell r="E271">
            <v>204172234</v>
          </cell>
          <cell r="F271" t="str">
            <v>A</v>
          </cell>
          <cell r="G271" t="str">
            <v>GREEN</v>
          </cell>
          <cell r="H271" t="str">
            <v>FULL_TIME</v>
          </cell>
          <cell r="I271">
            <v>900234</v>
          </cell>
          <cell r="J271" t="str">
            <v>Dulsco L.L.C.</v>
          </cell>
          <cell r="K271" t="str">
            <v>BIKRAM DHAKAL</v>
          </cell>
          <cell r="L271" t="str">
            <v>Warehouse Associate (TEMP)</v>
          </cell>
          <cell r="M271" t="str">
            <v>Warehouse Associate 8W</v>
          </cell>
          <cell r="N271" t="str">
            <v>lraghava</v>
          </cell>
          <cell r="O271">
            <v>1299</v>
          </cell>
          <cell r="P271" t="str">
            <v>AUH1</v>
          </cell>
          <cell r="Q271" t="str">
            <v>ARE</v>
          </cell>
          <cell r="R271" t="str">
            <v>LK017</v>
          </cell>
          <cell r="S271" t="str">
            <v>Night Shift</v>
          </cell>
          <cell r="T271">
            <v>99</v>
          </cell>
          <cell r="U271" t="str">
            <v>MENA_UAE_FC</v>
          </cell>
          <cell r="V271">
            <v>46257.754861111112</v>
          </cell>
          <cell r="X271">
            <v>46257.756944444445</v>
          </cell>
          <cell r="Y271">
            <v>46258.173611111109</v>
          </cell>
          <cell r="AA271" t="str">
            <v>Scheduled</v>
          </cell>
          <cell r="AB271" t="str">
            <v>Present</v>
          </cell>
          <cell r="AC271" t="str">
            <v>Outbound</v>
          </cell>
          <cell r="AD271" t="str">
            <v>Picking</v>
          </cell>
          <cell r="AE271" t="str">
            <v>Pick</v>
          </cell>
          <cell r="AF271" t="str">
            <v>Thursday</v>
          </cell>
          <cell r="AG271" t="str">
            <v>Friday</v>
          </cell>
          <cell r="AH271">
            <v>13</v>
          </cell>
          <cell r="AJ271">
            <v>45567</v>
          </cell>
          <cell r="AM271" t="str">
            <v>TEMP</v>
          </cell>
          <cell r="AN271" t="str">
            <v>3P Onsite Worker</v>
          </cell>
          <cell r="AO271" t="str">
            <v>A</v>
          </cell>
          <cell r="AP271">
            <v>9</v>
          </cell>
          <cell r="AQ271">
            <v>0</v>
          </cell>
          <cell r="AR271">
            <v>1</v>
          </cell>
          <cell r="AS271">
            <v>1</v>
          </cell>
          <cell r="AT271">
            <v>0</v>
          </cell>
          <cell r="AU271">
            <v>0</v>
          </cell>
        </row>
        <row r="272">
          <cell r="D272" t="str">
            <v>dprincer</v>
          </cell>
          <cell r="E272">
            <v>204967040</v>
          </cell>
          <cell r="F272" t="str">
            <v>A</v>
          </cell>
          <cell r="G272" t="str">
            <v>GREEN</v>
          </cell>
          <cell r="H272" t="str">
            <v>FULL_TIME</v>
          </cell>
          <cell r="I272">
            <v>900234</v>
          </cell>
          <cell r="J272" t="str">
            <v>Dulsco L.L.C.</v>
          </cell>
          <cell r="K272" t="str">
            <v>PRINCE RICHARD DARKO SRAHA</v>
          </cell>
          <cell r="L272" t="str">
            <v>Warehouse Associate (TEMP)</v>
          </cell>
          <cell r="M272" t="str">
            <v>Warehouse Associate 24M</v>
          </cell>
          <cell r="N272" t="str">
            <v>kebedeed</v>
          </cell>
          <cell r="O272">
            <v>1299</v>
          </cell>
          <cell r="P272" t="str">
            <v>AUH1</v>
          </cell>
          <cell r="Q272" t="str">
            <v>ARE</v>
          </cell>
          <cell r="R272" t="str">
            <v>LK013</v>
          </cell>
          <cell r="S272" t="str">
            <v>Night Shift</v>
          </cell>
          <cell r="T272">
            <v>99</v>
          </cell>
          <cell r="U272" t="str">
            <v>MENA_UAE_FC</v>
          </cell>
          <cell r="X272">
            <v>46257.75</v>
          </cell>
          <cell r="Y272">
            <v>46258.166666666664</v>
          </cell>
          <cell r="Z272" t="str">
            <v>Rest Day</v>
          </cell>
          <cell r="AA272" t="str">
            <v>Not Scheduled</v>
          </cell>
          <cell r="AB272" t="str">
            <v>Not Present</v>
          </cell>
          <cell r="AC272" t="str">
            <v>ICQA</v>
          </cell>
          <cell r="AD272" t="str">
            <v>IC/QA/CS</v>
          </cell>
          <cell r="AE272" t="str">
            <v>Support</v>
          </cell>
          <cell r="AF272" t="str">
            <v>Sunday</v>
          </cell>
          <cell r="AG272" t="str">
            <v>Monday</v>
          </cell>
          <cell r="AH272">
            <v>27</v>
          </cell>
          <cell r="AJ272">
            <v>45718</v>
          </cell>
          <cell r="AM272" t="str">
            <v>TEMP</v>
          </cell>
          <cell r="AN272" t="str">
            <v>3P Onsite Worker</v>
          </cell>
          <cell r="AO272" t="str">
            <v>A</v>
          </cell>
          <cell r="AP272">
            <v>9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</row>
        <row r="273">
          <cell r="D273" t="str">
            <v>drabimah</v>
          </cell>
          <cell r="E273">
            <v>204009351</v>
          </cell>
          <cell r="F273" t="str">
            <v>A</v>
          </cell>
          <cell r="G273" t="str">
            <v>GREEN</v>
          </cell>
          <cell r="H273" t="str">
            <v>FULL_TIME</v>
          </cell>
          <cell r="I273">
            <v>900234</v>
          </cell>
          <cell r="J273" t="str">
            <v>Dulsco L.L.C.</v>
          </cell>
          <cell r="K273" t="str">
            <v>RABIN MAHARJAN</v>
          </cell>
          <cell r="L273" t="str">
            <v>Warehouse Associate (TEMP)</v>
          </cell>
          <cell r="M273" t="str">
            <v>Warehouse Associate 24M</v>
          </cell>
          <cell r="N273" t="str">
            <v>ansammar</v>
          </cell>
          <cell r="O273">
            <v>1299</v>
          </cell>
          <cell r="P273" t="str">
            <v>AUH1</v>
          </cell>
          <cell r="Q273" t="str">
            <v>ARE</v>
          </cell>
          <cell r="R273" t="str">
            <v>LK017</v>
          </cell>
          <cell r="S273" t="str">
            <v>Night Shift</v>
          </cell>
          <cell r="T273">
            <v>99</v>
          </cell>
          <cell r="U273" t="str">
            <v>MENA_UAE_FC</v>
          </cell>
          <cell r="V273">
            <v>46257.754861111112</v>
          </cell>
          <cell r="X273">
            <v>46257.756944444445</v>
          </cell>
          <cell r="Y273">
            <v>46258.173611111109</v>
          </cell>
          <cell r="AA273" t="str">
            <v>Scheduled</v>
          </cell>
          <cell r="AB273" t="str">
            <v>Present</v>
          </cell>
          <cell r="AC273" t="str">
            <v>Outbound</v>
          </cell>
          <cell r="AD273" t="str">
            <v>Picking</v>
          </cell>
          <cell r="AE273" t="str">
            <v>Pick</v>
          </cell>
          <cell r="AF273" t="str">
            <v>Thursday</v>
          </cell>
          <cell r="AG273" t="str">
            <v>Friday</v>
          </cell>
          <cell r="AH273">
            <v>13</v>
          </cell>
          <cell r="AJ273">
            <v>45550</v>
          </cell>
          <cell r="AM273" t="str">
            <v>TEMP</v>
          </cell>
          <cell r="AN273" t="str">
            <v>3P Onsite Worker</v>
          </cell>
          <cell r="AO273" t="str">
            <v>A</v>
          </cell>
          <cell r="AP273">
            <v>9</v>
          </cell>
          <cell r="AQ273">
            <v>0</v>
          </cell>
          <cell r="AR273">
            <v>1</v>
          </cell>
          <cell r="AS273">
            <v>1</v>
          </cell>
          <cell r="AT273">
            <v>0</v>
          </cell>
          <cell r="AU273">
            <v>0</v>
          </cell>
        </row>
        <row r="274">
          <cell r="D274" t="str">
            <v>drichani</v>
          </cell>
          <cell r="E274">
            <v>206004608</v>
          </cell>
          <cell r="F274" t="str">
            <v>A</v>
          </cell>
          <cell r="G274" t="str">
            <v>GREEN</v>
          </cell>
          <cell r="H274" t="str">
            <v>FULL_TIME</v>
          </cell>
          <cell r="I274">
            <v>900234</v>
          </cell>
          <cell r="J274" t="str">
            <v>Fastlink Outsourcing</v>
          </cell>
          <cell r="K274" t="str">
            <v>RICHARD ANIM</v>
          </cell>
          <cell r="L274" t="str">
            <v>Warehouse Associate (TEMP)</v>
          </cell>
          <cell r="M274" t="str">
            <v>Warehouse Associate 12M</v>
          </cell>
          <cell r="N274" t="str">
            <v>nnahla</v>
          </cell>
          <cell r="O274">
            <v>1299</v>
          </cell>
          <cell r="P274" t="str">
            <v>AUH1</v>
          </cell>
          <cell r="Q274" t="str">
            <v>ARE</v>
          </cell>
          <cell r="R274" t="str">
            <v>FC059</v>
          </cell>
          <cell r="S274" t="str">
            <v>Day Shift</v>
          </cell>
          <cell r="T274">
            <v>99</v>
          </cell>
          <cell r="U274" t="str">
            <v>MENA_UAE_FC</v>
          </cell>
          <cell r="X274">
            <v>46257.333333333336</v>
          </cell>
          <cell r="Y274">
            <v>46257.75</v>
          </cell>
          <cell r="Z274" t="str">
            <v>Rest Day</v>
          </cell>
          <cell r="AA274" t="str">
            <v>Not Scheduled</v>
          </cell>
          <cell r="AB274" t="str">
            <v>Not Present</v>
          </cell>
          <cell r="AC274" t="str">
            <v>Inbound</v>
          </cell>
          <cell r="AD274" t="str">
            <v>Vendor Receive</v>
          </cell>
          <cell r="AE274" t="str">
            <v>Receive</v>
          </cell>
          <cell r="AF274" t="str">
            <v>Sunday</v>
          </cell>
          <cell r="AG274" t="str">
            <v>Monday</v>
          </cell>
          <cell r="AH274">
            <v>1</v>
          </cell>
          <cell r="AJ274">
            <v>45914</v>
          </cell>
          <cell r="AM274" t="str">
            <v>TEMP</v>
          </cell>
          <cell r="AN274" t="str">
            <v>3P Onsite Worker</v>
          </cell>
          <cell r="AO274" t="str">
            <v>A</v>
          </cell>
          <cell r="AP274">
            <v>9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</row>
        <row r="275">
          <cell r="D275" t="str">
            <v>dronkate</v>
          </cell>
          <cell r="E275">
            <v>203850924</v>
          </cell>
          <cell r="F275" t="str">
            <v>A</v>
          </cell>
          <cell r="G275" t="str">
            <v>GREEN</v>
          </cell>
          <cell r="H275" t="str">
            <v>FULL_TIME</v>
          </cell>
          <cell r="I275">
            <v>900234</v>
          </cell>
          <cell r="J275" t="str">
            <v>Dulsco L.L.C.</v>
          </cell>
          <cell r="K275" t="str">
            <v>Ronald Katende</v>
          </cell>
          <cell r="L275" t="str">
            <v>Warehouse Associate (TEMP)</v>
          </cell>
          <cell r="M275" t="str">
            <v>Warehouse Associate 24M</v>
          </cell>
          <cell r="N275" t="str">
            <v>ansammar</v>
          </cell>
          <cell r="O275">
            <v>1299</v>
          </cell>
          <cell r="P275" t="str">
            <v>AUH1</v>
          </cell>
          <cell r="Q275" t="str">
            <v>ARE</v>
          </cell>
          <cell r="R275" t="str">
            <v>FC159</v>
          </cell>
          <cell r="S275" t="str">
            <v>Day Shift</v>
          </cell>
          <cell r="T275">
            <v>99</v>
          </cell>
          <cell r="U275" t="str">
            <v>MENA_UAE_FC</v>
          </cell>
          <cell r="V275">
            <v>46257.333333333336</v>
          </cell>
          <cell r="W275">
            <v>46257.749305555553</v>
          </cell>
          <cell r="X275">
            <v>46257.333333333336</v>
          </cell>
          <cell r="Y275">
            <v>46257.75</v>
          </cell>
          <cell r="AA275" t="str">
            <v>Scheduled</v>
          </cell>
          <cell r="AB275" t="str">
            <v>Present</v>
          </cell>
          <cell r="AC275" t="str">
            <v>Outbound</v>
          </cell>
          <cell r="AD275" t="str">
            <v>Sort - Batch</v>
          </cell>
          <cell r="AE275" t="str">
            <v>Sort</v>
          </cell>
          <cell r="AF275" t="str">
            <v>Thursday</v>
          </cell>
          <cell r="AG275" t="str">
            <v>Friday</v>
          </cell>
          <cell r="AH275">
            <v>15</v>
          </cell>
          <cell r="AJ275">
            <v>45523</v>
          </cell>
          <cell r="AM275" t="str">
            <v>TEMP</v>
          </cell>
          <cell r="AN275" t="str">
            <v>3P Onsite Worker</v>
          </cell>
          <cell r="AO275" t="str">
            <v>A</v>
          </cell>
          <cell r="AP275">
            <v>9</v>
          </cell>
          <cell r="AQ275">
            <v>0</v>
          </cell>
          <cell r="AR275">
            <v>1</v>
          </cell>
          <cell r="AS275">
            <v>1</v>
          </cell>
          <cell r="AT275">
            <v>0</v>
          </cell>
          <cell r="AU275">
            <v>0</v>
          </cell>
        </row>
        <row r="276">
          <cell r="D276" t="str">
            <v>dumsekeh</v>
          </cell>
          <cell r="E276">
            <v>204117681</v>
          </cell>
          <cell r="F276" t="str">
            <v>A</v>
          </cell>
          <cell r="G276" t="str">
            <v>GREEN</v>
          </cell>
          <cell r="H276" t="str">
            <v>FULL_TIME</v>
          </cell>
          <cell r="I276">
            <v>900234</v>
          </cell>
          <cell r="J276" t="str">
            <v>Quesscorp</v>
          </cell>
          <cell r="K276" t="str">
            <v>Dumse Mannette Keng</v>
          </cell>
          <cell r="L276" t="str">
            <v>Warehouse Associate (TEMP)</v>
          </cell>
          <cell r="M276" t="str">
            <v>Warehouse Associate 24M</v>
          </cell>
          <cell r="N276" t="str">
            <v>bizthoma</v>
          </cell>
          <cell r="O276">
            <v>1299</v>
          </cell>
          <cell r="P276" t="str">
            <v>AUH1</v>
          </cell>
          <cell r="Q276" t="str">
            <v>ARE</v>
          </cell>
          <cell r="R276" t="str">
            <v>LK012</v>
          </cell>
          <cell r="S276" t="str">
            <v>Night Shift</v>
          </cell>
          <cell r="T276">
            <v>99</v>
          </cell>
          <cell r="U276" t="str">
            <v>MENA_UAE_FC</v>
          </cell>
          <cell r="X276">
            <v>46257.756944444445</v>
          </cell>
          <cell r="Y276">
            <v>46258.173611111109</v>
          </cell>
          <cell r="Z276" t="str">
            <v>Rest Day</v>
          </cell>
          <cell r="AA276" t="str">
            <v>Not Scheduled</v>
          </cell>
          <cell r="AB276" t="str">
            <v>Not Present</v>
          </cell>
          <cell r="AC276" t="str">
            <v>Outbound</v>
          </cell>
          <cell r="AD276" t="str">
            <v>Picking</v>
          </cell>
          <cell r="AE276" t="str">
            <v>Pick</v>
          </cell>
          <cell r="AF276" t="str">
            <v>Saturday</v>
          </cell>
          <cell r="AG276" t="str">
            <v>Sunday</v>
          </cell>
          <cell r="AH276">
            <v>13</v>
          </cell>
          <cell r="AJ276">
            <v>45560</v>
          </cell>
          <cell r="AM276" t="str">
            <v>TEMP</v>
          </cell>
          <cell r="AN276" t="str">
            <v>3P Onsite Worker</v>
          </cell>
          <cell r="AO276" t="str">
            <v>A</v>
          </cell>
          <cell r="AP276">
            <v>9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</row>
        <row r="277">
          <cell r="D277" t="str">
            <v>durodori</v>
          </cell>
          <cell r="E277">
            <v>204868858</v>
          </cell>
          <cell r="F277" t="str">
            <v>A</v>
          </cell>
          <cell r="G277" t="str">
            <v>GREEN</v>
          </cell>
          <cell r="H277" t="str">
            <v>FULL_TIME</v>
          </cell>
          <cell r="I277">
            <v>900234</v>
          </cell>
          <cell r="J277" t="str">
            <v>Quesscorp</v>
          </cell>
          <cell r="K277" t="str">
            <v>Doris Durowaa</v>
          </cell>
          <cell r="L277" t="str">
            <v>Warehouse Associate (TEMP)</v>
          </cell>
          <cell r="M277" t="str">
            <v>Warehouse Associate 24M</v>
          </cell>
          <cell r="N277" t="str">
            <v>pparsin</v>
          </cell>
          <cell r="O277">
            <v>1299</v>
          </cell>
          <cell r="P277" t="str">
            <v>AUH1</v>
          </cell>
          <cell r="Q277" t="str">
            <v>ARE</v>
          </cell>
          <cell r="R277" t="str">
            <v>LK015</v>
          </cell>
          <cell r="S277" t="str">
            <v>Night Shift</v>
          </cell>
          <cell r="T277">
            <v>99</v>
          </cell>
          <cell r="U277" t="str">
            <v>MENA_UAE_FC</v>
          </cell>
          <cell r="V277">
            <v>46257.756944444445</v>
          </cell>
          <cell r="X277">
            <v>46257.756944444445</v>
          </cell>
          <cell r="Y277">
            <v>46258.173611111109</v>
          </cell>
          <cell r="AA277" t="str">
            <v>Scheduled</v>
          </cell>
          <cell r="AB277" t="str">
            <v>Present</v>
          </cell>
          <cell r="AC277" t="str">
            <v>Inbound</v>
          </cell>
          <cell r="AD277" t="str">
            <v>Inbound Stow</v>
          </cell>
          <cell r="AE277" t="str">
            <v>Stow</v>
          </cell>
          <cell r="AF277" t="str">
            <v>Tuesday</v>
          </cell>
          <cell r="AG277" t="str">
            <v>Wednesday</v>
          </cell>
          <cell r="AH277">
            <v>3</v>
          </cell>
          <cell r="AJ277">
            <v>45690</v>
          </cell>
          <cell r="AM277" t="str">
            <v>TEMP</v>
          </cell>
          <cell r="AN277" t="str">
            <v>3P Onsite Worker</v>
          </cell>
          <cell r="AO277" t="str">
            <v>A</v>
          </cell>
          <cell r="AP277">
            <v>9</v>
          </cell>
          <cell r="AQ277">
            <v>0</v>
          </cell>
          <cell r="AR277">
            <v>1</v>
          </cell>
          <cell r="AS277">
            <v>1</v>
          </cell>
          <cell r="AT277">
            <v>0</v>
          </cell>
          <cell r="AU277">
            <v>0</v>
          </cell>
        </row>
        <row r="278">
          <cell r="D278" t="str">
            <v>dwomclif</v>
          </cell>
          <cell r="E278">
            <v>204145465</v>
          </cell>
          <cell r="F278" t="str">
            <v>A</v>
          </cell>
          <cell r="G278" t="str">
            <v>GREEN</v>
          </cell>
          <cell r="H278" t="str">
            <v>FULL_TIME</v>
          </cell>
          <cell r="I278">
            <v>900234</v>
          </cell>
          <cell r="J278" t="str">
            <v>Quesscorp</v>
          </cell>
          <cell r="K278" t="str">
            <v>Clifford Dwomoh</v>
          </cell>
          <cell r="L278" t="str">
            <v>Warehouse Associate (TEMP)</v>
          </cell>
          <cell r="M278" t="str">
            <v>Warehouse Associate 24M</v>
          </cell>
          <cell r="N278" t="str">
            <v>mnarshad</v>
          </cell>
          <cell r="O278">
            <v>1299</v>
          </cell>
          <cell r="P278" t="str">
            <v>AUH1</v>
          </cell>
          <cell r="Q278" t="str">
            <v>ARE</v>
          </cell>
          <cell r="R278" t="str">
            <v>FC159</v>
          </cell>
          <cell r="S278" t="str">
            <v>Day Shift</v>
          </cell>
          <cell r="T278">
            <v>99</v>
          </cell>
          <cell r="U278" t="str">
            <v>MENA_UAE_FC</v>
          </cell>
          <cell r="V278">
            <v>46257.332638888889</v>
          </cell>
          <cell r="W278">
            <v>46257.633333333331</v>
          </cell>
          <cell r="X278">
            <v>46257.333333333336</v>
          </cell>
          <cell r="Y278">
            <v>46257.75</v>
          </cell>
          <cell r="AA278" t="str">
            <v>Scheduled</v>
          </cell>
          <cell r="AB278" t="str">
            <v>Present</v>
          </cell>
          <cell r="AC278" t="str">
            <v>Outbound</v>
          </cell>
          <cell r="AD278" t="str">
            <v>Sort - Batch</v>
          </cell>
          <cell r="AE278" t="str">
            <v>Sort</v>
          </cell>
          <cell r="AF278" t="str">
            <v>Thursday</v>
          </cell>
          <cell r="AG278" t="str">
            <v>Friday</v>
          </cell>
          <cell r="AH278">
            <v>15</v>
          </cell>
          <cell r="AJ278">
            <v>45567</v>
          </cell>
          <cell r="AM278" t="str">
            <v>TEMP</v>
          </cell>
          <cell r="AN278" t="str">
            <v>3P Onsite Worker</v>
          </cell>
          <cell r="AO278" t="str">
            <v>A</v>
          </cell>
          <cell r="AP278">
            <v>9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</row>
        <row r="279">
          <cell r="D279" t="str">
            <v>dxogwang</v>
          </cell>
          <cell r="E279">
            <v>206949308</v>
          </cell>
          <cell r="F279" t="str">
            <v>A</v>
          </cell>
          <cell r="G279" t="str">
            <v>GREEN</v>
          </cell>
          <cell r="H279" t="str">
            <v>FULL_TIME</v>
          </cell>
          <cell r="I279">
            <v>900234</v>
          </cell>
          <cell r="J279" t="str">
            <v>Dulsco L.L.C.</v>
          </cell>
          <cell r="K279" t="str">
            <v>DAVID OGWANG</v>
          </cell>
          <cell r="L279" t="str">
            <v>Warehouse Associate (TEMP)</v>
          </cell>
          <cell r="M279" t="str">
            <v>Warehouse Associate 24M</v>
          </cell>
          <cell r="N279" t="str">
            <v>aanso</v>
          </cell>
          <cell r="O279">
            <v>1299</v>
          </cell>
          <cell r="P279" t="str">
            <v>AUH1</v>
          </cell>
          <cell r="Q279" t="str">
            <v>ARE</v>
          </cell>
          <cell r="R279" t="str">
            <v>FC109</v>
          </cell>
          <cell r="S279" t="str">
            <v>Day Shift</v>
          </cell>
          <cell r="T279">
            <v>99</v>
          </cell>
          <cell r="U279" t="str">
            <v>MENA_UAE_FC</v>
          </cell>
          <cell r="V279">
            <v>46257.331250000003</v>
          </cell>
          <cell r="W279">
            <v>46257.747916666667</v>
          </cell>
          <cell r="X279">
            <v>46257.333333333336</v>
          </cell>
          <cell r="Y279">
            <v>46257.75</v>
          </cell>
          <cell r="AA279" t="str">
            <v>Scheduled</v>
          </cell>
          <cell r="AB279" t="str">
            <v>Present</v>
          </cell>
          <cell r="AC279" t="str">
            <v>Customer returns</v>
          </cell>
          <cell r="AD279" t="str">
            <v>Customer Returns</v>
          </cell>
          <cell r="AE279" t="str">
            <v>Customer returns</v>
          </cell>
          <cell r="AF279" t="str">
            <v>Tuesday</v>
          </cell>
          <cell r="AG279" t="str">
            <v>Wednesday</v>
          </cell>
          <cell r="AH279">
            <v>22</v>
          </cell>
          <cell r="AJ279">
            <v>46047</v>
          </cell>
          <cell r="AM279" t="str">
            <v>TEMP</v>
          </cell>
          <cell r="AN279" t="str">
            <v>3P Onsite Worker</v>
          </cell>
          <cell r="AO279" t="str">
            <v>A</v>
          </cell>
          <cell r="AP279">
            <v>9</v>
          </cell>
          <cell r="AQ279">
            <v>0</v>
          </cell>
          <cell r="AR279">
            <v>1</v>
          </cell>
          <cell r="AS279">
            <v>1</v>
          </cell>
          <cell r="AT279">
            <v>0</v>
          </cell>
          <cell r="AU279">
            <v>0</v>
          </cell>
        </row>
        <row r="280">
          <cell r="D280" t="str">
            <v>eamosamu</v>
          </cell>
          <cell r="E280">
            <v>204868706</v>
          </cell>
          <cell r="F280" t="str">
            <v>A</v>
          </cell>
          <cell r="G280" t="str">
            <v>GREEN</v>
          </cell>
          <cell r="H280" t="str">
            <v>FULL_TIME</v>
          </cell>
          <cell r="I280">
            <v>900234</v>
          </cell>
          <cell r="J280" t="str">
            <v>Dulsco L.L.C.</v>
          </cell>
          <cell r="K280" t="str">
            <v>SAMUEL AMOAKO</v>
          </cell>
          <cell r="L280" t="str">
            <v>Warehouse Associate (TEMP)</v>
          </cell>
          <cell r="M280" t="str">
            <v>Warehouse Associate 24M</v>
          </cell>
          <cell r="N280" t="str">
            <v>ansammar</v>
          </cell>
          <cell r="O280">
            <v>1299</v>
          </cell>
          <cell r="P280" t="str">
            <v>AUH1</v>
          </cell>
          <cell r="Q280" t="str">
            <v>ARE</v>
          </cell>
          <cell r="R280" t="str">
            <v>FC134</v>
          </cell>
          <cell r="S280" t="str">
            <v>Day Shift</v>
          </cell>
          <cell r="T280">
            <v>99</v>
          </cell>
          <cell r="U280" t="str">
            <v>MENA_UAE_FC</v>
          </cell>
          <cell r="V280">
            <v>46257.335416666669</v>
          </cell>
          <cell r="W280">
            <v>46257.75</v>
          </cell>
          <cell r="X280">
            <v>46257.333333333336</v>
          </cell>
          <cell r="Y280">
            <v>46257.75</v>
          </cell>
          <cell r="AA280" t="str">
            <v>Scheduled</v>
          </cell>
          <cell r="AB280" t="str">
            <v>Present</v>
          </cell>
          <cell r="AC280" t="str">
            <v>Outbound</v>
          </cell>
          <cell r="AD280" t="str">
            <v>Picking</v>
          </cell>
          <cell r="AE280" t="str">
            <v>Pick</v>
          </cell>
          <cell r="AF280" t="str">
            <v>Wednesday</v>
          </cell>
          <cell r="AG280" t="str">
            <v>Thursday</v>
          </cell>
          <cell r="AH280">
            <v>13</v>
          </cell>
          <cell r="AJ280">
            <v>45893</v>
          </cell>
          <cell r="AM280" t="str">
            <v>TEMP</v>
          </cell>
          <cell r="AN280" t="str">
            <v>3P Onsite Worker</v>
          </cell>
          <cell r="AO280" t="str">
            <v>A</v>
          </cell>
          <cell r="AP280">
            <v>9</v>
          </cell>
          <cell r="AQ280">
            <v>0</v>
          </cell>
          <cell r="AR280">
            <v>1</v>
          </cell>
          <cell r="AS280">
            <v>1</v>
          </cell>
          <cell r="AT280">
            <v>0</v>
          </cell>
          <cell r="AU280">
            <v>0</v>
          </cell>
        </row>
        <row r="281">
          <cell r="D281" t="str">
            <v>earbajen</v>
          </cell>
          <cell r="E281">
            <v>203521137</v>
          </cell>
          <cell r="F281" t="str">
            <v>A</v>
          </cell>
          <cell r="G281" t="str">
            <v>GREEN</v>
          </cell>
          <cell r="H281" t="str">
            <v>FULL_TIME</v>
          </cell>
          <cell r="I281">
            <v>900234</v>
          </cell>
          <cell r="J281" t="str">
            <v>Fastlink Outsourcing</v>
          </cell>
          <cell r="K281" t="str">
            <v>Jennifer Arbah</v>
          </cell>
          <cell r="L281" t="str">
            <v>Warehouse Associate (TEMP)</v>
          </cell>
          <cell r="M281" t="str">
            <v>Warehouse Associate 12M</v>
          </cell>
          <cell r="N281" t="str">
            <v>mnarshad</v>
          </cell>
          <cell r="O281">
            <v>1299</v>
          </cell>
          <cell r="P281" t="str">
            <v>AUH1</v>
          </cell>
          <cell r="Q281" t="str">
            <v>ARE</v>
          </cell>
          <cell r="R281" t="str">
            <v>FC134</v>
          </cell>
          <cell r="S281" t="str">
            <v>Day Shift</v>
          </cell>
          <cell r="T281">
            <v>99</v>
          </cell>
          <cell r="U281" t="str">
            <v>MENA_UAE_FC</v>
          </cell>
          <cell r="V281">
            <v>46257.331944444442</v>
          </cell>
          <cell r="W281">
            <v>46257.750694444447</v>
          </cell>
          <cell r="X281">
            <v>46257.333333333336</v>
          </cell>
          <cell r="Y281">
            <v>46257.75</v>
          </cell>
          <cell r="AA281" t="str">
            <v>Scheduled</v>
          </cell>
          <cell r="AB281" t="str">
            <v>Present</v>
          </cell>
          <cell r="AC281" t="str">
            <v>Outbound</v>
          </cell>
          <cell r="AD281" t="str">
            <v>Picking</v>
          </cell>
          <cell r="AE281" t="str">
            <v>Pick</v>
          </cell>
          <cell r="AF281" t="str">
            <v>Wednesday</v>
          </cell>
          <cell r="AG281" t="str">
            <v>Thursday</v>
          </cell>
          <cell r="AH281">
            <v>13</v>
          </cell>
          <cell r="AJ281">
            <v>45462</v>
          </cell>
          <cell r="AM281" t="str">
            <v>TEMP</v>
          </cell>
          <cell r="AN281" t="str">
            <v>3P Onsite Worker</v>
          </cell>
          <cell r="AO281" t="str">
            <v>A</v>
          </cell>
          <cell r="AP281">
            <v>9</v>
          </cell>
          <cell r="AQ281">
            <v>0</v>
          </cell>
          <cell r="AR281">
            <v>1</v>
          </cell>
          <cell r="AS281">
            <v>1</v>
          </cell>
          <cell r="AT281">
            <v>0</v>
          </cell>
          <cell r="AU281">
            <v>0</v>
          </cell>
        </row>
        <row r="282">
          <cell r="D282" t="str">
            <v>ebenfbra</v>
          </cell>
          <cell r="E282">
            <v>203908859</v>
          </cell>
          <cell r="F282" t="str">
            <v>A</v>
          </cell>
          <cell r="G282" t="str">
            <v>GREEN</v>
          </cell>
          <cell r="H282" t="str">
            <v>FULL_TIME</v>
          </cell>
          <cell r="I282">
            <v>900234</v>
          </cell>
          <cell r="J282" t="str">
            <v>Fastlink Outsourcing</v>
          </cell>
          <cell r="K282" t="str">
            <v>Ebenezer Brabi</v>
          </cell>
          <cell r="L282" t="str">
            <v>Warehouse Associate (TEMP)</v>
          </cell>
          <cell r="M282" t="str">
            <v>Warehouse Associate 12M</v>
          </cell>
          <cell r="N282" t="str">
            <v>lraghava</v>
          </cell>
          <cell r="O282">
            <v>1299</v>
          </cell>
          <cell r="P282" t="str">
            <v>AUH1</v>
          </cell>
          <cell r="Q282" t="str">
            <v>ARE</v>
          </cell>
          <cell r="R282" t="str">
            <v>FC059</v>
          </cell>
          <cell r="S282" t="str">
            <v>Day Shift</v>
          </cell>
          <cell r="T282">
            <v>99</v>
          </cell>
          <cell r="U282" t="str">
            <v>MENA_UAE_FC</v>
          </cell>
          <cell r="X282">
            <v>46257.333333333336</v>
          </cell>
          <cell r="Y282">
            <v>46257.75</v>
          </cell>
          <cell r="Z282" t="str">
            <v>Rest Day</v>
          </cell>
          <cell r="AA282" t="str">
            <v>Not Scheduled</v>
          </cell>
          <cell r="AB282" t="str">
            <v>Not Present</v>
          </cell>
          <cell r="AC282" t="str">
            <v>Outbound</v>
          </cell>
          <cell r="AD282" t="str">
            <v>Picking</v>
          </cell>
          <cell r="AE282" t="str">
            <v>Pick</v>
          </cell>
          <cell r="AF282" t="str">
            <v>Sunday</v>
          </cell>
          <cell r="AG282" t="str">
            <v>Monday</v>
          </cell>
          <cell r="AH282">
            <v>13</v>
          </cell>
          <cell r="AJ282">
            <v>45536</v>
          </cell>
          <cell r="AM282" t="str">
            <v>TEMP</v>
          </cell>
          <cell r="AN282" t="str">
            <v>3P Onsite Worker</v>
          </cell>
          <cell r="AO282" t="str">
            <v>A</v>
          </cell>
          <cell r="AP282">
            <v>9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</row>
        <row r="283">
          <cell r="D283" t="str">
            <v>echubobo</v>
          </cell>
          <cell r="E283">
            <v>206897556</v>
          </cell>
          <cell r="F283" t="str">
            <v>A</v>
          </cell>
          <cell r="G283" t="str">
            <v>GREEN</v>
          </cell>
          <cell r="H283" t="str">
            <v>REDUCED</v>
          </cell>
          <cell r="I283">
            <v>900234</v>
          </cell>
          <cell r="J283" t="str">
            <v>Fastlink Outsourcing</v>
          </cell>
          <cell r="K283" t="str">
            <v>BORIS ECHUBOU NANA</v>
          </cell>
          <cell r="L283" t="str">
            <v>Warehouse Associate (TEMP)</v>
          </cell>
          <cell r="M283" t="str">
            <v>Warehouse Associate 8W</v>
          </cell>
          <cell r="N283" t="str">
            <v>bizthoma</v>
          </cell>
          <cell r="O283">
            <v>1299</v>
          </cell>
          <cell r="P283" t="str">
            <v>AUH1</v>
          </cell>
          <cell r="Q283" t="str">
            <v>ARE</v>
          </cell>
          <cell r="R283" t="str">
            <v>FC554</v>
          </cell>
          <cell r="S283" t="str">
            <v>Night Shift</v>
          </cell>
          <cell r="T283">
            <v>99</v>
          </cell>
          <cell r="U283" t="str">
            <v>MENA_UAE_FC</v>
          </cell>
          <cell r="X283">
            <v>46257.756944444445</v>
          </cell>
          <cell r="Y283">
            <v>46258.090277777781</v>
          </cell>
          <cell r="Z283" t="str">
            <v>Rest Day</v>
          </cell>
          <cell r="AA283" t="str">
            <v>Not Scheduled</v>
          </cell>
          <cell r="AB283" t="str">
            <v>Not Present</v>
          </cell>
          <cell r="AC283" t="str">
            <v>Outbound</v>
          </cell>
          <cell r="AD283" t="str">
            <v>Picking</v>
          </cell>
          <cell r="AE283" t="str">
            <v>Pick</v>
          </cell>
          <cell r="AF283" t="str">
            <v>Sunday</v>
          </cell>
          <cell r="AG283" t="str">
            <v>Monday</v>
          </cell>
          <cell r="AH283">
            <v>13</v>
          </cell>
          <cell r="AJ283">
            <v>46251</v>
          </cell>
          <cell r="AM283" t="str">
            <v>TEMP</v>
          </cell>
          <cell r="AN283" t="str">
            <v>3P Onsite Worker</v>
          </cell>
          <cell r="AO283" t="str">
            <v>A</v>
          </cell>
          <cell r="AP283">
            <v>7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</row>
        <row r="284">
          <cell r="D284" t="str">
            <v>edinakye</v>
          </cell>
          <cell r="E284">
            <v>204172862</v>
          </cell>
          <cell r="F284" t="str">
            <v>A</v>
          </cell>
          <cell r="G284" t="str">
            <v>GREEN</v>
          </cell>
          <cell r="H284" t="str">
            <v>FULL_TIME</v>
          </cell>
          <cell r="I284">
            <v>900234</v>
          </cell>
          <cell r="J284" t="str">
            <v>Fastlink Outsourcing</v>
          </cell>
          <cell r="K284" t="str">
            <v>Edina Kyeremaa</v>
          </cell>
          <cell r="L284" t="str">
            <v>Warehouse Associate (TEMP)</v>
          </cell>
          <cell r="M284" t="str">
            <v>Warehouse Associate 12M</v>
          </cell>
          <cell r="N284" t="str">
            <v>bizthoma</v>
          </cell>
          <cell r="O284">
            <v>1299</v>
          </cell>
          <cell r="P284" t="str">
            <v>AUH1</v>
          </cell>
          <cell r="Q284" t="str">
            <v>ARE</v>
          </cell>
          <cell r="R284" t="str">
            <v>LK017</v>
          </cell>
          <cell r="S284" t="str">
            <v>Night Shift</v>
          </cell>
          <cell r="T284">
            <v>99</v>
          </cell>
          <cell r="U284" t="str">
            <v>MENA_UAE_FC</v>
          </cell>
          <cell r="V284">
            <v>46257.754166666666</v>
          </cell>
          <cell r="X284">
            <v>46257.756944444445</v>
          </cell>
          <cell r="Y284">
            <v>46258.173611111109</v>
          </cell>
          <cell r="AA284" t="str">
            <v>Scheduled</v>
          </cell>
          <cell r="AB284" t="str">
            <v>Present</v>
          </cell>
          <cell r="AC284" t="str">
            <v>Outbound</v>
          </cell>
          <cell r="AD284" t="str">
            <v>Pack - Batch</v>
          </cell>
          <cell r="AE284" t="str">
            <v>Pack</v>
          </cell>
          <cell r="AF284" t="str">
            <v>Thursday</v>
          </cell>
          <cell r="AG284" t="str">
            <v>Friday</v>
          </cell>
          <cell r="AH284">
            <v>17</v>
          </cell>
          <cell r="AJ284">
            <v>45567</v>
          </cell>
          <cell r="AM284" t="str">
            <v>TEMP</v>
          </cell>
          <cell r="AN284" t="str">
            <v>3P Onsite Worker</v>
          </cell>
          <cell r="AO284" t="str">
            <v>A</v>
          </cell>
          <cell r="AP284">
            <v>9</v>
          </cell>
          <cell r="AQ284">
            <v>0</v>
          </cell>
          <cell r="AR284">
            <v>1</v>
          </cell>
          <cell r="AS284">
            <v>1</v>
          </cell>
          <cell r="AT284">
            <v>0</v>
          </cell>
          <cell r="AU284">
            <v>0</v>
          </cell>
        </row>
        <row r="285">
          <cell r="D285" t="str">
            <v>edsomweb</v>
          </cell>
          <cell r="E285">
            <v>203800485</v>
          </cell>
          <cell r="F285" t="str">
            <v>A</v>
          </cell>
          <cell r="G285" t="str">
            <v>GREEN</v>
          </cell>
          <cell r="H285" t="str">
            <v>FULL_TIME</v>
          </cell>
          <cell r="I285">
            <v>900234</v>
          </cell>
          <cell r="J285" t="str">
            <v>Dulsco L.L.C.</v>
          </cell>
          <cell r="K285" t="str">
            <v>EDSON MWEBESA</v>
          </cell>
          <cell r="L285" t="str">
            <v>Warehouse Associate (TEMP)</v>
          </cell>
          <cell r="M285" t="str">
            <v>Warehouse Associate 24M</v>
          </cell>
          <cell r="N285" t="str">
            <v>lraghava</v>
          </cell>
          <cell r="O285">
            <v>1299</v>
          </cell>
          <cell r="P285" t="str">
            <v>AUH1</v>
          </cell>
          <cell r="Q285" t="str">
            <v>ARE</v>
          </cell>
          <cell r="R285" t="str">
            <v>FC134</v>
          </cell>
          <cell r="S285" t="str">
            <v>Day Shift</v>
          </cell>
          <cell r="T285">
            <v>99</v>
          </cell>
          <cell r="U285" t="str">
            <v>MENA_UAE_FC</v>
          </cell>
          <cell r="V285">
            <v>46257.330555555556</v>
          </cell>
          <cell r="W285">
            <v>46257.747916666667</v>
          </cell>
          <cell r="X285">
            <v>46257.333333333336</v>
          </cell>
          <cell r="Y285">
            <v>46257.75</v>
          </cell>
          <cell r="AA285" t="str">
            <v>Scheduled</v>
          </cell>
          <cell r="AB285" t="str">
            <v>Present</v>
          </cell>
          <cell r="AC285" t="str">
            <v>Outbound</v>
          </cell>
          <cell r="AD285" t="str">
            <v>Picking</v>
          </cell>
          <cell r="AE285" t="str">
            <v>Pick</v>
          </cell>
          <cell r="AF285" t="str">
            <v>Wednesday</v>
          </cell>
          <cell r="AG285" t="str">
            <v>Thursday</v>
          </cell>
          <cell r="AH285">
            <v>13</v>
          </cell>
          <cell r="AJ285">
            <v>45515</v>
          </cell>
          <cell r="AM285" t="str">
            <v>TEMP</v>
          </cell>
          <cell r="AN285" t="str">
            <v>3P Onsite Worker</v>
          </cell>
          <cell r="AO285" t="str">
            <v>A</v>
          </cell>
          <cell r="AP285">
            <v>9</v>
          </cell>
          <cell r="AQ285">
            <v>0</v>
          </cell>
          <cell r="AR285">
            <v>1</v>
          </cell>
          <cell r="AS285">
            <v>1</v>
          </cell>
          <cell r="AT285">
            <v>0</v>
          </cell>
          <cell r="AU285">
            <v>0</v>
          </cell>
        </row>
        <row r="286">
          <cell r="D286" t="str">
            <v>edwamans</v>
          </cell>
          <cell r="E286">
            <v>204880567</v>
          </cell>
          <cell r="F286" t="str">
            <v>A</v>
          </cell>
          <cell r="G286" t="str">
            <v>GREEN</v>
          </cell>
          <cell r="H286" t="str">
            <v>FULL_TIME</v>
          </cell>
          <cell r="I286">
            <v>900234</v>
          </cell>
          <cell r="J286" t="str">
            <v>Dulsco L.L.C.</v>
          </cell>
          <cell r="K286" t="str">
            <v>EDWARD IBRAHIM MANSARAY</v>
          </cell>
          <cell r="L286" t="str">
            <v>Warehouse Associate (TEMP)</v>
          </cell>
          <cell r="M286" t="str">
            <v>Warehouse Associate 8W</v>
          </cell>
          <cell r="N286" t="str">
            <v>vkkatyal</v>
          </cell>
          <cell r="O286">
            <v>1299</v>
          </cell>
          <cell r="P286" t="str">
            <v>AUH1</v>
          </cell>
          <cell r="Q286" t="str">
            <v>ARE</v>
          </cell>
          <cell r="R286" t="str">
            <v>FC109</v>
          </cell>
          <cell r="S286" t="str">
            <v>Day Shift</v>
          </cell>
          <cell r="T286">
            <v>99</v>
          </cell>
          <cell r="U286" t="str">
            <v>MENA_UAE_FC</v>
          </cell>
          <cell r="V286">
            <v>46257.332638888889</v>
          </cell>
          <cell r="W286">
            <v>46257.75277777778</v>
          </cell>
          <cell r="X286">
            <v>46257.333333333336</v>
          </cell>
          <cell r="Y286">
            <v>46257.75</v>
          </cell>
          <cell r="AA286" t="str">
            <v>Scheduled</v>
          </cell>
          <cell r="AB286" t="str">
            <v>Present</v>
          </cell>
          <cell r="AC286" t="str">
            <v>Inbound</v>
          </cell>
          <cell r="AD286" t="str">
            <v>Inbound Stow</v>
          </cell>
          <cell r="AE286" t="str">
            <v>Stow</v>
          </cell>
          <cell r="AF286" t="str">
            <v>Tuesday</v>
          </cell>
          <cell r="AG286" t="str">
            <v>Wednesday</v>
          </cell>
          <cell r="AH286">
            <v>3</v>
          </cell>
          <cell r="AJ286">
            <v>45825</v>
          </cell>
          <cell r="AM286" t="str">
            <v>TEMP</v>
          </cell>
          <cell r="AN286" t="str">
            <v>3P Onsite Worker</v>
          </cell>
          <cell r="AO286" t="str">
            <v>A</v>
          </cell>
          <cell r="AP286">
            <v>9</v>
          </cell>
          <cell r="AQ286">
            <v>0</v>
          </cell>
          <cell r="AR286">
            <v>1</v>
          </cell>
          <cell r="AS286">
            <v>1</v>
          </cell>
          <cell r="AT286">
            <v>0</v>
          </cell>
          <cell r="AU286">
            <v>0</v>
          </cell>
        </row>
        <row r="287">
          <cell r="D287" t="str">
            <v>edwitane</v>
          </cell>
          <cell r="E287">
            <v>206897637</v>
          </cell>
          <cell r="F287" t="str">
            <v>A</v>
          </cell>
          <cell r="G287" t="str">
            <v>GREEN</v>
          </cell>
          <cell r="H287" t="str">
            <v>FULL_TIME</v>
          </cell>
          <cell r="I287">
            <v>900234</v>
          </cell>
          <cell r="J287" t="str">
            <v>Fastlink Outsourcing</v>
          </cell>
          <cell r="K287" t="str">
            <v>EDWIN TANETSWA MPOFU</v>
          </cell>
          <cell r="L287" t="str">
            <v>Warehouse Associate (TEMP)</v>
          </cell>
          <cell r="M287" t="str">
            <v>Warehouse Associate 8W</v>
          </cell>
          <cell r="N287" t="str">
            <v>mnarshad</v>
          </cell>
          <cell r="O287">
            <v>1299</v>
          </cell>
          <cell r="P287" t="str">
            <v>AUH1</v>
          </cell>
          <cell r="Q287" t="str">
            <v>ARE</v>
          </cell>
          <cell r="R287" t="str">
            <v>FC009</v>
          </cell>
          <cell r="S287" t="str">
            <v>Day Shift</v>
          </cell>
          <cell r="T287">
            <v>99</v>
          </cell>
          <cell r="U287" t="str">
            <v>MENA_UAE_FC</v>
          </cell>
          <cell r="V287">
            <v>46257.331944444442</v>
          </cell>
          <cell r="W287">
            <v>46257.749305555553</v>
          </cell>
          <cell r="X287">
            <v>46257.333333333336</v>
          </cell>
          <cell r="Y287">
            <v>46257.75</v>
          </cell>
          <cell r="AA287" t="str">
            <v>Scheduled</v>
          </cell>
          <cell r="AB287" t="str">
            <v>Present</v>
          </cell>
          <cell r="AC287" t="str">
            <v>Outbound</v>
          </cell>
          <cell r="AD287" t="str">
            <v>Picking</v>
          </cell>
          <cell r="AE287" t="str">
            <v>Pick</v>
          </cell>
          <cell r="AF287" t="str">
            <v>Friday</v>
          </cell>
          <cell r="AG287" t="str">
            <v>Saturday</v>
          </cell>
          <cell r="AH287">
            <v>13</v>
          </cell>
          <cell r="AJ287">
            <v>46029</v>
          </cell>
          <cell r="AM287" t="str">
            <v>TEMP</v>
          </cell>
          <cell r="AN287" t="str">
            <v>3P Onsite Worker</v>
          </cell>
          <cell r="AO287" t="str">
            <v>A</v>
          </cell>
          <cell r="AP287">
            <v>9</v>
          </cell>
          <cell r="AQ287">
            <v>0</v>
          </cell>
          <cell r="AR287">
            <v>1</v>
          </cell>
          <cell r="AS287">
            <v>1</v>
          </cell>
          <cell r="AT287">
            <v>0</v>
          </cell>
          <cell r="AU287">
            <v>0</v>
          </cell>
        </row>
        <row r="288">
          <cell r="D288" t="str">
            <v>efhayfor</v>
          </cell>
          <cell r="E288">
            <v>205627233</v>
          </cell>
          <cell r="F288" t="str">
            <v>A</v>
          </cell>
          <cell r="G288" t="str">
            <v>GREEN</v>
          </cell>
          <cell r="H288" t="str">
            <v>REDUCED</v>
          </cell>
          <cell r="I288">
            <v>900234</v>
          </cell>
          <cell r="J288" t="str">
            <v>EFS Facilities Services</v>
          </cell>
          <cell r="K288" t="str">
            <v>Hayford Effah</v>
          </cell>
          <cell r="L288" t="str">
            <v>Warehouse Associate (TEMP)</v>
          </cell>
          <cell r="M288" t="str">
            <v>Warehouse Associate 8W</v>
          </cell>
          <cell r="N288" t="str">
            <v>mnarshad</v>
          </cell>
          <cell r="O288">
            <v>1299</v>
          </cell>
          <cell r="P288" t="str">
            <v>AUH1</v>
          </cell>
          <cell r="Q288" t="str">
            <v>ARE</v>
          </cell>
          <cell r="R288" t="str">
            <v>FC558</v>
          </cell>
          <cell r="S288" t="str">
            <v>Night Shift</v>
          </cell>
          <cell r="T288">
            <v>99</v>
          </cell>
          <cell r="U288" t="str">
            <v>MENA_UAE_FC</v>
          </cell>
          <cell r="V288">
            <v>46257.755555555559</v>
          </cell>
          <cell r="X288">
            <v>46257.756944444445</v>
          </cell>
          <cell r="Y288">
            <v>46258.090277777781</v>
          </cell>
          <cell r="AA288" t="str">
            <v>Scheduled</v>
          </cell>
          <cell r="AB288" t="str">
            <v>Present</v>
          </cell>
          <cell r="AC288" t="str">
            <v>Outbound</v>
          </cell>
          <cell r="AD288" t="str">
            <v>Picking</v>
          </cell>
          <cell r="AE288" t="str">
            <v>Pick</v>
          </cell>
          <cell r="AF288" t="str">
            <v>Thursday</v>
          </cell>
          <cell r="AG288" t="str">
            <v>Friday</v>
          </cell>
          <cell r="AH288">
            <v>13</v>
          </cell>
          <cell r="AJ288">
            <v>46251</v>
          </cell>
          <cell r="AM288" t="str">
            <v>TEMP</v>
          </cell>
          <cell r="AN288" t="str">
            <v>3P Onsite Worker</v>
          </cell>
          <cell r="AO288" t="str">
            <v>A</v>
          </cell>
          <cell r="AP288">
            <v>7</v>
          </cell>
          <cell r="AQ288">
            <v>0</v>
          </cell>
          <cell r="AR288">
            <v>1</v>
          </cell>
          <cell r="AS288">
            <v>1</v>
          </cell>
          <cell r="AT288">
            <v>0</v>
          </cell>
          <cell r="AU288">
            <v>0</v>
          </cell>
        </row>
        <row r="289">
          <cell r="D289" t="str">
            <v>eindrakr</v>
          </cell>
          <cell r="E289">
            <v>204976025</v>
          </cell>
          <cell r="F289" t="str">
            <v>A</v>
          </cell>
          <cell r="G289" t="str">
            <v>GREEN</v>
          </cell>
          <cell r="H289" t="str">
            <v>FULL_TIME</v>
          </cell>
          <cell r="I289">
            <v>900234</v>
          </cell>
          <cell r="J289" t="str">
            <v>EFS Facilities Services</v>
          </cell>
          <cell r="K289" t="str">
            <v>Indra Kumar Ray</v>
          </cell>
          <cell r="L289" t="str">
            <v>Warehouse Associate (TEMP)</v>
          </cell>
          <cell r="M289" t="str">
            <v>Warehouse Associate 8W</v>
          </cell>
          <cell r="N289" t="str">
            <v>lraghava</v>
          </cell>
          <cell r="O289">
            <v>1299</v>
          </cell>
          <cell r="P289" t="str">
            <v>AUH1</v>
          </cell>
          <cell r="Q289" t="str">
            <v>ARE</v>
          </cell>
          <cell r="R289" t="str">
            <v>LK012</v>
          </cell>
          <cell r="S289" t="str">
            <v>Night Shift</v>
          </cell>
          <cell r="T289">
            <v>99</v>
          </cell>
          <cell r="U289" t="str">
            <v>MENA_UAE_FC</v>
          </cell>
          <cell r="X289">
            <v>46257.756944444445</v>
          </cell>
          <cell r="Y289">
            <v>46258.173611111109</v>
          </cell>
          <cell r="Z289" t="str">
            <v>Rest Day</v>
          </cell>
          <cell r="AA289" t="str">
            <v>Not Scheduled</v>
          </cell>
          <cell r="AB289" t="str">
            <v>Not Present</v>
          </cell>
          <cell r="AC289" t="str">
            <v>Outbound</v>
          </cell>
          <cell r="AD289" t="str">
            <v>Picking</v>
          </cell>
          <cell r="AE289" t="str">
            <v>Pick</v>
          </cell>
          <cell r="AF289" t="str">
            <v>Saturday</v>
          </cell>
          <cell r="AG289" t="str">
            <v>Sunday</v>
          </cell>
          <cell r="AH289">
            <v>13</v>
          </cell>
          <cell r="AJ289">
            <v>45714</v>
          </cell>
          <cell r="AM289" t="str">
            <v>TEMP</v>
          </cell>
          <cell r="AN289" t="str">
            <v>3P Onsite Worker</v>
          </cell>
          <cell r="AO289" t="str">
            <v>A</v>
          </cell>
          <cell r="AP289">
            <v>9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</row>
        <row r="290">
          <cell r="D290" t="str">
            <v>ekyeipor</v>
          </cell>
          <cell r="E290">
            <v>205856635</v>
          </cell>
          <cell r="F290" t="str">
            <v>A</v>
          </cell>
          <cell r="G290" t="str">
            <v>GREEN</v>
          </cell>
          <cell r="H290" t="str">
            <v>FULL_TIME</v>
          </cell>
          <cell r="I290">
            <v>900234</v>
          </cell>
          <cell r="J290" t="str">
            <v>EFS Facilities Services</v>
          </cell>
          <cell r="K290" t="str">
            <v>PORTIA KYEI</v>
          </cell>
          <cell r="L290" t="str">
            <v>Warehouse Associate (TEMP)</v>
          </cell>
          <cell r="M290" t="str">
            <v>Warehouse Associate 12M</v>
          </cell>
          <cell r="N290" t="str">
            <v>bizthoma</v>
          </cell>
          <cell r="O290">
            <v>1299</v>
          </cell>
          <cell r="P290" t="str">
            <v>AUH1</v>
          </cell>
          <cell r="Q290" t="str">
            <v>ARE</v>
          </cell>
          <cell r="R290" t="str">
            <v>FC084</v>
          </cell>
          <cell r="S290" t="str">
            <v>Day Shift</v>
          </cell>
          <cell r="T290">
            <v>99</v>
          </cell>
          <cell r="U290" t="str">
            <v>MENA_UAE_FC</v>
          </cell>
          <cell r="V290">
            <v>46257.331944444442</v>
          </cell>
          <cell r="W290">
            <v>46257.74722222222</v>
          </cell>
          <cell r="X290">
            <v>46257.333333333336</v>
          </cell>
          <cell r="Y290">
            <v>46257.75</v>
          </cell>
          <cell r="AA290" t="str">
            <v>Scheduled</v>
          </cell>
          <cell r="AB290" t="str">
            <v>Present</v>
          </cell>
          <cell r="AC290" t="str">
            <v>Outbound</v>
          </cell>
          <cell r="AD290" t="str">
            <v>Picking</v>
          </cell>
          <cell r="AE290" t="str">
            <v>Pick</v>
          </cell>
          <cell r="AF290" t="str">
            <v>Monday</v>
          </cell>
          <cell r="AG290" t="str">
            <v>Tuesday</v>
          </cell>
          <cell r="AH290">
            <v>13</v>
          </cell>
          <cell r="AJ290">
            <v>45893</v>
          </cell>
          <cell r="AM290" t="str">
            <v>TEMP</v>
          </cell>
          <cell r="AN290" t="str">
            <v>3P Onsite Worker</v>
          </cell>
          <cell r="AO290" t="str">
            <v>A</v>
          </cell>
          <cell r="AP290">
            <v>9</v>
          </cell>
          <cell r="AQ290">
            <v>0</v>
          </cell>
          <cell r="AR290">
            <v>1</v>
          </cell>
          <cell r="AS290">
            <v>1</v>
          </cell>
          <cell r="AT290">
            <v>0</v>
          </cell>
          <cell r="AU290">
            <v>0</v>
          </cell>
        </row>
        <row r="291">
          <cell r="D291" t="str">
            <v>elagabae</v>
          </cell>
          <cell r="E291">
            <v>204010535</v>
          </cell>
          <cell r="F291" t="str">
            <v>A</v>
          </cell>
          <cell r="G291" t="str">
            <v>GREEN</v>
          </cell>
          <cell r="H291" t="str">
            <v>FULL_TIME</v>
          </cell>
          <cell r="I291">
            <v>900234</v>
          </cell>
          <cell r="J291" t="str">
            <v>Dulsco L.L.C.</v>
          </cell>
          <cell r="K291" t="str">
            <v>ELIJAH AGABA</v>
          </cell>
          <cell r="L291" t="str">
            <v>Warehouse Associate (TEMP)</v>
          </cell>
          <cell r="M291" t="str">
            <v>Warehouse Associate 24M</v>
          </cell>
          <cell r="N291" t="str">
            <v>bizthoma</v>
          </cell>
          <cell r="O291">
            <v>1299</v>
          </cell>
          <cell r="P291" t="str">
            <v>AUH1</v>
          </cell>
          <cell r="Q291" t="str">
            <v>ARE</v>
          </cell>
          <cell r="R291" t="str">
            <v>LK017</v>
          </cell>
          <cell r="S291" t="str">
            <v>Night Shift</v>
          </cell>
          <cell r="T291">
            <v>99</v>
          </cell>
          <cell r="U291" t="str">
            <v>MENA_UAE_FC</v>
          </cell>
          <cell r="V291">
            <v>46257.754861111112</v>
          </cell>
          <cell r="X291">
            <v>46257.756944444445</v>
          </cell>
          <cell r="Y291">
            <v>46258.173611111109</v>
          </cell>
          <cell r="AA291" t="str">
            <v>Scheduled</v>
          </cell>
          <cell r="AB291" t="str">
            <v>Present</v>
          </cell>
          <cell r="AC291" t="str">
            <v>Outbound</v>
          </cell>
          <cell r="AD291" t="str">
            <v>Picking</v>
          </cell>
          <cell r="AE291" t="str">
            <v>Pick</v>
          </cell>
          <cell r="AF291" t="str">
            <v>Thursday</v>
          </cell>
          <cell r="AG291" t="str">
            <v>Friday</v>
          </cell>
          <cell r="AH291">
            <v>13</v>
          </cell>
          <cell r="AJ291">
            <v>45550</v>
          </cell>
          <cell r="AM291" t="str">
            <v>TEMP</v>
          </cell>
          <cell r="AN291" t="str">
            <v>3P Onsite Worker</v>
          </cell>
          <cell r="AO291" t="str">
            <v>A</v>
          </cell>
          <cell r="AP291">
            <v>9</v>
          </cell>
          <cell r="AQ291">
            <v>0</v>
          </cell>
          <cell r="AR291">
            <v>1</v>
          </cell>
          <cell r="AS291">
            <v>1</v>
          </cell>
          <cell r="AT291">
            <v>0</v>
          </cell>
          <cell r="AU291">
            <v>0</v>
          </cell>
        </row>
        <row r="292">
          <cell r="D292" t="str">
            <v>eliasabu</v>
          </cell>
          <cell r="E292">
            <v>206897640</v>
          </cell>
          <cell r="F292" t="str">
            <v>A</v>
          </cell>
          <cell r="G292" t="str">
            <v>GREEN</v>
          </cell>
          <cell r="H292" t="str">
            <v>FULL_TIME</v>
          </cell>
          <cell r="I292">
            <v>900234</v>
          </cell>
          <cell r="J292" t="str">
            <v>Fastlink Outsourcing</v>
          </cell>
          <cell r="K292" t="str">
            <v>ELIASU ABUBAKARI</v>
          </cell>
          <cell r="L292" t="str">
            <v>Warehouse Associate (TEMP)</v>
          </cell>
          <cell r="M292" t="str">
            <v>Warehouse Associate 8W</v>
          </cell>
          <cell r="N292" t="str">
            <v>scariav</v>
          </cell>
          <cell r="O292">
            <v>1299</v>
          </cell>
          <cell r="P292" t="str">
            <v>AUH1</v>
          </cell>
          <cell r="Q292" t="str">
            <v>ARE</v>
          </cell>
          <cell r="R292" t="str">
            <v>FC554</v>
          </cell>
          <cell r="S292" t="str">
            <v>Night Shift</v>
          </cell>
          <cell r="T292">
            <v>99</v>
          </cell>
          <cell r="U292" t="str">
            <v>MENA_UAE_FC</v>
          </cell>
          <cell r="X292">
            <v>46257.756944444445</v>
          </cell>
          <cell r="Y292">
            <v>46258.090277777781</v>
          </cell>
          <cell r="Z292" t="str">
            <v>Rest Day</v>
          </cell>
          <cell r="AA292" t="str">
            <v>Not Scheduled</v>
          </cell>
          <cell r="AB292" t="str">
            <v>Not Present</v>
          </cell>
          <cell r="AC292" t="str">
            <v>Outbound</v>
          </cell>
          <cell r="AD292" t="str">
            <v>Pack - Single</v>
          </cell>
          <cell r="AE292" t="str">
            <v>Pack</v>
          </cell>
          <cell r="AF292" t="str">
            <v>Sunday</v>
          </cell>
          <cell r="AG292" t="str">
            <v>Monday</v>
          </cell>
          <cell r="AH292">
            <v>18</v>
          </cell>
          <cell r="AJ292">
            <v>46237</v>
          </cell>
          <cell r="AM292" t="str">
            <v>TEMP</v>
          </cell>
          <cell r="AN292" t="str">
            <v>3P Onsite Worker</v>
          </cell>
          <cell r="AO292" t="str">
            <v>A</v>
          </cell>
          <cell r="AP292">
            <v>7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</row>
        <row r="293">
          <cell r="D293" t="str">
            <v>eliavony</v>
          </cell>
          <cell r="E293">
            <v>203741310</v>
          </cell>
          <cell r="F293" t="str">
            <v>A</v>
          </cell>
          <cell r="G293" t="str">
            <v>GREEN</v>
          </cell>
          <cell r="H293" t="str">
            <v>FULL_TIME</v>
          </cell>
          <cell r="I293">
            <v>900234</v>
          </cell>
          <cell r="J293" t="str">
            <v>Fastlink Outsourcing</v>
          </cell>
          <cell r="K293" t="str">
            <v>ELIZABETH AVONYO</v>
          </cell>
          <cell r="L293" t="str">
            <v>Warehouse Associate (TEMP)</v>
          </cell>
          <cell r="M293" t="str">
            <v>Warehouse Associate 12M</v>
          </cell>
          <cell r="N293" t="str">
            <v>pparsin</v>
          </cell>
          <cell r="O293">
            <v>1299</v>
          </cell>
          <cell r="P293" t="str">
            <v>AUH1</v>
          </cell>
          <cell r="Q293" t="str">
            <v>ARE</v>
          </cell>
          <cell r="R293" t="str">
            <v>FC109</v>
          </cell>
          <cell r="S293" t="str">
            <v>Day Shift</v>
          </cell>
          <cell r="T293">
            <v>99</v>
          </cell>
          <cell r="U293" t="str">
            <v>MENA_UAE_FC</v>
          </cell>
          <cell r="V293">
            <v>46257.333333333336</v>
          </cell>
          <cell r="W293">
            <v>46257.75</v>
          </cell>
          <cell r="X293">
            <v>46257.333333333336</v>
          </cell>
          <cell r="Y293">
            <v>46257.75</v>
          </cell>
          <cell r="AA293" t="str">
            <v>Scheduled</v>
          </cell>
          <cell r="AB293" t="str">
            <v>Present</v>
          </cell>
          <cell r="AC293" t="str">
            <v>Inbound</v>
          </cell>
          <cell r="AD293" t="str">
            <v>Inbound Stow</v>
          </cell>
          <cell r="AE293" t="str">
            <v>Stow</v>
          </cell>
          <cell r="AF293" t="str">
            <v>Tuesday</v>
          </cell>
          <cell r="AG293" t="str">
            <v>Wednesday</v>
          </cell>
          <cell r="AH293">
            <v>3</v>
          </cell>
          <cell r="AJ293">
            <v>45501</v>
          </cell>
          <cell r="AM293" t="str">
            <v>TEMP</v>
          </cell>
          <cell r="AN293" t="str">
            <v>3P Onsite Worker</v>
          </cell>
          <cell r="AO293" t="str">
            <v>A</v>
          </cell>
          <cell r="AP293">
            <v>9</v>
          </cell>
          <cell r="AQ293">
            <v>0</v>
          </cell>
          <cell r="AR293">
            <v>1</v>
          </cell>
          <cell r="AS293">
            <v>1</v>
          </cell>
          <cell r="AT293">
            <v>0</v>
          </cell>
          <cell r="AU293">
            <v>0</v>
          </cell>
        </row>
        <row r="294">
          <cell r="D294" t="str">
            <v>elimukis</v>
          </cell>
          <cell r="E294">
            <v>206873870</v>
          </cell>
          <cell r="F294" t="str">
            <v>A</v>
          </cell>
          <cell r="G294" t="str">
            <v>GREEN</v>
          </cell>
          <cell r="H294" t="str">
            <v>FULL_TIME</v>
          </cell>
          <cell r="I294">
            <v>900234</v>
          </cell>
          <cell r="J294" t="str">
            <v>Dulsco L.L.C.</v>
          </cell>
          <cell r="K294" t="str">
            <v>ELIJAH MUKISA WABWIRE</v>
          </cell>
          <cell r="L294" t="str">
            <v>Warehouse Associate (TEMP)</v>
          </cell>
          <cell r="M294" t="str">
            <v>Warehouse Associate 8W</v>
          </cell>
          <cell r="N294" t="str">
            <v>vkkatyal</v>
          </cell>
          <cell r="O294">
            <v>1299</v>
          </cell>
          <cell r="P294" t="str">
            <v>AUH1</v>
          </cell>
          <cell r="Q294" t="str">
            <v>ARE</v>
          </cell>
          <cell r="R294" t="str">
            <v>FC059</v>
          </cell>
          <cell r="S294" t="str">
            <v>Day Shift</v>
          </cell>
          <cell r="T294">
            <v>99</v>
          </cell>
          <cell r="U294" t="str">
            <v>MENA_UAE_FC</v>
          </cell>
          <cell r="X294">
            <v>46257.333333333336</v>
          </cell>
          <cell r="Y294">
            <v>46257.75</v>
          </cell>
          <cell r="Z294" t="str">
            <v>Rest Day</v>
          </cell>
          <cell r="AA294" t="str">
            <v>Not Scheduled</v>
          </cell>
          <cell r="AB294" t="str">
            <v>Not Present</v>
          </cell>
          <cell r="AC294" t="str">
            <v>Inbound</v>
          </cell>
          <cell r="AD294" t="str">
            <v>Inbound Stow</v>
          </cell>
          <cell r="AE294" t="str">
            <v>Stow</v>
          </cell>
          <cell r="AF294" t="str">
            <v>Sunday</v>
          </cell>
          <cell r="AG294" t="str">
            <v>Monday</v>
          </cell>
          <cell r="AH294">
            <v>3</v>
          </cell>
          <cell r="AJ294">
            <v>46019</v>
          </cell>
          <cell r="AM294" t="str">
            <v>TEMP</v>
          </cell>
          <cell r="AN294" t="str">
            <v>3P Onsite Worker</v>
          </cell>
          <cell r="AO294" t="str">
            <v>A</v>
          </cell>
          <cell r="AP294">
            <v>9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</row>
        <row r="295">
          <cell r="D295" t="str">
            <v>elisenco</v>
          </cell>
          <cell r="E295">
            <v>206953796</v>
          </cell>
          <cell r="F295" t="str">
            <v>A</v>
          </cell>
          <cell r="G295" t="str">
            <v>GREEN</v>
          </cell>
          <cell r="H295" t="str">
            <v>FULL_TIME</v>
          </cell>
          <cell r="I295">
            <v>900234</v>
          </cell>
          <cell r="J295" t="str">
            <v>EFS Facilities Services</v>
          </cell>
          <cell r="K295" t="str">
            <v>Elise Nyatuka Colonel</v>
          </cell>
          <cell r="L295" t="str">
            <v>Warehouse Associate (TEMP)</v>
          </cell>
          <cell r="M295" t="str">
            <v>Warehouse Associate 24M</v>
          </cell>
          <cell r="N295" t="str">
            <v>kebedeed</v>
          </cell>
          <cell r="O295">
            <v>1299</v>
          </cell>
          <cell r="P295" t="str">
            <v>AUH1</v>
          </cell>
          <cell r="Q295" t="str">
            <v>ARE</v>
          </cell>
          <cell r="R295" t="str">
            <v>FC084</v>
          </cell>
          <cell r="S295" t="str">
            <v>Day Shift</v>
          </cell>
          <cell r="T295">
            <v>99</v>
          </cell>
          <cell r="U295" t="str">
            <v>MENA_UAE_FC</v>
          </cell>
          <cell r="V295">
            <v>46257.331944444442</v>
          </cell>
          <cell r="W295">
            <v>46257.74722222222</v>
          </cell>
          <cell r="X295">
            <v>46257.333333333336</v>
          </cell>
          <cell r="Y295">
            <v>46257.75</v>
          </cell>
          <cell r="AA295" t="str">
            <v>Scheduled</v>
          </cell>
          <cell r="AB295" t="str">
            <v>Present</v>
          </cell>
          <cell r="AC295" t="str">
            <v>ICQA</v>
          </cell>
          <cell r="AD295" t="str">
            <v>IC/QA/CS</v>
          </cell>
          <cell r="AE295" t="str">
            <v>Support</v>
          </cell>
          <cell r="AF295" t="str">
            <v>Monday</v>
          </cell>
          <cell r="AG295" t="str">
            <v>Tuesday</v>
          </cell>
          <cell r="AH295">
            <v>27</v>
          </cell>
          <cell r="AJ295">
            <v>46047</v>
          </cell>
          <cell r="AM295" t="str">
            <v>TEMP</v>
          </cell>
          <cell r="AN295" t="str">
            <v>3P Onsite Worker</v>
          </cell>
          <cell r="AO295" t="str">
            <v>A</v>
          </cell>
          <cell r="AP295">
            <v>9</v>
          </cell>
          <cell r="AQ295">
            <v>0</v>
          </cell>
          <cell r="AR295">
            <v>1</v>
          </cell>
          <cell r="AS295">
            <v>1</v>
          </cell>
          <cell r="AT295">
            <v>0</v>
          </cell>
          <cell r="AU295">
            <v>0</v>
          </cell>
        </row>
        <row r="296">
          <cell r="D296" t="str">
            <v>elizmung</v>
          </cell>
          <cell r="E296">
            <v>206930332</v>
          </cell>
          <cell r="F296" t="str">
            <v>A</v>
          </cell>
          <cell r="G296" t="str">
            <v>GREEN</v>
          </cell>
          <cell r="H296" t="str">
            <v>FULL_TIME</v>
          </cell>
          <cell r="I296">
            <v>900234</v>
          </cell>
          <cell r="J296" t="str">
            <v>EFS Facilities Services</v>
          </cell>
          <cell r="K296" t="str">
            <v>ELIZABETH NDUNGE MUNGUTI</v>
          </cell>
          <cell r="L296" t="str">
            <v>Warehouse Associate (TEMP)</v>
          </cell>
          <cell r="M296" t="str">
            <v>Warehouse Associate 8W</v>
          </cell>
          <cell r="N296" t="str">
            <v>bizthoma</v>
          </cell>
          <cell r="O296">
            <v>1299</v>
          </cell>
          <cell r="P296" t="str">
            <v>AUH1</v>
          </cell>
          <cell r="Q296" t="str">
            <v>ARE</v>
          </cell>
          <cell r="R296" t="str">
            <v>FC559</v>
          </cell>
          <cell r="S296" t="str">
            <v>Night Shift</v>
          </cell>
          <cell r="T296">
            <v>99</v>
          </cell>
          <cell r="U296" t="str">
            <v>MENA_UAE_FC</v>
          </cell>
          <cell r="X296">
            <v>46257.756944444445</v>
          </cell>
          <cell r="Y296">
            <v>46258.090277777781</v>
          </cell>
          <cell r="Z296" t="str">
            <v>Rest Day</v>
          </cell>
          <cell r="AA296" t="str">
            <v>Not Scheduled</v>
          </cell>
          <cell r="AB296" t="str">
            <v>Not Present</v>
          </cell>
          <cell r="AF296" t="str">
            <v>Saturday</v>
          </cell>
          <cell r="AG296" t="str">
            <v>Sunday</v>
          </cell>
          <cell r="AJ296">
            <v>46225</v>
          </cell>
          <cell r="AM296" t="str">
            <v>TEMP</v>
          </cell>
          <cell r="AN296" t="str">
            <v>3P Onsite Worker</v>
          </cell>
          <cell r="AO296" t="str">
            <v>A</v>
          </cell>
          <cell r="AP296">
            <v>7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</row>
        <row r="297">
          <cell r="D297" t="str">
            <v>elizmunu</v>
          </cell>
          <cell r="E297">
            <v>206957724</v>
          </cell>
          <cell r="F297" t="str">
            <v>A</v>
          </cell>
          <cell r="G297" t="str">
            <v>GREEN</v>
          </cell>
          <cell r="H297" t="str">
            <v>FULL_TIME</v>
          </cell>
          <cell r="I297">
            <v>900234</v>
          </cell>
          <cell r="J297" t="str">
            <v>EFS Facilities Services</v>
          </cell>
          <cell r="K297" t="str">
            <v>Elizabeth Njeri Mungai</v>
          </cell>
          <cell r="L297" t="str">
            <v>Warehouse Associate (TEMP)</v>
          </cell>
          <cell r="M297" t="str">
            <v>Warehouse Associate 8W</v>
          </cell>
          <cell r="N297" t="str">
            <v>aanso</v>
          </cell>
          <cell r="O297">
            <v>1299</v>
          </cell>
          <cell r="P297" t="str">
            <v>AUH1</v>
          </cell>
          <cell r="Q297" t="str">
            <v>ARE</v>
          </cell>
          <cell r="R297" t="str">
            <v>FC109</v>
          </cell>
          <cell r="S297" t="str">
            <v>Day Shift</v>
          </cell>
          <cell r="T297">
            <v>99</v>
          </cell>
          <cell r="U297" t="str">
            <v>MENA_UAE_FC</v>
          </cell>
          <cell r="V297">
            <v>46257.331944444442</v>
          </cell>
          <cell r="W297">
            <v>46257.75</v>
          </cell>
          <cell r="X297">
            <v>46257.333333333336</v>
          </cell>
          <cell r="Y297">
            <v>46257.75</v>
          </cell>
          <cell r="AA297" t="str">
            <v>Scheduled</v>
          </cell>
          <cell r="AB297" t="str">
            <v>Present</v>
          </cell>
          <cell r="AC297" t="str">
            <v>Customer returns</v>
          </cell>
          <cell r="AD297" t="str">
            <v>Customer Returns</v>
          </cell>
          <cell r="AE297" t="str">
            <v>Customer returns</v>
          </cell>
          <cell r="AF297" t="str">
            <v>Tuesday</v>
          </cell>
          <cell r="AG297" t="str">
            <v>Wednesday</v>
          </cell>
          <cell r="AH297">
            <v>22</v>
          </cell>
          <cell r="AJ297">
            <v>46047</v>
          </cell>
          <cell r="AM297" t="str">
            <v>TEMP</v>
          </cell>
          <cell r="AN297" t="str">
            <v>3P Onsite Worker</v>
          </cell>
          <cell r="AO297" t="str">
            <v>A</v>
          </cell>
          <cell r="AP297">
            <v>9</v>
          </cell>
          <cell r="AQ297">
            <v>0</v>
          </cell>
          <cell r="AR297">
            <v>1</v>
          </cell>
          <cell r="AS297">
            <v>1</v>
          </cell>
          <cell r="AT297">
            <v>0</v>
          </cell>
          <cell r="AU297">
            <v>0</v>
          </cell>
        </row>
        <row r="298">
          <cell r="D298" t="str">
            <v>elliepet</v>
          </cell>
          <cell r="E298">
            <v>203851104</v>
          </cell>
          <cell r="F298" t="str">
            <v>A</v>
          </cell>
          <cell r="G298" t="str">
            <v>GREEN</v>
          </cell>
          <cell r="H298" t="str">
            <v>FULL_TIME</v>
          </cell>
          <cell r="I298">
            <v>900234</v>
          </cell>
          <cell r="J298" t="str">
            <v>Fastlink Outsourcing</v>
          </cell>
          <cell r="K298" t="str">
            <v>Peter Ellie</v>
          </cell>
          <cell r="L298" t="str">
            <v>Warehouse Associate (TEMP)</v>
          </cell>
          <cell r="M298" t="str">
            <v>Warehouse Associate 12M</v>
          </cell>
          <cell r="N298" t="str">
            <v>ansammar</v>
          </cell>
          <cell r="O298">
            <v>1299</v>
          </cell>
          <cell r="P298" t="str">
            <v>AUH1</v>
          </cell>
          <cell r="Q298" t="str">
            <v>ARE</v>
          </cell>
          <cell r="R298" t="str">
            <v>FC059</v>
          </cell>
          <cell r="S298" t="str">
            <v>Day Shift</v>
          </cell>
          <cell r="T298">
            <v>99</v>
          </cell>
          <cell r="U298" t="str">
            <v>MENA_UAE_FC</v>
          </cell>
          <cell r="V298">
            <v>46257.324305555558</v>
          </cell>
          <cell r="W298">
            <v>46257.752083333333</v>
          </cell>
          <cell r="X298">
            <v>46257.333333333336</v>
          </cell>
          <cell r="Y298">
            <v>46257.75</v>
          </cell>
          <cell r="Z298" t="str">
            <v>Rest Day</v>
          </cell>
          <cell r="AA298" t="str">
            <v>Not Scheduled</v>
          </cell>
          <cell r="AB298" t="str">
            <v>Present</v>
          </cell>
          <cell r="AC298" t="str">
            <v>Outbound</v>
          </cell>
          <cell r="AD298" t="str">
            <v>Pack - Single</v>
          </cell>
          <cell r="AE298" t="str">
            <v>Pack</v>
          </cell>
          <cell r="AF298" t="str">
            <v>Sunday</v>
          </cell>
          <cell r="AG298" t="str">
            <v>Monday</v>
          </cell>
          <cell r="AH298">
            <v>18</v>
          </cell>
          <cell r="AJ298">
            <v>45523</v>
          </cell>
          <cell r="AM298" t="str">
            <v>TEMP</v>
          </cell>
          <cell r="AN298" t="str">
            <v>3P Onsite Worker</v>
          </cell>
          <cell r="AO298" t="str">
            <v>A</v>
          </cell>
          <cell r="AP298">
            <v>9</v>
          </cell>
          <cell r="AQ298">
            <v>1</v>
          </cell>
          <cell r="AR298">
            <v>1</v>
          </cell>
          <cell r="AS298">
            <v>0</v>
          </cell>
          <cell r="AT298">
            <v>0</v>
          </cell>
          <cell r="AU298">
            <v>0</v>
          </cell>
        </row>
        <row r="299">
          <cell r="D299" t="str">
            <v>ellvicen</v>
          </cell>
          <cell r="E299">
            <v>206239531</v>
          </cell>
          <cell r="F299" t="str">
            <v>A</v>
          </cell>
          <cell r="G299" t="str">
            <v>GREEN</v>
          </cell>
          <cell r="H299" t="str">
            <v>REDUCED</v>
          </cell>
          <cell r="I299">
            <v>900234</v>
          </cell>
          <cell r="J299" t="str">
            <v>Fastlink Outsourcing</v>
          </cell>
          <cell r="K299" t="str">
            <v>VICENTIA ELLEN IDUN</v>
          </cell>
          <cell r="L299" t="str">
            <v>Warehouse Associate (TEMP)</v>
          </cell>
          <cell r="M299" t="str">
            <v>Warehouse Associate 8W</v>
          </cell>
          <cell r="N299" t="str">
            <v>bizthoma</v>
          </cell>
          <cell r="O299">
            <v>1299</v>
          </cell>
          <cell r="P299" t="str">
            <v>AUH1</v>
          </cell>
          <cell r="Q299" t="str">
            <v>ARE</v>
          </cell>
          <cell r="R299" t="str">
            <v>FC556</v>
          </cell>
          <cell r="S299" t="str">
            <v>Night Shift</v>
          </cell>
          <cell r="T299">
            <v>99</v>
          </cell>
          <cell r="U299" t="str">
            <v>MENA_UAE_FC</v>
          </cell>
          <cell r="V299">
            <v>46257.756249999999</v>
          </cell>
          <cell r="X299">
            <v>46257.756944444445</v>
          </cell>
          <cell r="Y299">
            <v>46258.090277777781</v>
          </cell>
          <cell r="AA299" t="str">
            <v>Scheduled</v>
          </cell>
          <cell r="AB299" t="str">
            <v>Present</v>
          </cell>
          <cell r="AC299" t="str">
            <v>Outbound</v>
          </cell>
          <cell r="AD299" t="str">
            <v>Pack - Batch</v>
          </cell>
          <cell r="AE299" t="str">
            <v>Pack</v>
          </cell>
          <cell r="AF299" t="str">
            <v>Tuesday</v>
          </cell>
          <cell r="AG299" t="str">
            <v>Wednesday</v>
          </cell>
          <cell r="AH299">
            <v>17</v>
          </cell>
          <cell r="AJ299">
            <v>46251</v>
          </cell>
          <cell r="AM299" t="str">
            <v>TEMP</v>
          </cell>
          <cell r="AN299" t="str">
            <v>3P Onsite Worker</v>
          </cell>
          <cell r="AO299" t="str">
            <v>A</v>
          </cell>
          <cell r="AP299">
            <v>7</v>
          </cell>
          <cell r="AQ299">
            <v>0</v>
          </cell>
          <cell r="AR299">
            <v>1</v>
          </cell>
          <cell r="AS299">
            <v>1</v>
          </cell>
          <cell r="AT299">
            <v>0</v>
          </cell>
          <cell r="AU299">
            <v>0</v>
          </cell>
        </row>
        <row r="300">
          <cell r="D300" t="str">
            <v>elviskyl</v>
          </cell>
          <cell r="E300">
            <v>206954239</v>
          </cell>
          <cell r="F300" t="str">
            <v>A</v>
          </cell>
          <cell r="G300" t="str">
            <v>GREEN</v>
          </cell>
          <cell r="H300" t="str">
            <v>FULL_TIME</v>
          </cell>
          <cell r="I300">
            <v>900234</v>
          </cell>
          <cell r="J300" t="str">
            <v>Dulsco L.L.C.</v>
          </cell>
          <cell r="K300" t="str">
            <v>ELVIS KYLE KAYEMBA</v>
          </cell>
          <cell r="L300" t="str">
            <v>Warehouse Associate (TEMP)</v>
          </cell>
          <cell r="M300" t="str">
            <v>Warehouse Associate 24M</v>
          </cell>
          <cell r="N300" t="str">
            <v>aanso</v>
          </cell>
          <cell r="O300">
            <v>1299</v>
          </cell>
          <cell r="P300" t="str">
            <v>AUH1</v>
          </cell>
          <cell r="Q300" t="str">
            <v>ARE</v>
          </cell>
          <cell r="R300" t="str">
            <v>LK017</v>
          </cell>
          <cell r="S300" t="str">
            <v>Night Shift</v>
          </cell>
          <cell r="T300">
            <v>99</v>
          </cell>
          <cell r="U300" t="str">
            <v>MENA_UAE_FC</v>
          </cell>
          <cell r="V300">
            <v>46257.754861111112</v>
          </cell>
          <cell r="X300">
            <v>46257.756944444445</v>
          </cell>
          <cell r="Y300">
            <v>46258.173611111109</v>
          </cell>
          <cell r="AA300" t="str">
            <v>Scheduled</v>
          </cell>
          <cell r="AB300" t="str">
            <v>Present</v>
          </cell>
          <cell r="AC300" t="str">
            <v>Customer returns</v>
          </cell>
          <cell r="AD300" t="str">
            <v>Customer Returns</v>
          </cell>
          <cell r="AE300" t="str">
            <v>Customer returns</v>
          </cell>
          <cell r="AF300" t="str">
            <v>Thursday</v>
          </cell>
          <cell r="AG300" t="str">
            <v>Friday</v>
          </cell>
          <cell r="AH300">
            <v>22</v>
          </cell>
          <cell r="AJ300">
            <v>46047</v>
          </cell>
          <cell r="AM300" t="str">
            <v>TEMP</v>
          </cell>
          <cell r="AN300" t="str">
            <v>3P Onsite Worker</v>
          </cell>
          <cell r="AO300" t="str">
            <v>A</v>
          </cell>
          <cell r="AP300">
            <v>9</v>
          </cell>
          <cell r="AQ300">
            <v>0</v>
          </cell>
          <cell r="AR300">
            <v>1</v>
          </cell>
          <cell r="AS300">
            <v>1</v>
          </cell>
          <cell r="AT300">
            <v>0</v>
          </cell>
          <cell r="AU300">
            <v>0</v>
          </cell>
        </row>
        <row r="301">
          <cell r="D301" t="str">
            <v>embaziir</v>
          </cell>
          <cell r="E301">
            <v>206361763</v>
          </cell>
          <cell r="F301" t="str">
            <v>A</v>
          </cell>
          <cell r="G301" t="str">
            <v>GREEN</v>
          </cell>
          <cell r="H301" t="str">
            <v>FULL_TIME</v>
          </cell>
          <cell r="I301">
            <v>900234</v>
          </cell>
          <cell r="J301" t="str">
            <v>Fastlink Outsourcing</v>
          </cell>
          <cell r="K301" t="str">
            <v>MBAZIIRA EMMANUEL</v>
          </cell>
          <cell r="L301" t="str">
            <v>Warehouse Associate (TEMP)</v>
          </cell>
          <cell r="M301" t="str">
            <v>Warehouse Associate 8W</v>
          </cell>
          <cell r="N301" t="str">
            <v>kebedeed</v>
          </cell>
          <cell r="O301">
            <v>1299</v>
          </cell>
          <cell r="P301" t="str">
            <v>AUH1</v>
          </cell>
          <cell r="Q301" t="str">
            <v>ARE</v>
          </cell>
          <cell r="R301" t="str">
            <v>FC084</v>
          </cell>
          <cell r="S301" t="str">
            <v>Day Shift</v>
          </cell>
          <cell r="T301">
            <v>99</v>
          </cell>
          <cell r="U301" t="str">
            <v>MENA_UAE_FC</v>
          </cell>
          <cell r="V301">
            <v>46257.331944444442</v>
          </cell>
          <cell r="W301">
            <v>46257.748611111114</v>
          </cell>
          <cell r="X301">
            <v>46257.333333333336</v>
          </cell>
          <cell r="Y301">
            <v>46257.75</v>
          </cell>
          <cell r="AA301" t="str">
            <v>Scheduled</v>
          </cell>
          <cell r="AB301" t="str">
            <v>Present</v>
          </cell>
          <cell r="AC301" t="str">
            <v>ICQA</v>
          </cell>
          <cell r="AD301" t="str">
            <v>IC/QA/CS</v>
          </cell>
          <cell r="AE301" t="str">
            <v>Support</v>
          </cell>
          <cell r="AF301" t="str">
            <v>Monday</v>
          </cell>
          <cell r="AG301" t="str">
            <v>Tuesday</v>
          </cell>
          <cell r="AH301">
            <v>27</v>
          </cell>
          <cell r="AJ301">
            <v>45956</v>
          </cell>
          <cell r="AM301" t="str">
            <v>TEMP</v>
          </cell>
          <cell r="AN301" t="str">
            <v>3P Onsite Worker</v>
          </cell>
          <cell r="AO301" t="str">
            <v>A</v>
          </cell>
          <cell r="AP301">
            <v>9</v>
          </cell>
          <cell r="AQ301">
            <v>0</v>
          </cell>
          <cell r="AR301">
            <v>1</v>
          </cell>
          <cell r="AS301">
            <v>1</v>
          </cell>
          <cell r="AT301">
            <v>0</v>
          </cell>
          <cell r="AU301">
            <v>0</v>
          </cell>
        </row>
        <row r="302">
          <cell r="D302" t="str">
            <v>emekweni</v>
          </cell>
          <cell r="E302">
            <v>204299911</v>
          </cell>
          <cell r="F302" t="str">
            <v>A</v>
          </cell>
          <cell r="G302" t="str">
            <v>GREEN</v>
          </cell>
          <cell r="H302" t="str">
            <v>FULL_TIME</v>
          </cell>
          <cell r="I302">
            <v>900234</v>
          </cell>
          <cell r="J302" t="str">
            <v>Quesscorp</v>
          </cell>
          <cell r="K302" t="str">
            <v>Emmanuel Obase Ekweni</v>
          </cell>
          <cell r="L302" t="str">
            <v>Warehouse Associate (TEMP)</v>
          </cell>
          <cell r="M302" t="str">
            <v>Warehouse Associate 24M</v>
          </cell>
          <cell r="N302" t="str">
            <v>aanso</v>
          </cell>
          <cell r="O302">
            <v>1299</v>
          </cell>
          <cell r="P302" t="str">
            <v>AUH1</v>
          </cell>
          <cell r="Q302" t="str">
            <v>ARE</v>
          </cell>
          <cell r="R302" t="str">
            <v>LK011</v>
          </cell>
          <cell r="S302" t="str">
            <v>Night Shift</v>
          </cell>
          <cell r="T302">
            <v>99</v>
          </cell>
          <cell r="U302" t="str">
            <v>MENA_UAE_FC</v>
          </cell>
          <cell r="V302">
            <v>46257.754861111112</v>
          </cell>
          <cell r="X302">
            <v>46257.756944444445</v>
          </cell>
          <cell r="Y302">
            <v>46258.173611111109</v>
          </cell>
          <cell r="AA302" t="str">
            <v>Scheduled</v>
          </cell>
          <cell r="AB302" t="str">
            <v>Present</v>
          </cell>
          <cell r="AC302" t="str">
            <v>Customer returns</v>
          </cell>
          <cell r="AD302" t="str">
            <v>Customer Returns</v>
          </cell>
          <cell r="AE302" t="str">
            <v>Customer returns</v>
          </cell>
          <cell r="AF302" t="str">
            <v>Friday</v>
          </cell>
          <cell r="AG302" t="str">
            <v>Saturday</v>
          </cell>
          <cell r="AH302">
            <v>22</v>
          </cell>
          <cell r="AJ302">
            <v>45585</v>
          </cell>
          <cell r="AM302" t="str">
            <v>TEMP</v>
          </cell>
          <cell r="AN302" t="str">
            <v>3P Onsite Worker</v>
          </cell>
          <cell r="AO302" t="str">
            <v>A</v>
          </cell>
          <cell r="AP302">
            <v>9</v>
          </cell>
          <cell r="AQ302">
            <v>0</v>
          </cell>
          <cell r="AR302">
            <v>1</v>
          </cell>
          <cell r="AS302">
            <v>1</v>
          </cell>
          <cell r="AT302">
            <v>0</v>
          </cell>
          <cell r="AU302">
            <v>0</v>
          </cell>
        </row>
        <row r="303">
          <cell r="D303" t="str">
            <v>emensahg</v>
          </cell>
          <cell r="E303">
            <v>204967053</v>
          </cell>
          <cell r="F303" t="str">
            <v>A</v>
          </cell>
          <cell r="G303" t="str">
            <v>GREEN</v>
          </cell>
          <cell r="H303" t="str">
            <v>FULL_TIME</v>
          </cell>
          <cell r="I303">
            <v>900234</v>
          </cell>
          <cell r="J303" t="str">
            <v>Dulsco L.L.C.</v>
          </cell>
          <cell r="K303" t="str">
            <v>ERIC MENSAH</v>
          </cell>
          <cell r="L303" t="str">
            <v>Warehouse Associate (TEMP)</v>
          </cell>
          <cell r="M303" t="str">
            <v>Warehouse Associate 24M</v>
          </cell>
          <cell r="N303" t="str">
            <v>lraghava</v>
          </cell>
          <cell r="O303">
            <v>1299</v>
          </cell>
          <cell r="P303" t="str">
            <v>AUH1</v>
          </cell>
          <cell r="Q303" t="str">
            <v>ARE</v>
          </cell>
          <cell r="R303" t="str">
            <v>FC134</v>
          </cell>
          <cell r="S303" t="str">
            <v>Day Shift</v>
          </cell>
          <cell r="T303">
            <v>99</v>
          </cell>
          <cell r="U303" t="str">
            <v>MENA_UAE_FC</v>
          </cell>
          <cell r="V303">
            <v>46257.331250000003</v>
          </cell>
          <cell r="W303">
            <v>46257.74722222222</v>
          </cell>
          <cell r="X303">
            <v>46257.333333333336</v>
          </cell>
          <cell r="Y303">
            <v>46257.75</v>
          </cell>
          <cell r="AA303" t="str">
            <v>Scheduled</v>
          </cell>
          <cell r="AB303" t="str">
            <v>Present</v>
          </cell>
          <cell r="AC303" t="str">
            <v>Outbound</v>
          </cell>
          <cell r="AD303" t="str">
            <v>Picking</v>
          </cell>
          <cell r="AE303" t="str">
            <v>Pick</v>
          </cell>
          <cell r="AF303" t="str">
            <v>Wednesday</v>
          </cell>
          <cell r="AG303" t="str">
            <v>Thursday</v>
          </cell>
          <cell r="AH303">
            <v>13</v>
          </cell>
          <cell r="AJ303">
            <v>45718</v>
          </cell>
          <cell r="AM303" t="str">
            <v>TEMP</v>
          </cell>
          <cell r="AN303" t="str">
            <v>3P Onsite Worker</v>
          </cell>
          <cell r="AO303" t="str">
            <v>A</v>
          </cell>
          <cell r="AP303">
            <v>9</v>
          </cell>
          <cell r="AQ303">
            <v>0</v>
          </cell>
          <cell r="AR303">
            <v>1</v>
          </cell>
          <cell r="AS303">
            <v>1</v>
          </cell>
          <cell r="AT303">
            <v>0</v>
          </cell>
          <cell r="AU303">
            <v>0</v>
          </cell>
        </row>
        <row r="304">
          <cell r="D304" t="str">
            <v>emmaabug</v>
          </cell>
          <cell r="E304">
            <v>203850933</v>
          </cell>
          <cell r="F304" t="str">
            <v>A</v>
          </cell>
          <cell r="G304" t="str">
            <v>GREEN</v>
          </cell>
          <cell r="H304" t="str">
            <v>FULL_TIME</v>
          </cell>
          <cell r="I304">
            <v>900234</v>
          </cell>
          <cell r="J304" t="str">
            <v>Fastlink Outsourcing</v>
          </cell>
          <cell r="K304" t="str">
            <v>Emmanuel Abugri</v>
          </cell>
          <cell r="L304" t="str">
            <v>Warehouse Associate (TEMP)</v>
          </cell>
          <cell r="M304" t="str">
            <v>Warehouse Associate 12M</v>
          </cell>
          <cell r="N304" t="str">
            <v>kebedeed</v>
          </cell>
          <cell r="O304">
            <v>1299</v>
          </cell>
          <cell r="P304" t="str">
            <v>AUH1</v>
          </cell>
          <cell r="Q304" t="str">
            <v>ARE</v>
          </cell>
          <cell r="R304" t="str">
            <v>FC009</v>
          </cell>
          <cell r="S304" t="str">
            <v>Day Shift</v>
          </cell>
          <cell r="T304">
            <v>99</v>
          </cell>
          <cell r="U304" t="str">
            <v>MENA_UAE_FC</v>
          </cell>
          <cell r="V304">
            <v>46257.331944444442</v>
          </cell>
          <cell r="W304">
            <v>46257.449305555558</v>
          </cell>
          <cell r="X304">
            <v>46257.333333333336</v>
          </cell>
          <cell r="Y304">
            <v>46257.75</v>
          </cell>
          <cell r="AA304" t="str">
            <v>Scheduled</v>
          </cell>
          <cell r="AB304" t="str">
            <v>Present</v>
          </cell>
          <cell r="AC304" t="str">
            <v>ICQA</v>
          </cell>
          <cell r="AD304" t="str">
            <v>IC/QA/CS</v>
          </cell>
          <cell r="AE304" t="str">
            <v>Support</v>
          </cell>
          <cell r="AF304" t="str">
            <v>Friday</v>
          </cell>
          <cell r="AG304" t="str">
            <v>Saturday</v>
          </cell>
          <cell r="AH304">
            <v>27</v>
          </cell>
          <cell r="AJ304">
            <v>45523</v>
          </cell>
          <cell r="AM304" t="str">
            <v>TEMP</v>
          </cell>
          <cell r="AN304" t="str">
            <v>3P Onsite Worker</v>
          </cell>
          <cell r="AO304" t="str">
            <v>A</v>
          </cell>
          <cell r="AP304">
            <v>9</v>
          </cell>
          <cell r="AQ304">
            <v>0</v>
          </cell>
          <cell r="AR304">
            <v>1</v>
          </cell>
          <cell r="AS304">
            <v>1</v>
          </cell>
          <cell r="AT304">
            <v>0</v>
          </cell>
          <cell r="AU304">
            <v>0</v>
          </cell>
        </row>
        <row r="305">
          <cell r="D305" t="str">
            <v>emmafian</v>
          </cell>
          <cell r="E305">
            <v>203850929</v>
          </cell>
          <cell r="F305" t="str">
            <v>A</v>
          </cell>
          <cell r="G305" t="str">
            <v>GREEN</v>
          </cell>
          <cell r="H305" t="str">
            <v>FULL_TIME</v>
          </cell>
          <cell r="I305">
            <v>900234</v>
          </cell>
          <cell r="J305" t="str">
            <v>Fastlink Outsourcing</v>
          </cell>
          <cell r="K305" t="str">
            <v>Emmanuel Fianu</v>
          </cell>
          <cell r="L305" t="str">
            <v>Warehouse Associate (TEMP)</v>
          </cell>
          <cell r="M305" t="str">
            <v>Warehouse Associate 12M</v>
          </cell>
          <cell r="N305" t="str">
            <v>aanso</v>
          </cell>
          <cell r="O305">
            <v>1299</v>
          </cell>
          <cell r="P305" t="str">
            <v>AUH1</v>
          </cell>
          <cell r="Q305" t="str">
            <v>ARE</v>
          </cell>
          <cell r="R305" t="str">
            <v>FC059</v>
          </cell>
          <cell r="S305" t="str">
            <v>Day Shift</v>
          </cell>
          <cell r="T305">
            <v>99</v>
          </cell>
          <cell r="U305" t="str">
            <v>MENA_UAE_FC</v>
          </cell>
          <cell r="X305">
            <v>46257.333333333336</v>
          </cell>
          <cell r="Y305">
            <v>46257.75</v>
          </cell>
          <cell r="Z305" t="str">
            <v>Rest Day</v>
          </cell>
          <cell r="AA305" t="str">
            <v>Not Scheduled</v>
          </cell>
          <cell r="AB305" t="str">
            <v>Not Present</v>
          </cell>
          <cell r="AC305" t="str">
            <v>Customer returns</v>
          </cell>
          <cell r="AD305" t="str">
            <v>Customer Returns</v>
          </cell>
          <cell r="AE305" t="str">
            <v>Customer returns</v>
          </cell>
          <cell r="AF305" t="str">
            <v>Sunday</v>
          </cell>
          <cell r="AG305" t="str">
            <v>Monday</v>
          </cell>
          <cell r="AH305">
            <v>22</v>
          </cell>
          <cell r="AJ305">
            <v>45523</v>
          </cell>
          <cell r="AM305" t="str">
            <v>TEMP</v>
          </cell>
          <cell r="AN305" t="str">
            <v>3P Onsite Worker</v>
          </cell>
          <cell r="AO305" t="str">
            <v>A</v>
          </cell>
          <cell r="AP305">
            <v>9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</row>
        <row r="306">
          <cell r="D306" t="str">
            <v>emmamusi</v>
          </cell>
          <cell r="E306">
            <v>204009355</v>
          </cell>
          <cell r="F306" t="str">
            <v>A</v>
          </cell>
          <cell r="G306" t="str">
            <v>GREEN</v>
          </cell>
          <cell r="H306" t="str">
            <v>FULL_TIME</v>
          </cell>
          <cell r="I306">
            <v>900234</v>
          </cell>
          <cell r="J306" t="str">
            <v>Dulsco L.L.C.</v>
          </cell>
          <cell r="K306" t="str">
            <v>EMMANUEL MUSIIME</v>
          </cell>
          <cell r="L306" t="str">
            <v>Warehouse Associate (TEMP)</v>
          </cell>
          <cell r="M306" t="str">
            <v>Warehouse Associate 24M</v>
          </cell>
          <cell r="N306" t="str">
            <v>ansammar</v>
          </cell>
          <cell r="O306">
            <v>1299</v>
          </cell>
          <cell r="P306" t="str">
            <v>AUH1</v>
          </cell>
          <cell r="Q306" t="str">
            <v>ARE</v>
          </cell>
          <cell r="R306" t="str">
            <v>FC159</v>
          </cell>
          <cell r="S306" t="str">
            <v>Day Shift</v>
          </cell>
          <cell r="T306">
            <v>99</v>
          </cell>
          <cell r="U306" t="str">
            <v>MENA_UAE_FC</v>
          </cell>
          <cell r="V306">
            <v>46257.332638888889</v>
          </cell>
          <cell r="W306">
            <v>46257.74722222222</v>
          </cell>
          <cell r="X306">
            <v>46257.333333333336</v>
          </cell>
          <cell r="Y306">
            <v>46257.75</v>
          </cell>
          <cell r="AA306" t="str">
            <v>Scheduled</v>
          </cell>
          <cell r="AB306" t="str">
            <v>Present</v>
          </cell>
          <cell r="AC306" t="str">
            <v>Outbound</v>
          </cell>
          <cell r="AD306" t="str">
            <v>Picking</v>
          </cell>
          <cell r="AE306" t="str">
            <v>Pick</v>
          </cell>
          <cell r="AF306" t="str">
            <v>Thursday</v>
          </cell>
          <cell r="AG306" t="str">
            <v>Friday</v>
          </cell>
          <cell r="AH306">
            <v>13</v>
          </cell>
          <cell r="AJ306">
            <v>45550</v>
          </cell>
          <cell r="AM306" t="str">
            <v>TEMP</v>
          </cell>
          <cell r="AN306" t="str">
            <v>3P Onsite Worker</v>
          </cell>
          <cell r="AO306" t="str">
            <v>A</v>
          </cell>
          <cell r="AP306">
            <v>9</v>
          </cell>
          <cell r="AQ306">
            <v>0</v>
          </cell>
          <cell r="AR306">
            <v>1</v>
          </cell>
          <cell r="AS306">
            <v>1</v>
          </cell>
          <cell r="AT306">
            <v>0</v>
          </cell>
          <cell r="AU306">
            <v>0</v>
          </cell>
        </row>
        <row r="307">
          <cell r="D307" t="str">
            <v>emmanajo</v>
          </cell>
          <cell r="E307">
            <v>206875150</v>
          </cell>
          <cell r="F307" t="str">
            <v>A</v>
          </cell>
          <cell r="G307" t="str">
            <v>GREEN</v>
          </cell>
          <cell r="H307" t="str">
            <v>FULL_TIME</v>
          </cell>
          <cell r="I307">
            <v>900234</v>
          </cell>
          <cell r="J307" t="str">
            <v>Dulsco L.L.C.</v>
          </cell>
          <cell r="K307" t="str">
            <v>EMMANUEL JOSEPH KALEMBO</v>
          </cell>
          <cell r="L307" t="str">
            <v>Warehouse Associate (TEMP)</v>
          </cell>
          <cell r="M307" t="str">
            <v>Warehouse Associate 8W</v>
          </cell>
          <cell r="N307" t="str">
            <v>aanso</v>
          </cell>
          <cell r="O307">
            <v>1299</v>
          </cell>
          <cell r="P307" t="str">
            <v>AUH1</v>
          </cell>
          <cell r="Q307" t="str">
            <v>ARE</v>
          </cell>
          <cell r="R307" t="str">
            <v>FC059</v>
          </cell>
          <cell r="S307" t="str">
            <v>Day Shift</v>
          </cell>
          <cell r="T307">
            <v>99</v>
          </cell>
          <cell r="U307" t="str">
            <v>MENA_UAE_FC</v>
          </cell>
          <cell r="X307">
            <v>46257.333333333336</v>
          </cell>
          <cell r="Y307">
            <v>46257.75</v>
          </cell>
          <cell r="Z307" t="str">
            <v>Rest Day</v>
          </cell>
          <cell r="AA307" t="str">
            <v>Not Scheduled</v>
          </cell>
          <cell r="AB307" t="str">
            <v>Not Present</v>
          </cell>
          <cell r="AC307" t="str">
            <v>Customer returns</v>
          </cell>
          <cell r="AD307" t="str">
            <v>Customer Returns</v>
          </cell>
          <cell r="AE307" t="str">
            <v>Customer returns</v>
          </cell>
          <cell r="AF307" t="str">
            <v>Sunday</v>
          </cell>
          <cell r="AG307" t="str">
            <v>Monday</v>
          </cell>
          <cell r="AH307">
            <v>22</v>
          </cell>
          <cell r="AJ307">
            <v>46019</v>
          </cell>
          <cell r="AM307" t="str">
            <v>TEMP</v>
          </cell>
          <cell r="AN307" t="str">
            <v>3P Onsite Worker</v>
          </cell>
          <cell r="AO307" t="str">
            <v>A</v>
          </cell>
          <cell r="AP307">
            <v>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</row>
        <row r="308">
          <cell r="D308" t="str">
            <v>emmanhme</v>
          </cell>
          <cell r="E308">
            <v>204319462</v>
          </cell>
          <cell r="F308" t="str">
            <v>A</v>
          </cell>
          <cell r="G308" t="str">
            <v>GREEN</v>
          </cell>
          <cell r="H308" t="str">
            <v>FULL_TIME</v>
          </cell>
          <cell r="I308">
            <v>900234</v>
          </cell>
          <cell r="J308" t="str">
            <v>Quesscorp</v>
          </cell>
          <cell r="K308" t="str">
            <v>Emmanuel Mensah</v>
          </cell>
          <cell r="L308" t="str">
            <v>Warehouse Associate (TEMP)</v>
          </cell>
          <cell r="M308" t="str">
            <v>Warehouse Associate 8W</v>
          </cell>
          <cell r="N308" t="str">
            <v>aanso</v>
          </cell>
          <cell r="O308">
            <v>1299</v>
          </cell>
          <cell r="P308" t="str">
            <v>AUH1</v>
          </cell>
          <cell r="Q308" t="str">
            <v>ARE</v>
          </cell>
          <cell r="R308" t="str">
            <v>LK014</v>
          </cell>
          <cell r="S308" t="str">
            <v>Night Shift</v>
          </cell>
          <cell r="T308">
            <v>99</v>
          </cell>
          <cell r="U308" t="str">
            <v>MENA_UAE_FC</v>
          </cell>
          <cell r="V308">
            <v>46257.755555555559</v>
          </cell>
          <cell r="X308">
            <v>46257.756944444445</v>
          </cell>
          <cell r="Y308">
            <v>46258.173611111109</v>
          </cell>
          <cell r="AA308" t="str">
            <v>Scheduled</v>
          </cell>
          <cell r="AB308" t="str">
            <v>Present</v>
          </cell>
          <cell r="AC308" t="str">
            <v>Customer returns</v>
          </cell>
          <cell r="AD308" t="str">
            <v>Customer Returns</v>
          </cell>
          <cell r="AE308" t="str">
            <v>Customer returns</v>
          </cell>
          <cell r="AF308" t="str">
            <v>Monday</v>
          </cell>
          <cell r="AG308" t="str">
            <v>Tuesday</v>
          </cell>
          <cell r="AH308">
            <v>22</v>
          </cell>
          <cell r="AJ308">
            <v>45588</v>
          </cell>
          <cell r="AM308" t="str">
            <v>TEMP</v>
          </cell>
          <cell r="AN308" t="str">
            <v>3P Onsite Worker</v>
          </cell>
          <cell r="AO308" t="str">
            <v>A</v>
          </cell>
          <cell r="AP308">
            <v>9</v>
          </cell>
          <cell r="AQ308">
            <v>0</v>
          </cell>
          <cell r="AR308">
            <v>1</v>
          </cell>
          <cell r="AS308">
            <v>1</v>
          </cell>
          <cell r="AT308">
            <v>0</v>
          </cell>
          <cell r="AU308">
            <v>0</v>
          </cell>
        </row>
        <row r="309">
          <cell r="D309" t="str">
            <v>emmaunea</v>
          </cell>
          <cell r="E309">
            <v>206138681</v>
          </cell>
          <cell r="F309" t="str">
            <v>A</v>
          </cell>
          <cell r="G309" t="str">
            <v>GREEN</v>
          </cell>
          <cell r="H309" t="str">
            <v>REDUCED</v>
          </cell>
          <cell r="I309">
            <v>900234</v>
          </cell>
          <cell r="J309" t="str">
            <v>Fastlink Outsourcing</v>
          </cell>
          <cell r="K309" t="str">
            <v>EMMAUNEL AYENSU</v>
          </cell>
          <cell r="L309" t="str">
            <v>Warehouse Associate (TEMP)</v>
          </cell>
          <cell r="M309" t="str">
            <v>Warehouse Associate 8W</v>
          </cell>
          <cell r="N309" t="str">
            <v>bizthoma</v>
          </cell>
          <cell r="O309">
            <v>1299</v>
          </cell>
          <cell r="P309" t="str">
            <v>AUH1</v>
          </cell>
          <cell r="Q309" t="str">
            <v>ARE</v>
          </cell>
          <cell r="R309" t="str">
            <v>FC554</v>
          </cell>
          <cell r="S309" t="str">
            <v>Night Shift</v>
          </cell>
          <cell r="T309">
            <v>99</v>
          </cell>
          <cell r="U309" t="str">
            <v>MENA_UAE_FC</v>
          </cell>
          <cell r="X309">
            <v>46257.756944444445</v>
          </cell>
          <cell r="Y309">
            <v>46258.090277777781</v>
          </cell>
          <cell r="Z309" t="str">
            <v>Rest Day</v>
          </cell>
          <cell r="AA309" t="str">
            <v>Not Scheduled</v>
          </cell>
          <cell r="AB309" t="str">
            <v>Not Present</v>
          </cell>
          <cell r="AC309" t="str">
            <v>Outbound</v>
          </cell>
          <cell r="AD309" t="str">
            <v>Picking</v>
          </cell>
          <cell r="AE309" t="str">
            <v>Pick</v>
          </cell>
          <cell r="AF309" t="str">
            <v>Sunday</v>
          </cell>
          <cell r="AG309" t="str">
            <v>Monday</v>
          </cell>
          <cell r="AH309">
            <v>13</v>
          </cell>
          <cell r="AJ309">
            <v>46251</v>
          </cell>
          <cell r="AM309" t="str">
            <v>TEMP</v>
          </cell>
          <cell r="AN309" t="str">
            <v>3P Onsite Worker</v>
          </cell>
          <cell r="AO309" t="str">
            <v>A</v>
          </cell>
          <cell r="AP309">
            <v>7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</row>
        <row r="310">
          <cell r="D310" t="str">
            <v>emmbrobb</v>
          </cell>
          <cell r="E310">
            <v>203469452</v>
          </cell>
          <cell r="F310" t="str">
            <v>A</v>
          </cell>
          <cell r="G310" t="str">
            <v>GREEN</v>
          </cell>
          <cell r="H310" t="str">
            <v>FULL_TIME</v>
          </cell>
          <cell r="I310">
            <v>900234</v>
          </cell>
          <cell r="J310" t="str">
            <v>Adecco</v>
          </cell>
          <cell r="K310" t="str">
            <v>EMMANUEL BROBBEY</v>
          </cell>
          <cell r="L310" t="str">
            <v>Warehouse Associate (TEMP)</v>
          </cell>
          <cell r="M310" t="str">
            <v>Warehouse Associate 24M</v>
          </cell>
          <cell r="N310" t="str">
            <v>aanso</v>
          </cell>
          <cell r="O310">
            <v>1299</v>
          </cell>
          <cell r="P310" t="str">
            <v>AUH1</v>
          </cell>
          <cell r="Q310" t="str">
            <v>ARE</v>
          </cell>
          <cell r="R310" t="str">
            <v>LK014</v>
          </cell>
          <cell r="S310" t="str">
            <v>Night Shift</v>
          </cell>
          <cell r="T310">
            <v>99</v>
          </cell>
          <cell r="U310" t="str">
            <v>MENA_UAE_FC</v>
          </cell>
          <cell r="V310">
            <v>46257.754166666666</v>
          </cell>
          <cell r="X310">
            <v>46257.756944444445</v>
          </cell>
          <cell r="Y310">
            <v>46258.173611111109</v>
          </cell>
          <cell r="AA310" t="str">
            <v>Scheduled</v>
          </cell>
          <cell r="AB310" t="str">
            <v>Present</v>
          </cell>
          <cell r="AC310" t="str">
            <v>Customer returns</v>
          </cell>
          <cell r="AD310" t="str">
            <v>Customer Returns</v>
          </cell>
          <cell r="AE310" t="str">
            <v>Customer returns</v>
          </cell>
          <cell r="AF310" t="str">
            <v>Monday</v>
          </cell>
          <cell r="AG310" t="str">
            <v>Tuesday</v>
          </cell>
          <cell r="AH310">
            <v>22</v>
          </cell>
          <cell r="AJ310">
            <v>45455</v>
          </cell>
          <cell r="AM310" t="str">
            <v>TEMP</v>
          </cell>
          <cell r="AN310" t="str">
            <v>3P Onsite Worker</v>
          </cell>
          <cell r="AO310" t="str">
            <v>A</v>
          </cell>
          <cell r="AP310">
            <v>9</v>
          </cell>
          <cell r="AQ310">
            <v>0</v>
          </cell>
          <cell r="AR310">
            <v>1</v>
          </cell>
          <cell r="AS310">
            <v>1</v>
          </cell>
          <cell r="AT310">
            <v>0</v>
          </cell>
          <cell r="AU310">
            <v>0</v>
          </cell>
        </row>
        <row r="311">
          <cell r="D311" t="str">
            <v>emmfofie</v>
          </cell>
          <cell r="E311">
            <v>204299903</v>
          </cell>
          <cell r="F311" t="str">
            <v>A</v>
          </cell>
          <cell r="G311" t="str">
            <v>GREEN</v>
          </cell>
          <cell r="H311" t="str">
            <v>FULL_TIME</v>
          </cell>
          <cell r="I311">
            <v>900234</v>
          </cell>
          <cell r="J311" t="str">
            <v>Quesscorp</v>
          </cell>
          <cell r="K311" t="str">
            <v>Emmanuel Fofie</v>
          </cell>
          <cell r="L311" t="str">
            <v>Warehouse Associate (TEMP)</v>
          </cell>
          <cell r="M311" t="str">
            <v>Warehouse Associate 24M</v>
          </cell>
          <cell r="N311" t="str">
            <v>aanso</v>
          </cell>
          <cell r="O311">
            <v>1299</v>
          </cell>
          <cell r="P311" t="str">
            <v>AUH1</v>
          </cell>
          <cell r="Q311" t="str">
            <v>ARE</v>
          </cell>
          <cell r="R311" t="str">
            <v>LK014</v>
          </cell>
          <cell r="S311" t="str">
            <v>Night Shift</v>
          </cell>
          <cell r="T311">
            <v>99</v>
          </cell>
          <cell r="U311" t="str">
            <v>MENA_UAE_FC</v>
          </cell>
          <cell r="V311">
            <v>46257.754861111112</v>
          </cell>
          <cell r="X311">
            <v>46257.756944444445</v>
          </cell>
          <cell r="Y311">
            <v>46258.173611111109</v>
          </cell>
          <cell r="AA311" t="str">
            <v>Scheduled</v>
          </cell>
          <cell r="AB311" t="str">
            <v>Present</v>
          </cell>
          <cell r="AC311" t="str">
            <v>Customer returns</v>
          </cell>
          <cell r="AD311" t="str">
            <v>Customer Returns</v>
          </cell>
          <cell r="AE311" t="str">
            <v>Customer returns</v>
          </cell>
          <cell r="AF311" t="str">
            <v>Monday</v>
          </cell>
          <cell r="AG311" t="str">
            <v>Tuesday</v>
          </cell>
          <cell r="AH311">
            <v>22</v>
          </cell>
          <cell r="AJ311">
            <v>45585</v>
          </cell>
          <cell r="AM311" t="str">
            <v>TEMP</v>
          </cell>
          <cell r="AN311" t="str">
            <v>3P Onsite Worker</v>
          </cell>
          <cell r="AO311" t="str">
            <v>A</v>
          </cell>
          <cell r="AP311">
            <v>9</v>
          </cell>
          <cell r="AQ311">
            <v>0</v>
          </cell>
          <cell r="AR311">
            <v>1</v>
          </cell>
          <cell r="AS311">
            <v>1</v>
          </cell>
          <cell r="AT311">
            <v>0</v>
          </cell>
          <cell r="AU311">
            <v>0</v>
          </cell>
        </row>
        <row r="312">
          <cell r="D312" t="str">
            <v>emmqamuz</v>
          </cell>
          <cell r="E312">
            <v>203965522</v>
          </cell>
          <cell r="F312" t="str">
            <v>A</v>
          </cell>
          <cell r="G312" t="str">
            <v>GREEN</v>
          </cell>
          <cell r="H312" t="str">
            <v>FULL_TIME</v>
          </cell>
          <cell r="I312">
            <v>900234</v>
          </cell>
          <cell r="J312" t="str">
            <v>Fastlink Outsourcing</v>
          </cell>
          <cell r="K312" t="str">
            <v>Emmanuel Amuzu</v>
          </cell>
          <cell r="L312" t="str">
            <v>Warehouse Associate (TEMP)</v>
          </cell>
          <cell r="M312" t="str">
            <v>Warehouse Associate 12M</v>
          </cell>
          <cell r="N312" t="str">
            <v>bizthoma</v>
          </cell>
          <cell r="O312">
            <v>1299</v>
          </cell>
          <cell r="P312" t="str">
            <v>AUH1</v>
          </cell>
          <cell r="Q312" t="str">
            <v>ARE</v>
          </cell>
          <cell r="R312" t="str">
            <v>LK015</v>
          </cell>
          <cell r="S312" t="str">
            <v>Night Shift</v>
          </cell>
          <cell r="T312">
            <v>99</v>
          </cell>
          <cell r="U312" t="str">
            <v>MENA_UAE_FC</v>
          </cell>
          <cell r="V312">
            <v>46257.755555555559</v>
          </cell>
          <cell r="X312">
            <v>46257.756944444445</v>
          </cell>
          <cell r="Y312">
            <v>46258.173611111109</v>
          </cell>
          <cell r="AA312" t="str">
            <v>Scheduled</v>
          </cell>
          <cell r="AB312" t="str">
            <v>Present</v>
          </cell>
          <cell r="AC312" t="str">
            <v>Outbound</v>
          </cell>
          <cell r="AD312" t="str">
            <v>Picking</v>
          </cell>
          <cell r="AE312" t="str">
            <v>Pick</v>
          </cell>
          <cell r="AF312" t="str">
            <v>Tuesday</v>
          </cell>
          <cell r="AG312" t="str">
            <v>Wednesday</v>
          </cell>
          <cell r="AH312">
            <v>13</v>
          </cell>
          <cell r="AJ312">
            <v>45543</v>
          </cell>
          <cell r="AM312" t="str">
            <v>TEMP</v>
          </cell>
          <cell r="AN312" t="str">
            <v>3P Onsite Worker</v>
          </cell>
          <cell r="AO312" t="str">
            <v>A</v>
          </cell>
          <cell r="AP312">
            <v>9</v>
          </cell>
          <cell r="AQ312">
            <v>0</v>
          </cell>
          <cell r="AR312">
            <v>1</v>
          </cell>
          <cell r="AS312">
            <v>1</v>
          </cell>
          <cell r="AT312">
            <v>0</v>
          </cell>
          <cell r="AU312">
            <v>0</v>
          </cell>
        </row>
        <row r="313">
          <cell r="D313" t="str">
            <v>emuhamia</v>
          </cell>
          <cell r="E313">
            <v>205236906</v>
          </cell>
          <cell r="F313" t="str">
            <v>A</v>
          </cell>
          <cell r="G313" t="str">
            <v>GREEN</v>
          </cell>
          <cell r="H313" t="str">
            <v>FULL_TIME</v>
          </cell>
          <cell r="I313">
            <v>900234</v>
          </cell>
          <cell r="J313" t="str">
            <v>Dulsco L.L.C.</v>
          </cell>
          <cell r="K313" t="str">
            <v>MUHAMIN AHMED</v>
          </cell>
          <cell r="L313" t="str">
            <v>Warehouse Associate (TEMP)</v>
          </cell>
          <cell r="M313" t="str">
            <v>Warehouse Associate 24M</v>
          </cell>
          <cell r="N313" t="str">
            <v>lraghava</v>
          </cell>
          <cell r="O313">
            <v>1299</v>
          </cell>
          <cell r="P313" t="str">
            <v>AUH1</v>
          </cell>
          <cell r="Q313" t="str">
            <v>ARE</v>
          </cell>
          <cell r="R313" t="str">
            <v>FC009</v>
          </cell>
          <cell r="S313" t="str">
            <v>Day Shift</v>
          </cell>
          <cell r="T313">
            <v>99</v>
          </cell>
          <cell r="U313" t="str">
            <v>MENA_UAE_FC</v>
          </cell>
          <cell r="V313">
            <v>46257.332638888889</v>
          </cell>
          <cell r="W313">
            <v>46257.745833333334</v>
          </cell>
          <cell r="X313">
            <v>46257.333333333336</v>
          </cell>
          <cell r="Y313">
            <v>46257.75</v>
          </cell>
          <cell r="AA313" t="str">
            <v>Scheduled</v>
          </cell>
          <cell r="AB313" t="str">
            <v>Present</v>
          </cell>
          <cell r="AC313" t="str">
            <v>Outbound</v>
          </cell>
          <cell r="AD313" t="str">
            <v>Picking</v>
          </cell>
          <cell r="AE313" t="str">
            <v>Pick</v>
          </cell>
          <cell r="AF313" t="str">
            <v>Friday</v>
          </cell>
          <cell r="AG313" t="str">
            <v>Saturday</v>
          </cell>
          <cell r="AH313">
            <v>13</v>
          </cell>
          <cell r="AJ313">
            <v>45788</v>
          </cell>
          <cell r="AM313" t="str">
            <v>TEMP</v>
          </cell>
          <cell r="AN313" t="str">
            <v>3P Onsite Worker</v>
          </cell>
          <cell r="AO313" t="str">
            <v>A</v>
          </cell>
          <cell r="AP313">
            <v>9</v>
          </cell>
          <cell r="AQ313">
            <v>0</v>
          </cell>
          <cell r="AR313">
            <v>1</v>
          </cell>
          <cell r="AS313">
            <v>1</v>
          </cell>
          <cell r="AT313">
            <v>0</v>
          </cell>
          <cell r="AU313">
            <v>0</v>
          </cell>
        </row>
        <row r="314">
          <cell r="D314" t="str">
            <v>emwanamb</v>
          </cell>
          <cell r="E314">
            <v>203908894</v>
          </cell>
          <cell r="F314" t="str">
            <v>A</v>
          </cell>
          <cell r="G314" t="str">
            <v>GREEN</v>
          </cell>
          <cell r="H314" t="str">
            <v>FULL_TIME</v>
          </cell>
          <cell r="I314">
            <v>900234</v>
          </cell>
          <cell r="J314" t="str">
            <v>Dulsco L.L.C.</v>
          </cell>
          <cell r="K314" t="str">
            <v>EMMA WANAMBWA</v>
          </cell>
          <cell r="L314" t="str">
            <v>Warehouse Associate (TEMP)</v>
          </cell>
          <cell r="M314" t="str">
            <v>Warehouse Associate 8W</v>
          </cell>
          <cell r="N314" t="str">
            <v>ansammar</v>
          </cell>
          <cell r="O314">
            <v>1299</v>
          </cell>
          <cell r="P314" t="str">
            <v>AUH1</v>
          </cell>
          <cell r="Q314" t="str">
            <v>ARE</v>
          </cell>
          <cell r="R314" t="str">
            <v>LK016</v>
          </cell>
          <cell r="S314" t="str">
            <v>Night Shift</v>
          </cell>
          <cell r="T314">
            <v>99</v>
          </cell>
          <cell r="U314" t="str">
            <v>MENA_UAE_FC</v>
          </cell>
          <cell r="V314">
            <v>46257.758333333331</v>
          </cell>
          <cell r="X314">
            <v>46257.756944444445</v>
          </cell>
          <cell r="Y314">
            <v>46258.173611111109</v>
          </cell>
          <cell r="AA314" t="str">
            <v>Scheduled</v>
          </cell>
          <cell r="AB314" t="str">
            <v>Present</v>
          </cell>
          <cell r="AC314" t="str">
            <v>Outbound</v>
          </cell>
          <cell r="AD314" t="str">
            <v>Picking</v>
          </cell>
          <cell r="AE314" t="str">
            <v>Pick</v>
          </cell>
          <cell r="AF314" t="str">
            <v>Wednesday</v>
          </cell>
          <cell r="AG314" t="str">
            <v>Thursday</v>
          </cell>
          <cell r="AH314">
            <v>13</v>
          </cell>
          <cell r="AJ314">
            <v>45536</v>
          </cell>
          <cell r="AM314" t="str">
            <v>TEMP</v>
          </cell>
          <cell r="AN314" t="str">
            <v>3P Onsite Worker</v>
          </cell>
          <cell r="AO314" t="str">
            <v>A</v>
          </cell>
          <cell r="AP314">
            <v>9</v>
          </cell>
          <cell r="AQ314">
            <v>0</v>
          </cell>
          <cell r="AR314">
            <v>1</v>
          </cell>
          <cell r="AS314">
            <v>1</v>
          </cell>
          <cell r="AT314">
            <v>0</v>
          </cell>
          <cell r="AU314">
            <v>0</v>
          </cell>
        </row>
        <row r="315">
          <cell r="D315" t="str">
            <v>enanemma</v>
          </cell>
          <cell r="E315">
            <v>206065199</v>
          </cell>
          <cell r="F315" t="str">
            <v>A</v>
          </cell>
          <cell r="G315" t="str">
            <v>GREEN</v>
          </cell>
          <cell r="H315" t="str">
            <v>FULL_TIME</v>
          </cell>
          <cell r="I315">
            <v>900234</v>
          </cell>
          <cell r="J315" t="str">
            <v>Fastlink Outsourcing</v>
          </cell>
          <cell r="K315" t="str">
            <v>Emmanuel Enang Nkwonji</v>
          </cell>
          <cell r="L315" t="str">
            <v>Warehouse Associate (TEMP)</v>
          </cell>
          <cell r="M315" t="str">
            <v>Warehouse Associate 12M</v>
          </cell>
          <cell r="N315" t="str">
            <v>abbaszoo</v>
          </cell>
          <cell r="O315">
            <v>1299</v>
          </cell>
          <cell r="P315" t="str">
            <v>AUH1</v>
          </cell>
          <cell r="Q315" t="str">
            <v>ARE</v>
          </cell>
          <cell r="R315" t="str">
            <v>FC159</v>
          </cell>
          <cell r="S315" t="str">
            <v>Day Shift</v>
          </cell>
          <cell r="T315">
            <v>99</v>
          </cell>
          <cell r="U315" t="str">
            <v>MENA_UAE_FC</v>
          </cell>
          <cell r="V315">
            <v>46257.331944444442</v>
          </cell>
          <cell r="W315">
            <v>46257.750694444447</v>
          </cell>
          <cell r="X315">
            <v>46257.333333333336</v>
          </cell>
          <cell r="Y315">
            <v>46257.75</v>
          </cell>
          <cell r="AA315" t="str">
            <v>Scheduled</v>
          </cell>
          <cell r="AB315" t="str">
            <v>Present</v>
          </cell>
          <cell r="AC315" t="str">
            <v>Inbound</v>
          </cell>
          <cell r="AD315" t="str">
            <v>Vendor Receive</v>
          </cell>
          <cell r="AE315" t="str">
            <v>Receive</v>
          </cell>
          <cell r="AF315" t="str">
            <v>Thursday</v>
          </cell>
          <cell r="AG315" t="str">
            <v>Friday</v>
          </cell>
          <cell r="AH315">
            <v>1</v>
          </cell>
          <cell r="AJ315">
            <v>45921</v>
          </cell>
          <cell r="AM315" t="str">
            <v>TEMP</v>
          </cell>
          <cell r="AN315" t="str">
            <v>3P Onsite Worker</v>
          </cell>
          <cell r="AO315" t="str">
            <v>A</v>
          </cell>
          <cell r="AP315">
            <v>9</v>
          </cell>
          <cell r="AQ315">
            <v>0</v>
          </cell>
          <cell r="AR315">
            <v>1</v>
          </cell>
          <cell r="AS315">
            <v>1</v>
          </cell>
          <cell r="AT315">
            <v>0</v>
          </cell>
          <cell r="AU315">
            <v>0</v>
          </cell>
        </row>
        <row r="316">
          <cell r="D316" t="str">
            <v>enleopol</v>
          </cell>
          <cell r="E316">
            <v>203468750</v>
          </cell>
          <cell r="F316" t="str">
            <v>A</v>
          </cell>
          <cell r="G316" t="str">
            <v>GREEN</v>
          </cell>
          <cell r="H316" t="str">
            <v>FULL_TIME</v>
          </cell>
          <cell r="I316">
            <v>900234</v>
          </cell>
          <cell r="J316" t="str">
            <v>Fastlink Outsourcing</v>
          </cell>
          <cell r="K316" t="str">
            <v>Leopold Ntong</v>
          </cell>
          <cell r="L316" t="str">
            <v>Warehouse Associate (TEMP)</v>
          </cell>
          <cell r="M316" t="str">
            <v>Warehouse Associate 12M</v>
          </cell>
          <cell r="N316" t="str">
            <v>lraghava</v>
          </cell>
          <cell r="O316">
            <v>1299</v>
          </cell>
          <cell r="P316" t="str">
            <v>AUH1</v>
          </cell>
          <cell r="Q316" t="str">
            <v>ARE</v>
          </cell>
          <cell r="R316" t="str">
            <v>FC134</v>
          </cell>
          <cell r="S316" t="str">
            <v>Day Shift</v>
          </cell>
          <cell r="T316">
            <v>99</v>
          </cell>
          <cell r="U316" t="str">
            <v>MENA_UAE_FC</v>
          </cell>
          <cell r="V316">
            <v>46257.32708333333</v>
          </cell>
          <cell r="W316">
            <v>46257.750694444447</v>
          </cell>
          <cell r="X316">
            <v>46257.333333333336</v>
          </cell>
          <cell r="Y316">
            <v>46257.75</v>
          </cell>
          <cell r="AA316" t="str">
            <v>Scheduled</v>
          </cell>
          <cell r="AB316" t="str">
            <v>Present</v>
          </cell>
          <cell r="AC316" t="str">
            <v>Outbound</v>
          </cell>
          <cell r="AD316" t="str">
            <v>Pack - Single</v>
          </cell>
          <cell r="AE316" t="str">
            <v>Pack</v>
          </cell>
          <cell r="AF316" t="str">
            <v>Wednesday</v>
          </cell>
          <cell r="AG316" t="str">
            <v>Thursday</v>
          </cell>
          <cell r="AH316">
            <v>18</v>
          </cell>
          <cell r="AJ316">
            <v>45455</v>
          </cell>
          <cell r="AM316" t="str">
            <v>TEMP</v>
          </cell>
          <cell r="AN316" t="str">
            <v>3P Onsite Worker</v>
          </cell>
          <cell r="AO316" t="str">
            <v>A</v>
          </cell>
          <cell r="AP316">
            <v>9</v>
          </cell>
          <cell r="AQ316">
            <v>0</v>
          </cell>
          <cell r="AR316">
            <v>1</v>
          </cell>
          <cell r="AS316">
            <v>1</v>
          </cell>
          <cell r="AT316">
            <v>0</v>
          </cell>
          <cell r="AU316">
            <v>0</v>
          </cell>
        </row>
        <row r="317">
          <cell r="D317" t="str">
            <v>entettey</v>
          </cell>
          <cell r="E317">
            <v>204946697</v>
          </cell>
          <cell r="F317" t="str">
            <v>A</v>
          </cell>
          <cell r="G317" t="str">
            <v>GREEN</v>
          </cell>
          <cell r="H317" t="str">
            <v>FULL_TIME</v>
          </cell>
          <cell r="I317">
            <v>900234</v>
          </cell>
          <cell r="J317" t="str">
            <v>Dulsco L.L.C.</v>
          </cell>
          <cell r="K317" t="str">
            <v>ENOCK TETTEY</v>
          </cell>
          <cell r="L317" t="str">
            <v>Warehouse Associate (TEMP)</v>
          </cell>
          <cell r="M317" t="str">
            <v>Warehouse Associate 24M</v>
          </cell>
          <cell r="N317" t="str">
            <v>lraghava</v>
          </cell>
          <cell r="O317">
            <v>1299</v>
          </cell>
          <cell r="P317" t="str">
            <v>AUH1</v>
          </cell>
          <cell r="Q317" t="str">
            <v>ARE</v>
          </cell>
          <cell r="R317" t="str">
            <v>LK014</v>
          </cell>
          <cell r="S317" t="str">
            <v>Night Shift</v>
          </cell>
          <cell r="T317">
            <v>99</v>
          </cell>
          <cell r="U317" t="str">
            <v>MENA_UAE_FC</v>
          </cell>
          <cell r="V317">
            <v>46257.754861111112</v>
          </cell>
          <cell r="X317">
            <v>46257.756944444445</v>
          </cell>
          <cell r="Y317">
            <v>46258.173611111109</v>
          </cell>
          <cell r="AA317" t="str">
            <v>Scheduled</v>
          </cell>
          <cell r="AB317" t="str">
            <v>Present</v>
          </cell>
          <cell r="AC317" t="str">
            <v>Outbound</v>
          </cell>
          <cell r="AD317" t="str">
            <v>Picking</v>
          </cell>
          <cell r="AE317" t="str">
            <v>Pick</v>
          </cell>
          <cell r="AF317" t="str">
            <v>Monday</v>
          </cell>
          <cell r="AG317" t="str">
            <v>Tuesday</v>
          </cell>
          <cell r="AH317">
            <v>13</v>
          </cell>
          <cell r="AJ317">
            <v>45718</v>
          </cell>
          <cell r="AM317" t="str">
            <v>TEMP</v>
          </cell>
          <cell r="AN317" t="str">
            <v>3P Onsite Worker</v>
          </cell>
          <cell r="AO317" t="str">
            <v>A</v>
          </cell>
          <cell r="AP317">
            <v>9</v>
          </cell>
          <cell r="AQ317">
            <v>0</v>
          </cell>
          <cell r="AR317">
            <v>1</v>
          </cell>
          <cell r="AS317">
            <v>1</v>
          </cell>
          <cell r="AT317">
            <v>0</v>
          </cell>
          <cell r="AU317">
            <v>0</v>
          </cell>
        </row>
        <row r="318">
          <cell r="D318" t="str">
            <v>enyanvbe</v>
          </cell>
          <cell r="E318">
            <v>203965180</v>
          </cell>
          <cell r="F318" t="str">
            <v>A</v>
          </cell>
          <cell r="G318" t="str">
            <v>GREEN</v>
          </cell>
          <cell r="H318" t="str">
            <v>FULL_TIME</v>
          </cell>
          <cell r="I318">
            <v>900234</v>
          </cell>
          <cell r="J318" t="str">
            <v>Fastlink Outsourcing</v>
          </cell>
          <cell r="K318" t="str">
            <v>Benjamin Enyan</v>
          </cell>
          <cell r="L318" t="str">
            <v>Warehouse Associate (TEMP)</v>
          </cell>
          <cell r="M318" t="str">
            <v>Warehouse Associate 12M</v>
          </cell>
          <cell r="N318" t="str">
            <v>scariav</v>
          </cell>
          <cell r="O318">
            <v>1299</v>
          </cell>
          <cell r="P318" t="str">
            <v>AUH1</v>
          </cell>
          <cell r="Q318" t="str">
            <v>ARE</v>
          </cell>
          <cell r="R318" t="str">
            <v>LK016</v>
          </cell>
          <cell r="S318" t="str">
            <v>Night Shift</v>
          </cell>
          <cell r="T318">
            <v>99</v>
          </cell>
          <cell r="U318" t="str">
            <v>MENA_UAE_FC</v>
          </cell>
          <cell r="V318">
            <v>46257.755555555559</v>
          </cell>
          <cell r="X318">
            <v>46257.756944444445</v>
          </cell>
          <cell r="Y318">
            <v>46258.173611111109</v>
          </cell>
          <cell r="AA318" t="str">
            <v>Scheduled</v>
          </cell>
          <cell r="AB318" t="str">
            <v>Present</v>
          </cell>
          <cell r="AC318" t="str">
            <v>Outbound</v>
          </cell>
          <cell r="AD318" t="str">
            <v>Picking</v>
          </cell>
          <cell r="AE318" t="str">
            <v>Pick</v>
          </cell>
          <cell r="AF318" t="str">
            <v>Wednesday</v>
          </cell>
          <cell r="AG318" t="str">
            <v>Thursday</v>
          </cell>
          <cell r="AH318">
            <v>13</v>
          </cell>
          <cell r="AJ318">
            <v>45543</v>
          </cell>
          <cell r="AM318" t="str">
            <v>TEMP</v>
          </cell>
          <cell r="AN318" t="str">
            <v>3P Onsite Worker</v>
          </cell>
          <cell r="AO318" t="str">
            <v>A</v>
          </cell>
          <cell r="AP318">
            <v>9</v>
          </cell>
          <cell r="AQ318">
            <v>0</v>
          </cell>
          <cell r="AR318">
            <v>1</v>
          </cell>
          <cell r="AS318">
            <v>1</v>
          </cell>
          <cell r="AT318">
            <v>0</v>
          </cell>
          <cell r="AU318">
            <v>0</v>
          </cell>
        </row>
        <row r="319">
          <cell r="D319" t="str">
            <v>eprisbmo</v>
          </cell>
          <cell r="E319">
            <v>204246169</v>
          </cell>
          <cell r="F319" t="str">
            <v>A</v>
          </cell>
          <cell r="G319" t="str">
            <v>GREEN</v>
          </cell>
          <cell r="H319" t="str">
            <v>FULL_TIME</v>
          </cell>
          <cell r="I319">
            <v>900234</v>
          </cell>
          <cell r="J319" t="str">
            <v>Quesscorp</v>
          </cell>
          <cell r="K319" t="str">
            <v>Prisbetty Moyo</v>
          </cell>
          <cell r="L319" t="str">
            <v>Warehouse Associate (TEMP)</v>
          </cell>
          <cell r="M319" t="str">
            <v>Warehouse Associate 24M</v>
          </cell>
          <cell r="N319" t="str">
            <v>nnahla</v>
          </cell>
          <cell r="O319">
            <v>1299</v>
          </cell>
          <cell r="P319" t="str">
            <v>AUH1</v>
          </cell>
          <cell r="Q319" t="str">
            <v>ARE</v>
          </cell>
          <cell r="R319" t="str">
            <v>FC134</v>
          </cell>
          <cell r="S319" t="str">
            <v>Day Shift</v>
          </cell>
          <cell r="T319">
            <v>99</v>
          </cell>
          <cell r="U319" t="str">
            <v>MENA_UAE_FC</v>
          </cell>
          <cell r="V319">
            <v>46257.331944444442</v>
          </cell>
          <cell r="W319">
            <v>46257.75</v>
          </cell>
          <cell r="X319">
            <v>46257.333333333336</v>
          </cell>
          <cell r="Y319">
            <v>46257.75</v>
          </cell>
          <cell r="AA319" t="str">
            <v>Scheduled</v>
          </cell>
          <cell r="AB319" t="str">
            <v>Present</v>
          </cell>
          <cell r="AC319" t="str">
            <v>Inbound</v>
          </cell>
          <cell r="AD319" t="str">
            <v>Inbound Stow</v>
          </cell>
          <cell r="AE319" t="str">
            <v>Stow</v>
          </cell>
          <cell r="AF319" t="str">
            <v>Wednesday</v>
          </cell>
          <cell r="AG319" t="str">
            <v>Thursday</v>
          </cell>
          <cell r="AH319">
            <v>3</v>
          </cell>
          <cell r="AJ319">
            <v>45578</v>
          </cell>
          <cell r="AM319" t="str">
            <v>TEMP</v>
          </cell>
          <cell r="AN319" t="str">
            <v>3P Onsite Worker</v>
          </cell>
          <cell r="AO319" t="str">
            <v>A</v>
          </cell>
          <cell r="AP319">
            <v>9</v>
          </cell>
          <cell r="AQ319">
            <v>0</v>
          </cell>
          <cell r="AR319">
            <v>1</v>
          </cell>
          <cell r="AS319">
            <v>1</v>
          </cell>
          <cell r="AT319">
            <v>0</v>
          </cell>
          <cell r="AU319">
            <v>0</v>
          </cell>
        </row>
        <row r="320">
          <cell r="D320" t="str">
            <v>erameng</v>
          </cell>
          <cell r="E320">
            <v>206072869</v>
          </cell>
          <cell r="F320" t="str">
            <v>A</v>
          </cell>
          <cell r="G320" t="str">
            <v>GREEN</v>
          </cell>
          <cell r="H320" t="str">
            <v>FULL_TIME</v>
          </cell>
          <cell r="I320">
            <v>900234</v>
          </cell>
          <cell r="J320" t="str">
            <v>Fastlink Outsourcing</v>
          </cell>
          <cell r="K320" t="str">
            <v>Eric Amengor</v>
          </cell>
          <cell r="L320" t="str">
            <v>Warehouse Associate (TEMP)</v>
          </cell>
          <cell r="M320" t="str">
            <v>Warehouse Associate 12M</v>
          </cell>
          <cell r="N320" t="str">
            <v>aanso</v>
          </cell>
          <cell r="O320">
            <v>1299</v>
          </cell>
          <cell r="P320" t="str">
            <v>AUH1</v>
          </cell>
          <cell r="Q320" t="str">
            <v>ARE</v>
          </cell>
          <cell r="R320" t="str">
            <v>FC009</v>
          </cell>
          <cell r="S320" t="str">
            <v>Day Shift</v>
          </cell>
          <cell r="T320">
            <v>99</v>
          </cell>
          <cell r="U320" t="str">
            <v>MENA_UAE_FC</v>
          </cell>
          <cell r="V320">
            <v>46257.331250000003</v>
          </cell>
          <cell r="W320">
            <v>46257.748611111114</v>
          </cell>
          <cell r="X320">
            <v>46257.333333333336</v>
          </cell>
          <cell r="Y320">
            <v>46257.75</v>
          </cell>
          <cell r="AA320" t="str">
            <v>Scheduled</v>
          </cell>
          <cell r="AB320" t="str">
            <v>Present</v>
          </cell>
          <cell r="AC320" t="str">
            <v>Customer returns</v>
          </cell>
          <cell r="AD320" t="str">
            <v>Customer Returns</v>
          </cell>
          <cell r="AE320" t="str">
            <v>Customer returns</v>
          </cell>
          <cell r="AF320" t="str">
            <v>Friday</v>
          </cell>
          <cell r="AG320" t="str">
            <v>Saturday</v>
          </cell>
          <cell r="AH320">
            <v>22</v>
          </cell>
          <cell r="AJ320">
            <v>45921</v>
          </cell>
          <cell r="AM320" t="str">
            <v>TEMP</v>
          </cell>
          <cell r="AN320" t="str">
            <v>3P Onsite Worker</v>
          </cell>
          <cell r="AO320" t="str">
            <v>A</v>
          </cell>
          <cell r="AP320">
            <v>9</v>
          </cell>
          <cell r="AQ320">
            <v>0</v>
          </cell>
          <cell r="AR320">
            <v>1</v>
          </cell>
          <cell r="AS320">
            <v>1</v>
          </cell>
          <cell r="AT320">
            <v>0</v>
          </cell>
          <cell r="AU320">
            <v>0</v>
          </cell>
        </row>
        <row r="321">
          <cell r="D321" t="str">
            <v>ericaffg</v>
          </cell>
          <cell r="E321">
            <v>206192264</v>
          </cell>
          <cell r="F321" t="str">
            <v>A</v>
          </cell>
          <cell r="G321" t="str">
            <v>GREEN</v>
          </cell>
          <cell r="H321" t="str">
            <v>FULL_TIME</v>
          </cell>
          <cell r="I321">
            <v>900234</v>
          </cell>
          <cell r="J321" t="str">
            <v>EFS Facilities Services</v>
          </cell>
          <cell r="K321" t="str">
            <v>Erica Afful</v>
          </cell>
          <cell r="L321" t="str">
            <v>Warehouse Associate (TEMP)</v>
          </cell>
          <cell r="M321" t="str">
            <v>Warehouse Associate 8W</v>
          </cell>
          <cell r="N321" t="str">
            <v>bizthoma</v>
          </cell>
          <cell r="O321">
            <v>1299</v>
          </cell>
          <cell r="P321" t="str">
            <v>AUH1</v>
          </cell>
          <cell r="Q321" t="str">
            <v>ARE</v>
          </cell>
          <cell r="R321" t="str">
            <v>LK011</v>
          </cell>
          <cell r="S321" t="str">
            <v>Night Shift</v>
          </cell>
          <cell r="T321">
            <v>99</v>
          </cell>
          <cell r="U321" t="str">
            <v>MENA_UAE_FC</v>
          </cell>
          <cell r="V321">
            <v>46257.755555555559</v>
          </cell>
          <cell r="X321">
            <v>46257.756944444445</v>
          </cell>
          <cell r="Y321">
            <v>46258.173611111109</v>
          </cell>
          <cell r="AA321" t="str">
            <v>Scheduled</v>
          </cell>
          <cell r="AB321" t="str">
            <v>Present</v>
          </cell>
          <cell r="AC321" t="str">
            <v>Outbound</v>
          </cell>
          <cell r="AD321" t="str">
            <v>Picking</v>
          </cell>
          <cell r="AE321" t="str">
            <v>Pick</v>
          </cell>
          <cell r="AF321" t="str">
            <v>Friday</v>
          </cell>
          <cell r="AG321" t="str">
            <v>Saturday</v>
          </cell>
          <cell r="AH321">
            <v>13</v>
          </cell>
          <cell r="AJ321">
            <v>45935</v>
          </cell>
          <cell r="AM321" t="str">
            <v>TEMP</v>
          </cell>
          <cell r="AN321" t="str">
            <v>3P Onsite Worker</v>
          </cell>
          <cell r="AO321" t="str">
            <v>A</v>
          </cell>
          <cell r="AP321">
            <v>9</v>
          </cell>
          <cell r="AQ321">
            <v>0</v>
          </cell>
          <cell r="AR321">
            <v>1</v>
          </cell>
          <cell r="AS321">
            <v>1</v>
          </cell>
          <cell r="AT321">
            <v>0</v>
          </cell>
          <cell r="AU321">
            <v>0</v>
          </cell>
        </row>
        <row r="322">
          <cell r="D322" t="str">
            <v>esiraben</v>
          </cell>
          <cell r="E322">
            <v>206348033</v>
          </cell>
          <cell r="F322" t="str">
            <v>A</v>
          </cell>
          <cell r="G322" t="str">
            <v>GREEN</v>
          </cell>
          <cell r="H322" t="str">
            <v>FULL_TIME</v>
          </cell>
          <cell r="I322">
            <v>900234</v>
          </cell>
          <cell r="J322" t="str">
            <v>Fastlink Outsourcing</v>
          </cell>
          <cell r="K322" t="str">
            <v>BENEDICTA ESI RAMSON</v>
          </cell>
          <cell r="L322" t="str">
            <v>Warehouse Associate (TEMP)</v>
          </cell>
          <cell r="M322" t="str">
            <v>Warehouse Associate 12M</v>
          </cell>
          <cell r="N322" t="str">
            <v>kebedeed</v>
          </cell>
          <cell r="O322">
            <v>1299</v>
          </cell>
          <cell r="P322" t="str">
            <v>AUH1</v>
          </cell>
          <cell r="Q322" t="str">
            <v>ARE</v>
          </cell>
          <cell r="R322" t="str">
            <v>FC034</v>
          </cell>
          <cell r="S322" t="str">
            <v>Day Shift</v>
          </cell>
          <cell r="T322">
            <v>99</v>
          </cell>
          <cell r="U322" t="str">
            <v>MENA_UAE_FC</v>
          </cell>
          <cell r="X322">
            <v>46257.333333333336</v>
          </cell>
          <cell r="Y322">
            <v>46257.75</v>
          </cell>
          <cell r="Z322" t="str">
            <v>Rest Day</v>
          </cell>
          <cell r="AA322" t="str">
            <v>Not Scheduled</v>
          </cell>
          <cell r="AB322" t="str">
            <v>Not Present</v>
          </cell>
          <cell r="AC322" t="str">
            <v>Support</v>
          </cell>
          <cell r="AD322" t="str">
            <v>Facilities</v>
          </cell>
          <cell r="AE322" t="str">
            <v>Support</v>
          </cell>
          <cell r="AF322" t="str">
            <v>Saturday</v>
          </cell>
          <cell r="AG322" t="str">
            <v>Sunday</v>
          </cell>
          <cell r="AH322">
            <v>28</v>
          </cell>
          <cell r="AJ322">
            <v>45956</v>
          </cell>
          <cell r="AM322" t="str">
            <v>TEMP</v>
          </cell>
          <cell r="AN322" t="str">
            <v>3P Onsite Worker</v>
          </cell>
          <cell r="AO322" t="str">
            <v>A</v>
          </cell>
          <cell r="AP322">
            <v>9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</row>
        <row r="323">
          <cell r="D323" t="str">
            <v>essummau</v>
          </cell>
          <cell r="E323">
            <v>203555405</v>
          </cell>
          <cell r="F323" t="str">
            <v>A</v>
          </cell>
          <cell r="G323" t="str">
            <v>GREEN</v>
          </cell>
          <cell r="H323" t="str">
            <v>FULL_TIME</v>
          </cell>
          <cell r="I323">
            <v>900234</v>
          </cell>
          <cell r="J323" t="str">
            <v>Fastlink Outsourcing</v>
          </cell>
          <cell r="K323" t="str">
            <v>Mary Essumang</v>
          </cell>
          <cell r="L323" t="str">
            <v>Warehouse Associate (TEMP)</v>
          </cell>
          <cell r="M323" t="str">
            <v>Warehouse Associate 12M</v>
          </cell>
          <cell r="N323" t="str">
            <v>bavameer</v>
          </cell>
          <cell r="O323">
            <v>1299</v>
          </cell>
          <cell r="P323" t="str">
            <v>AUH1</v>
          </cell>
          <cell r="Q323" t="str">
            <v>ARE</v>
          </cell>
          <cell r="R323" t="str">
            <v>FC159</v>
          </cell>
          <cell r="S323" t="str">
            <v>Day Shift</v>
          </cell>
          <cell r="T323">
            <v>99</v>
          </cell>
          <cell r="U323" t="str">
            <v>MENA_UAE_FC</v>
          </cell>
          <cell r="V323">
            <v>46257.332638888889</v>
          </cell>
          <cell r="W323">
            <v>46257.749305555553</v>
          </cell>
          <cell r="X323">
            <v>46257.333333333336</v>
          </cell>
          <cell r="Y323">
            <v>46257.75</v>
          </cell>
          <cell r="AA323" t="str">
            <v>Scheduled</v>
          </cell>
          <cell r="AB323" t="str">
            <v>Present</v>
          </cell>
          <cell r="AC323" t="str">
            <v>Customer returns</v>
          </cell>
          <cell r="AD323" t="str">
            <v>Customer Returns</v>
          </cell>
          <cell r="AE323" t="str">
            <v>Customer returns</v>
          </cell>
          <cell r="AF323" t="str">
            <v>Thursday</v>
          </cell>
          <cell r="AG323" t="str">
            <v>Friday</v>
          </cell>
          <cell r="AH323">
            <v>22</v>
          </cell>
          <cell r="AJ323">
            <v>45469</v>
          </cell>
          <cell r="AM323" t="str">
            <v>TEMP</v>
          </cell>
          <cell r="AN323" t="str">
            <v>3P Onsite Worker</v>
          </cell>
          <cell r="AO323" t="str">
            <v>A</v>
          </cell>
          <cell r="AP323">
            <v>9</v>
          </cell>
          <cell r="AQ323">
            <v>0</v>
          </cell>
          <cell r="AR323">
            <v>1</v>
          </cell>
          <cell r="AS323">
            <v>1</v>
          </cell>
          <cell r="AT323">
            <v>0</v>
          </cell>
          <cell r="AU323">
            <v>0</v>
          </cell>
        </row>
        <row r="324">
          <cell r="D324" t="str">
            <v>etamarac</v>
          </cell>
          <cell r="E324">
            <v>203512947</v>
          </cell>
          <cell r="F324" t="str">
            <v>A</v>
          </cell>
          <cell r="G324" t="str">
            <v>GREEN</v>
          </cell>
          <cell r="H324" t="str">
            <v>FULL_TIME</v>
          </cell>
          <cell r="I324">
            <v>900234</v>
          </cell>
          <cell r="J324" t="str">
            <v>Fastlink Outsourcing</v>
          </cell>
          <cell r="K324" t="str">
            <v>Rachael Etama</v>
          </cell>
          <cell r="L324" t="str">
            <v>Warehouse Associate (TEMP)</v>
          </cell>
          <cell r="M324" t="str">
            <v>Warehouse Associate 12M</v>
          </cell>
          <cell r="N324" t="str">
            <v>mnarshad</v>
          </cell>
          <cell r="O324">
            <v>1299</v>
          </cell>
          <cell r="P324" t="str">
            <v>AUH1</v>
          </cell>
          <cell r="Q324" t="str">
            <v>ARE</v>
          </cell>
          <cell r="R324" t="str">
            <v>LK017</v>
          </cell>
          <cell r="S324" t="str">
            <v>Night Shift</v>
          </cell>
          <cell r="T324">
            <v>99</v>
          </cell>
          <cell r="U324" t="str">
            <v>MENA_UAE_FC</v>
          </cell>
          <cell r="V324">
            <v>46257.755555555559</v>
          </cell>
          <cell r="X324">
            <v>46257.756944444445</v>
          </cell>
          <cell r="Y324">
            <v>46258.173611111109</v>
          </cell>
          <cell r="AA324" t="str">
            <v>Scheduled</v>
          </cell>
          <cell r="AB324" t="str">
            <v>Present</v>
          </cell>
          <cell r="AC324" t="str">
            <v>Outbound</v>
          </cell>
          <cell r="AD324" t="str">
            <v>Picking</v>
          </cell>
          <cell r="AE324" t="str">
            <v>Pick</v>
          </cell>
          <cell r="AF324" t="str">
            <v>Thursday</v>
          </cell>
          <cell r="AG324" t="str">
            <v>Friday</v>
          </cell>
          <cell r="AH324">
            <v>13</v>
          </cell>
          <cell r="AJ324">
            <v>45462</v>
          </cell>
          <cell r="AM324" t="str">
            <v>TEMP</v>
          </cell>
          <cell r="AN324" t="str">
            <v>3P Onsite Worker</v>
          </cell>
          <cell r="AO324" t="str">
            <v>A</v>
          </cell>
          <cell r="AP324">
            <v>9</v>
          </cell>
          <cell r="AQ324">
            <v>0</v>
          </cell>
          <cell r="AR324">
            <v>1</v>
          </cell>
          <cell r="AS324">
            <v>1</v>
          </cell>
          <cell r="AT324">
            <v>0</v>
          </cell>
          <cell r="AU324">
            <v>0</v>
          </cell>
        </row>
        <row r="325">
          <cell r="D325" t="str">
            <v>etugalex</v>
          </cell>
          <cell r="E325">
            <v>204116439</v>
          </cell>
          <cell r="F325" t="str">
            <v>A</v>
          </cell>
          <cell r="G325" t="str">
            <v>GREEN</v>
          </cell>
          <cell r="H325" t="str">
            <v>FULL_TIME</v>
          </cell>
          <cell r="I325">
            <v>900234</v>
          </cell>
          <cell r="J325" t="str">
            <v>Quesscorp</v>
          </cell>
          <cell r="K325" t="str">
            <v>Alexander Etuge</v>
          </cell>
          <cell r="L325" t="str">
            <v>Warehouse Associate (TEMP)</v>
          </cell>
          <cell r="M325" t="str">
            <v>Warehouse Associate 24M</v>
          </cell>
          <cell r="N325" t="str">
            <v>lraghava</v>
          </cell>
          <cell r="O325">
            <v>1299</v>
          </cell>
          <cell r="P325" t="str">
            <v>AUH1</v>
          </cell>
          <cell r="Q325" t="str">
            <v>ARE</v>
          </cell>
          <cell r="R325" t="str">
            <v>LK013</v>
          </cell>
          <cell r="S325" t="str">
            <v>Night Shift</v>
          </cell>
          <cell r="T325">
            <v>99</v>
          </cell>
          <cell r="U325" t="str">
            <v>MENA_UAE_FC</v>
          </cell>
          <cell r="X325">
            <v>46257.756944444445</v>
          </cell>
          <cell r="Y325">
            <v>46258.173611111109</v>
          </cell>
          <cell r="Z325" t="str">
            <v>Rest Day</v>
          </cell>
          <cell r="AA325" t="str">
            <v>Not Scheduled</v>
          </cell>
          <cell r="AB325" t="str">
            <v>Not Present</v>
          </cell>
          <cell r="AC325" t="str">
            <v>Outbound</v>
          </cell>
          <cell r="AD325" t="str">
            <v>Pack - Batch</v>
          </cell>
          <cell r="AE325" t="str">
            <v>Pack</v>
          </cell>
          <cell r="AF325" t="str">
            <v>Sunday</v>
          </cell>
          <cell r="AG325" t="str">
            <v>Monday</v>
          </cell>
          <cell r="AH325">
            <v>17</v>
          </cell>
          <cell r="AJ325">
            <v>45560</v>
          </cell>
          <cell r="AM325" t="str">
            <v>TEMP</v>
          </cell>
          <cell r="AN325" t="str">
            <v>3P Onsite Worker</v>
          </cell>
          <cell r="AO325" t="str">
            <v>A</v>
          </cell>
          <cell r="AP325">
            <v>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</row>
        <row r="326">
          <cell r="D326" t="str">
            <v>etusasir</v>
          </cell>
          <cell r="E326">
            <v>206846111</v>
          </cell>
          <cell r="F326" t="str">
            <v>A</v>
          </cell>
          <cell r="G326" t="str">
            <v>GREEN</v>
          </cell>
          <cell r="H326" t="str">
            <v>FULL_TIME</v>
          </cell>
          <cell r="I326">
            <v>900234</v>
          </cell>
          <cell r="J326" t="str">
            <v>Dulsco L.L.C.</v>
          </cell>
          <cell r="K326" t="str">
            <v>EMMANUEL TUSASIRWE</v>
          </cell>
          <cell r="L326" t="str">
            <v>Warehouse Associate (TEMP)</v>
          </cell>
          <cell r="M326" t="str">
            <v>Warehouse Associate 8W</v>
          </cell>
          <cell r="N326" t="str">
            <v>helrashd</v>
          </cell>
          <cell r="O326">
            <v>1299</v>
          </cell>
          <cell r="P326" t="str">
            <v>AUH1</v>
          </cell>
          <cell r="Q326" t="str">
            <v>ARE</v>
          </cell>
          <cell r="R326" t="str">
            <v>LK017</v>
          </cell>
          <cell r="S326" t="str">
            <v>Night Shift</v>
          </cell>
          <cell r="T326">
            <v>99</v>
          </cell>
          <cell r="U326" t="str">
            <v>MENA_UAE_FC</v>
          </cell>
          <cell r="V326">
            <v>46257.755555555559</v>
          </cell>
          <cell r="X326">
            <v>46257.756944444445</v>
          </cell>
          <cell r="Y326">
            <v>46258.173611111109</v>
          </cell>
          <cell r="AA326" t="str">
            <v>Scheduled</v>
          </cell>
          <cell r="AB326" t="str">
            <v>Present</v>
          </cell>
          <cell r="AC326" t="str">
            <v>Outbound</v>
          </cell>
          <cell r="AD326" t="str">
            <v>Picking</v>
          </cell>
          <cell r="AE326" t="str">
            <v>Pick</v>
          </cell>
          <cell r="AF326" t="str">
            <v>Thursday</v>
          </cell>
          <cell r="AG326" t="str">
            <v>Friday</v>
          </cell>
          <cell r="AH326">
            <v>13</v>
          </cell>
          <cell r="AJ326">
            <v>46012</v>
          </cell>
          <cell r="AM326" t="str">
            <v>TEMP</v>
          </cell>
          <cell r="AN326" t="str">
            <v>3P Onsite Worker</v>
          </cell>
          <cell r="AO326" t="str">
            <v>A</v>
          </cell>
          <cell r="AP326">
            <v>9</v>
          </cell>
          <cell r="AQ326">
            <v>0</v>
          </cell>
          <cell r="AR326">
            <v>1</v>
          </cell>
          <cell r="AS326">
            <v>1</v>
          </cell>
          <cell r="AT326">
            <v>0</v>
          </cell>
          <cell r="AU326">
            <v>0</v>
          </cell>
        </row>
        <row r="327">
          <cell r="D327" t="str">
            <v>evanasam</v>
          </cell>
          <cell r="E327">
            <v>203521134</v>
          </cell>
          <cell r="F327" t="str">
            <v>A</v>
          </cell>
          <cell r="G327" t="str">
            <v>GREEN</v>
          </cell>
          <cell r="H327" t="str">
            <v>FULL_TIME</v>
          </cell>
          <cell r="I327">
            <v>900234</v>
          </cell>
          <cell r="J327" t="str">
            <v>Fastlink Outsourcing</v>
          </cell>
          <cell r="K327" t="str">
            <v>Evans Asamoah</v>
          </cell>
          <cell r="L327" t="str">
            <v>Warehouse Associate (TEMP)</v>
          </cell>
          <cell r="M327" t="str">
            <v>Warehouse Associate 12M</v>
          </cell>
          <cell r="N327" t="str">
            <v>vkkatyal</v>
          </cell>
          <cell r="O327">
            <v>1299</v>
          </cell>
          <cell r="P327" t="str">
            <v>AUH1</v>
          </cell>
          <cell r="Q327" t="str">
            <v>ARE</v>
          </cell>
          <cell r="R327" t="str">
            <v>FC059</v>
          </cell>
          <cell r="S327" t="str">
            <v>Day Shift</v>
          </cell>
          <cell r="T327">
            <v>99</v>
          </cell>
          <cell r="U327" t="str">
            <v>MENA_UAE_FC</v>
          </cell>
          <cell r="X327">
            <v>46257.333333333336</v>
          </cell>
          <cell r="Y327">
            <v>46257.75</v>
          </cell>
          <cell r="Z327" t="str">
            <v>Rest Day</v>
          </cell>
          <cell r="AA327" t="str">
            <v>Not Scheduled</v>
          </cell>
          <cell r="AB327" t="str">
            <v>Not Present</v>
          </cell>
          <cell r="AC327" t="str">
            <v>Inbound</v>
          </cell>
          <cell r="AD327" t="str">
            <v>IB Problem Solve</v>
          </cell>
          <cell r="AE327" t="str">
            <v>Receive</v>
          </cell>
          <cell r="AF327" t="str">
            <v>Sunday</v>
          </cell>
          <cell r="AG327" t="str">
            <v>Monday</v>
          </cell>
          <cell r="AH327">
            <v>6</v>
          </cell>
          <cell r="AJ327">
            <v>45462</v>
          </cell>
          <cell r="AM327" t="str">
            <v>TEMP</v>
          </cell>
          <cell r="AN327" t="str">
            <v>3P Onsite Worker</v>
          </cell>
          <cell r="AO327" t="str">
            <v>A</v>
          </cell>
          <cell r="AP327">
            <v>9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</row>
        <row r="328">
          <cell r="D328" t="str">
            <v>evermbul</v>
          </cell>
          <cell r="E328">
            <v>206886729</v>
          </cell>
          <cell r="F328" t="str">
            <v>A</v>
          </cell>
          <cell r="G328" t="str">
            <v>GREEN</v>
          </cell>
          <cell r="H328" t="str">
            <v>FULL_TIME</v>
          </cell>
          <cell r="I328">
            <v>900234</v>
          </cell>
          <cell r="J328" t="str">
            <v>EFS Facilities Services</v>
          </cell>
          <cell r="K328" t="str">
            <v>EVERLYNE MBULA</v>
          </cell>
          <cell r="L328" t="str">
            <v>Warehouse Associate (TEMP)</v>
          </cell>
          <cell r="M328" t="str">
            <v>Warehouse Associate 12M</v>
          </cell>
          <cell r="N328" t="str">
            <v>pparsin</v>
          </cell>
          <cell r="O328">
            <v>1299</v>
          </cell>
          <cell r="P328" t="str">
            <v>AUH1</v>
          </cell>
          <cell r="Q328" t="str">
            <v>ARE</v>
          </cell>
          <cell r="R328" t="str">
            <v>FC059</v>
          </cell>
          <cell r="S328" t="str">
            <v>Day Shift</v>
          </cell>
          <cell r="T328">
            <v>99</v>
          </cell>
          <cell r="U328" t="str">
            <v>MENA_UAE_FC</v>
          </cell>
          <cell r="X328">
            <v>46257.333333333336</v>
          </cell>
          <cell r="Y328">
            <v>46257.75</v>
          </cell>
          <cell r="Z328" t="str">
            <v>Rest Day</v>
          </cell>
          <cell r="AA328" t="str">
            <v>Not Scheduled</v>
          </cell>
          <cell r="AB328" t="str">
            <v>Not Present</v>
          </cell>
          <cell r="AC328" t="str">
            <v>Inbound</v>
          </cell>
          <cell r="AD328" t="str">
            <v>Inbound Stow</v>
          </cell>
          <cell r="AE328" t="str">
            <v>Stow</v>
          </cell>
          <cell r="AF328" t="str">
            <v>Sunday</v>
          </cell>
          <cell r="AG328" t="str">
            <v>Monday</v>
          </cell>
          <cell r="AH328">
            <v>3</v>
          </cell>
          <cell r="AJ328">
            <v>46026</v>
          </cell>
          <cell r="AM328" t="str">
            <v>TEMP</v>
          </cell>
          <cell r="AN328" t="str">
            <v>3P Onsite Worker</v>
          </cell>
          <cell r="AO328" t="str">
            <v>A</v>
          </cell>
          <cell r="AP328">
            <v>9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</row>
        <row r="329">
          <cell r="D329" t="str">
            <v>everxmil</v>
          </cell>
          <cell r="E329">
            <v>203469399</v>
          </cell>
          <cell r="F329" t="str">
            <v>A</v>
          </cell>
          <cell r="G329" t="str">
            <v>GREEN</v>
          </cell>
          <cell r="H329" t="str">
            <v>FULL_TIME</v>
          </cell>
          <cell r="I329">
            <v>900234</v>
          </cell>
          <cell r="J329" t="str">
            <v>Adecco</v>
          </cell>
          <cell r="K329" t="str">
            <v>Everlyne Mills</v>
          </cell>
          <cell r="L329" t="str">
            <v>Warehouse Associate (TEMP)</v>
          </cell>
          <cell r="M329" t="str">
            <v>Warehouse Associate 24M</v>
          </cell>
          <cell r="N329" t="str">
            <v>aanso</v>
          </cell>
          <cell r="O329">
            <v>1299</v>
          </cell>
          <cell r="P329" t="str">
            <v>AUH1</v>
          </cell>
          <cell r="Q329" t="str">
            <v>ARE</v>
          </cell>
          <cell r="R329" t="str">
            <v>FC134</v>
          </cell>
          <cell r="S329" t="str">
            <v>Day Shift</v>
          </cell>
          <cell r="T329">
            <v>99</v>
          </cell>
          <cell r="U329" t="str">
            <v>MENA_UAE_FC</v>
          </cell>
          <cell r="V329">
            <v>46257.331944444442</v>
          </cell>
          <cell r="W329">
            <v>46257.75277777778</v>
          </cell>
          <cell r="X329">
            <v>46257.333333333336</v>
          </cell>
          <cell r="Y329">
            <v>46257.75</v>
          </cell>
          <cell r="AA329" t="str">
            <v>Scheduled</v>
          </cell>
          <cell r="AB329" t="str">
            <v>Present</v>
          </cell>
          <cell r="AC329" t="str">
            <v>Customer returns</v>
          </cell>
          <cell r="AD329" t="str">
            <v>Customer Returns</v>
          </cell>
          <cell r="AE329" t="str">
            <v>Customer returns</v>
          </cell>
          <cell r="AF329" t="str">
            <v>Wednesday</v>
          </cell>
          <cell r="AG329" t="str">
            <v>Thursday</v>
          </cell>
          <cell r="AH329">
            <v>22</v>
          </cell>
          <cell r="AJ329">
            <v>45455</v>
          </cell>
          <cell r="AM329" t="str">
            <v>TEMP</v>
          </cell>
          <cell r="AN329" t="str">
            <v>3P Onsite Worker</v>
          </cell>
          <cell r="AO329" t="str">
            <v>A</v>
          </cell>
          <cell r="AP329">
            <v>9</v>
          </cell>
          <cell r="AQ329">
            <v>0</v>
          </cell>
          <cell r="AR329">
            <v>1</v>
          </cell>
          <cell r="AS329">
            <v>1</v>
          </cell>
          <cell r="AT329">
            <v>0</v>
          </cell>
          <cell r="AU329">
            <v>0</v>
          </cell>
        </row>
        <row r="330">
          <cell r="D330" t="str">
            <v>evkwarte</v>
          </cell>
          <cell r="E330">
            <v>203881658</v>
          </cell>
          <cell r="F330" t="str">
            <v>A</v>
          </cell>
          <cell r="G330" t="str">
            <v>GREEN</v>
          </cell>
          <cell r="H330" t="str">
            <v>FULL_TIME</v>
          </cell>
          <cell r="I330">
            <v>900234</v>
          </cell>
          <cell r="J330" t="str">
            <v>Fastlink Outsourcing</v>
          </cell>
          <cell r="K330" t="str">
            <v>Evans Kwarteng</v>
          </cell>
          <cell r="L330" t="str">
            <v>Warehouse Associate (TEMP)</v>
          </cell>
          <cell r="M330" t="str">
            <v>Warehouse Associate 12M</v>
          </cell>
          <cell r="N330" t="str">
            <v>bizthoma</v>
          </cell>
          <cell r="O330">
            <v>1299</v>
          </cell>
          <cell r="P330" t="str">
            <v>AUH1</v>
          </cell>
          <cell r="Q330" t="str">
            <v>ARE</v>
          </cell>
          <cell r="R330" t="str">
            <v>FC084</v>
          </cell>
          <cell r="S330" t="str">
            <v>Day Shift</v>
          </cell>
          <cell r="T330">
            <v>99</v>
          </cell>
          <cell r="U330" t="str">
            <v>MENA_UAE_FC</v>
          </cell>
          <cell r="V330">
            <v>46257.32916666667</v>
          </cell>
          <cell r="W330">
            <v>46257.747916666667</v>
          </cell>
          <cell r="X330">
            <v>46257.333333333336</v>
          </cell>
          <cell r="Y330">
            <v>46257.75</v>
          </cell>
          <cell r="AA330" t="str">
            <v>Scheduled</v>
          </cell>
          <cell r="AB330" t="str">
            <v>Present</v>
          </cell>
          <cell r="AC330" t="str">
            <v>Outbound</v>
          </cell>
          <cell r="AD330" t="str">
            <v>Picking</v>
          </cell>
          <cell r="AE330" t="str">
            <v>Pick</v>
          </cell>
          <cell r="AF330" t="str">
            <v>Monday</v>
          </cell>
          <cell r="AG330" t="str">
            <v>Tuesday</v>
          </cell>
          <cell r="AH330">
            <v>13</v>
          </cell>
          <cell r="AJ330">
            <v>45529</v>
          </cell>
          <cell r="AM330" t="str">
            <v>TEMP</v>
          </cell>
          <cell r="AN330" t="str">
            <v>3P Onsite Worker</v>
          </cell>
          <cell r="AO330" t="str">
            <v>A</v>
          </cell>
          <cell r="AP330">
            <v>9</v>
          </cell>
          <cell r="AQ330">
            <v>0</v>
          </cell>
          <cell r="AR330">
            <v>1</v>
          </cell>
          <cell r="AS330">
            <v>1</v>
          </cell>
          <cell r="AT330">
            <v>0</v>
          </cell>
          <cell r="AU330">
            <v>0</v>
          </cell>
        </row>
        <row r="331">
          <cell r="D331" t="str">
            <v>faitdngi</v>
          </cell>
          <cell r="E331">
            <v>206886638</v>
          </cell>
          <cell r="F331" t="str">
            <v>A</v>
          </cell>
          <cell r="G331" t="str">
            <v>GREEN</v>
          </cell>
          <cell r="H331" t="str">
            <v>FULL_TIME</v>
          </cell>
          <cell r="I331">
            <v>900234</v>
          </cell>
          <cell r="J331" t="str">
            <v>EFS Facilities Services</v>
          </cell>
          <cell r="K331" t="str">
            <v>FAITH JEPNGETICH NGIROIN</v>
          </cell>
          <cell r="L331" t="str">
            <v>Warehouse Associate (TEMP)</v>
          </cell>
          <cell r="M331" t="str">
            <v>Warehouse Associate 8W</v>
          </cell>
          <cell r="N331" t="str">
            <v>pparsin</v>
          </cell>
          <cell r="O331">
            <v>1299</v>
          </cell>
          <cell r="P331" t="str">
            <v>AUH1</v>
          </cell>
          <cell r="Q331" t="str">
            <v>ARE</v>
          </cell>
          <cell r="R331" t="str">
            <v>FC059</v>
          </cell>
          <cell r="S331" t="str">
            <v>Day Shift</v>
          </cell>
          <cell r="T331">
            <v>99</v>
          </cell>
          <cell r="U331" t="str">
            <v>MENA_UAE_FC</v>
          </cell>
          <cell r="X331">
            <v>46257.333333333336</v>
          </cell>
          <cell r="Y331">
            <v>46257.75</v>
          </cell>
          <cell r="Z331" t="str">
            <v>Rest Day</v>
          </cell>
          <cell r="AA331" t="str">
            <v>Not Scheduled</v>
          </cell>
          <cell r="AB331" t="str">
            <v>Not Present</v>
          </cell>
          <cell r="AC331" t="str">
            <v>Inbound</v>
          </cell>
          <cell r="AD331" t="str">
            <v>Inbound Stow</v>
          </cell>
          <cell r="AE331" t="str">
            <v>Stow</v>
          </cell>
          <cell r="AF331" t="str">
            <v>Sunday</v>
          </cell>
          <cell r="AG331" t="str">
            <v>Monday</v>
          </cell>
          <cell r="AH331">
            <v>3</v>
          </cell>
          <cell r="AJ331">
            <v>46026</v>
          </cell>
          <cell r="AM331" t="str">
            <v>TEMP</v>
          </cell>
          <cell r="AN331" t="str">
            <v>3P Onsite Worker</v>
          </cell>
          <cell r="AO331" t="str">
            <v>A</v>
          </cell>
          <cell r="AP331">
            <v>9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</row>
        <row r="332">
          <cell r="D332" t="str">
            <v>faitjepk</v>
          </cell>
          <cell r="E332">
            <v>206953383</v>
          </cell>
          <cell r="F332" t="str">
            <v>A</v>
          </cell>
          <cell r="G332" t="str">
            <v>GREEN</v>
          </cell>
          <cell r="H332" t="str">
            <v>FULL_TIME</v>
          </cell>
          <cell r="I332">
            <v>900234</v>
          </cell>
          <cell r="J332" t="str">
            <v>EFS Facilities Services</v>
          </cell>
          <cell r="K332" t="str">
            <v>Faith Jepkoech</v>
          </cell>
          <cell r="L332" t="str">
            <v>Warehouse Associate (TEMP)</v>
          </cell>
          <cell r="M332" t="str">
            <v>Warehouse Associate 12M</v>
          </cell>
          <cell r="N332" t="str">
            <v>aanso</v>
          </cell>
          <cell r="O332">
            <v>1299</v>
          </cell>
          <cell r="P332" t="str">
            <v>AUH1</v>
          </cell>
          <cell r="Q332" t="str">
            <v>ARE</v>
          </cell>
          <cell r="R332" t="str">
            <v>FC159</v>
          </cell>
          <cell r="S332" t="str">
            <v>Day Shift</v>
          </cell>
          <cell r="T332">
            <v>99</v>
          </cell>
          <cell r="U332" t="str">
            <v>MENA_UAE_FC</v>
          </cell>
          <cell r="V332">
            <v>46257.330555555556</v>
          </cell>
          <cell r="W332">
            <v>46257.748611111114</v>
          </cell>
          <cell r="X332">
            <v>46257.333333333336</v>
          </cell>
          <cell r="Y332">
            <v>46257.75</v>
          </cell>
          <cell r="AA332" t="str">
            <v>Scheduled</v>
          </cell>
          <cell r="AB332" t="str">
            <v>Present</v>
          </cell>
          <cell r="AC332" t="str">
            <v>Customer returns</v>
          </cell>
          <cell r="AD332" t="str">
            <v>Customer Returns</v>
          </cell>
          <cell r="AE332" t="str">
            <v>Customer returns</v>
          </cell>
          <cell r="AF332" t="str">
            <v>Thursday</v>
          </cell>
          <cell r="AG332" t="str">
            <v>Friday</v>
          </cell>
          <cell r="AH332">
            <v>22</v>
          </cell>
          <cell r="AJ332">
            <v>46047</v>
          </cell>
          <cell r="AM332" t="str">
            <v>TEMP</v>
          </cell>
          <cell r="AN332" t="str">
            <v>3P Onsite Worker</v>
          </cell>
          <cell r="AO332" t="str">
            <v>A</v>
          </cell>
          <cell r="AP332">
            <v>9</v>
          </cell>
          <cell r="AQ332">
            <v>0</v>
          </cell>
          <cell r="AR332">
            <v>1</v>
          </cell>
          <cell r="AS332">
            <v>1</v>
          </cell>
          <cell r="AT332">
            <v>0</v>
          </cell>
          <cell r="AU332">
            <v>0</v>
          </cell>
        </row>
        <row r="333">
          <cell r="D333" t="str">
            <v>fanqgise</v>
          </cell>
          <cell r="E333">
            <v>205252538</v>
          </cell>
          <cell r="F333" t="str">
            <v>A</v>
          </cell>
          <cell r="G333" t="str">
            <v>GREEN</v>
          </cell>
          <cell r="H333" t="str">
            <v>FULL_TIME</v>
          </cell>
          <cell r="I333">
            <v>900234</v>
          </cell>
          <cell r="J333" t="str">
            <v>EFS Facilities Services</v>
          </cell>
          <cell r="K333" t="str">
            <v>Giselle Fuen Fang</v>
          </cell>
          <cell r="L333" t="str">
            <v>Warehouse Associate (TEMP)</v>
          </cell>
          <cell r="M333" t="str">
            <v>Warehouse Associate 8W</v>
          </cell>
          <cell r="N333" t="str">
            <v>mnarshad</v>
          </cell>
          <cell r="O333">
            <v>1299</v>
          </cell>
          <cell r="P333" t="str">
            <v>AUH1</v>
          </cell>
          <cell r="Q333" t="str">
            <v>ARE</v>
          </cell>
          <cell r="R333" t="str">
            <v>FC555</v>
          </cell>
          <cell r="S333" t="str">
            <v>Night Shift</v>
          </cell>
          <cell r="T333">
            <v>99</v>
          </cell>
          <cell r="U333" t="str">
            <v>MENA_UAE_FC</v>
          </cell>
          <cell r="V333">
            <v>46257.757638888892</v>
          </cell>
          <cell r="X333">
            <v>46257.756944444445</v>
          </cell>
          <cell r="Y333">
            <v>46258.090277777781</v>
          </cell>
          <cell r="AA333" t="str">
            <v>Scheduled</v>
          </cell>
          <cell r="AB333" t="str">
            <v>Present</v>
          </cell>
          <cell r="AC333" t="str">
            <v>Outbound</v>
          </cell>
          <cell r="AD333" t="str">
            <v>Picking</v>
          </cell>
          <cell r="AE333" t="str">
            <v>Pick</v>
          </cell>
          <cell r="AF333" t="str">
            <v>Monday</v>
          </cell>
          <cell r="AG333" t="str">
            <v>Tuesday</v>
          </cell>
          <cell r="AH333">
            <v>13</v>
          </cell>
          <cell r="AJ333">
            <v>46237</v>
          </cell>
          <cell r="AM333" t="str">
            <v>TEMP</v>
          </cell>
          <cell r="AN333" t="str">
            <v>3P Onsite Worker</v>
          </cell>
          <cell r="AO333" t="str">
            <v>A</v>
          </cell>
          <cell r="AP333">
            <v>7</v>
          </cell>
          <cell r="AQ333">
            <v>0</v>
          </cell>
          <cell r="AR333">
            <v>1</v>
          </cell>
          <cell r="AS333">
            <v>1</v>
          </cell>
          <cell r="AT333">
            <v>0</v>
          </cell>
          <cell r="AU333">
            <v>0</v>
          </cell>
        </row>
        <row r="334">
          <cell r="D334" t="str">
            <v>faroukki</v>
          </cell>
          <cell r="E334">
            <v>205839585</v>
          </cell>
          <cell r="F334" t="str">
            <v>A</v>
          </cell>
          <cell r="G334" t="str">
            <v>GREEN</v>
          </cell>
          <cell r="H334" t="str">
            <v>FULL_TIME</v>
          </cell>
          <cell r="I334">
            <v>900234</v>
          </cell>
          <cell r="J334" t="str">
            <v>Dulsco L.L.C.</v>
          </cell>
          <cell r="K334" t="str">
            <v>FAROUK KIBALAMA</v>
          </cell>
          <cell r="L334" t="str">
            <v>Warehouse Associate (TEMP)</v>
          </cell>
          <cell r="M334" t="str">
            <v>Warehouse Associate 8W</v>
          </cell>
          <cell r="N334" t="str">
            <v>bizthoma</v>
          </cell>
          <cell r="O334">
            <v>1299</v>
          </cell>
          <cell r="P334" t="str">
            <v>AUH1</v>
          </cell>
          <cell r="Q334" t="str">
            <v>ARE</v>
          </cell>
          <cell r="R334" t="str">
            <v>FC009</v>
          </cell>
          <cell r="S334" t="str">
            <v>Day Shift</v>
          </cell>
          <cell r="T334">
            <v>99</v>
          </cell>
          <cell r="U334" t="str">
            <v>MENA_UAE_FC</v>
          </cell>
          <cell r="V334">
            <v>46257.331944444442</v>
          </cell>
          <cell r="W334">
            <v>46257.748611111114</v>
          </cell>
          <cell r="X334">
            <v>46257.333333333336</v>
          </cell>
          <cell r="Y334">
            <v>46257.75</v>
          </cell>
          <cell r="AA334" t="str">
            <v>Scheduled</v>
          </cell>
          <cell r="AB334" t="str">
            <v>Present</v>
          </cell>
          <cell r="AC334" t="str">
            <v>Outbound</v>
          </cell>
          <cell r="AD334" t="str">
            <v>Pack - Batch</v>
          </cell>
          <cell r="AE334" t="str">
            <v>Pack</v>
          </cell>
          <cell r="AF334" t="str">
            <v>Friday</v>
          </cell>
          <cell r="AG334" t="str">
            <v>Saturday</v>
          </cell>
          <cell r="AH334">
            <v>17</v>
          </cell>
          <cell r="AJ334">
            <v>45893</v>
          </cell>
          <cell r="AM334" t="str">
            <v>TEMP</v>
          </cell>
          <cell r="AN334" t="str">
            <v>3P Onsite Worker</v>
          </cell>
          <cell r="AO334" t="str">
            <v>A</v>
          </cell>
          <cell r="AP334">
            <v>9</v>
          </cell>
          <cell r="AQ334">
            <v>0</v>
          </cell>
          <cell r="AR334">
            <v>1</v>
          </cell>
          <cell r="AS334">
            <v>1</v>
          </cell>
          <cell r="AT334">
            <v>0</v>
          </cell>
          <cell r="AU334">
            <v>0</v>
          </cell>
        </row>
        <row r="335">
          <cell r="D335" t="str">
            <v>faroukyj</v>
          </cell>
          <cell r="E335">
            <v>206873779</v>
          </cell>
          <cell r="F335" t="str">
            <v>A</v>
          </cell>
          <cell r="G335" t="str">
            <v>GREEN</v>
          </cell>
          <cell r="H335" t="str">
            <v>FULL_TIME</v>
          </cell>
          <cell r="I335">
            <v>900234</v>
          </cell>
          <cell r="J335" t="str">
            <v>Dulsco L.L.C.</v>
          </cell>
          <cell r="K335" t="str">
            <v>FAROUK KYOBE</v>
          </cell>
          <cell r="L335" t="str">
            <v>Warehouse Associate (TEMP)</v>
          </cell>
          <cell r="M335" t="str">
            <v>Warehouse Associate 8W</v>
          </cell>
          <cell r="N335" t="str">
            <v>aanso</v>
          </cell>
          <cell r="O335">
            <v>1299</v>
          </cell>
          <cell r="P335" t="str">
            <v>AUH1</v>
          </cell>
          <cell r="Q335" t="str">
            <v>ARE</v>
          </cell>
          <cell r="R335" t="str">
            <v>LK013</v>
          </cell>
          <cell r="S335" t="str">
            <v>Night Shift</v>
          </cell>
          <cell r="T335">
            <v>99</v>
          </cell>
          <cell r="U335" t="str">
            <v>MENA_UAE_FC</v>
          </cell>
          <cell r="X335">
            <v>46257.756944444445</v>
          </cell>
          <cell r="Y335">
            <v>46258.173611111109</v>
          </cell>
          <cell r="Z335" t="str">
            <v>Rest Day</v>
          </cell>
          <cell r="AA335" t="str">
            <v>Not Scheduled</v>
          </cell>
          <cell r="AB335" t="str">
            <v>Not Present</v>
          </cell>
          <cell r="AC335" t="str">
            <v>Customer returns</v>
          </cell>
          <cell r="AD335" t="str">
            <v>Customer Returns</v>
          </cell>
          <cell r="AE335" t="str">
            <v>Customer returns</v>
          </cell>
          <cell r="AF335" t="str">
            <v>Sunday</v>
          </cell>
          <cell r="AG335" t="str">
            <v>Monday</v>
          </cell>
          <cell r="AH335">
            <v>22</v>
          </cell>
          <cell r="AJ335">
            <v>46019</v>
          </cell>
          <cell r="AM335" t="str">
            <v>TEMP</v>
          </cell>
          <cell r="AN335" t="str">
            <v>3P Onsite Worker</v>
          </cell>
          <cell r="AO335" t="str">
            <v>A</v>
          </cell>
          <cell r="AP335">
            <v>9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</row>
        <row r="336">
          <cell r="D336" t="str">
            <v>fatawabd</v>
          </cell>
          <cell r="E336">
            <v>206065197</v>
          </cell>
          <cell r="F336" t="str">
            <v>A</v>
          </cell>
          <cell r="G336" t="str">
            <v>GREEN</v>
          </cell>
          <cell r="H336" t="str">
            <v>FULL_TIME</v>
          </cell>
          <cell r="I336">
            <v>900234</v>
          </cell>
          <cell r="J336" t="str">
            <v>Fastlink Outsourcing</v>
          </cell>
          <cell r="K336" t="str">
            <v>Fataw Abdulai</v>
          </cell>
          <cell r="L336" t="str">
            <v>Warehouse Associate (TEMP)</v>
          </cell>
          <cell r="M336" t="str">
            <v>Warehouse Associate 12M</v>
          </cell>
          <cell r="N336" t="str">
            <v>abbaszoo</v>
          </cell>
          <cell r="O336">
            <v>1299</v>
          </cell>
          <cell r="P336" t="str">
            <v>AUH1</v>
          </cell>
          <cell r="Q336" t="str">
            <v>ARE</v>
          </cell>
          <cell r="R336" t="str">
            <v>FC159</v>
          </cell>
          <cell r="S336" t="str">
            <v>Day Shift</v>
          </cell>
          <cell r="T336">
            <v>99</v>
          </cell>
          <cell r="U336" t="str">
            <v>MENA_UAE_FC</v>
          </cell>
          <cell r="V336">
            <v>46257.331250000003</v>
          </cell>
          <cell r="W336">
            <v>46257.750694444447</v>
          </cell>
          <cell r="X336">
            <v>46257.333333333336</v>
          </cell>
          <cell r="Y336">
            <v>46257.75</v>
          </cell>
          <cell r="AA336" t="str">
            <v>Scheduled</v>
          </cell>
          <cell r="AB336" t="str">
            <v>Present</v>
          </cell>
          <cell r="AC336" t="str">
            <v>Inbound</v>
          </cell>
          <cell r="AD336" t="str">
            <v>Vendor Receive</v>
          </cell>
          <cell r="AE336" t="str">
            <v>Receive</v>
          </cell>
          <cell r="AF336" t="str">
            <v>Thursday</v>
          </cell>
          <cell r="AG336" t="str">
            <v>Friday</v>
          </cell>
          <cell r="AH336">
            <v>1</v>
          </cell>
          <cell r="AJ336">
            <v>45921</v>
          </cell>
          <cell r="AM336" t="str">
            <v>TEMP</v>
          </cell>
          <cell r="AN336" t="str">
            <v>3P Onsite Worker</v>
          </cell>
          <cell r="AO336" t="str">
            <v>A</v>
          </cell>
          <cell r="AP336">
            <v>9</v>
          </cell>
          <cell r="AQ336">
            <v>0</v>
          </cell>
          <cell r="AR336">
            <v>1</v>
          </cell>
          <cell r="AS336">
            <v>1</v>
          </cell>
          <cell r="AT336">
            <v>0</v>
          </cell>
          <cell r="AU336">
            <v>0</v>
          </cell>
        </row>
        <row r="337">
          <cell r="D337" t="str">
            <v>fcherono</v>
          </cell>
          <cell r="E337">
            <v>206192267</v>
          </cell>
          <cell r="F337" t="str">
            <v>A</v>
          </cell>
          <cell r="G337" t="str">
            <v>GREEN</v>
          </cell>
          <cell r="H337" t="str">
            <v>FULL_TIME</v>
          </cell>
          <cell r="I337">
            <v>900234</v>
          </cell>
          <cell r="J337" t="str">
            <v>EFS Facilities Services</v>
          </cell>
          <cell r="K337" t="str">
            <v>Faith Cherono</v>
          </cell>
          <cell r="L337" t="str">
            <v>Warehouse Associate (TEMP)</v>
          </cell>
          <cell r="M337" t="str">
            <v>Warehouse Associate 12M</v>
          </cell>
          <cell r="N337" t="str">
            <v>scariav</v>
          </cell>
          <cell r="O337">
            <v>1299</v>
          </cell>
          <cell r="P337" t="str">
            <v>AUH1</v>
          </cell>
          <cell r="Q337" t="str">
            <v>ARE</v>
          </cell>
          <cell r="R337" t="str">
            <v>LK013</v>
          </cell>
          <cell r="S337" t="str">
            <v>Night Shift</v>
          </cell>
          <cell r="T337">
            <v>99</v>
          </cell>
          <cell r="U337" t="str">
            <v>MENA_UAE_FC</v>
          </cell>
          <cell r="X337">
            <v>46257.756944444445</v>
          </cell>
          <cell r="Y337">
            <v>46258.173611111109</v>
          </cell>
          <cell r="Z337" t="str">
            <v>Rest Day</v>
          </cell>
          <cell r="AA337" t="str">
            <v>Not Scheduled</v>
          </cell>
          <cell r="AB337" t="str">
            <v>Not Present</v>
          </cell>
          <cell r="AC337" t="str">
            <v>Outbound</v>
          </cell>
          <cell r="AD337" t="str">
            <v>Picking</v>
          </cell>
          <cell r="AE337" t="str">
            <v>Pick</v>
          </cell>
          <cell r="AF337" t="str">
            <v>Sunday</v>
          </cell>
          <cell r="AG337" t="str">
            <v>Monday</v>
          </cell>
          <cell r="AH337">
            <v>13</v>
          </cell>
          <cell r="AJ337">
            <v>45935</v>
          </cell>
          <cell r="AM337" t="str">
            <v>TEMP</v>
          </cell>
          <cell r="AN337" t="str">
            <v>3P Onsite Worker</v>
          </cell>
          <cell r="AO337" t="str">
            <v>A</v>
          </cell>
          <cell r="AP337">
            <v>9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</row>
        <row r="338">
          <cell r="D338" t="str">
            <v>femamoan</v>
          </cell>
          <cell r="E338">
            <v>203965407</v>
          </cell>
          <cell r="F338" t="str">
            <v>A</v>
          </cell>
          <cell r="G338" t="str">
            <v>GREEN</v>
          </cell>
          <cell r="H338" t="str">
            <v>FULL_TIME</v>
          </cell>
          <cell r="I338">
            <v>900234</v>
          </cell>
          <cell r="J338" t="str">
            <v>Fastlink Outsourcing</v>
          </cell>
          <cell r="K338" t="str">
            <v>Emmanuel Amoanyi</v>
          </cell>
          <cell r="L338" t="str">
            <v>Warehouse Associate (TEMP)</v>
          </cell>
          <cell r="M338" t="str">
            <v>Warehouse Associate 12M</v>
          </cell>
          <cell r="N338" t="str">
            <v>bizthoma</v>
          </cell>
          <cell r="O338">
            <v>1299</v>
          </cell>
          <cell r="P338" t="str">
            <v>AUH1</v>
          </cell>
          <cell r="Q338" t="str">
            <v>ARE</v>
          </cell>
          <cell r="R338" t="str">
            <v>LK012</v>
          </cell>
          <cell r="S338" t="str">
            <v>Night Shift</v>
          </cell>
          <cell r="T338">
            <v>99</v>
          </cell>
          <cell r="U338" t="str">
            <v>MENA_UAE_FC</v>
          </cell>
          <cell r="X338">
            <v>46257.756944444445</v>
          </cell>
          <cell r="Y338">
            <v>46258.173611111109</v>
          </cell>
          <cell r="Z338" t="str">
            <v>Rest Day</v>
          </cell>
          <cell r="AA338" t="str">
            <v>Not Scheduled</v>
          </cell>
          <cell r="AB338" t="str">
            <v>Not Present</v>
          </cell>
          <cell r="AC338" t="str">
            <v>Outbound</v>
          </cell>
          <cell r="AD338" t="str">
            <v>Picking</v>
          </cell>
          <cell r="AE338" t="str">
            <v>Pick</v>
          </cell>
          <cell r="AF338" t="str">
            <v>Saturday</v>
          </cell>
          <cell r="AG338" t="str">
            <v>Sunday</v>
          </cell>
          <cell r="AH338">
            <v>13</v>
          </cell>
          <cell r="AJ338">
            <v>45543</v>
          </cell>
          <cell r="AM338" t="str">
            <v>TEMP</v>
          </cell>
          <cell r="AN338" t="str">
            <v>3P Onsite Worker</v>
          </cell>
          <cell r="AO338" t="str">
            <v>A</v>
          </cell>
          <cell r="AP338">
            <v>9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</row>
        <row r="339">
          <cell r="D339" t="str">
            <v>festusnd</v>
          </cell>
          <cell r="E339">
            <v>204246158</v>
          </cell>
          <cell r="F339" t="str">
            <v>A</v>
          </cell>
          <cell r="G339" t="str">
            <v>GREEN</v>
          </cell>
          <cell r="H339" t="str">
            <v>FULL_TIME</v>
          </cell>
          <cell r="I339">
            <v>900234</v>
          </cell>
          <cell r="J339" t="str">
            <v>Quesscorp</v>
          </cell>
          <cell r="K339" t="str">
            <v>Festus Nii Darko</v>
          </cell>
          <cell r="L339" t="str">
            <v>Warehouse Associate (TEMP)</v>
          </cell>
          <cell r="M339" t="str">
            <v>Warehouse Associate 24M</v>
          </cell>
          <cell r="N339" t="str">
            <v>abbaszoo</v>
          </cell>
          <cell r="O339">
            <v>1299</v>
          </cell>
          <cell r="P339" t="str">
            <v>AUH1</v>
          </cell>
          <cell r="Q339" t="str">
            <v>ARE</v>
          </cell>
          <cell r="R339" t="str">
            <v>FC109</v>
          </cell>
          <cell r="S339" t="str">
            <v>Day Shift</v>
          </cell>
          <cell r="T339">
            <v>99</v>
          </cell>
          <cell r="U339" t="str">
            <v>MENA_UAE_FC</v>
          </cell>
          <cell r="V339">
            <v>46257.332638888889</v>
          </cell>
          <cell r="W339">
            <v>46257.750694444447</v>
          </cell>
          <cell r="X339">
            <v>46257.333333333336</v>
          </cell>
          <cell r="Y339">
            <v>46257.75</v>
          </cell>
          <cell r="AA339" t="str">
            <v>Scheduled</v>
          </cell>
          <cell r="AB339" t="str">
            <v>Present</v>
          </cell>
          <cell r="AC339" t="str">
            <v>Inbound</v>
          </cell>
          <cell r="AD339" t="str">
            <v>Vendor Receive</v>
          </cell>
          <cell r="AE339" t="str">
            <v>Receive</v>
          </cell>
          <cell r="AF339" t="str">
            <v>Tuesday</v>
          </cell>
          <cell r="AG339" t="str">
            <v>Wednesday</v>
          </cell>
          <cell r="AH339">
            <v>1</v>
          </cell>
          <cell r="AJ339">
            <v>45578</v>
          </cell>
          <cell r="AM339" t="str">
            <v>TEMP</v>
          </cell>
          <cell r="AN339" t="str">
            <v>3P Onsite Worker</v>
          </cell>
          <cell r="AO339" t="str">
            <v>A</v>
          </cell>
          <cell r="AP339">
            <v>9</v>
          </cell>
          <cell r="AQ339">
            <v>0</v>
          </cell>
          <cell r="AR339">
            <v>1</v>
          </cell>
          <cell r="AS339">
            <v>1</v>
          </cell>
          <cell r="AT339">
            <v>0</v>
          </cell>
          <cell r="AU339">
            <v>0</v>
          </cell>
        </row>
        <row r="340">
          <cell r="D340" t="str">
            <v>firstmup</v>
          </cell>
          <cell r="E340">
            <v>204883087</v>
          </cell>
          <cell r="F340" t="str">
            <v>A</v>
          </cell>
          <cell r="G340" t="str">
            <v>GREEN</v>
          </cell>
          <cell r="H340" t="str">
            <v>FULL_TIME</v>
          </cell>
          <cell r="I340">
            <v>900234</v>
          </cell>
          <cell r="J340" t="str">
            <v>Quesscorp</v>
          </cell>
          <cell r="K340" t="str">
            <v>First Mupetiwa</v>
          </cell>
          <cell r="L340" t="str">
            <v>Warehouse Associate (TEMP)</v>
          </cell>
          <cell r="M340" t="str">
            <v>Warehouse Associate 24M</v>
          </cell>
          <cell r="N340" t="str">
            <v>kebedeed</v>
          </cell>
          <cell r="O340">
            <v>1299</v>
          </cell>
          <cell r="P340" t="str">
            <v>AUH1</v>
          </cell>
          <cell r="Q340" t="str">
            <v>ARE</v>
          </cell>
          <cell r="R340" t="str">
            <v>FC009</v>
          </cell>
          <cell r="S340" t="str">
            <v>Day Shift</v>
          </cell>
          <cell r="T340">
            <v>99</v>
          </cell>
          <cell r="U340" t="str">
            <v>MENA_UAE_FC</v>
          </cell>
          <cell r="V340">
            <v>46257.332638888889</v>
          </cell>
          <cell r="W340">
            <v>46257.502083333333</v>
          </cell>
          <cell r="X340">
            <v>46257.333333333336</v>
          </cell>
          <cell r="Y340">
            <v>46257.75</v>
          </cell>
          <cell r="AA340" t="str">
            <v>Scheduled</v>
          </cell>
          <cell r="AB340" t="str">
            <v>Present</v>
          </cell>
          <cell r="AC340" t="str">
            <v>ICQA</v>
          </cell>
          <cell r="AD340" t="str">
            <v>IC/QA/CS</v>
          </cell>
          <cell r="AE340" t="str">
            <v>Support</v>
          </cell>
          <cell r="AF340" t="str">
            <v>Friday</v>
          </cell>
          <cell r="AG340" t="str">
            <v>Saturday</v>
          </cell>
          <cell r="AH340">
            <v>27</v>
          </cell>
          <cell r="AJ340">
            <v>45690</v>
          </cell>
          <cell r="AM340" t="str">
            <v>TEMP</v>
          </cell>
          <cell r="AN340" t="str">
            <v>3P Onsite Worker</v>
          </cell>
          <cell r="AO340" t="str">
            <v>A</v>
          </cell>
          <cell r="AP340">
            <v>9</v>
          </cell>
          <cell r="AQ340">
            <v>0</v>
          </cell>
          <cell r="AR340">
            <v>1</v>
          </cell>
          <cell r="AS340">
            <v>1</v>
          </cell>
          <cell r="AT340">
            <v>0</v>
          </cell>
          <cell r="AU340">
            <v>0</v>
          </cell>
        </row>
        <row r="341">
          <cell r="D341" t="str">
            <v>fjefaith</v>
          </cell>
          <cell r="E341">
            <v>205852637</v>
          </cell>
          <cell r="F341" t="str">
            <v>A</v>
          </cell>
          <cell r="G341" t="str">
            <v>GREEN</v>
          </cell>
          <cell r="H341" t="str">
            <v>REDUCED</v>
          </cell>
          <cell r="I341">
            <v>900234</v>
          </cell>
          <cell r="J341" t="str">
            <v>EFS Facilities Services</v>
          </cell>
          <cell r="K341" t="str">
            <v>FAITH JEROP</v>
          </cell>
          <cell r="L341" t="str">
            <v>Warehouse Associate (TEMP)</v>
          </cell>
          <cell r="M341" t="str">
            <v>Warehouse Associate 8W</v>
          </cell>
          <cell r="N341" t="str">
            <v>scariav</v>
          </cell>
          <cell r="O341">
            <v>1299</v>
          </cell>
          <cell r="P341" t="str">
            <v>AUH1</v>
          </cell>
          <cell r="Q341" t="str">
            <v>ARE</v>
          </cell>
          <cell r="R341" t="str">
            <v>FC557</v>
          </cell>
          <cell r="S341" t="str">
            <v>Night Shift</v>
          </cell>
          <cell r="T341">
            <v>99</v>
          </cell>
          <cell r="U341" t="str">
            <v>MENA_UAE_FC</v>
          </cell>
          <cell r="V341">
            <v>46257.755555555559</v>
          </cell>
          <cell r="X341">
            <v>46257.756944444445</v>
          </cell>
          <cell r="Y341">
            <v>46258.090277777781</v>
          </cell>
          <cell r="AA341" t="str">
            <v>Scheduled</v>
          </cell>
          <cell r="AB341" t="str">
            <v>Present</v>
          </cell>
          <cell r="AC341" t="str">
            <v>Outbound</v>
          </cell>
          <cell r="AD341" t="str">
            <v>Picking</v>
          </cell>
          <cell r="AE341" t="str">
            <v>Pick</v>
          </cell>
          <cell r="AF341" t="str">
            <v>Wednesday</v>
          </cell>
          <cell r="AG341" t="str">
            <v>Thursday</v>
          </cell>
          <cell r="AH341">
            <v>13</v>
          </cell>
          <cell r="AJ341">
            <v>46251</v>
          </cell>
          <cell r="AM341" t="str">
            <v>TEMP</v>
          </cell>
          <cell r="AN341" t="str">
            <v>3P Onsite Worker</v>
          </cell>
          <cell r="AO341" t="str">
            <v>A</v>
          </cell>
          <cell r="AP341">
            <v>7</v>
          </cell>
          <cell r="AQ341">
            <v>0</v>
          </cell>
          <cell r="AR341">
            <v>1</v>
          </cell>
          <cell r="AS341">
            <v>1</v>
          </cell>
          <cell r="AT341">
            <v>0</v>
          </cell>
          <cell r="AU341">
            <v>0</v>
          </cell>
        </row>
        <row r="342">
          <cell r="D342" t="str">
            <v>florndis</v>
          </cell>
          <cell r="E342">
            <v>205495359</v>
          </cell>
          <cell r="F342" t="str">
            <v>A</v>
          </cell>
          <cell r="G342" t="str">
            <v>GREEN</v>
          </cell>
          <cell r="H342" t="str">
            <v>FULL_TIME</v>
          </cell>
          <cell r="I342">
            <v>900234</v>
          </cell>
          <cell r="J342" t="str">
            <v>EFS Facilities Services</v>
          </cell>
          <cell r="K342" t="str">
            <v>FLORENCE NZULA NDISYA</v>
          </cell>
          <cell r="L342" t="str">
            <v>Warehouse Associate (TEMP)</v>
          </cell>
          <cell r="M342" t="str">
            <v>Warehouse Associate 8W</v>
          </cell>
          <cell r="N342" t="str">
            <v>pparsin</v>
          </cell>
          <cell r="O342">
            <v>1299</v>
          </cell>
          <cell r="P342" t="str">
            <v>AUH1</v>
          </cell>
          <cell r="Q342" t="str">
            <v>ARE</v>
          </cell>
          <cell r="R342" t="str">
            <v>FC159</v>
          </cell>
          <cell r="S342" t="str">
            <v>Day Shift</v>
          </cell>
          <cell r="T342">
            <v>99</v>
          </cell>
          <cell r="U342" t="str">
            <v>MENA_UAE_FC</v>
          </cell>
          <cell r="V342">
            <v>46257.331944444442</v>
          </cell>
          <cell r="W342">
            <v>46257.748611111114</v>
          </cell>
          <cell r="X342">
            <v>46257.333333333336</v>
          </cell>
          <cell r="Y342">
            <v>46257.75</v>
          </cell>
          <cell r="AA342" t="str">
            <v>Scheduled</v>
          </cell>
          <cell r="AB342" t="str">
            <v>Present</v>
          </cell>
          <cell r="AC342" t="str">
            <v>Inbound</v>
          </cell>
          <cell r="AD342" t="str">
            <v>Inbound Stow</v>
          </cell>
          <cell r="AE342" t="str">
            <v>Stow</v>
          </cell>
          <cell r="AF342" t="str">
            <v>Thursday</v>
          </cell>
          <cell r="AG342" t="str">
            <v>Friday</v>
          </cell>
          <cell r="AH342">
            <v>3</v>
          </cell>
          <cell r="AJ342">
            <v>45830</v>
          </cell>
          <cell r="AM342" t="str">
            <v>TEMP</v>
          </cell>
          <cell r="AN342" t="str">
            <v>3P Onsite Worker</v>
          </cell>
          <cell r="AO342" t="str">
            <v>A</v>
          </cell>
          <cell r="AP342">
            <v>9</v>
          </cell>
          <cell r="AQ342">
            <v>0</v>
          </cell>
          <cell r="AR342">
            <v>1</v>
          </cell>
          <cell r="AS342">
            <v>1</v>
          </cell>
          <cell r="AT342">
            <v>0</v>
          </cell>
          <cell r="AU342">
            <v>0</v>
          </cell>
        </row>
        <row r="343">
          <cell r="D343" t="str">
            <v>fnjuliet</v>
          </cell>
          <cell r="E343">
            <v>206174652</v>
          </cell>
          <cell r="F343" t="str">
            <v>A</v>
          </cell>
          <cell r="G343" t="str">
            <v>GREEN</v>
          </cell>
          <cell r="H343" t="str">
            <v>FULL_TIME</v>
          </cell>
          <cell r="I343">
            <v>900234</v>
          </cell>
          <cell r="J343" t="str">
            <v>Fastlink Outsourcing</v>
          </cell>
          <cell r="K343" t="str">
            <v>Juliet Nanyombi</v>
          </cell>
          <cell r="L343" t="str">
            <v>Warehouse Associate (TEMP)</v>
          </cell>
          <cell r="M343" t="str">
            <v>Warehouse Associate 12M</v>
          </cell>
          <cell r="N343" t="str">
            <v>bavameer</v>
          </cell>
          <cell r="O343">
            <v>1299</v>
          </cell>
          <cell r="P343" t="str">
            <v>AUH1</v>
          </cell>
          <cell r="Q343" t="str">
            <v>ARE</v>
          </cell>
          <cell r="R343" t="str">
            <v>LK013</v>
          </cell>
          <cell r="S343" t="str">
            <v>Night Shift</v>
          </cell>
          <cell r="T343">
            <v>99</v>
          </cell>
          <cell r="U343" t="str">
            <v>MENA_UAE_FC</v>
          </cell>
          <cell r="X343">
            <v>46257.756944444445</v>
          </cell>
          <cell r="Y343">
            <v>46258.173611111109</v>
          </cell>
          <cell r="Z343" t="str">
            <v>Rest Day</v>
          </cell>
          <cell r="AA343" t="str">
            <v>Not Scheduled</v>
          </cell>
          <cell r="AB343" t="str">
            <v>Not Present</v>
          </cell>
          <cell r="AC343" t="str">
            <v>Customer returns</v>
          </cell>
          <cell r="AD343" t="str">
            <v>Customer Returns</v>
          </cell>
          <cell r="AE343" t="str">
            <v>Customer returns</v>
          </cell>
          <cell r="AF343" t="str">
            <v>Sunday</v>
          </cell>
          <cell r="AG343" t="str">
            <v>Monday</v>
          </cell>
          <cell r="AH343">
            <v>22</v>
          </cell>
          <cell r="AJ343">
            <v>45931</v>
          </cell>
          <cell r="AM343" t="str">
            <v>TEMP</v>
          </cell>
          <cell r="AN343" t="str">
            <v>3P Onsite Worker</v>
          </cell>
          <cell r="AO343" t="str">
            <v>A</v>
          </cell>
          <cell r="AP343">
            <v>9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</row>
        <row r="344">
          <cell r="D344" t="str">
            <v>fodaigak</v>
          </cell>
          <cell r="E344">
            <v>204138116</v>
          </cell>
          <cell r="F344" t="str">
            <v>A</v>
          </cell>
          <cell r="G344" t="str">
            <v>GREEN</v>
          </cell>
          <cell r="H344" t="str">
            <v>FULL_TIME</v>
          </cell>
          <cell r="I344">
            <v>900234</v>
          </cell>
          <cell r="J344" t="str">
            <v>Quesscorp</v>
          </cell>
          <cell r="K344" t="str">
            <v>Fongoh Daiga Kingsly</v>
          </cell>
          <cell r="L344" t="str">
            <v>Warehouse Associate (TEMP)</v>
          </cell>
          <cell r="M344" t="str">
            <v>Warehouse Associate 24M</v>
          </cell>
          <cell r="N344" t="str">
            <v>lraghava</v>
          </cell>
          <cell r="O344">
            <v>1299</v>
          </cell>
          <cell r="P344" t="str">
            <v>AUH1</v>
          </cell>
          <cell r="Q344" t="str">
            <v>ARE</v>
          </cell>
          <cell r="R344" t="str">
            <v>FC159</v>
          </cell>
          <cell r="S344" t="str">
            <v>Day Shift</v>
          </cell>
          <cell r="T344">
            <v>99</v>
          </cell>
          <cell r="U344" t="str">
            <v>MENA_UAE_FC</v>
          </cell>
          <cell r="V344">
            <v>46257.330555555556</v>
          </cell>
          <cell r="W344">
            <v>46257.74722222222</v>
          </cell>
          <cell r="X344">
            <v>46257.333333333336</v>
          </cell>
          <cell r="Y344">
            <v>46257.75</v>
          </cell>
          <cell r="AA344" t="str">
            <v>Scheduled</v>
          </cell>
          <cell r="AB344" t="str">
            <v>Present</v>
          </cell>
          <cell r="AC344" t="str">
            <v>Outbound</v>
          </cell>
          <cell r="AD344" t="str">
            <v>Picking</v>
          </cell>
          <cell r="AE344" t="str">
            <v>Pick</v>
          </cell>
          <cell r="AF344" t="str">
            <v>Thursday</v>
          </cell>
          <cell r="AG344" t="str">
            <v>Friday</v>
          </cell>
          <cell r="AH344">
            <v>13</v>
          </cell>
          <cell r="AJ344">
            <v>45564</v>
          </cell>
          <cell r="AM344" t="str">
            <v>TEMP</v>
          </cell>
          <cell r="AN344" t="str">
            <v>3P Onsite Worker</v>
          </cell>
          <cell r="AO344" t="str">
            <v>A</v>
          </cell>
          <cell r="AP344">
            <v>9</v>
          </cell>
          <cell r="AQ344">
            <v>0</v>
          </cell>
          <cell r="AR344">
            <v>1</v>
          </cell>
          <cell r="AS344">
            <v>1</v>
          </cell>
          <cell r="AT344">
            <v>0</v>
          </cell>
          <cell r="AU344">
            <v>0</v>
          </cell>
        </row>
        <row r="345">
          <cell r="D345" t="str">
            <v>folisuzw</v>
          </cell>
          <cell r="E345">
            <v>203850776</v>
          </cell>
          <cell r="F345" t="str">
            <v>A</v>
          </cell>
          <cell r="G345" t="str">
            <v>GREEN</v>
          </cell>
          <cell r="H345" t="str">
            <v>FULL_TIME</v>
          </cell>
          <cell r="I345">
            <v>900234</v>
          </cell>
          <cell r="J345" t="str">
            <v>Fastlink Outsourcing</v>
          </cell>
          <cell r="K345" t="str">
            <v>Suzzy Foli</v>
          </cell>
          <cell r="L345" t="str">
            <v>Warehouse Associate (TEMP)</v>
          </cell>
          <cell r="M345" t="str">
            <v>Warehouse Associate 12M</v>
          </cell>
          <cell r="N345" t="str">
            <v>bavameer</v>
          </cell>
          <cell r="O345">
            <v>1299</v>
          </cell>
          <cell r="P345" t="str">
            <v>AUH1</v>
          </cell>
          <cell r="Q345" t="str">
            <v>ARE</v>
          </cell>
          <cell r="R345" t="str">
            <v>FC034</v>
          </cell>
          <cell r="S345" t="str">
            <v>Day Shift</v>
          </cell>
          <cell r="T345">
            <v>99</v>
          </cell>
          <cell r="U345" t="str">
            <v>MENA_UAE_FC</v>
          </cell>
          <cell r="X345">
            <v>46257.333333333336</v>
          </cell>
          <cell r="Y345">
            <v>46257.75</v>
          </cell>
          <cell r="Z345" t="str">
            <v>Rest Day</v>
          </cell>
          <cell r="AA345" t="str">
            <v>Not Scheduled</v>
          </cell>
          <cell r="AB345" t="str">
            <v>Not Present</v>
          </cell>
          <cell r="AC345" t="str">
            <v>Customer returns</v>
          </cell>
          <cell r="AD345" t="str">
            <v>Customer Returns</v>
          </cell>
          <cell r="AE345" t="str">
            <v>Customer returns</v>
          </cell>
          <cell r="AF345" t="str">
            <v>Saturday</v>
          </cell>
          <cell r="AG345" t="str">
            <v>Sunday</v>
          </cell>
          <cell r="AH345">
            <v>22</v>
          </cell>
          <cell r="AJ345">
            <v>45523</v>
          </cell>
          <cell r="AM345" t="str">
            <v>TEMP</v>
          </cell>
          <cell r="AN345" t="str">
            <v>3P Onsite Worker</v>
          </cell>
          <cell r="AO345" t="str">
            <v>A</v>
          </cell>
          <cell r="AP345">
            <v>9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</row>
        <row r="346">
          <cell r="D346" t="str">
            <v>folithel</v>
          </cell>
          <cell r="E346">
            <v>204116445</v>
          </cell>
          <cell r="F346" t="str">
            <v>A</v>
          </cell>
          <cell r="G346" t="str">
            <v>GREEN</v>
          </cell>
          <cell r="H346" t="str">
            <v>FULL_TIME</v>
          </cell>
          <cell r="I346">
            <v>900234</v>
          </cell>
          <cell r="J346" t="str">
            <v>Quesscorp</v>
          </cell>
          <cell r="K346" t="str">
            <v>Thelma Esinam Foli</v>
          </cell>
          <cell r="L346" t="str">
            <v>Warehouse Associate (TEMP)</v>
          </cell>
          <cell r="M346" t="str">
            <v>Warehouse Associate 24M</v>
          </cell>
          <cell r="N346" t="str">
            <v>mnarshad</v>
          </cell>
          <cell r="O346">
            <v>1299</v>
          </cell>
          <cell r="P346" t="str">
            <v>AUH1</v>
          </cell>
          <cell r="Q346" t="str">
            <v>ARE</v>
          </cell>
          <cell r="R346" t="str">
            <v>LK013</v>
          </cell>
          <cell r="S346" t="str">
            <v>Night Shift</v>
          </cell>
          <cell r="T346">
            <v>99</v>
          </cell>
          <cell r="U346" t="str">
            <v>MENA_UAE_FC</v>
          </cell>
          <cell r="X346">
            <v>46257.756944444445</v>
          </cell>
          <cell r="Y346">
            <v>46258.173611111109</v>
          </cell>
          <cell r="Z346" t="str">
            <v>Rest Day</v>
          </cell>
          <cell r="AA346" t="str">
            <v>Not Scheduled</v>
          </cell>
          <cell r="AB346" t="str">
            <v>Not Present</v>
          </cell>
          <cell r="AC346" t="str">
            <v>Outbound</v>
          </cell>
          <cell r="AD346" t="str">
            <v>Pack - Batch</v>
          </cell>
          <cell r="AE346" t="str">
            <v>Pack</v>
          </cell>
          <cell r="AF346" t="str">
            <v>Sunday</v>
          </cell>
          <cell r="AG346" t="str">
            <v>Monday</v>
          </cell>
          <cell r="AH346">
            <v>17</v>
          </cell>
          <cell r="AJ346">
            <v>45560</v>
          </cell>
          <cell r="AM346" t="str">
            <v>TEMP</v>
          </cell>
          <cell r="AN346" t="str">
            <v>3P Onsite Worker</v>
          </cell>
          <cell r="AO346" t="str">
            <v>A</v>
          </cell>
          <cell r="AP346">
            <v>9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</row>
        <row r="347">
          <cell r="D347" t="str">
            <v>fondwhit</v>
          </cell>
          <cell r="E347">
            <v>204869099</v>
          </cell>
          <cell r="F347" t="str">
            <v>A</v>
          </cell>
          <cell r="G347" t="str">
            <v>GREEN</v>
          </cell>
          <cell r="H347" t="str">
            <v>REDUCED</v>
          </cell>
          <cell r="I347">
            <v>900234</v>
          </cell>
          <cell r="J347" t="str">
            <v>Quesscorp</v>
          </cell>
          <cell r="K347" t="str">
            <v>Whitney-Lois Fenui Fondanui</v>
          </cell>
          <cell r="L347" t="str">
            <v>Warehouse Associate (TEMP)</v>
          </cell>
          <cell r="M347" t="str">
            <v>Warehouse Associate 8W</v>
          </cell>
          <cell r="N347" t="str">
            <v>bizthoma</v>
          </cell>
          <cell r="O347">
            <v>1299</v>
          </cell>
          <cell r="P347" t="str">
            <v>AUH1</v>
          </cell>
          <cell r="Q347" t="str">
            <v>ARE</v>
          </cell>
          <cell r="R347" t="str">
            <v>FC552</v>
          </cell>
          <cell r="S347" t="str">
            <v>Night Shift</v>
          </cell>
          <cell r="T347">
            <v>99</v>
          </cell>
          <cell r="U347" t="str">
            <v>MENA_UAE_FC</v>
          </cell>
          <cell r="V347">
            <v>46257.755555555559</v>
          </cell>
          <cell r="X347">
            <v>46257.756944444445</v>
          </cell>
          <cell r="Y347">
            <v>46258.090277777781</v>
          </cell>
          <cell r="AA347" t="str">
            <v>Scheduled</v>
          </cell>
          <cell r="AB347" t="str">
            <v>Present</v>
          </cell>
          <cell r="AC347" t="str">
            <v>Outbound</v>
          </cell>
          <cell r="AD347" t="str">
            <v>Picking</v>
          </cell>
          <cell r="AE347" t="str">
            <v>Pick</v>
          </cell>
          <cell r="AF347" t="str">
            <v>Friday</v>
          </cell>
          <cell r="AG347" t="str">
            <v>Saturday</v>
          </cell>
          <cell r="AH347">
            <v>13</v>
          </cell>
          <cell r="AJ347">
            <v>46251</v>
          </cell>
          <cell r="AM347" t="str">
            <v>TEMP</v>
          </cell>
          <cell r="AN347" t="str">
            <v>3P Onsite Worker</v>
          </cell>
          <cell r="AO347" t="str">
            <v>A</v>
          </cell>
          <cell r="AP347">
            <v>7</v>
          </cell>
          <cell r="AQ347">
            <v>0</v>
          </cell>
          <cell r="AR347">
            <v>1</v>
          </cell>
          <cell r="AS347">
            <v>1</v>
          </cell>
          <cell r="AT347">
            <v>0</v>
          </cell>
          <cell r="AU347">
            <v>0</v>
          </cell>
        </row>
        <row r="348">
          <cell r="D348" t="str">
            <v>fosovict</v>
          </cell>
          <cell r="E348">
            <v>205996132</v>
          </cell>
          <cell r="F348" t="str">
            <v>A</v>
          </cell>
          <cell r="G348" t="str">
            <v>GREEN</v>
          </cell>
          <cell r="H348" t="str">
            <v>FULL_TIME</v>
          </cell>
          <cell r="I348">
            <v>900234</v>
          </cell>
          <cell r="J348" t="str">
            <v>Fastlink Outsourcing</v>
          </cell>
          <cell r="K348" t="str">
            <v>FOSSOH VICTOR PRISO</v>
          </cell>
          <cell r="L348" t="str">
            <v>Warehouse Associate (TEMP)</v>
          </cell>
          <cell r="M348" t="str">
            <v>Warehouse Associate 8W</v>
          </cell>
          <cell r="N348" t="str">
            <v>helrashd</v>
          </cell>
          <cell r="O348">
            <v>1299</v>
          </cell>
          <cell r="P348" t="str">
            <v>AUH1</v>
          </cell>
          <cell r="Q348" t="str">
            <v>ARE</v>
          </cell>
          <cell r="R348" t="str">
            <v>LK011</v>
          </cell>
          <cell r="S348" t="str">
            <v>Night Shift</v>
          </cell>
          <cell r="T348">
            <v>99</v>
          </cell>
          <cell r="U348" t="str">
            <v>MENA_UAE_FC</v>
          </cell>
          <cell r="V348">
            <v>46257.756249999999</v>
          </cell>
          <cell r="X348">
            <v>46257.756944444445</v>
          </cell>
          <cell r="Y348">
            <v>46258.173611111109</v>
          </cell>
          <cell r="AA348" t="str">
            <v>Scheduled</v>
          </cell>
          <cell r="AB348" t="str">
            <v>Present</v>
          </cell>
          <cell r="AC348" t="str">
            <v>Outbound</v>
          </cell>
          <cell r="AD348" t="str">
            <v>Picking</v>
          </cell>
          <cell r="AE348" t="str">
            <v>Pick</v>
          </cell>
          <cell r="AF348" t="str">
            <v>Friday</v>
          </cell>
          <cell r="AG348" t="str">
            <v>Saturday</v>
          </cell>
          <cell r="AH348">
            <v>13</v>
          </cell>
          <cell r="AJ348">
            <v>45914</v>
          </cell>
          <cell r="AM348" t="str">
            <v>TEMP</v>
          </cell>
          <cell r="AN348" t="str">
            <v>3P Onsite Worker</v>
          </cell>
          <cell r="AO348" t="str">
            <v>A</v>
          </cell>
          <cell r="AP348">
            <v>9</v>
          </cell>
          <cell r="AQ348">
            <v>0</v>
          </cell>
          <cell r="AR348">
            <v>1</v>
          </cell>
          <cell r="AS348">
            <v>1</v>
          </cell>
          <cell r="AT348">
            <v>0</v>
          </cell>
          <cell r="AU348">
            <v>0</v>
          </cell>
        </row>
        <row r="349">
          <cell r="D349" t="str">
            <v>fotsigeo</v>
          </cell>
          <cell r="E349">
            <v>203635497</v>
          </cell>
          <cell r="F349" t="str">
            <v>A</v>
          </cell>
          <cell r="G349" t="str">
            <v>GREEN</v>
          </cell>
          <cell r="H349" t="str">
            <v>FULL_TIME</v>
          </cell>
          <cell r="I349">
            <v>900234</v>
          </cell>
          <cell r="J349" t="str">
            <v>Fastlink Outsourcing</v>
          </cell>
          <cell r="K349" t="str">
            <v>Georgy Omer Fotsing</v>
          </cell>
          <cell r="L349" t="str">
            <v>Warehouse Associate (TEMP)</v>
          </cell>
          <cell r="M349" t="str">
            <v>Warehouse Associate 12M</v>
          </cell>
          <cell r="N349" t="str">
            <v>aanso</v>
          </cell>
          <cell r="O349">
            <v>1299</v>
          </cell>
          <cell r="P349" t="str">
            <v>AUH1</v>
          </cell>
          <cell r="Q349" t="str">
            <v>ARE</v>
          </cell>
          <cell r="R349" t="str">
            <v>LK016</v>
          </cell>
          <cell r="S349" t="str">
            <v>Night Shift</v>
          </cell>
          <cell r="T349">
            <v>99</v>
          </cell>
          <cell r="U349" t="str">
            <v>MENA_UAE_FC</v>
          </cell>
          <cell r="V349">
            <v>46257.754166666666</v>
          </cell>
          <cell r="X349">
            <v>46257.756944444445</v>
          </cell>
          <cell r="Y349">
            <v>46258.173611111109</v>
          </cell>
          <cell r="AA349" t="str">
            <v>Scheduled</v>
          </cell>
          <cell r="AB349" t="str">
            <v>Present</v>
          </cell>
          <cell r="AC349" t="str">
            <v>Customer returns</v>
          </cell>
          <cell r="AD349" t="str">
            <v>Customer Returns</v>
          </cell>
          <cell r="AE349" t="str">
            <v>Customer returns</v>
          </cell>
          <cell r="AF349" t="str">
            <v>Wednesday</v>
          </cell>
          <cell r="AG349" t="str">
            <v>Thursday</v>
          </cell>
          <cell r="AH349">
            <v>22</v>
          </cell>
          <cell r="AJ349">
            <v>45572</v>
          </cell>
          <cell r="AM349" t="str">
            <v>TEMP</v>
          </cell>
          <cell r="AN349" t="str">
            <v>3P Onsite Worker</v>
          </cell>
          <cell r="AO349" t="str">
            <v>A</v>
          </cell>
          <cell r="AP349">
            <v>9</v>
          </cell>
          <cell r="AQ349">
            <v>0</v>
          </cell>
          <cell r="AR349">
            <v>1</v>
          </cell>
          <cell r="AS349">
            <v>1</v>
          </cell>
          <cell r="AT349">
            <v>0</v>
          </cell>
          <cell r="AU349">
            <v>0</v>
          </cell>
        </row>
        <row r="350">
          <cell r="D350" t="str">
            <v>fprinceo</v>
          </cell>
          <cell r="E350">
            <v>204967557</v>
          </cell>
          <cell r="F350" t="str">
            <v>A</v>
          </cell>
          <cell r="G350" t="str">
            <v>GREEN</v>
          </cell>
          <cell r="H350" t="str">
            <v>FULL_TIME</v>
          </cell>
          <cell r="I350">
            <v>900234</v>
          </cell>
          <cell r="J350" t="str">
            <v>Dulsco L.L.C.</v>
          </cell>
          <cell r="K350" t="str">
            <v>PRINCE OPOKU FRIMPONG</v>
          </cell>
          <cell r="L350" t="str">
            <v>Warehouse Associate (TEMP)</v>
          </cell>
          <cell r="M350" t="str">
            <v>Warehouse Associate 24M</v>
          </cell>
          <cell r="N350" t="str">
            <v>ansammar</v>
          </cell>
          <cell r="O350">
            <v>1299</v>
          </cell>
          <cell r="P350" t="str">
            <v>AUH1</v>
          </cell>
          <cell r="Q350" t="str">
            <v>ARE</v>
          </cell>
          <cell r="R350" t="str">
            <v>LK016</v>
          </cell>
          <cell r="S350" t="str">
            <v>Night Shift</v>
          </cell>
          <cell r="T350">
            <v>99</v>
          </cell>
          <cell r="U350" t="str">
            <v>MENA_UAE_FC</v>
          </cell>
          <cell r="V350">
            <v>46257.754166666666</v>
          </cell>
          <cell r="X350">
            <v>46257.756944444445</v>
          </cell>
          <cell r="Y350">
            <v>46258.173611111109</v>
          </cell>
          <cell r="AA350" t="str">
            <v>Scheduled</v>
          </cell>
          <cell r="AB350" t="str">
            <v>Present</v>
          </cell>
          <cell r="AC350" t="str">
            <v>Outbound</v>
          </cell>
          <cell r="AD350" t="str">
            <v>Picking</v>
          </cell>
          <cell r="AE350" t="str">
            <v>Pick</v>
          </cell>
          <cell r="AF350" t="str">
            <v>Wednesday</v>
          </cell>
          <cell r="AG350" t="str">
            <v>Thursday</v>
          </cell>
          <cell r="AH350">
            <v>13</v>
          </cell>
          <cell r="AJ350">
            <v>45718</v>
          </cell>
          <cell r="AM350" t="str">
            <v>TEMP</v>
          </cell>
          <cell r="AN350" t="str">
            <v>3P Onsite Worker</v>
          </cell>
          <cell r="AO350" t="str">
            <v>A</v>
          </cell>
          <cell r="AP350">
            <v>9</v>
          </cell>
          <cell r="AQ350">
            <v>0</v>
          </cell>
          <cell r="AR350">
            <v>1</v>
          </cell>
          <cell r="AS350">
            <v>1</v>
          </cell>
          <cell r="AT350">
            <v>0</v>
          </cell>
          <cell r="AU350">
            <v>0</v>
          </cell>
        </row>
        <row r="351">
          <cell r="D351" t="str">
            <v>francpam</v>
          </cell>
          <cell r="E351">
            <v>203468401</v>
          </cell>
          <cell r="F351" t="str">
            <v>A</v>
          </cell>
          <cell r="G351" t="str">
            <v>GREEN</v>
          </cell>
          <cell r="H351" t="str">
            <v>FULL_TIME</v>
          </cell>
          <cell r="I351">
            <v>900234</v>
          </cell>
          <cell r="J351" t="str">
            <v>Fastlink Outsourcing</v>
          </cell>
          <cell r="K351" t="str">
            <v>Francis Ampong</v>
          </cell>
          <cell r="L351" t="str">
            <v>Warehouse Associate (TEMP)</v>
          </cell>
          <cell r="M351" t="str">
            <v>Warehouse Associate 12M</v>
          </cell>
          <cell r="N351" t="str">
            <v>vkkatyal</v>
          </cell>
          <cell r="O351">
            <v>1299</v>
          </cell>
          <cell r="P351" t="str">
            <v>AUH1</v>
          </cell>
          <cell r="Q351" t="str">
            <v>ARE</v>
          </cell>
          <cell r="R351" t="str">
            <v>LK011</v>
          </cell>
          <cell r="S351" t="str">
            <v>Night Shift</v>
          </cell>
          <cell r="T351">
            <v>99</v>
          </cell>
          <cell r="U351" t="str">
            <v>MENA_UAE_FC</v>
          </cell>
          <cell r="V351">
            <v>46257.747916666667</v>
          </cell>
          <cell r="X351">
            <v>46257.756944444445</v>
          </cell>
          <cell r="Y351">
            <v>46258.173611111109</v>
          </cell>
          <cell r="AA351" t="str">
            <v>Scheduled</v>
          </cell>
          <cell r="AB351" t="str">
            <v>Present</v>
          </cell>
          <cell r="AC351" t="str">
            <v>Inbound</v>
          </cell>
          <cell r="AD351" t="str">
            <v>Inbound Stow</v>
          </cell>
          <cell r="AE351" t="str">
            <v>Stow</v>
          </cell>
          <cell r="AF351" t="str">
            <v>Friday</v>
          </cell>
          <cell r="AG351" t="str">
            <v>Saturday</v>
          </cell>
          <cell r="AH351">
            <v>3</v>
          </cell>
          <cell r="AJ351">
            <v>45455</v>
          </cell>
          <cell r="AM351" t="str">
            <v>TEMP</v>
          </cell>
          <cell r="AN351" t="str">
            <v>3P Onsite Worker</v>
          </cell>
          <cell r="AO351" t="str">
            <v>A</v>
          </cell>
          <cell r="AP351">
            <v>9</v>
          </cell>
          <cell r="AQ351">
            <v>0</v>
          </cell>
          <cell r="AR351">
            <v>1</v>
          </cell>
          <cell r="AS351">
            <v>1</v>
          </cell>
          <cell r="AT351">
            <v>0</v>
          </cell>
          <cell r="AU351">
            <v>0</v>
          </cell>
        </row>
        <row r="352">
          <cell r="D352" t="str">
            <v>franokai</v>
          </cell>
          <cell r="E352">
            <v>203682331</v>
          </cell>
          <cell r="F352" t="str">
            <v>A</v>
          </cell>
          <cell r="G352" t="str">
            <v>GREEN</v>
          </cell>
          <cell r="H352" t="str">
            <v>FULL_TIME</v>
          </cell>
          <cell r="I352">
            <v>900234</v>
          </cell>
          <cell r="J352" t="str">
            <v>Adecco</v>
          </cell>
          <cell r="K352" t="str">
            <v>Francis Okai</v>
          </cell>
          <cell r="L352" t="str">
            <v>Warehouse Associate (TEMP)</v>
          </cell>
          <cell r="M352" t="str">
            <v>Warehouse Associate 24M</v>
          </cell>
          <cell r="N352" t="str">
            <v>aanso</v>
          </cell>
          <cell r="O352">
            <v>1299</v>
          </cell>
          <cell r="P352" t="str">
            <v>AUH1</v>
          </cell>
          <cell r="Q352" t="str">
            <v>ARE</v>
          </cell>
          <cell r="R352" t="str">
            <v>LK013</v>
          </cell>
          <cell r="S352" t="str">
            <v>Night Shift</v>
          </cell>
          <cell r="T352">
            <v>99</v>
          </cell>
          <cell r="U352" t="str">
            <v>MENA_UAE_FC</v>
          </cell>
          <cell r="X352">
            <v>46257.756944444445</v>
          </cell>
          <cell r="Y352">
            <v>46258.173611111109</v>
          </cell>
          <cell r="Z352" t="str">
            <v>Rest Day</v>
          </cell>
          <cell r="AA352" t="str">
            <v>Not Scheduled</v>
          </cell>
          <cell r="AB352" t="str">
            <v>Not Present</v>
          </cell>
          <cell r="AC352" t="str">
            <v>Customer returns</v>
          </cell>
          <cell r="AD352" t="str">
            <v>Customer Returns</v>
          </cell>
          <cell r="AE352" t="str">
            <v>Customer returns</v>
          </cell>
          <cell r="AF352" t="str">
            <v>Sunday</v>
          </cell>
          <cell r="AG352" t="str">
            <v>Monday</v>
          </cell>
          <cell r="AH352">
            <v>22</v>
          </cell>
          <cell r="AJ352">
            <v>45487</v>
          </cell>
          <cell r="AM352" t="str">
            <v>TEMP</v>
          </cell>
          <cell r="AN352" t="str">
            <v>3P Onsite Worker</v>
          </cell>
          <cell r="AO352" t="str">
            <v>A</v>
          </cell>
          <cell r="AP352">
            <v>9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</row>
        <row r="353">
          <cell r="D353" t="str">
            <v>frapafem</v>
          </cell>
          <cell r="E353">
            <v>206915147</v>
          </cell>
          <cell r="F353" t="str">
            <v>A</v>
          </cell>
          <cell r="G353" t="str">
            <v>GREEN</v>
          </cell>
          <cell r="H353" t="str">
            <v>FULL_TIME</v>
          </cell>
          <cell r="I353">
            <v>900234</v>
          </cell>
          <cell r="J353" t="str">
            <v>Dulsco L.L.C.</v>
          </cell>
          <cell r="K353" t="str">
            <v>FRANCIS AFEMA</v>
          </cell>
          <cell r="L353" t="str">
            <v>Warehouse Associate (TEMP)</v>
          </cell>
          <cell r="M353" t="str">
            <v>Warehouse Associate 8W</v>
          </cell>
          <cell r="N353" t="str">
            <v>bizthoma</v>
          </cell>
          <cell r="O353">
            <v>1299</v>
          </cell>
          <cell r="P353" t="str">
            <v>AUH1</v>
          </cell>
          <cell r="Q353" t="str">
            <v>ARE</v>
          </cell>
          <cell r="R353" t="str">
            <v>FC159</v>
          </cell>
          <cell r="S353" t="str">
            <v>Day Shift</v>
          </cell>
          <cell r="T353">
            <v>99</v>
          </cell>
          <cell r="U353" t="str">
            <v>MENA_UAE_FC</v>
          </cell>
          <cell r="V353">
            <v>46257.330555555556</v>
          </cell>
          <cell r="W353">
            <v>46257.747916666667</v>
          </cell>
          <cell r="X353">
            <v>46257.333333333336</v>
          </cell>
          <cell r="Y353">
            <v>46257.75</v>
          </cell>
          <cell r="AA353" t="str">
            <v>Scheduled</v>
          </cell>
          <cell r="AB353" t="str">
            <v>Present</v>
          </cell>
          <cell r="AC353" t="str">
            <v>Outbound</v>
          </cell>
          <cell r="AD353" t="str">
            <v>Picking</v>
          </cell>
          <cell r="AE353" t="str">
            <v>Pick</v>
          </cell>
          <cell r="AF353" t="str">
            <v>Thursday</v>
          </cell>
          <cell r="AG353" t="str">
            <v>Friday</v>
          </cell>
          <cell r="AH353">
            <v>13</v>
          </cell>
          <cell r="AJ353">
            <v>46033</v>
          </cell>
          <cell r="AM353" t="str">
            <v>TEMP</v>
          </cell>
          <cell r="AN353" t="str">
            <v>3P Onsite Worker</v>
          </cell>
          <cell r="AO353" t="str">
            <v>A</v>
          </cell>
          <cell r="AP353">
            <v>9</v>
          </cell>
          <cell r="AQ353">
            <v>0</v>
          </cell>
          <cell r="AR353">
            <v>1</v>
          </cell>
          <cell r="AS353">
            <v>1</v>
          </cell>
          <cell r="AT353">
            <v>0</v>
          </cell>
          <cell r="AU353">
            <v>0</v>
          </cell>
        </row>
        <row r="354">
          <cell r="D354" t="str">
            <v>frategek</v>
          </cell>
          <cell r="E354">
            <v>203850767</v>
          </cell>
          <cell r="F354" t="str">
            <v>A</v>
          </cell>
          <cell r="G354" t="str">
            <v>GREEN</v>
          </cell>
          <cell r="H354" t="str">
            <v>FULL_TIME</v>
          </cell>
          <cell r="I354">
            <v>900234</v>
          </cell>
          <cell r="J354" t="str">
            <v>Dulsco L.L.C.</v>
          </cell>
          <cell r="K354" t="str">
            <v>Francis Ategeka</v>
          </cell>
          <cell r="L354" t="str">
            <v>Warehouse Associate (TEMP)</v>
          </cell>
          <cell r="M354" t="str">
            <v>Warehouse Associate 8W</v>
          </cell>
          <cell r="N354" t="str">
            <v>bizthoma</v>
          </cell>
          <cell r="O354">
            <v>1299</v>
          </cell>
          <cell r="P354" t="str">
            <v>AUH1</v>
          </cell>
          <cell r="Q354" t="str">
            <v>ARE</v>
          </cell>
          <cell r="R354" t="str">
            <v>LK013</v>
          </cell>
          <cell r="S354" t="str">
            <v>Night Shift</v>
          </cell>
          <cell r="T354">
            <v>99</v>
          </cell>
          <cell r="U354" t="str">
            <v>MENA_UAE_FC</v>
          </cell>
          <cell r="X354">
            <v>46257.756944444445</v>
          </cell>
          <cell r="Y354">
            <v>46258.173611111109</v>
          </cell>
          <cell r="Z354" t="str">
            <v>Rest Day</v>
          </cell>
          <cell r="AA354" t="str">
            <v>Not Scheduled</v>
          </cell>
          <cell r="AB354" t="str">
            <v>Not Present</v>
          </cell>
          <cell r="AC354" t="str">
            <v>Outbound</v>
          </cell>
          <cell r="AD354" t="str">
            <v>Picking</v>
          </cell>
          <cell r="AE354" t="str">
            <v>Pick</v>
          </cell>
          <cell r="AF354" t="str">
            <v>Sunday</v>
          </cell>
          <cell r="AG354" t="str">
            <v>Monday</v>
          </cell>
          <cell r="AH354">
            <v>13</v>
          </cell>
          <cell r="AJ354">
            <v>45523</v>
          </cell>
          <cell r="AM354" t="str">
            <v>TEMP</v>
          </cell>
          <cell r="AN354" t="str">
            <v>3P Onsite Worker</v>
          </cell>
          <cell r="AO354" t="str">
            <v>A</v>
          </cell>
          <cell r="AP354">
            <v>9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</row>
        <row r="355">
          <cell r="D355" t="str">
            <v>fredrimw</v>
          </cell>
          <cell r="E355">
            <v>206605136</v>
          </cell>
          <cell r="F355" t="str">
            <v>A</v>
          </cell>
          <cell r="G355" t="str">
            <v>GREEN</v>
          </cell>
          <cell r="H355" t="str">
            <v>REDUCED</v>
          </cell>
          <cell r="I355">
            <v>900234</v>
          </cell>
          <cell r="J355" t="str">
            <v>EFS Facilities Services</v>
          </cell>
          <cell r="K355" t="str">
            <v>FREDRICK MWENDWA MWANIKI</v>
          </cell>
          <cell r="L355" t="str">
            <v>Warehouse Associate (TEMP)</v>
          </cell>
          <cell r="M355" t="str">
            <v>Warehouse Associate 8W</v>
          </cell>
          <cell r="N355" t="str">
            <v>mnarshad</v>
          </cell>
          <cell r="O355">
            <v>1299</v>
          </cell>
          <cell r="P355" t="str">
            <v>AUH1</v>
          </cell>
          <cell r="Q355" t="str">
            <v>ARE</v>
          </cell>
          <cell r="R355" t="str">
            <v>FC552</v>
          </cell>
          <cell r="S355" t="str">
            <v>Night Shift</v>
          </cell>
          <cell r="T355">
            <v>99</v>
          </cell>
          <cell r="U355" t="str">
            <v>MENA_UAE_FC</v>
          </cell>
          <cell r="V355">
            <v>46257.756944444445</v>
          </cell>
          <cell r="X355">
            <v>46257.756944444445</v>
          </cell>
          <cell r="Y355">
            <v>46258.090277777781</v>
          </cell>
          <cell r="AA355" t="str">
            <v>Scheduled</v>
          </cell>
          <cell r="AB355" t="str">
            <v>Present</v>
          </cell>
          <cell r="AC355" t="str">
            <v>Outbound</v>
          </cell>
          <cell r="AD355" t="str">
            <v>Picking</v>
          </cell>
          <cell r="AE355" t="str">
            <v>Pick</v>
          </cell>
          <cell r="AF355" t="str">
            <v>Friday</v>
          </cell>
          <cell r="AG355" t="str">
            <v>Saturday</v>
          </cell>
          <cell r="AH355">
            <v>13</v>
          </cell>
          <cell r="AJ355">
            <v>46251</v>
          </cell>
          <cell r="AM355" t="str">
            <v>TEMP</v>
          </cell>
          <cell r="AN355" t="str">
            <v>3P Onsite Worker</v>
          </cell>
          <cell r="AO355" t="str">
            <v>A</v>
          </cell>
          <cell r="AP355">
            <v>7</v>
          </cell>
          <cell r="AQ355">
            <v>0</v>
          </cell>
          <cell r="AR355">
            <v>1</v>
          </cell>
          <cell r="AS355">
            <v>1</v>
          </cell>
          <cell r="AT355">
            <v>0</v>
          </cell>
          <cell r="AU355">
            <v>0</v>
          </cell>
        </row>
        <row r="356">
          <cell r="D356" t="str">
            <v>freokelc</v>
          </cell>
          <cell r="E356">
            <v>206873793</v>
          </cell>
          <cell r="F356" t="str">
            <v>A</v>
          </cell>
          <cell r="G356" t="str">
            <v>GREEN</v>
          </cell>
          <cell r="H356" t="str">
            <v>FULL_TIME</v>
          </cell>
          <cell r="I356">
            <v>900234</v>
          </cell>
          <cell r="J356" t="str">
            <v>Dulsco L.L.C.</v>
          </cell>
          <cell r="K356" t="str">
            <v>OKELLO FRED</v>
          </cell>
          <cell r="L356" t="str">
            <v>Warehouse Associate (TEMP)</v>
          </cell>
          <cell r="M356" t="str">
            <v>Warehouse Associate 8W</v>
          </cell>
          <cell r="N356" t="str">
            <v>vkkatyal</v>
          </cell>
          <cell r="O356">
            <v>1299</v>
          </cell>
          <cell r="P356" t="str">
            <v>AUH1</v>
          </cell>
          <cell r="Q356" t="str">
            <v>ARE</v>
          </cell>
          <cell r="R356" t="str">
            <v>FC059</v>
          </cell>
          <cell r="S356" t="str">
            <v>Day Shift</v>
          </cell>
          <cell r="T356">
            <v>99</v>
          </cell>
          <cell r="U356" t="str">
            <v>MENA_UAE_FC</v>
          </cell>
          <cell r="X356">
            <v>46257.333333333336</v>
          </cell>
          <cell r="Y356">
            <v>46257.75</v>
          </cell>
          <cell r="Z356" t="str">
            <v>Rest Day</v>
          </cell>
          <cell r="AA356" t="str">
            <v>Not Scheduled</v>
          </cell>
          <cell r="AB356" t="str">
            <v>Not Present</v>
          </cell>
          <cell r="AC356" t="str">
            <v>Inbound</v>
          </cell>
          <cell r="AD356" t="str">
            <v>Inbound Stow</v>
          </cell>
          <cell r="AE356" t="str">
            <v>Stow</v>
          </cell>
          <cell r="AF356" t="str">
            <v>Sunday</v>
          </cell>
          <cell r="AG356" t="str">
            <v>Monday</v>
          </cell>
          <cell r="AH356">
            <v>3</v>
          </cell>
          <cell r="AJ356">
            <v>46019</v>
          </cell>
          <cell r="AM356" t="str">
            <v>TEMP</v>
          </cell>
          <cell r="AN356" t="str">
            <v>3P Onsite Worker</v>
          </cell>
          <cell r="AO356" t="str">
            <v>A</v>
          </cell>
          <cell r="AP356">
            <v>9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</row>
        <row r="357">
          <cell r="D357" t="str">
            <v>frgontra</v>
          </cell>
          <cell r="E357">
            <v>204406416</v>
          </cell>
          <cell r="F357" t="str">
            <v>A</v>
          </cell>
          <cell r="G357" t="str">
            <v>GREEN</v>
          </cell>
          <cell r="H357" t="str">
            <v>FULL_TIME</v>
          </cell>
          <cell r="I357">
            <v>900234</v>
          </cell>
          <cell r="J357" t="str">
            <v>Quesscorp</v>
          </cell>
          <cell r="K357" t="str">
            <v>Francois C Gontran Gbekonsi</v>
          </cell>
          <cell r="L357" t="str">
            <v>Warehouse Associate (TEMP)</v>
          </cell>
          <cell r="M357" t="str">
            <v>Warehouse Associate 24M</v>
          </cell>
          <cell r="N357" t="str">
            <v>pparsin</v>
          </cell>
          <cell r="O357">
            <v>1299</v>
          </cell>
          <cell r="P357" t="str">
            <v>AUH1</v>
          </cell>
          <cell r="Q357" t="str">
            <v>ARE</v>
          </cell>
          <cell r="R357" t="str">
            <v>FC059</v>
          </cell>
          <cell r="S357" t="str">
            <v>Day Shift</v>
          </cell>
          <cell r="T357">
            <v>99</v>
          </cell>
          <cell r="U357" t="str">
            <v>MENA_UAE_FC</v>
          </cell>
          <cell r="X357">
            <v>46257.333333333336</v>
          </cell>
          <cell r="Y357">
            <v>46257.75</v>
          </cell>
          <cell r="Z357" t="str">
            <v>Rest Day</v>
          </cell>
          <cell r="AA357" t="str">
            <v>Not Scheduled</v>
          </cell>
          <cell r="AB357" t="str">
            <v>Not Present</v>
          </cell>
          <cell r="AC357" t="str">
            <v>Inbound</v>
          </cell>
          <cell r="AD357" t="str">
            <v>IB Problem Solve</v>
          </cell>
          <cell r="AE357" t="str">
            <v>Receive</v>
          </cell>
          <cell r="AF357" t="str">
            <v>Sunday</v>
          </cell>
          <cell r="AG357" t="str">
            <v>Monday</v>
          </cell>
          <cell r="AH357">
            <v>6</v>
          </cell>
          <cell r="AJ357">
            <v>45595</v>
          </cell>
          <cell r="AM357" t="str">
            <v>TEMP</v>
          </cell>
          <cell r="AN357" t="str">
            <v>3P Onsite Worker</v>
          </cell>
          <cell r="AO357" t="str">
            <v>A</v>
          </cell>
          <cell r="AP357">
            <v>9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</row>
        <row r="358">
          <cell r="D358" t="str">
            <v>frimpofr</v>
          </cell>
          <cell r="E358">
            <v>203468395</v>
          </cell>
          <cell r="F358" t="str">
            <v>A</v>
          </cell>
          <cell r="G358" t="str">
            <v>GREEN</v>
          </cell>
          <cell r="H358" t="str">
            <v>FULL_TIME</v>
          </cell>
          <cell r="I358">
            <v>900234</v>
          </cell>
          <cell r="J358" t="str">
            <v>Fastlink Outsourcing</v>
          </cell>
          <cell r="K358" t="str">
            <v>Francis Frimpong</v>
          </cell>
          <cell r="L358" t="str">
            <v>Warehouse Associate (TEMP)</v>
          </cell>
          <cell r="M358" t="str">
            <v>Warehouse Associate 12M</v>
          </cell>
          <cell r="N358" t="str">
            <v>pparsin</v>
          </cell>
          <cell r="O358">
            <v>1299</v>
          </cell>
          <cell r="P358" t="str">
            <v>AUH1</v>
          </cell>
          <cell r="Q358" t="str">
            <v>ARE</v>
          </cell>
          <cell r="R358" t="str">
            <v>FC059</v>
          </cell>
          <cell r="S358" t="str">
            <v>Day Shift</v>
          </cell>
          <cell r="T358">
            <v>99</v>
          </cell>
          <cell r="U358" t="str">
            <v>MENA_UAE_FC</v>
          </cell>
          <cell r="X358">
            <v>46257.333333333336</v>
          </cell>
          <cell r="Y358">
            <v>46257.75</v>
          </cell>
          <cell r="Z358" t="str">
            <v>Rest Day</v>
          </cell>
          <cell r="AA358" t="str">
            <v>Not Scheduled</v>
          </cell>
          <cell r="AB358" t="str">
            <v>Not Present</v>
          </cell>
          <cell r="AC358" t="str">
            <v>Inbound</v>
          </cell>
          <cell r="AD358" t="str">
            <v>Inbound Stow</v>
          </cell>
          <cell r="AE358" t="str">
            <v>Stow</v>
          </cell>
          <cell r="AF358" t="str">
            <v>Sunday</v>
          </cell>
          <cell r="AG358" t="str">
            <v>Monday</v>
          </cell>
          <cell r="AH358">
            <v>3</v>
          </cell>
          <cell r="AJ358">
            <v>45455</v>
          </cell>
          <cell r="AM358" t="str">
            <v>TEMP</v>
          </cell>
          <cell r="AN358" t="str">
            <v>3P Onsite Worker</v>
          </cell>
          <cell r="AO358" t="str">
            <v>A</v>
          </cell>
          <cell r="AP358">
            <v>9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</row>
        <row r="359">
          <cell r="D359" t="str">
            <v>frimptel</v>
          </cell>
          <cell r="E359">
            <v>203514419</v>
          </cell>
          <cell r="F359" t="str">
            <v>A</v>
          </cell>
          <cell r="G359" t="str">
            <v>GREEN</v>
          </cell>
          <cell r="H359" t="str">
            <v>FULL_TIME</v>
          </cell>
          <cell r="I359">
            <v>900234</v>
          </cell>
          <cell r="J359" t="str">
            <v>Fastlink Outsourcing</v>
          </cell>
          <cell r="K359" t="str">
            <v>Elijah Frimpong</v>
          </cell>
          <cell r="L359" t="str">
            <v>Warehouse Associate (TEMP)</v>
          </cell>
          <cell r="M359" t="str">
            <v>Warehouse Associate 12M</v>
          </cell>
          <cell r="N359" t="str">
            <v>mnarshad</v>
          </cell>
          <cell r="O359">
            <v>1299</v>
          </cell>
          <cell r="P359" t="str">
            <v>AUH1</v>
          </cell>
          <cell r="Q359" t="str">
            <v>ARE</v>
          </cell>
          <cell r="R359" t="str">
            <v>LK016</v>
          </cell>
          <cell r="S359" t="str">
            <v>Night Shift</v>
          </cell>
          <cell r="T359">
            <v>99</v>
          </cell>
          <cell r="U359" t="str">
            <v>MENA_UAE_FC</v>
          </cell>
          <cell r="V359">
            <v>46257.756944444445</v>
          </cell>
          <cell r="X359">
            <v>46257.756944444445</v>
          </cell>
          <cell r="Y359">
            <v>46258.173611111109</v>
          </cell>
          <cell r="AA359" t="str">
            <v>Scheduled</v>
          </cell>
          <cell r="AB359" t="str">
            <v>Present</v>
          </cell>
          <cell r="AC359" t="str">
            <v>Outbound</v>
          </cell>
          <cell r="AD359" t="str">
            <v>Picking</v>
          </cell>
          <cell r="AE359" t="str">
            <v>Pick</v>
          </cell>
          <cell r="AF359" t="str">
            <v>Wednesday</v>
          </cell>
          <cell r="AG359" t="str">
            <v>Thursday</v>
          </cell>
          <cell r="AH359">
            <v>13</v>
          </cell>
          <cell r="AJ359">
            <v>45462</v>
          </cell>
          <cell r="AM359" t="str">
            <v>TEMP</v>
          </cell>
          <cell r="AN359" t="str">
            <v>3P Onsite Worker</v>
          </cell>
          <cell r="AO359" t="str">
            <v>A</v>
          </cell>
          <cell r="AP359">
            <v>9</v>
          </cell>
          <cell r="AQ359">
            <v>0</v>
          </cell>
          <cell r="AR359">
            <v>1</v>
          </cell>
          <cell r="AS359">
            <v>1</v>
          </cell>
          <cell r="AT359">
            <v>0</v>
          </cell>
          <cell r="AU359">
            <v>0</v>
          </cell>
        </row>
        <row r="360">
          <cell r="D360" t="str">
            <v>frmayeng</v>
          </cell>
          <cell r="E360">
            <v>206906443</v>
          </cell>
          <cell r="F360" t="str">
            <v>A</v>
          </cell>
          <cell r="G360" t="str">
            <v>GREEN</v>
          </cell>
          <cell r="H360" t="str">
            <v>FULL_TIME</v>
          </cell>
          <cell r="I360">
            <v>900234</v>
          </cell>
          <cell r="J360" t="str">
            <v>Dulsco L.L.C.</v>
          </cell>
          <cell r="K360" t="str">
            <v>FRANK MAYENGO</v>
          </cell>
          <cell r="L360" t="str">
            <v>Warehouse Associate (TEMP)</v>
          </cell>
          <cell r="M360" t="str">
            <v>Warehouse Associate 8W</v>
          </cell>
          <cell r="N360" t="str">
            <v>lraghava</v>
          </cell>
          <cell r="O360">
            <v>1299</v>
          </cell>
          <cell r="P360" t="str">
            <v>AUH1</v>
          </cell>
          <cell r="Q360" t="str">
            <v>ARE</v>
          </cell>
          <cell r="R360" t="str">
            <v>LK015</v>
          </cell>
          <cell r="S360" t="str">
            <v>Night Shift</v>
          </cell>
          <cell r="T360">
            <v>99</v>
          </cell>
          <cell r="U360" t="str">
            <v>MENA_UAE_FC</v>
          </cell>
          <cell r="V360">
            <v>46257.754166666666</v>
          </cell>
          <cell r="X360">
            <v>46257.756944444445</v>
          </cell>
          <cell r="Y360">
            <v>46258.173611111109</v>
          </cell>
          <cell r="AA360" t="str">
            <v>Scheduled</v>
          </cell>
          <cell r="AB360" t="str">
            <v>Present</v>
          </cell>
          <cell r="AC360" t="str">
            <v>Outbound</v>
          </cell>
          <cell r="AD360" t="str">
            <v>Picking</v>
          </cell>
          <cell r="AE360" t="str">
            <v>Pick</v>
          </cell>
          <cell r="AF360" t="str">
            <v>Tuesday</v>
          </cell>
          <cell r="AG360" t="str">
            <v>Wednesday</v>
          </cell>
          <cell r="AH360">
            <v>13</v>
          </cell>
          <cell r="AJ360">
            <v>46029</v>
          </cell>
          <cell r="AM360" t="str">
            <v>TEMP</v>
          </cell>
          <cell r="AN360" t="str">
            <v>3P Onsite Worker</v>
          </cell>
          <cell r="AO360" t="str">
            <v>A</v>
          </cell>
          <cell r="AP360">
            <v>9</v>
          </cell>
          <cell r="AQ360">
            <v>0</v>
          </cell>
          <cell r="AR360">
            <v>1</v>
          </cell>
          <cell r="AS360">
            <v>1</v>
          </cell>
          <cell r="AT360">
            <v>0</v>
          </cell>
          <cell r="AU360">
            <v>0</v>
          </cell>
        </row>
        <row r="361">
          <cell r="D361" t="str">
            <v>frsagyem</v>
          </cell>
          <cell r="E361">
            <v>206128855</v>
          </cell>
          <cell r="F361" t="str">
            <v>A</v>
          </cell>
          <cell r="G361" t="str">
            <v>GREEN</v>
          </cell>
          <cell r="H361" t="str">
            <v>FULL_TIME</v>
          </cell>
          <cell r="I361">
            <v>900234</v>
          </cell>
          <cell r="J361" t="str">
            <v>Fastlink Outsourcing</v>
          </cell>
          <cell r="K361" t="str">
            <v>Freda Agyemang</v>
          </cell>
          <cell r="L361" t="str">
            <v>Warehouse Associate (TEMP)</v>
          </cell>
          <cell r="M361" t="str">
            <v>Warehouse Associate 12M</v>
          </cell>
          <cell r="N361" t="str">
            <v>ansammar</v>
          </cell>
          <cell r="O361">
            <v>1299</v>
          </cell>
          <cell r="P361" t="str">
            <v>AUH1</v>
          </cell>
          <cell r="Q361" t="str">
            <v>ARE</v>
          </cell>
          <cell r="R361" t="str">
            <v>FC084</v>
          </cell>
          <cell r="S361" t="str">
            <v>Day Shift</v>
          </cell>
          <cell r="T361">
            <v>99</v>
          </cell>
          <cell r="U361" t="str">
            <v>MENA_UAE_FC</v>
          </cell>
          <cell r="V361">
            <v>46257.331944444442</v>
          </cell>
          <cell r="W361">
            <v>46257.746527777781</v>
          </cell>
          <cell r="X361">
            <v>46257.333333333336</v>
          </cell>
          <cell r="Y361">
            <v>46257.75</v>
          </cell>
          <cell r="AA361" t="str">
            <v>Scheduled</v>
          </cell>
          <cell r="AB361" t="str">
            <v>Present</v>
          </cell>
          <cell r="AC361" t="str">
            <v>Outbound</v>
          </cell>
          <cell r="AD361" t="str">
            <v>Picking</v>
          </cell>
          <cell r="AE361" t="str">
            <v>Pick</v>
          </cell>
          <cell r="AF361" t="str">
            <v>Monday</v>
          </cell>
          <cell r="AG361" t="str">
            <v>Tuesday</v>
          </cell>
          <cell r="AH361">
            <v>13</v>
          </cell>
          <cell r="AJ361">
            <v>45928</v>
          </cell>
          <cell r="AM361" t="str">
            <v>TEMP</v>
          </cell>
          <cell r="AN361" t="str">
            <v>3P Onsite Worker</v>
          </cell>
          <cell r="AO361" t="str">
            <v>A</v>
          </cell>
          <cell r="AP361">
            <v>9</v>
          </cell>
          <cell r="AQ361">
            <v>0</v>
          </cell>
          <cell r="AR361">
            <v>1</v>
          </cell>
          <cell r="AS361">
            <v>1</v>
          </cell>
          <cell r="AT361">
            <v>0</v>
          </cell>
          <cell r="AU361">
            <v>0</v>
          </cell>
        </row>
        <row r="362">
          <cell r="D362" t="str">
            <v>fsangula</v>
          </cell>
          <cell r="E362">
            <v>206953981</v>
          </cell>
          <cell r="F362" t="str">
            <v>A</v>
          </cell>
          <cell r="G362" t="str">
            <v>GREEN</v>
          </cell>
          <cell r="H362" t="str">
            <v>FULL_TIME</v>
          </cell>
          <cell r="I362">
            <v>900234</v>
          </cell>
          <cell r="J362" t="str">
            <v>Dulsco L.L.C.</v>
          </cell>
          <cell r="K362" t="str">
            <v>FREDO SANGULAYA</v>
          </cell>
          <cell r="L362" t="str">
            <v>Warehouse Associate (TEMP)</v>
          </cell>
          <cell r="M362" t="str">
            <v>Warehouse Associate 24M</v>
          </cell>
          <cell r="N362" t="str">
            <v>aanso</v>
          </cell>
          <cell r="O362">
            <v>1299</v>
          </cell>
          <cell r="P362" t="str">
            <v>AUH1</v>
          </cell>
          <cell r="Q362" t="str">
            <v>ARE</v>
          </cell>
          <cell r="R362" t="str">
            <v>FC084</v>
          </cell>
          <cell r="S362" t="str">
            <v>Day Shift</v>
          </cell>
          <cell r="T362">
            <v>99</v>
          </cell>
          <cell r="U362" t="str">
            <v>MENA_UAE_FC</v>
          </cell>
          <cell r="V362">
            <v>46257.331250000003</v>
          </cell>
          <cell r="W362">
            <v>46257.750694444447</v>
          </cell>
          <cell r="X362">
            <v>46257.333333333336</v>
          </cell>
          <cell r="Y362">
            <v>46257.75</v>
          </cell>
          <cell r="AA362" t="str">
            <v>Scheduled</v>
          </cell>
          <cell r="AB362" t="str">
            <v>Present</v>
          </cell>
          <cell r="AC362" t="str">
            <v>Customer returns</v>
          </cell>
          <cell r="AD362" t="str">
            <v>Customer Returns</v>
          </cell>
          <cell r="AE362" t="str">
            <v>Customer returns</v>
          </cell>
          <cell r="AF362" t="str">
            <v>Monday</v>
          </cell>
          <cell r="AG362" t="str">
            <v>Tuesday</v>
          </cell>
          <cell r="AH362">
            <v>22</v>
          </cell>
          <cell r="AJ362">
            <v>46047</v>
          </cell>
          <cell r="AM362" t="str">
            <v>TEMP</v>
          </cell>
          <cell r="AN362" t="str">
            <v>3P Onsite Worker</v>
          </cell>
          <cell r="AO362" t="str">
            <v>A</v>
          </cell>
          <cell r="AP362">
            <v>9</v>
          </cell>
          <cell r="AQ362">
            <v>0</v>
          </cell>
          <cell r="AR362">
            <v>1</v>
          </cell>
          <cell r="AS362">
            <v>1</v>
          </cell>
          <cell r="AT362">
            <v>0</v>
          </cell>
          <cell r="AU362">
            <v>0</v>
          </cell>
        </row>
        <row r="363">
          <cell r="D363" t="str">
            <v>fuhnclov</v>
          </cell>
          <cell r="E363">
            <v>206145766</v>
          </cell>
          <cell r="F363" t="str">
            <v>A</v>
          </cell>
          <cell r="G363" t="str">
            <v>GREEN</v>
          </cell>
          <cell r="H363" t="str">
            <v>FULL_TIME</v>
          </cell>
          <cell r="I363">
            <v>900234</v>
          </cell>
          <cell r="J363" t="str">
            <v>Fastlink Outsourcing</v>
          </cell>
          <cell r="K363" t="str">
            <v>CLOVIS FUH NEBA</v>
          </cell>
          <cell r="L363" t="str">
            <v>Warehouse Associate (TEMP)</v>
          </cell>
          <cell r="M363" t="str">
            <v>Warehouse Associate 8W</v>
          </cell>
          <cell r="N363" t="str">
            <v>scariav</v>
          </cell>
          <cell r="O363">
            <v>1299</v>
          </cell>
          <cell r="P363" t="str">
            <v>AUH1</v>
          </cell>
          <cell r="Q363" t="str">
            <v>ARE</v>
          </cell>
          <cell r="R363" t="str">
            <v>LK011</v>
          </cell>
          <cell r="S363" t="str">
            <v>Night Shift</v>
          </cell>
          <cell r="T363">
            <v>99</v>
          </cell>
          <cell r="U363" t="str">
            <v>MENA_UAE_FC</v>
          </cell>
          <cell r="V363">
            <v>46257.756249999999</v>
          </cell>
          <cell r="X363">
            <v>46257.756944444445</v>
          </cell>
          <cell r="Y363">
            <v>46258.173611111109</v>
          </cell>
          <cell r="AA363" t="str">
            <v>Scheduled</v>
          </cell>
          <cell r="AB363" t="str">
            <v>Present</v>
          </cell>
          <cell r="AC363" t="str">
            <v>Outbound</v>
          </cell>
          <cell r="AD363" t="str">
            <v>Picking</v>
          </cell>
          <cell r="AE363" t="str">
            <v>Pick</v>
          </cell>
          <cell r="AF363" t="str">
            <v>Friday</v>
          </cell>
          <cell r="AG363" t="str">
            <v>Saturday</v>
          </cell>
          <cell r="AH363">
            <v>13</v>
          </cell>
          <cell r="AJ363">
            <v>45928</v>
          </cell>
          <cell r="AM363" t="str">
            <v>TEMP</v>
          </cell>
          <cell r="AN363" t="str">
            <v>3P Onsite Worker</v>
          </cell>
          <cell r="AO363" t="str">
            <v>A</v>
          </cell>
          <cell r="AP363">
            <v>9</v>
          </cell>
          <cell r="AQ363">
            <v>0</v>
          </cell>
          <cell r="AR363">
            <v>1</v>
          </cell>
          <cell r="AS363">
            <v>1</v>
          </cell>
          <cell r="AT363">
            <v>0</v>
          </cell>
          <cell r="AU363">
            <v>0</v>
          </cell>
        </row>
        <row r="364">
          <cell r="D364" t="str">
            <v>fuissaka</v>
          </cell>
          <cell r="E364">
            <v>206886736</v>
          </cell>
          <cell r="F364" t="str">
            <v>A</v>
          </cell>
          <cell r="G364" t="str">
            <v>GREEN</v>
          </cell>
          <cell r="H364" t="str">
            <v>REDUCED</v>
          </cell>
          <cell r="I364">
            <v>900234</v>
          </cell>
          <cell r="J364" t="str">
            <v>EFS Facilities Services</v>
          </cell>
          <cell r="K364" t="str">
            <v>Fullera Issaka</v>
          </cell>
          <cell r="L364" t="str">
            <v>Warehouse Associate (TEMP)</v>
          </cell>
          <cell r="M364" t="str">
            <v>Warehouse Associate 8W</v>
          </cell>
          <cell r="N364" t="str">
            <v>mnarshad</v>
          </cell>
          <cell r="O364">
            <v>1299</v>
          </cell>
          <cell r="P364" t="str">
            <v>AUH1</v>
          </cell>
          <cell r="Q364" t="str">
            <v>ARE</v>
          </cell>
          <cell r="R364" t="str">
            <v>FC559</v>
          </cell>
          <cell r="S364" t="str">
            <v>Night Shift</v>
          </cell>
          <cell r="T364">
            <v>99</v>
          </cell>
          <cell r="U364" t="str">
            <v>MENA_UAE_FC</v>
          </cell>
          <cell r="X364">
            <v>46257.756944444445</v>
          </cell>
          <cell r="Y364">
            <v>46258.090277777781</v>
          </cell>
          <cell r="Z364" t="str">
            <v>Rest Day</v>
          </cell>
          <cell r="AA364" t="str">
            <v>Not Scheduled</v>
          </cell>
          <cell r="AB364" t="str">
            <v>Not Present</v>
          </cell>
          <cell r="AC364" t="str">
            <v>Outbound</v>
          </cell>
          <cell r="AD364" t="str">
            <v>Sort - Batch</v>
          </cell>
          <cell r="AE364" t="str">
            <v>Sort</v>
          </cell>
          <cell r="AF364" t="str">
            <v>Saturday</v>
          </cell>
          <cell r="AG364" t="str">
            <v>Sunday</v>
          </cell>
          <cell r="AH364">
            <v>15</v>
          </cell>
          <cell r="AJ364">
            <v>46251</v>
          </cell>
          <cell r="AM364" t="str">
            <v>TEMP</v>
          </cell>
          <cell r="AN364" t="str">
            <v>3P Onsite Worker</v>
          </cell>
          <cell r="AO364" t="str">
            <v>A</v>
          </cell>
          <cell r="AP364">
            <v>7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</row>
        <row r="365">
          <cell r="D365" t="str">
            <v>fuseawal</v>
          </cell>
          <cell r="E365">
            <v>203802272</v>
          </cell>
          <cell r="F365" t="str">
            <v>A</v>
          </cell>
          <cell r="G365" t="str">
            <v>GREEN</v>
          </cell>
          <cell r="H365" t="str">
            <v>FULL_TIME</v>
          </cell>
          <cell r="I365">
            <v>900234</v>
          </cell>
          <cell r="J365" t="str">
            <v>Fastlink Outsourcing</v>
          </cell>
          <cell r="K365" t="str">
            <v>AWAL FUSEINI</v>
          </cell>
          <cell r="L365" t="str">
            <v>Warehouse Associate (TEMP)</v>
          </cell>
          <cell r="M365" t="str">
            <v>Warehouse Associate 12M</v>
          </cell>
          <cell r="N365" t="str">
            <v>pparsin</v>
          </cell>
          <cell r="O365">
            <v>1299</v>
          </cell>
          <cell r="P365" t="str">
            <v>AUH1</v>
          </cell>
          <cell r="Q365" t="str">
            <v>ARE</v>
          </cell>
          <cell r="R365" t="str">
            <v>FC109</v>
          </cell>
          <cell r="S365" t="str">
            <v>Day Shift</v>
          </cell>
          <cell r="T365">
            <v>99</v>
          </cell>
          <cell r="U365" t="str">
            <v>MENA_UAE_FC</v>
          </cell>
          <cell r="V365">
            <v>46257.331250000003</v>
          </cell>
          <cell r="W365">
            <v>46257.748611111114</v>
          </cell>
          <cell r="X365">
            <v>46257.333333333336</v>
          </cell>
          <cell r="Y365">
            <v>46257.75</v>
          </cell>
          <cell r="AA365" t="str">
            <v>Scheduled</v>
          </cell>
          <cell r="AB365" t="str">
            <v>Present</v>
          </cell>
          <cell r="AC365" t="str">
            <v>Inbound</v>
          </cell>
          <cell r="AD365" t="str">
            <v>Inbound Stow</v>
          </cell>
          <cell r="AE365" t="str">
            <v>Stow</v>
          </cell>
          <cell r="AF365" t="str">
            <v>Tuesday</v>
          </cell>
          <cell r="AG365" t="str">
            <v>Wednesday</v>
          </cell>
          <cell r="AH365">
            <v>3</v>
          </cell>
          <cell r="AJ365">
            <v>45516</v>
          </cell>
          <cell r="AM365" t="str">
            <v>TEMP</v>
          </cell>
          <cell r="AN365" t="str">
            <v>3P Onsite Worker</v>
          </cell>
          <cell r="AO365" t="str">
            <v>A</v>
          </cell>
          <cell r="AP365">
            <v>9</v>
          </cell>
          <cell r="AQ365">
            <v>0</v>
          </cell>
          <cell r="AR365">
            <v>1</v>
          </cell>
          <cell r="AS365">
            <v>1</v>
          </cell>
          <cell r="AT365">
            <v>0</v>
          </cell>
          <cell r="AU365">
            <v>0</v>
          </cell>
        </row>
        <row r="366">
          <cell r="D366" t="str">
            <v>fynsarah</v>
          </cell>
          <cell r="E366">
            <v>206016554</v>
          </cell>
          <cell r="F366" t="str">
            <v>A</v>
          </cell>
          <cell r="G366" t="str">
            <v>GREEN</v>
          </cell>
          <cell r="H366" t="str">
            <v>FULL_TIME</v>
          </cell>
          <cell r="I366">
            <v>900234</v>
          </cell>
          <cell r="J366" t="str">
            <v>Fastlink Outsourcing</v>
          </cell>
          <cell r="K366" t="str">
            <v>Sarah Fynn Arthur</v>
          </cell>
          <cell r="L366" t="str">
            <v>Warehouse Associate (TEMP)</v>
          </cell>
          <cell r="M366" t="str">
            <v>Warehouse Associate 12M</v>
          </cell>
          <cell r="N366" t="str">
            <v>nnahla</v>
          </cell>
          <cell r="O366">
            <v>1299</v>
          </cell>
          <cell r="P366" t="str">
            <v>AUH1</v>
          </cell>
          <cell r="Q366" t="str">
            <v>ARE</v>
          </cell>
          <cell r="R366" t="str">
            <v>FC034</v>
          </cell>
          <cell r="S366" t="str">
            <v>Day Shift</v>
          </cell>
          <cell r="T366">
            <v>99</v>
          </cell>
          <cell r="U366" t="str">
            <v>MENA_UAE_FC</v>
          </cell>
          <cell r="X366">
            <v>46257.333333333336</v>
          </cell>
          <cell r="Y366">
            <v>46257.75</v>
          </cell>
          <cell r="Z366" t="str">
            <v>Rest Day</v>
          </cell>
          <cell r="AA366" t="str">
            <v>Not Scheduled</v>
          </cell>
          <cell r="AB366" t="str">
            <v>Not Present</v>
          </cell>
          <cell r="AC366" t="str">
            <v>Inbound</v>
          </cell>
          <cell r="AD366" t="str">
            <v>Vendor Receive</v>
          </cell>
          <cell r="AE366" t="str">
            <v>Receive</v>
          </cell>
          <cell r="AF366" t="str">
            <v>Saturday</v>
          </cell>
          <cell r="AG366" t="str">
            <v>Sunday</v>
          </cell>
          <cell r="AH366">
            <v>1</v>
          </cell>
          <cell r="AJ366">
            <v>45914</v>
          </cell>
          <cell r="AM366" t="str">
            <v>TEMP</v>
          </cell>
          <cell r="AN366" t="str">
            <v>3P Onsite Worker</v>
          </cell>
          <cell r="AO366" t="str">
            <v>A</v>
          </cell>
          <cell r="AP366">
            <v>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</row>
        <row r="367">
          <cell r="D367" t="str">
            <v>fzizinga</v>
          </cell>
          <cell r="E367">
            <v>203470579</v>
          </cell>
          <cell r="F367" t="str">
            <v>A</v>
          </cell>
          <cell r="G367" t="str">
            <v>GREEN</v>
          </cell>
          <cell r="H367" t="str">
            <v>FULL_TIME</v>
          </cell>
          <cell r="I367">
            <v>900234</v>
          </cell>
          <cell r="J367" t="str">
            <v>Adecco</v>
          </cell>
          <cell r="K367" t="str">
            <v>Zizinga Faizal</v>
          </cell>
          <cell r="L367" t="str">
            <v>Warehouse Associate (TEMP)</v>
          </cell>
          <cell r="M367" t="str">
            <v>Warehouse Associate 24M</v>
          </cell>
          <cell r="N367" t="str">
            <v>kebedeed</v>
          </cell>
          <cell r="O367">
            <v>1299</v>
          </cell>
          <cell r="P367" t="str">
            <v>AUH1</v>
          </cell>
          <cell r="Q367" t="str">
            <v>ARE</v>
          </cell>
          <cell r="R367" t="str">
            <v>FC034</v>
          </cell>
          <cell r="S367" t="str">
            <v>Day Shift</v>
          </cell>
          <cell r="T367">
            <v>99</v>
          </cell>
          <cell r="U367" t="str">
            <v>MENA_UAE_FC</v>
          </cell>
          <cell r="X367">
            <v>46257.333333333336</v>
          </cell>
          <cell r="Y367">
            <v>46257.75</v>
          </cell>
          <cell r="Z367" t="str">
            <v>Rest Day</v>
          </cell>
          <cell r="AA367" t="str">
            <v>Not Scheduled</v>
          </cell>
          <cell r="AB367" t="str">
            <v>Not Present</v>
          </cell>
          <cell r="AC367" t="str">
            <v>ICQA</v>
          </cell>
          <cell r="AD367" t="str">
            <v>IC/QA/CS</v>
          </cell>
          <cell r="AE367" t="str">
            <v>Support</v>
          </cell>
          <cell r="AF367" t="str">
            <v>Saturday</v>
          </cell>
          <cell r="AG367" t="str">
            <v>Sunday</v>
          </cell>
          <cell r="AH367">
            <v>27</v>
          </cell>
          <cell r="AJ367">
            <v>45455</v>
          </cell>
          <cell r="AM367" t="str">
            <v>TEMP</v>
          </cell>
          <cell r="AN367" t="str">
            <v>3P Onsite Worker</v>
          </cell>
          <cell r="AO367" t="str">
            <v>A</v>
          </cell>
          <cell r="AP367">
            <v>9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</row>
        <row r="368">
          <cell r="D368" t="str">
            <v>gakyeaop</v>
          </cell>
          <cell r="E368">
            <v>206250638</v>
          </cell>
          <cell r="F368" t="str">
            <v>A</v>
          </cell>
          <cell r="G368" t="str">
            <v>GREEN</v>
          </cell>
          <cell r="H368" t="str">
            <v>REDUCED</v>
          </cell>
          <cell r="I368">
            <v>900234</v>
          </cell>
          <cell r="J368" t="str">
            <v>Fastlink Outsourcing</v>
          </cell>
          <cell r="K368" t="str">
            <v>OWUSU AKYEA OPARE</v>
          </cell>
          <cell r="L368" t="str">
            <v>Warehouse Associate (TEMP)</v>
          </cell>
          <cell r="M368" t="str">
            <v>Warehouse Associate 8W</v>
          </cell>
          <cell r="N368" t="str">
            <v>bizthoma</v>
          </cell>
          <cell r="O368">
            <v>1299</v>
          </cell>
          <cell r="P368" t="str">
            <v>AUH1</v>
          </cell>
          <cell r="Q368" t="str">
            <v>ARE</v>
          </cell>
          <cell r="R368" t="str">
            <v>FC556</v>
          </cell>
          <cell r="S368" t="str">
            <v>Night Shift</v>
          </cell>
          <cell r="T368">
            <v>99</v>
          </cell>
          <cell r="U368" t="str">
            <v>MENA_UAE_FC</v>
          </cell>
          <cell r="V368">
            <v>46257.757638888892</v>
          </cell>
          <cell r="X368">
            <v>46257.756944444445</v>
          </cell>
          <cell r="Y368">
            <v>46258.090277777781</v>
          </cell>
          <cell r="AA368" t="str">
            <v>Scheduled</v>
          </cell>
          <cell r="AB368" t="str">
            <v>Present</v>
          </cell>
          <cell r="AC368" t="str">
            <v>Outbound</v>
          </cell>
          <cell r="AD368" t="str">
            <v>Pack - Batch</v>
          </cell>
          <cell r="AE368" t="str">
            <v>Pack</v>
          </cell>
          <cell r="AF368" t="str">
            <v>Tuesday</v>
          </cell>
          <cell r="AG368" t="str">
            <v>Wednesday</v>
          </cell>
          <cell r="AH368">
            <v>17</v>
          </cell>
          <cell r="AJ368">
            <v>46251</v>
          </cell>
          <cell r="AM368" t="str">
            <v>TEMP</v>
          </cell>
          <cell r="AN368" t="str">
            <v>3P Onsite Worker</v>
          </cell>
          <cell r="AO368" t="str">
            <v>A</v>
          </cell>
          <cell r="AP368">
            <v>7</v>
          </cell>
          <cell r="AQ368">
            <v>0</v>
          </cell>
          <cell r="AR368">
            <v>1</v>
          </cell>
          <cell r="AS368">
            <v>1</v>
          </cell>
          <cell r="AT368">
            <v>0</v>
          </cell>
          <cell r="AU368">
            <v>0</v>
          </cell>
        </row>
        <row r="369">
          <cell r="D369" t="str">
            <v>galeowus</v>
          </cell>
          <cell r="E369">
            <v>203083928</v>
          </cell>
          <cell r="F369" t="str">
            <v>A</v>
          </cell>
          <cell r="G369" t="str">
            <v>GREEN</v>
          </cell>
          <cell r="H369" t="str">
            <v>FULL_TIME</v>
          </cell>
          <cell r="I369">
            <v>900234</v>
          </cell>
          <cell r="J369" t="str">
            <v>Fastlink Outsourcing</v>
          </cell>
          <cell r="K369" t="str">
            <v>Alex Owusu</v>
          </cell>
          <cell r="L369" t="str">
            <v>Warehouse Associate (TEMP)</v>
          </cell>
          <cell r="M369" t="str">
            <v>Warehouse Associate 12M</v>
          </cell>
          <cell r="N369" t="str">
            <v>aanso</v>
          </cell>
          <cell r="O369">
            <v>1299</v>
          </cell>
          <cell r="P369" t="str">
            <v>AUH1</v>
          </cell>
          <cell r="Q369" t="str">
            <v>ARE</v>
          </cell>
          <cell r="R369" t="str">
            <v>FC134</v>
          </cell>
          <cell r="S369" t="str">
            <v>Day Shift</v>
          </cell>
          <cell r="T369">
            <v>99</v>
          </cell>
          <cell r="U369" t="str">
            <v>MENA_UAE_FC</v>
          </cell>
          <cell r="V369">
            <v>46257.331250000003</v>
          </cell>
          <cell r="W369">
            <v>46257.747916666667</v>
          </cell>
          <cell r="X369">
            <v>46257.333333333336</v>
          </cell>
          <cell r="Y369">
            <v>46257.75</v>
          </cell>
          <cell r="AA369" t="str">
            <v>Scheduled</v>
          </cell>
          <cell r="AB369" t="str">
            <v>Present</v>
          </cell>
          <cell r="AC369" t="str">
            <v>Customer returns</v>
          </cell>
          <cell r="AD369" t="str">
            <v>Customer Returns</v>
          </cell>
          <cell r="AE369" t="str">
            <v>Customer returns</v>
          </cell>
          <cell r="AF369" t="str">
            <v>Wednesday</v>
          </cell>
          <cell r="AG369" t="str">
            <v>Thursday</v>
          </cell>
          <cell r="AH369">
            <v>22</v>
          </cell>
          <cell r="AJ369">
            <v>45487</v>
          </cell>
          <cell r="AM369" t="str">
            <v>TEMP</v>
          </cell>
          <cell r="AN369" t="str">
            <v>3P Onsite Worker</v>
          </cell>
          <cell r="AO369" t="str">
            <v>A</v>
          </cell>
          <cell r="AP369">
            <v>9</v>
          </cell>
          <cell r="AQ369">
            <v>0</v>
          </cell>
          <cell r="AR369">
            <v>1</v>
          </cell>
          <cell r="AS369">
            <v>1</v>
          </cell>
          <cell r="AT369">
            <v>0</v>
          </cell>
          <cell r="AU369">
            <v>0</v>
          </cell>
        </row>
        <row r="370">
          <cell r="D370" t="str">
            <v>ganifran</v>
          </cell>
          <cell r="E370">
            <v>206873639</v>
          </cell>
          <cell r="F370" t="str">
            <v>A</v>
          </cell>
          <cell r="G370" t="str">
            <v>GREEN</v>
          </cell>
          <cell r="H370" t="str">
            <v>FULL_TIME</v>
          </cell>
          <cell r="I370">
            <v>900234</v>
          </cell>
          <cell r="J370" t="str">
            <v>Fastlink Outsourcing</v>
          </cell>
          <cell r="K370" t="str">
            <v>FRANCIS ANIM</v>
          </cell>
          <cell r="L370" t="str">
            <v>Warehouse Associate (TEMP)</v>
          </cell>
          <cell r="M370" t="str">
            <v>Warehouse Associate 12M</v>
          </cell>
          <cell r="N370" t="str">
            <v>vkkatyal</v>
          </cell>
          <cell r="O370">
            <v>1299</v>
          </cell>
          <cell r="P370" t="str">
            <v>AUH1</v>
          </cell>
          <cell r="Q370" t="str">
            <v>ARE</v>
          </cell>
          <cell r="R370" t="str">
            <v>FC059</v>
          </cell>
          <cell r="S370" t="str">
            <v>Day Shift</v>
          </cell>
          <cell r="T370">
            <v>99</v>
          </cell>
          <cell r="U370" t="str">
            <v>MENA_UAE_FC</v>
          </cell>
          <cell r="X370">
            <v>46257.333333333336</v>
          </cell>
          <cell r="Y370">
            <v>46257.75</v>
          </cell>
          <cell r="Z370" t="str">
            <v>Rest Day</v>
          </cell>
          <cell r="AA370" t="str">
            <v>Not Scheduled</v>
          </cell>
          <cell r="AB370" t="str">
            <v>Not Present</v>
          </cell>
          <cell r="AC370" t="str">
            <v>Inbound</v>
          </cell>
          <cell r="AD370" t="str">
            <v>Inbound Stow</v>
          </cell>
          <cell r="AE370" t="str">
            <v>Stow</v>
          </cell>
          <cell r="AF370" t="str">
            <v>Sunday</v>
          </cell>
          <cell r="AG370" t="str">
            <v>Monday</v>
          </cell>
          <cell r="AH370">
            <v>3</v>
          </cell>
          <cell r="AJ370">
            <v>46019</v>
          </cell>
          <cell r="AM370" t="str">
            <v>TEMP</v>
          </cell>
          <cell r="AN370" t="str">
            <v>3P Onsite Worker</v>
          </cell>
          <cell r="AO370" t="str">
            <v>A</v>
          </cell>
          <cell r="AP370">
            <v>9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</row>
        <row r="371">
          <cell r="D371" t="str">
            <v>ganymaid</v>
          </cell>
          <cell r="E371">
            <v>204138115</v>
          </cell>
          <cell r="F371" t="str">
            <v>A</v>
          </cell>
          <cell r="G371" t="str">
            <v>GREEN</v>
          </cell>
          <cell r="H371" t="str">
            <v>FULL_TIME</v>
          </cell>
          <cell r="I371">
            <v>900234</v>
          </cell>
          <cell r="J371" t="str">
            <v>Quesscorp</v>
          </cell>
          <cell r="K371" t="str">
            <v>Maidei Ganyata</v>
          </cell>
          <cell r="L371" t="str">
            <v>Warehouse Associate (TEMP)</v>
          </cell>
          <cell r="M371" t="str">
            <v>Warehouse Associate 24M</v>
          </cell>
          <cell r="N371" t="str">
            <v>ansammar</v>
          </cell>
          <cell r="O371">
            <v>1299</v>
          </cell>
          <cell r="P371" t="str">
            <v>AUH1</v>
          </cell>
          <cell r="Q371" t="str">
            <v>ARE</v>
          </cell>
          <cell r="R371" t="str">
            <v>FC059</v>
          </cell>
          <cell r="S371" t="str">
            <v>Day Shift</v>
          </cell>
          <cell r="T371">
            <v>99</v>
          </cell>
          <cell r="U371" t="str">
            <v>MENA_UAE_FC</v>
          </cell>
          <cell r="X371">
            <v>46257.333333333336</v>
          </cell>
          <cell r="Y371">
            <v>46257.75</v>
          </cell>
          <cell r="Z371" t="str">
            <v>Rest Day</v>
          </cell>
          <cell r="AA371" t="str">
            <v>Not Scheduled</v>
          </cell>
          <cell r="AB371" t="str">
            <v>Not Present</v>
          </cell>
          <cell r="AC371" t="str">
            <v>Outbound</v>
          </cell>
          <cell r="AD371" t="str">
            <v>Picking</v>
          </cell>
          <cell r="AE371" t="str">
            <v>Pick</v>
          </cell>
          <cell r="AF371" t="str">
            <v>Sunday</v>
          </cell>
          <cell r="AG371" t="str">
            <v>Monday</v>
          </cell>
          <cell r="AH371">
            <v>13</v>
          </cell>
          <cell r="AJ371">
            <v>45564</v>
          </cell>
          <cell r="AM371" t="str">
            <v>TEMP</v>
          </cell>
          <cell r="AN371" t="str">
            <v>3P Onsite Worker</v>
          </cell>
          <cell r="AO371" t="str">
            <v>A</v>
          </cell>
          <cell r="AP371">
            <v>9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</row>
        <row r="372">
          <cell r="D372" t="str">
            <v>garvmark</v>
          </cell>
          <cell r="E372">
            <v>206239217</v>
          </cell>
          <cell r="F372" t="str">
            <v>A</v>
          </cell>
          <cell r="G372" t="str">
            <v>GREEN</v>
          </cell>
          <cell r="H372" t="str">
            <v>REDUCED</v>
          </cell>
          <cell r="I372">
            <v>900234</v>
          </cell>
          <cell r="J372" t="str">
            <v>Fastlink Outsourcing</v>
          </cell>
          <cell r="K372" t="str">
            <v>GARVIN MARK ALIGAWEESA</v>
          </cell>
          <cell r="L372" t="str">
            <v>Warehouse Associate (TEMP)</v>
          </cell>
          <cell r="M372" t="str">
            <v>Warehouse Associate 8W</v>
          </cell>
          <cell r="N372" t="str">
            <v>ansammar</v>
          </cell>
          <cell r="O372">
            <v>1299</v>
          </cell>
          <cell r="P372" t="str">
            <v>AUH1</v>
          </cell>
          <cell r="Q372" t="str">
            <v>ARE</v>
          </cell>
          <cell r="R372" t="str">
            <v>FC557</v>
          </cell>
          <cell r="S372" t="str">
            <v>Night Shift</v>
          </cell>
          <cell r="T372">
            <v>99</v>
          </cell>
          <cell r="U372" t="str">
            <v>MENA_UAE_FC</v>
          </cell>
          <cell r="V372">
            <v>46257.756944444445</v>
          </cell>
          <cell r="X372">
            <v>46257.756944444445</v>
          </cell>
          <cell r="Y372">
            <v>46258.090277777781</v>
          </cell>
          <cell r="AA372" t="str">
            <v>Scheduled</v>
          </cell>
          <cell r="AB372" t="str">
            <v>Present</v>
          </cell>
          <cell r="AC372" t="str">
            <v>Outbound</v>
          </cell>
          <cell r="AD372" t="str">
            <v>Pack - Batch</v>
          </cell>
          <cell r="AE372" t="str">
            <v>Pack</v>
          </cell>
          <cell r="AF372" t="str">
            <v>Wednesday</v>
          </cell>
          <cell r="AG372" t="str">
            <v>Thursday</v>
          </cell>
          <cell r="AH372">
            <v>17</v>
          </cell>
          <cell r="AJ372">
            <v>46246</v>
          </cell>
          <cell r="AM372" t="str">
            <v>TEMP</v>
          </cell>
          <cell r="AN372" t="str">
            <v>3P Onsite Worker</v>
          </cell>
          <cell r="AO372" t="str">
            <v>A</v>
          </cell>
          <cell r="AP372">
            <v>7</v>
          </cell>
          <cell r="AQ372">
            <v>0</v>
          </cell>
          <cell r="AR372">
            <v>1</v>
          </cell>
          <cell r="AS372">
            <v>1</v>
          </cell>
          <cell r="AT372">
            <v>0</v>
          </cell>
          <cell r="AU372">
            <v>0</v>
          </cell>
        </row>
        <row r="373">
          <cell r="D373" t="str">
            <v>gautaldi</v>
          </cell>
          <cell r="E373">
            <v>204009619</v>
          </cell>
          <cell r="F373" t="str">
            <v>A</v>
          </cell>
          <cell r="G373" t="str">
            <v>GREEN</v>
          </cell>
          <cell r="H373" t="str">
            <v>FULL_TIME</v>
          </cell>
          <cell r="I373">
            <v>900234</v>
          </cell>
          <cell r="J373" t="str">
            <v>Dulsco L.L.C.</v>
          </cell>
          <cell r="K373" t="str">
            <v>DIPESH GAUTAM</v>
          </cell>
          <cell r="L373" t="str">
            <v>Warehouse Associate (TEMP)</v>
          </cell>
          <cell r="M373" t="str">
            <v>Warehouse Associate 24M</v>
          </cell>
          <cell r="N373" t="str">
            <v>lraghava</v>
          </cell>
          <cell r="O373">
            <v>1299</v>
          </cell>
          <cell r="P373" t="str">
            <v>AUH1</v>
          </cell>
          <cell r="Q373" t="str">
            <v>ARE</v>
          </cell>
          <cell r="R373" t="str">
            <v>LK013</v>
          </cell>
          <cell r="S373" t="str">
            <v>Night Shift</v>
          </cell>
          <cell r="T373">
            <v>99</v>
          </cell>
          <cell r="U373" t="str">
            <v>MENA_UAE_FC</v>
          </cell>
          <cell r="X373">
            <v>46257.756944444445</v>
          </cell>
          <cell r="Y373">
            <v>46258.173611111109</v>
          </cell>
          <cell r="Z373" t="str">
            <v>Rest Day</v>
          </cell>
          <cell r="AA373" t="str">
            <v>Not Scheduled</v>
          </cell>
          <cell r="AB373" t="str">
            <v>Not Present</v>
          </cell>
          <cell r="AC373" t="str">
            <v>Outbound</v>
          </cell>
          <cell r="AD373" t="str">
            <v>Picking</v>
          </cell>
          <cell r="AE373" t="str">
            <v>Pick</v>
          </cell>
          <cell r="AF373" t="str">
            <v>Sunday</v>
          </cell>
          <cell r="AG373" t="str">
            <v>Monday</v>
          </cell>
          <cell r="AH373">
            <v>13</v>
          </cell>
          <cell r="AJ373">
            <v>45550</v>
          </cell>
          <cell r="AM373" t="str">
            <v>TEMP</v>
          </cell>
          <cell r="AN373" t="str">
            <v>3P Onsite Worker</v>
          </cell>
          <cell r="AO373" t="str">
            <v>A</v>
          </cell>
          <cell r="AP373">
            <v>9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</row>
        <row r="374">
          <cell r="D374" t="str">
            <v>gautasu</v>
          </cell>
          <cell r="E374">
            <v>106262694</v>
          </cell>
          <cell r="F374" t="str">
            <v>A</v>
          </cell>
          <cell r="G374" t="str">
            <v>BLUE</v>
          </cell>
          <cell r="H374" t="str">
            <v>FULL_TIME</v>
          </cell>
          <cell r="I374" t="str">
            <v>P03251</v>
          </cell>
          <cell r="K374" t="str">
            <v>Suresh Gautam</v>
          </cell>
          <cell r="L374" t="str">
            <v>FC Associate I</v>
          </cell>
          <cell r="M374" t="str">
            <v>FC Associate I</v>
          </cell>
          <cell r="N374" t="str">
            <v>nnahla</v>
          </cell>
          <cell r="O374">
            <v>1299</v>
          </cell>
          <cell r="P374" t="str">
            <v>AUH1</v>
          </cell>
          <cell r="Q374" t="str">
            <v>ARE</v>
          </cell>
          <cell r="R374" t="str">
            <v>FC109</v>
          </cell>
          <cell r="S374" t="str">
            <v>Day Shift</v>
          </cell>
          <cell r="T374">
            <v>1</v>
          </cell>
          <cell r="U374" t="str">
            <v>MENA_UAE_FC</v>
          </cell>
          <cell r="V374">
            <v>46257.331250000003</v>
          </cell>
          <cell r="W374">
            <v>46257.750694444447</v>
          </cell>
          <cell r="X374">
            <v>46257.333333333336</v>
          </cell>
          <cell r="Y374">
            <v>46257.75</v>
          </cell>
          <cell r="AA374" t="str">
            <v>Scheduled</v>
          </cell>
          <cell r="AB374" t="str">
            <v>Present</v>
          </cell>
          <cell r="AC374" t="str">
            <v>Inbound</v>
          </cell>
          <cell r="AD374" t="str">
            <v>IB Problem Solve</v>
          </cell>
          <cell r="AE374" t="str">
            <v>Receive</v>
          </cell>
          <cell r="AF374" t="str">
            <v>Tuesday</v>
          </cell>
          <cell r="AG374" t="str">
            <v>Wednesday</v>
          </cell>
          <cell r="AH374">
            <v>6</v>
          </cell>
          <cell r="AJ374">
            <v>44756</v>
          </cell>
          <cell r="AM374" t="str">
            <v>FC</v>
          </cell>
          <cell r="AN374" t="str">
            <v>Regular Full Time</v>
          </cell>
          <cell r="AO374" t="str">
            <v>A</v>
          </cell>
          <cell r="AP374">
            <v>9</v>
          </cell>
          <cell r="AQ374">
            <v>0</v>
          </cell>
          <cell r="AR374">
            <v>1</v>
          </cell>
          <cell r="AS374">
            <v>1</v>
          </cell>
          <cell r="AT374">
            <v>0</v>
          </cell>
          <cell r="AU374">
            <v>0</v>
          </cell>
        </row>
        <row r="375">
          <cell r="D375" t="str">
            <v>gbenclem</v>
          </cell>
          <cell r="E375">
            <v>203881698</v>
          </cell>
          <cell r="F375" t="str">
            <v>A</v>
          </cell>
          <cell r="G375" t="str">
            <v>GREEN</v>
          </cell>
          <cell r="H375" t="str">
            <v>FULL_TIME</v>
          </cell>
          <cell r="I375">
            <v>900234</v>
          </cell>
          <cell r="J375" t="str">
            <v>Fastlink Outsourcing</v>
          </cell>
          <cell r="K375" t="str">
            <v>Clement Gbenatey</v>
          </cell>
          <cell r="L375" t="str">
            <v>Warehouse Associate (TEMP)</v>
          </cell>
          <cell r="M375" t="str">
            <v>Warehouse Associate 12M</v>
          </cell>
          <cell r="N375" t="str">
            <v>bizthoma</v>
          </cell>
          <cell r="O375">
            <v>1299</v>
          </cell>
          <cell r="P375" t="str">
            <v>AUH1</v>
          </cell>
          <cell r="Q375" t="str">
            <v>ARE</v>
          </cell>
          <cell r="R375" t="str">
            <v>LK012</v>
          </cell>
          <cell r="S375" t="str">
            <v>Night Shift</v>
          </cell>
          <cell r="T375">
            <v>99</v>
          </cell>
          <cell r="U375" t="str">
            <v>MENA_UAE_FC</v>
          </cell>
          <cell r="X375">
            <v>46257.756944444445</v>
          </cell>
          <cell r="Y375">
            <v>46258.173611111109</v>
          </cell>
          <cell r="Z375" t="str">
            <v>Rest Day</v>
          </cell>
          <cell r="AA375" t="str">
            <v>Not Scheduled</v>
          </cell>
          <cell r="AB375" t="str">
            <v>Not Present</v>
          </cell>
          <cell r="AC375" t="str">
            <v>Outbound</v>
          </cell>
          <cell r="AD375" t="str">
            <v>Pack - Single</v>
          </cell>
          <cell r="AE375" t="str">
            <v>Pack</v>
          </cell>
          <cell r="AF375" t="str">
            <v>Saturday</v>
          </cell>
          <cell r="AG375" t="str">
            <v>Sunday</v>
          </cell>
          <cell r="AH375">
            <v>18</v>
          </cell>
          <cell r="AJ375">
            <v>45529</v>
          </cell>
          <cell r="AM375" t="str">
            <v>TEMP</v>
          </cell>
          <cell r="AN375" t="str">
            <v>3P Onsite Worker</v>
          </cell>
          <cell r="AO375" t="str">
            <v>A</v>
          </cell>
          <cell r="AP375">
            <v>9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</row>
        <row r="376">
          <cell r="D376" t="str">
            <v>gbnyiren</v>
          </cell>
          <cell r="E376">
            <v>205997628</v>
          </cell>
          <cell r="F376" t="str">
            <v>A</v>
          </cell>
          <cell r="G376" t="str">
            <v>GREEN</v>
          </cell>
          <cell r="H376" t="str">
            <v>FULL_TIME</v>
          </cell>
          <cell r="I376">
            <v>900234</v>
          </cell>
          <cell r="J376" t="str">
            <v>Fastlink Outsourcing</v>
          </cell>
          <cell r="K376" t="str">
            <v>BRENDA NYIRENDA SINGINI</v>
          </cell>
          <cell r="L376" t="str">
            <v>Warehouse Associate (TEMP)</v>
          </cell>
          <cell r="M376" t="str">
            <v>Warehouse Associate 8W</v>
          </cell>
          <cell r="N376" t="str">
            <v>aanso</v>
          </cell>
          <cell r="O376">
            <v>1299</v>
          </cell>
          <cell r="P376" t="str">
            <v>AUH1</v>
          </cell>
          <cell r="Q376" t="str">
            <v>ARE</v>
          </cell>
          <cell r="R376" t="str">
            <v>FC159</v>
          </cell>
          <cell r="S376" t="str">
            <v>Day Shift</v>
          </cell>
          <cell r="T376">
            <v>99</v>
          </cell>
          <cell r="U376" t="str">
            <v>MENA_UAE_FC</v>
          </cell>
          <cell r="V376">
            <v>46257.331944444442</v>
          </cell>
          <cell r="W376">
            <v>46257.748611111114</v>
          </cell>
          <cell r="X376">
            <v>46257.333333333336</v>
          </cell>
          <cell r="Y376">
            <v>46257.75</v>
          </cell>
          <cell r="AA376" t="str">
            <v>Scheduled</v>
          </cell>
          <cell r="AB376" t="str">
            <v>Present</v>
          </cell>
          <cell r="AC376" t="str">
            <v>Customer returns</v>
          </cell>
          <cell r="AD376" t="str">
            <v>Customer Returns</v>
          </cell>
          <cell r="AE376" t="str">
            <v>Customer returns</v>
          </cell>
          <cell r="AF376" t="str">
            <v>Thursday</v>
          </cell>
          <cell r="AG376" t="str">
            <v>Friday</v>
          </cell>
          <cell r="AH376">
            <v>22</v>
          </cell>
          <cell r="AJ376">
            <v>45914</v>
          </cell>
          <cell r="AM376" t="str">
            <v>TEMP</v>
          </cell>
          <cell r="AN376" t="str">
            <v>3P Onsite Worker</v>
          </cell>
          <cell r="AO376" t="str">
            <v>A</v>
          </cell>
          <cell r="AP376">
            <v>9</v>
          </cell>
          <cell r="AQ376">
            <v>0</v>
          </cell>
          <cell r="AR376">
            <v>1</v>
          </cell>
          <cell r="AS376">
            <v>1</v>
          </cell>
          <cell r="AT376">
            <v>0</v>
          </cell>
          <cell r="AU376">
            <v>0</v>
          </cell>
        </row>
        <row r="377">
          <cell r="D377" t="str">
            <v>gchancel</v>
          </cell>
          <cell r="E377">
            <v>205275633</v>
          </cell>
          <cell r="F377" t="str">
            <v>A</v>
          </cell>
          <cell r="G377" t="str">
            <v>GREEN</v>
          </cell>
          <cell r="H377" t="str">
            <v>REDUCED</v>
          </cell>
          <cell r="I377">
            <v>900234</v>
          </cell>
          <cell r="J377" t="str">
            <v>EFS Facilities Services</v>
          </cell>
          <cell r="K377" t="str">
            <v>Chanceline Fongwi Muluh</v>
          </cell>
          <cell r="L377" t="str">
            <v>Warehouse Associate (TEMP)</v>
          </cell>
          <cell r="M377" t="str">
            <v>Warehouse Associate 8W</v>
          </cell>
          <cell r="N377" t="str">
            <v>ansammar</v>
          </cell>
          <cell r="O377">
            <v>1299</v>
          </cell>
          <cell r="P377" t="str">
            <v>AUH1</v>
          </cell>
          <cell r="Q377" t="str">
            <v>ARE</v>
          </cell>
          <cell r="R377" t="str">
            <v>FC554</v>
          </cell>
          <cell r="S377" t="str">
            <v>Night Shift</v>
          </cell>
          <cell r="T377">
            <v>99</v>
          </cell>
          <cell r="U377" t="str">
            <v>MENA_UAE_FC</v>
          </cell>
          <cell r="V377">
            <v>46257.756944444445</v>
          </cell>
          <cell r="X377">
            <v>46257.756944444445</v>
          </cell>
          <cell r="Y377">
            <v>46258.090277777781</v>
          </cell>
          <cell r="AA377" t="str">
            <v>Scheduled</v>
          </cell>
          <cell r="AB377" t="str">
            <v>Present</v>
          </cell>
          <cell r="AC377" t="str">
            <v>Outbound</v>
          </cell>
          <cell r="AD377" t="str">
            <v>Sort - Batch</v>
          </cell>
          <cell r="AE377" t="str">
            <v>Sort</v>
          </cell>
          <cell r="AF377" t="str">
            <v>Sunday</v>
          </cell>
          <cell r="AG377" t="str">
            <v>Monday</v>
          </cell>
          <cell r="AH377">
            <v>15</v>
          </cell>
          <cell r="AJ377">
            <v>46246</v>
          </cell>
          <cell r="AM377" t="str">
            <v>TEMP</v>
          </cell>
          <cell r="AN377" t="str">
            <v>3P Onsite Worker</v>
          </cell>
          <cell r="AO377" t="str">
            <v>A</v>
          </cell>
          <cell r="AP377">
            <v>7</v>
          </cell>
          <cell r="AQ377">
            <v>0</v>
          </cell>
          <cell r="AR377">
            <v>1</v>
          </cell>
          <cell r="AS377">
            <v>1</v>
          </cell>
          <cell r="AT377">
            <v>0</v>
          </cell>
          <cell r="AU377">
            <v>0</v>
          </cell>
        </row>
        <row r="378">
          <cell r="D378" t="str">
            <v>gemmanua</v>
          </cell>
          <cell r="E378">
            <v>204319808</v>
          </cell>
          <cell r="F378" t="str">
            <v>A</v>
          </cell>
          <cell r="G378" t="str">
            <v>GREEN</v>
          </cell>
          <cell r="H378" t="str">
            <v>FULL_TIME</v>
          </cell>
          <cell r="I378">
            <v>900234</v>
          </cell>
          <cell r="J378" t="str">
            <v>Quesscorp</v>
          </cell>
          <cell r="K378" t="str">
            <v>Emmanuel Kobina Arthur</v>
          </cell>
          <cell r="L378" t="str">
            <v>Warehouse Associate (TEMP)</v>
          </cell>
          <cell r="M378" t="str">
            <v>Warehouse Associate 24M</v>
          </cell>
          <cell r="N378" t="str">
            <v>scariav</v>
          </cell>
          <cell r="O378">
            <v>1299</v>
          </cell>
          <cell r="P378" t="str">
            <v>AUH1</v>
          </cell>
          <cell r="Q378" t="str">
            <v>ARE</v>
          </cell>
          <cell r="R378" t="str">
            <v>LK013</v>
          </cell>
          <cell r="S378" t="str">
            <v>Night Shift</v>
          </cell>
          <cell r="T378">
            <v>99</v>
          </cell>
          <cell r="U378" t="str">
            <v>MENA_UAE_FC</v>
          </cell>
          <cell r="V378">
            <v>46257.754861111112</v>
          </cell>
          <cell r="X378">
            <v>46257.756944444445</v>
          </cell>
          <cell r="Y378">
            <v>46258.173611111109</v>
          </cell>
          <cell r="Z378" t="str">
            <v>Rest Day</v>
          </cell>
          <cell r="AA378" t="str">
            <v>Not Scheduled</v>
          </cell>
          <cell r="AB378" t="str">
            <v>Present</v>
          </cell>
          <cell r="AC378" t="str">
            <v>Outbound</v>
          </cell>
          <cell r="AD378" t="str">
            <v>Pack - Single</v>
          </cell>
          <cell r="AE378" t="str">
            <v>Pack</v>
          </cell>
          <cell r="AF378" t="str">
            <v>Sunday</v>
          </cell>
          <cell r="AG378" t="str">
            <v>Monday</v>
          </cell>
          <cell r="AH378">
            <v>18</v>
          </cell>
          <cell r="AJ378">
            <v>45588</v>
          </cell>
          <cell r="AM378" t="str">
            <v>TEMP</v>
          </cell>
          <cell r="AN378" t="str">
            <v>3P Onsite Worker</v>
          </cell>
          <cell r="AO378" t="str">
            <v>A</v>
          </cell>
          <cell r="AP378">
            <v>9</v>
          </cell>
          <cell r="AQ378">
            <v>1</v>
          </cell>
          <cell r="AR378">
            <v>1</v>
          </cell>
          <cell r="AS378">
            <v>0</v>
          </cell>
          <cell r="AT378">
            <v>0</v>
          </cell>
          <cell r="AU378">
            <v>0</v>
          </cell>
        </row>
        <row r="379">
          <cell r="D379" t="str">
            <v>geoekiye</v>
          </cell>
          <cell r="E379">
            <v>203816301</v>
          </cell>
          <cell r="F379" t="str">
            <v>A</v>
          </cell>
          <cell r="G379" t="str">
            <v>GREEN</v>
          </cell>
          <cell r="H379" t="str">
            <v>FULL_TIME</v>
          </cell>
          <cell r="I379">
            <v>900234</v>
          </cell>
          <cell r="J379" t="str">
            <v>Dulsco L.L.C.</v>
          </cell>
          <cell r="K379" t="str">
            <v>George Kiyemba</v>
          </cell>
          <cell r="L379" t="str">
            <v>Warehouse Associate (TEMP)</v>
          </cell>
          <cell r="M379" t="str">
            <v>Warehouse Associate 24M</v>
          </cell>
          <cell r="N379" t="str">
            <v>pparsin</v>
          </cell>
          <cell r="O379">
            <v>1299</v>
          </cell>
          <cell r="P379" t="str">
            <v>AUH1</v>
          </cell>
          <cell r="Q379" t="str">
            <v>ARE</v>
          </cell>
          <cell r="R379" t="str">
            <v>FC109</v>
          </cell>
          <cell r="S379" t="str">
            <v>Day Shift</v>
          </cell>
          <cell r="T379">
            <v>99</v>
          </cell>
          <cell r="U379" t="str">
            <v>MENA_UAE_FC</v>
          </cell>
          <cell r="V379">
            <v>46257.332638888889</v>
          </cell>
          <cell r="W379">
            <v>46257.750694444447</v>
          </cell>
          <cell r="X379">
            <v>46257.333333333336</v>
          </cell>
          <cell r="Y379">
            <v>46257.75</v>
          </cell>
          <cell r="AA379" t="str">
            <v>Scheduled</v>
          </cell>
          <cell r="AB379" t="str">
            <v>Present</v>
          </cell>
          <cell r="AC379" t="str">
            <v>Inbound</v>
          </cell>
          <cell r="AD379" t="str">
            <v>Inbound Stow</v>
          </cell>
          <cell r="AE379" t="str">
            <v>Stow</v>
          </cell>
          <cell r="AF379" t="str">
            <v>Tuesday</v>
          </cell>
          <cell r="AG379" t="str">
            <v>Wednesday</v>
          </cell>
          <cell r="AH379">
            <v>3</v>
          </cell>
          <cell r="AJ379">
            <v>45517</v>
          </cell>
          <cell r="AM379" t="str">
            <v>TEMP</v>
          </cell>
          <cell r="AN379" t="str">
            <v>3P Onsite Worker</v>
          </cell>
          <cell r="AO379" t="str">
            <v>A</v>
          </cell>
          <cell r="AP379">
            <v>9</v>
          </cell>
          <cell r="AQ379">
            <v>0</v>
          </cell>
          <cell r="AR379">
            <v>1</v>
          </cell>
          <cell r="AS379">
            <v>1</v>
          </cell>
          <cell r="AT379">
            <v>0</v>
          </cell>
          <cell r="AU379">
            <v>0</v>
          </cell>
        </row>
        <row r="380">
          <cell r="D380" t="str">
            <v>geokiwan</v>
          </cell>
          <cell r="E380">
            <v>203800383</v>
          </cell>
          <cell r="F380" t="str">
            <v>A</v>
          </cell>
          <cell r="G380" t="str">
            <v>GREEN</v>
          </cell>
          <cell r="H380" t="str">
            <v>FULL_TIME</v>
          </cell>
          <cell r="I380">
            <v>900234</v>
          </cell>
          <cell r="J380" t="str">
            <v>Dulsco L.L.C.</v>
          </cell>
          <cell r="K380" t="str">
            <v>GEORGE KIWANUKA</v>
          </cell>
          <cell r="L380" t="str">
            <v>Warehouse Associate (TEMP)</v>
          </cell>
          <cell r="M380" t="str">
            <v>Warehouse Associate 24M</v>
          </cell>
          <cell r="N380" t="str">
            <v>vkkatyal</v>
          </cell>
          <cell r="O380">
            <v>1299</v>
          </cell>
          <cell r="P380" t="str">
            <v>AUH1</v>
          </cell>
          <cell r="Q380" t="str">
            <v>ARE</v>
          </cell>
          <cell r="R380" t="str">
            <v>FC109</v>
          </cell>
          <cell r="S380" t="str">
            <v>Day Shift</v>
          </cell>
          <cell r="T380">
            <v>99</v>
          </cell>
          <cell r="U380" t="str">
            <v>MENA_UAE_FC</v>
          </cell>
          <cell r="V380">
            <v>46257.331250000003</v>
          </cell>
          <cell r="W380">
            <v>46257.753472222219</v>
          </cell>
          <cell r="X380">
            <v>46257.333333333336</v>
          </cell>
          <cell r="Y380">
            <v>46257.75</v>
          </cell>
          <cell r="AA380" t="str">
            <v>Scheduled</v>
          </cell>
          <cell r="AB380" t="str">
            <v>Present</v>
          </cell>
          <cell r="AC380" t="str">
            <v>Inbound</v>
          </cell>
          <cell r="AD380" t="str">
            <v>Receive Dock</v>
          </cell>
          <cell r="AE380" t="str">
            <v>Receive</v>
          </cell>
          <cell r="AF380" t="str">
            <v>Tuesday</v>
          </cell>
          <cell r="AG380" t="str">
            <v>Wednesday</v>
          </cell>
          <cell r="AH380">
            <v>2</v>
          </cell>
          <cell r="AJ380">
            <v>45515</v>
          </cell>
          <cell r="AM380" t="str">
            <v>TEMP</v>
          </cell>
          <cell r="AN380" t="str">
            <v>3P Onsite Worker</v>
          </cell>
          <cell r="AO380" t="str">
            <v>A</v>
          </cell>
          <cell r="AP380">
            <v>9</v>
          </cell>
          <cell r="AQ380">
            <v>0</v>
          </cell>
          <cell r="AR380">
            <v>1</v>
          </cell>
          <cell r="AS380">
            <v>1</v>
          </cell>
          <cell r="AT380">
            <v>0</v>
          </cell>
          <cell r="AU380">
            <v>0</v>
          </cell>
        </row>
        <row r="381">
          <cell r="D381" t="str">
            <v>geoppong</v>
          </cell>
          <cell r="E381">
            <v>204013733</v>
          </cell>
          <cell r="F381" t="str">
            <v>A</v>
          </cell>
          <cell r="G381" t="str">
            <v>GREEN</v>
          </cell>
          <cell r="H381" t="str">
            <v>FULL_TIME</v>
          </cell>
          <cell r="I381">
            <v>900234</v>
          </cell>
          <cell r="J381" t="str">
            <v>Fastlink Outsourcing</v>
          </cell>
          <cell r="K381" t="str">
            <v>Enoch Oppong</v>
          </cell>
          <cell r="L381" t="str">
            <v>Warehouse Associate (TEMP)</v>
          </cell>
          <cell r="M381" t="str">
            <v>Warehouse Associate 12M</v>
          </cell>
          <cell r="N381" t="str">
            <v>nnahla</v>
          </cell>
          <cell r="O381">
            <v>1299</v>
          </cell>
          <cell r="P381" t="str">
            <v>AUH1</v>
          </cell>
          <cell r="Q381" t="str">
            <v>ARE</v>
          </cell>
          <cell r="R381" t="str">
            <v>FC059</v>
          </cell>
          <cell r="S381" t="str">
            <v>Day Shift</v>
          </cell>
          <cell r="T381">
            <v>99</v>
          </cell>
          <cell r="U381" t="str">
            <v>MENA_UAE_FC</v>
          </cell>
          <cell r="X381">
            <v>46257.333333333336</v>
          </cell>
          <cell r="Y381">
            <v>46257.75</v>
          </cell>
          <cell r="Z381" t="str">
            <v>Rest Day</v>
          </cell>
          <cell r="AA381" t="str">
            <v>Not Scheduled</v>
          </cell>
          <cell r="AB381" t="str">
            <v>Not Present</v>
          </cell>
          <cell r="AC381" t="str">
            <v>Inbound</v>
          </cell>
          <cell r="AD381" t="str">
            <v>Vendor Receive</v>
          </cell>
          <cell r="AE381" t="str">
            <v>Receive</v>
          </cell>
          <cell r="AF381" t="str">
            <v>Sunday</v>
          </cell>
          <cell r="AG381" t="str">
            <v>Monday</v>
          </cell>
          <cell r="AH381">
            <v>1</v>
          </cell>
          <cell r="AJ381">
            <v>45550</v>
          </cell>
          <cell r="AM381" t="str">
            <v>TEMP</v>
          </cell>
          <cell r="AN381" t="str">
            <v>3P Onsite Worker</v>
          </cell>
          <cell r="AO381" t="str">
            <v>A</v>
          </cell>
          <cell r="AP381">
            <v>9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</row>
        <row r="382">
          <cell r="D382" t="str">
            <v>geradink</v>
          </cell>
          <cell r="E382">
            <v>202351580</v>
          </cell>
          <cell r="F382" t="str">
            <v>A</v>
          </cell>
          <cell r="G382" t="str">
            <v>GREEN</v>
          </cell>
          <cell r="H382" t="str">
            <v>FULL_TIME</v>
          </cell>
          <cell r="I382">
            <v>900234</v>
          </cell>
          <cell r="J382" t="str">
            <v>Fastlink Outsourcing</v>
          </cell>
          <cell r="K382" t="str">
            <v>Geradine Lumafor</v>
          </cell>
          <cell r="L382" t="str">
            <v>Warehouse Associate (TEMP)</v>
          </cell>
          <cell r="M382" t="str">
            <v>Warehouse Associate 12M</v>
          </cell>
          <cell r="N382" t="str">
            <v>scariav</v>
          </cell>
          <cell r="O382">
            <v>1299</v>
          </cell>
          <cell r="P382" t="str">
            <v>AUH1</v>
          </cell>
          <cell r="Q382" t="str">
            <v>ARE</v>
          </cell>
          <cell r="R382" t="str">
            <v>LK012</v>
          </cell>
          <cell r="S382" t="str">
            <v>Night Shift</v>
          </cell>
          <cell r="T382">
            <v>99</v>
          </cell>
          <cell r="U382" t="str">
            <v>MENA_UAE_FC</v>
          </cell>
          <cell r="X382">
            <v>46257.756944444445</v>
          </cell>
          <cell r="Y382">
            <v>46258.173611111109</v>
          </cell>
          <cell r="Z382" t="str">
            <v>Rest Day</v>
          </cell>
          <cell r="AA382" t="str">
            <v>Not Scheduled</v>
          </cell>
          <cell r="AB382" t="str">
            <v>Not Present</v>
          </cell>
          <cell r="AC382" t="str">
            <v>Outbound</v>
          </cell>
          <cell r="AD382" t="str">
            <v>Sort - Batch</v>
          </cell>
          <cell r="AE382" t="str">
            <v>Sort</v>
          </cell>
          <cell r="AF382" t="str">
            <v>Saturday</v>
          </cell>
          <cell r="AG382" t="str">
            <v>Sunday</v>
          </cell>
          <cell r="AH382">
            <v>15</v>
          </cell>
          <cell r="AJ382">
            <v>45543</v>
          </cell>
          <cell r="AM382" t="str">
            <v>TEMP</v>
          </cell>
          <cell r="AN382" t="str">
            <v>3P Onsite Worker</v>
          </cell>
          <cell r="AO382" t="str">
            <v>A</v>
          </cell>
          <cell r="AP382">
            <v>9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</row>
        <row r="383">
          <cell r="D383" t="str">
            <v>germubir</v>
          </cell>
          <cell r="E383">
            <v>203800483</v>
          </cell>
          <cell r="F383" t="str">
            <v>A</v>
          </cell>
          <cell r="G383" t="str">
            <v>GREEN</v>
          </cell>
          <cell r="H383" t="str">
            <v>FULL_TIME</v>
          </cell>
          <cell r="I383">
            <v>900234</v>
          </cell>
          <cell r="J383" t="str">
            <v>Dulsco L.L.C.</v>
          </cell>
          <cell r="K383" t="str">
            <v>GERALD MUBIRU</v>
          </cell>
          <cell r="L383" t="str">
            <v>Warehouse Associate (TEMP)</v>
          </cell>
          <cell r="M383" t="str">
            <v>Warehouse Associate 8W</v>
          </cell>
          <cell r="N383" t="str">
            <v>aanso</v>
          </cell>
          <cell r="O383">
            <v>1299</v>
          </cell>
          <cell r="P383" t="str">
            <v>AUH1</v>
          </cell>
          <cell r="Q383" t="str">
            <v>ARE</v>
          </cell>
          <cell r="R383" t="str">
            <v>LK017</v>
          </cell>
          <cell r="S383" t="str">
            <v>Night Shift</v>
          </cell>
          <cell r="T383">
            <v>99</v>
          </cell>
          <cell r="U383" t="str">
            <v>MENA_UAE_FC</v>
          </cell>
          <cell r="V383">
            <v>46257.754861111112</v>
          </cell>
          <cell r="X383">
            <v>46257.756944444445</v>
          </cell>
          <cell r="Y383">
            <v>46258.173611111109</v>
          </cell>
          <cell r="AA383" t="str">
            <v>Scheduled</v>
          </cell>
          <cell r="AB383" t="str">
            <v>Present</v>
          </cell>
          <cell r="AC383" t="str">
            <v>Customer returns</v>
          </cell>
          <cell r="AD383" t="str">
            <v>Customer Returns</v>
          </cell>
          <cell r="AE383" t="str">
            <v>Customer returns</v>
          </cell>
          <cell r="AF383" t="str">
            <v>Thursday</v>
          </cell>
          <cell r="AG383" t="str">
            <v>Friday</v>
          </cell>
          <cell r="AH383">
            <v>22</v>
          </cell>
          <cell r="AJ383">
            <v>45515</v>
          </cell>
          <cell r="AM383" t="str">
            <v>TEMP</v>
          </cell>
          <cell r="AN383" t="str">
            <v>3P Onsite Worker</v>
          </cell>
          <cell r="AO383" t="str">
            <v>A</v>
          </cell>
          <cell r="AP383">
            <v>9</v>
          </cell>
          <cell r="AQ383">
            <v>0</v>
          </cell>
          <cell r="AR383">
            <v>1</v>
          </cell>
          <cell r="AS383">
            <v>1</v>
          </cell>
          <cell r="AT383">
            <v>0</v>
          </cell>
          <cell r="AU383">
            <v>0</v>
          </cell>
        </row>
        <row r="384">
          <cell r="D384" t="str">
            <v>getamale</v>
          </cell>
          <cell r="E384">
            <v>206348021</v>
          </cell>
          <cell r="F384" t="str">
            <v>A</v>
          </cell>
          <cell r="G384" t="str">
            <v>GREEN</v>
          </cell>
          <cell r="H384" t="str">
            <v>FULL_TIME</v>
          </cell>
          <cell r="I384">
            <v>900234</v>
          </cell>
          <cell r="J384" t="str">
            <v>Fastlink Outsourcing</v>
          </cell>
          <cell r="K384" t="str">
            <v>Edward Tamale</v>
          </cell>
          <cell r="L384" t="str">
            <v>Warehouse Associate (TEMP)</v>
          </cell>
          <cell r="M384" t="str">
            <v>Warehouse Associate 12M</v>
          </cell>
          <cell r="N384" t="str">
            <v>aanso</v>
          </cell>
          <cell r="O384">
            <v>1299</v>
          </cell>
          <cell r="P384" t="str">
            <v>AUH1</v>
          </cell>
          <cell r="Q384" t="str">
            <v>ARE</v>
          </cell>
          <cell r="R384" t="str">
            <v>LK013</v>
          </cell>
          <cell r="S384" t="str">
            <v>Night Shift</v>
          </cell>
          <cell r="T384">
            <v>99</v>
          </cell>
          <cell r="U384" t="str">
            <v>MENA_UAE_FC</v>
          </cell>
          <cell r="X384">
            <v>46257.756944444445</v>
          </cell>
          <cell r="Y384">
            <v>46258.173611111109</v>
          </cell>
          <cell r="Z384" t="str">
            <v>Rest Day</v>
          </cell>
          <cell r="AA384" t="str">
            <v>Not Scheduled</v>
          </cell>
          <cell r="AB384" t="str">
            <v>Not Present</v>
          </cell>
          <cell r="AC384" t="str">
            <v>Customer returns</v>
          </cell>
          <cell r="AD384" t="str">
            <v>Customer Returns</v>
          </cell>
          <cell r="AE384" t="str">
            <v>Customer returns</v>
          </cell>
          <cell r="AF384" t="str">
            <v>Sunday</v>
          </cell>
          <cell r="AG384" t="str">
            <v>Monday</v>
          </cell>
          <cell r="AH384">
            <v>22</v>
          </cell>
          <cell r="AJ384">
            <v>45956</v>
          </cell>
          <cell r="AM384" t="str">
            <v>TEMP</v>
          </cell>
          <cell r="AN384" t="str">
            <v>3P Onsite Worker</v>
          </cell>
          <cell r="AO384" t="str">
            <v>A</v>
          </cell>
          <cell r="AP384">
            <v>9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</row>
        <row r="385">
          <cell r="D385" t="str">
            <v>gideboak</v>
          </cell>
          <cell r="E385">
            <v>206897647</v>
          </cell>
          <cell r="F385" t="str">
            <v>A</v>
          </cell>
          <cell r="G385" t="str">
            <v>GREEN</v>
          </cell>
          <cell r="H385" t="str">
            <v>FULL_TIME</v>
          </cell>
          <cell r="I385">
            <v>900234</v>
          </cell>
          <cell r="J385" t="str">
            <v>Fastlink Outsourcing</v>
          </cell>
          <cell r="K385" t="str">
            <v>GIDEON BOAKYE ABABIO</v>
          </cell>
          <cell r="L385" t="str">
            <v>Warehouse Associate (TEMP)</v>
          </cell>
          <cell r="M385" t="str">
            <v>Warehouse Associate 12M</v>
          </cell>
          <cell r="N385" t="str">
            <v>mnarshad</v>
          </cell>
          <cell r="O385">
            <v>1299</v>
          </cell>
          <cell r="P385" t="str">
            <v>AUH1</v>
          </cell>
          <cell r="Q385" t="str">
            <v>ARE</v>
          </cell>
          <cell r="R385" t="str">
            <v>LK016</v>
          </cell>
          <cell r="S385" t="str">
            <v>Night Shift</v>
          </cell>
          <cell r="T385">
            <v>99</v>
          </cell>
          <cell r="U385" t="str">
            <v>MENA_UAE_FC</v>
          </cell>
          <cell r="V385">
            <v>46257.755555555559</v>
          </cell>
          <cell r="X385">
            <v>46257.756944444445</v>
          </cell>
          <cell r="Y385">
            <v>46258.173611111109</v>
          </cell>
          <cell r="AA385" t="str">
            <v>Scheduled</v>
          </cell>
          <cell r="AB385" t="str">
            <v>Present</v>
          </cell>
          <cell r="AC385" t="str">
            <v>Outbound</v>
          </cell>
          <cell r="AD385" t="str">
            <v>Sort - Batch</v>
          </cell>
          <cell r="AE385" t="str">
            <v>Sort</v>
          </cell>
          <cell r="AF385" t="str">
            <v>Wednesday</v>
          </cell>
          <cell r="AG385" t="str">
            <v>Thursday</v>
          </cell>
          <cell r="AH385">
            <v>15</v>
          </cell>
          <cell r="AJ385">
            <v>46029</v>
          </cell>
          <cell r="AM385" t="str">
            <v>TEMP</v>
          </cell>
          <cell r="AN385" t="str">
            <v>3P Onsite Worker</v>
          </cell>
          <cell r="AO385" t="str">
            <v>A</v>
          </cell>
          <cell r="AP385">
            <v>9</v>
          </cell>
          <cell r="AQ385">
            <v>0</v>
          </cell>
          <cell r="AR385">
            <v>1</v>
          </cell>
          <cell r="AS385">
            <v>1</v>
          </cell>
          <cell r="AT385">
            <v>0</v>
          </cell>
          <cell r="AU385">
            <v>0</v>
          </cell>
        </row>
        <row r="386">
          <cell r="D386" t="str">
            <v>gideopwa</v>
          </cell>
          <cell r="E386">
            <v>206897649</v>
          </cell>
          <cell r="F386" t="str">
            <v>A</v>
          </cell>
          <cell r="G386" t="str">
            <v>GREEN</v>
          </cell>
          <cell r="H386" t="str">
            <v>FULL_TIME</v>
          </cell>
          <cell r="I386">
            <v>900234</v>
          </cell>
          <cell r="J386" t="str">
            <v>Fastlink Outsourcing</v>
          </cell>
          <cell r="K386" t="str">
            <v>GIDEON WANJALA WEYAULA</v>
          </cell>
          <cell r="L386" t="str">
            <v>Warehouse Associate (TEMP)</v>
          </cell>
          <cell r="M386" t="str">
            <v>Warehouse Associate 8W</v>
          </cell>
          <cell r="N386" t="str">
            <v>scariav</v>
          </cell>
          <cell r="O386">
            <v>1299</v>
          </cell>
          <cell r="P386" t="str">
            <v>AUH1</v>
          </cell>
          <cell r="Q386" t="str">
            <v>ARE</v>
          </cell>
          <cell r="R386" t="str">
            <v>FC557</v>
          </cell>
          <cell r="S386" t="str">
            <v>Night Shift</v>
          </cell>
          <cell r="T386">
            <v>99</v>
          </cell>
          <cell r="U386" t="str">
            <v>MENA_UAE_FC</v>
          </cell>
          <cell r="V386">
            <v>46257.756944444445</v>
          </cell>
          <cell r="X386">
            <v>46257.756944444445</v>
          </cell>
          <cell r="Y386">
            <v>46258.090277777781</v>
          </cell>
          <cell r="AA386" t="str">
            <v>Scheduled</v>
          </cell>
          <cell r="AB386" t="str">
            <v>Present</v>
          </cell>
          <cell r="AC386" t="str">
            <v>Outbound</v>
          </cell>
          <cell r="AD386" t="str">
            <v>Pack - Single</v>
          </cell>
          <cell r="AE386" t="str">
            <v>Pack</v>
          </cell>
          <cell r="AF386" t="str">
            <v>Wednesday</v>
          </cell>
          <cell r="AG386" t="str">
            <v>Thursday</v>
          </cell>
          <cell r="AH386">
            <v>18</v>
          </cell>
          <cell r="AJ386">
            <v>46237</v>
          </cell>
          <cell r="AM386" t="str">
            <v>TEMP</v>
          </cell>
          <cell r="AN386" t="str">
            <v>3P Onsite Worker</v>
          </cell>
          <cell r="AO386" t="str">
            <v>A</v>
          </cell>
          <cell r="AP386">
            <v>7</v>
          </cell>
          <cell r="AQ386">
            <v>0</v>
          </cell>
          <cell r="AR386">
            <v>1</v>
          </cell>
          <cell r="AS386">
            <v>1</v>
          </cell>
          <cell r="AT386">
            <v>0</v>
          </cell>
          <cell r="AU386">
            <v>0</v>
          </cell>
        </row>
        <row r="387">
          <cell r="D387" t="str">
            <v>gikwameg</v>
          </cell>
          <cell r="E387">
            <v>203965502</v>
          </cell>
          <cell r="F387" t="str">
            <v>A</v>
          </cell>
          <cell r="G387" t="str">
            <v>GREEN</v>
          </cell>
          <cell r="H387" t="str">
            <v>FULL_TIME</v>
          </cell>
          <cell r="I387">
            <v>900234</v>
          </cell>
          <cell r="J387" t="str">
            <v>Fastlink Outsourcing</v>
          </cell>
          <cell r="K387" t="str">
            <v>Gideon Kwame Gyasi</v>
          </cell>
          <cell r="L387" t="str">
            <v>Warehouse Associate (TEMP)</v>
          </cell>
          <cell r="M387" t="str">
            <v>Warehouse Associate 12M</v>
          </cell>
          <cell r="N387" t="str">
            <v>nnahla</v>
          </cell>
          <cell r="O387">
            <v>1299</v>
          </cell>
          <cell r="P387" t="str">
            <v>AUH1</v>
          </cell>
          <cell r="Q387" t="str">
            <v>ARE</v>
          </cell>
          <cell r="R387" t="str">
            <v>FC059</v>
          </cell>
          <cell r="S387" t="str">
            <v>Day Shift</v>
          </cell>
          <cell r="T387">
            <v>99</v>
          </cell>
          <cell r="U387" t="str">
            <v>MENA_UAE_FC</v>
          </cell>
          <cell r="X387">
            <v>46257.333333333336</v>
          </cell>
          <cell r="Y387">
            <v>46257.75</v>
          </cell>
          <cell r="Z387" t="str">
            <v>Rest Day</v>
          </cell>
          <cell r="AA387" t="str">
            <v>Not Scheduled</v>
          </cell>
          <cell r="AB387" t="str">
            <v>Not Present</v>
          </cell>
          <cell r="AC387" t="str">
            <v>Inbound</v>
          </cell>
          <cell r="AD387" t="str">
            <v>Inbound Stow</v>
          </cell>
          <cell r="AE387" t="str">
            <v>Stow</v>
          </cell>
          <cell r="AF387" t="str">
            <v>Sunday</v>
          </cell>
          <cell r="AG387" t="str">
            <v>Monday</v>
          </cell>
          <cell r="AH387">
            <v>3</v>
          </cell>
          <cell r="AJ387">
            <v>45543</v>
          </cell>
          <cell r="AM387" t="str">
            <v>TEMP</v>
          </cell>
          <cell r="AN387" t="str">
            <v>3P Onsite Worker</v>
          </cell>
          <cell r="AO387" t="str">
            <v>A</v>
          </cell>
          <cell r="AP387">
            <v>9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</row>
        <row r="388">
          <cell r="D388" t="str">
            <v>gismaiki</v>
          </cell>
          <cell r="E388">
            <v>206846308</v>
          </cell>
          <cell r="F388" t="str">
            <v>A</v>
          </cell>
          <cell r="G388" t="str">
            <v>GREEN</v>
          </cell>
          <cell r="H388" t="str">
            <v>FULL_TIME</v>
          </cell>
          <cell r="I388">
            <v>900234</v>
          </cell>
          <cell r="J388" t="str">
            <v>Dulsco L.L.C.</v>
          </cell>
          <cell r="K388" t="str">
            <v>ISMAIL KIWEEWA</v>
          </cell>
          <cell r="L388" t="str">
            <v>Warehouse Associate (TEMP)</v>
          </cell>
          <cell r="M388" t="str">
            <v>Warehouse Associate 8W</v>
          </cell>
          <cell r="N388" t="str">
            <v>lraghava</v>
          </cell>
          <cell r="O388">
            <v>1299</v>
          </cell>
          <cell r="P388" t="str">
            <v>AUH1</v>
          </cell>
          <cell r="Q388" t="str">
            <v>ARE</v>
          </cell>
          <cell r="R388" t="str">
            <v>LK013</v>
          </cell>
          <cell r="S388" t="str">
            <v>Night Shift</v>
          </cell>
          <cell r="T388">
            <v>99</v>
          </cell>
          <cell r="U388" t="str">
            <v>MENA_UAE_FC</v>
          </cell>
          <cell r="X388">
            <v>46257.756944444445</v>
          </cell>
          <cell r="Y388">
            <v>46258.173611111109</v>
          </cell>
          <cell r="Z388" t="str">
            <v>Rest Day</v>
          </cell>
          <cell r="AA388" t="str">
            <v>Not Scheduled</v>
          </cell>
          <cell r="AB388" t="str">
            <v>Not Present</v>
          </cell>
          <cell r="AC388" t="str">
            <v>Outbound</v>
          </cell>
          <cell r="AD388" t="str">
            <v>Picking</v>
          </cell>
          <cell r="AE388" t="str">
            <v>Pick</v>
          </cell>
          <cell r="AF388" t="str">
            <v>Sunday</v>
          </cell>
          <cell r="AG388" t="str">
            <v>Monday</v>
          </cell>
          <cell r="AH388">
            <v>13</v>
          </cell>
          <cell r="AJ388">
            <v>46012</v>
          </cell>
          <cell r="AM388" t="str">
            <v>TEMP</v>
          </cell>
          <cell r="AN388" t="str">
            <v>3P Onsite Worker</v>
          </cell>
          <cell r="AO388" t="str">
            <v>A</v>
          </cell>
          <cell r="AP388">
            <v>9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</row>
        <row r="389">
          <cell r="D389" t="str">
            <v>gittabit</v>
          </cell>
          <cell r="E389">
            <v>205647828</v>
          </cell>
          <cell r="F389" t="str">
            <v>A</v>
          </cell>
          <cell r="G389" t="str">
            <v>GREEN</v>
          </cell>
          <cell r="H389" t="str">
            <v>FULL_TIME</v>
          </cell>
          <cell r="I389">
            <v>900234</v>
          </cell>
          <cell r="J389" t="str">
            <v>EFS Facilities Services</v>
          </cell>
          <cell r="K389" t="str">
            <v>Tabitha Wanjira Gitau</v>
          </cell>
          <cell r="L389" t="str">
            <v>Warehouse Associate (TEMP)</v>
          </cell>
          <cell r="M389" t="str">
            <v>Warehouse Associate 8W</v>
          </cell>
          <cell r="N389" t="str">
            <v>bavameer</v>
          </cell>
          <cell r="O389">
            <v>1299</v>
          </cell>
          <cell r="P389" t="str">
            <v>AUH1</v>
          </cell>
          <cell r="Q389" t="str">
            <v>ARE</v>
          </cell>
          <cell r="R389" t="str">
            <v>FC084</v>
          </cell>
          <cell r="S389" t="str">
            <v>Day Shift</v>
          </cell>
          <cell r="T389">
            <v>99</v>
          </cell>
          <cell r="U389" t="str">
            <v>MENA_UAE_FC</v>
          </cell>
          <cell r="V389">
            <v>46257.331944444442</v>
          </cell>
          <cell r="W389">
            <v>46257.749305555553</v>
          </cell>
          <cell r="X389">
            <v>46257.333333333336</v>
          </cell>
          <cell r="Y389">
            <v>46257.75</v>
          </cell>
          <cell r="AA389" t="str">
            <v>Scheduled</v>
          </cell>
          <cell r="AB389" t="str">
            <v>Present</v>
          </cell>
          <cell r="AC389" t="str">
            <v>Customer returns</v>
          </cell>
          <cell r="AD389" t="str">
            <v>Customer Returns</v>
          </cell>
          <cell r="AE389" t="str">
            <v>Customer returns</v>
          </cell>
          <cell r="AF389" t="str">
            <v>Monday</v>
          </cell>
          <cell r="AG389" t="str">
            <v>Tuesday</v>
          </cell>
          <cell r="AH389">
            <v>22</v>
          </cell>
          <cell r="AJ389">
            <v>45851</v>
          </cell>
          <cell r="AM389" t="str">
            <v>TEMP</v>
          </cell>
          <cell r="AN389" t="str">
            <v>3P Onsite Worker</v>
          </cell>
          <cell r="AO389" t="str">
            <v>A</v>
          </cell>
          <cell r="AP389">
            <v>9</v>
          </cell>
          <cell r="AQ389">
            <v>0</v>
          </cell>
          <cell r="AR389">
            <v>1</v>
          </cell>
          <cell r="AS389">
            <v>1</v>
          </cell>
          <cell r="AT389">
            <v>0</v>
          </cell>
          <cell r="AU389">
            <v>0</v>
          </cell>
        </row>
        <row r="390">
          <cell r="D390" t="str">
            <v>globquan</v>
          </cell>
          <cell r="E390">
            <v>206868002</v>
          </cell>
          <cell r="F390" t="str">
            <v>A</v>
          </cell>
          <cell r="G390" t="str">
            <v>GREEN</v>
          </cell>
          <cell r="H390" t="str">
            <v>REDUCED</v>
          </cell>
          <cell r="I390">
            <v>900234</v>
          </cell>
          <cell r="J390" t="str">
            <v>Fastlink Outsourcing</v>
          </cell>
          <cell r="K390" t="str">
            <v>GLORIA QUANSAH</v>
          </cell>
          <cell r="L390" t="str">
            <v>Warehouse Associate (TEMP)</v>
          </cell>
          <cell r="M390" t="str">
            <v>Warehouse Associate 8W</v>
          </cell>
          <cell r="N390" t="str">
            <v>bizthoma</v>
          </cell>
          <cell r="O390">
            <v>1299</v>
          </cell>
          <cell r="P390" t="str">
            <v>AUH1</v>
          </cell>
          <cell r="Q390" t="str">
            <v>ARE</v>
          </cell>
          <cell r="R390" t="str">
            <v>FC554</v>
          </cell>
          <cell r="S390" t="str">
            <v>Night Shift</v>
          </cell>
          <cell r="T390">
            <v>99</v>
          </cell>
          <cell r="U390" t="str">
            <v>MENA_UAE_FC</v>
          </cell>
          <cell r="X390">
            <v>46257.756944444445</v>
          </cell>
          <cell r="Y390">
            <v>46258.090277777781</v>
          </cell>
          <cell r="Z390" t="str">
            <v>Rest Day</v>
          </cell>
          <cell r="AA390" t="str">
            <v>Not Scheduled</v>
          </cell>
          <cell r="AB390" t="str">
            <v>Not Present</v>
          </cell>
          <cell r="AC390" t="str">
            <v>Outbound</v>
          </cell>
          <cell r="AD390" t="str">
            <v>Pack - Batch</v>
          </cell>
          <cell r="AE390" t="str">
            <v>Pack</v>
          </cell>
          <cell r="AF390" t="str">
            <v>Sunday</v>
          </cell>
          <cell r="AG390" t="str">
            <v>Monday</v>
          </cell>
          <cell r="AH390">
            <v>17</v>
          </cell>
          <cell r="AJ390">
            <v>46251</v>
          </cell>
          <cell r="AM390" t="str">
            <v>TEMP</v>
          </cell>
          <cell r="AN390" t="str">
            <v>3P Onsite Worker</v>
          </cell>
          <cell r="AO390" t="str">
            <v>A</v>
          </cell>
          <cell r="AP390">
            <v>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</row>
        <row r="391">
          <cell r="D391" t="str">
            <v>glortadu</v>
          </cell>
          <cell r="E391">
            <v>206239529</v>
          </cell>
          <cell r="F391" t="str">
            <v>A</v>
          </cell>
          <cell r="G391" t="str">
            <v>GREEN</v>
          </cell>
          <cell r="H391" t="str">
            <v>FULL_TIME</v>
          </cell>
          <cell r="I391">
            <v>900234</v>
          </cell>
          <cell r="J391" t="str">
            <v>Fastlink Outsourcing</v>
          </cell>
          <cell r="K391" t="str">
            <v>GLORIA ADU</v>
          </cell>
          <cell r="L391" t="str">
            <v>Warehouse Associate (TEMP)</v>
          </cell>
          <cell r="M391" t="str">
            <v>Warehouse Associate 12M</v>
          </cell>
          <cell r="N391" t="str">
            <v>mnarshad</v>
          </cell>
          <cell r="O391">
            <v>1299</v>
          </cell>
          <cell r="P391" t="str">
            <v>AUH1</v>
          </cell>
          <cell r="Q391" t="str">
            <v>ARE</v>
          </cell>
          <cell r="R391" t="str">
            <v>FC159</v>
          </cell>
          <cell r="S391" t="str">
            <v>Day Shift</v>
          </cell>
          <cell r="T391">
            <v>99</v>
          </cell>
          <cell r="U391" t="str">
            <v>MENA_UAE_FC</v>
          </cell>
          <cell r="V391">
            <v>46257.331944444442</v>
          </cell>
          <cell r="W391">
            <v>46257.747916666667</v>
          </cell>
          <cell r="X391">
            <v>46257.333333333336</v>
          </cell>
          <cell r="Y391">
            <v>46257.75</v>
          </cell>
          <cell r="AA391" t="str">
            <v>Scheduled</v>
          </cell>
          <cell r="AB391" t="str">
            <v>Present</v>
          </cell>
          <cell r="AC391" t="str">
            <v>Outbound</v>
          </cell>
          <cell r="AD391" t="str">
            <v>Picking</v>
          </cell>
          <cell r="AE391" t="str">
            <v>Pick</v>
          </cell>
          <cell r="AF391" t="str">
            <v>Thursday</v>
          </cell>
          <cell r="AG391" t="str">
            <v>Friday</v>
          </cell>
          <cell r="AH391">
            <v>13</v>
          </cell>
          <cell r="AJ391">
            <v>45942</v>
          </cell>
          <cell r="AM391" t="str">
            <v>TEMP</v>
          </cell>
          <cell r="AN391" t="str">
            <v>3P Onsite Worker</v>
          </cell>
          <cell r="AO391" t="str">
            <v>A</v>
          </cell>
          <cell r="AP391">
            <v>9</v>
          </cell>
          <cell r="AQ391">
            <v>0</v>
          </cell>
          <cell r="AR391">
            <v>1</v>
          </cell>
          <cell r="AS391">
            <v>1</v>
          </cell>
          <cell r="AT391">
            <v>0</v>
          </cell>
          <cell r="AU391">
            <v>0</v>
          </cell>
        </row>
        <row r="392">
          <cell r="D392" t="str">
            <v>gmikesse</v>
          </cell>
          <cell r="E392">
            <v>206873552</v>
          </cell>
          <cell r="F392" t="str">
            <v>A</v>
          </cell>
          <cell r="G392" t="str">
            <v>GREEN</v>
          </cell>
          <cell r="H392" t="str">
            <v>FULL_TIME</v>
          </cell>
          <cell r="I392">
            <v>900234</v>
          </cell>
          <cell r="J392" t="str">
            <v>Fastlink Outsourcing</v>
          </cell>
          <cell r="K392" t="str">
            <v>GONZAGA MIKE SSEBUTINDE</v>
          </cell>
          <cell r="L392" t="str">
            <v>Warehouse Associate (TEMP)</v>
          </cell>
          <cell r="M392" t="str">
            <v>Warehouse Associate 8W</v>
          </cell>
          <cell r="N392" t="str">
            <v>vkkatyal</v>
          </cell>
          <cell r="O392">
            <v>1299</v>
          </cell>
          <cell r="P392" t="str">
            <v>AUH1</v>
          </cell>
          <cell r="Q392" t="str">
            <v>ARE</v>
          </cell>
          <cell r="R392" t="str">
            <v>FC059</v>
          </cell>
          <cell r="S392" t="str">
            <v>Day Shift</v>
          </cell>
          <cell r="T392">
            <v>99</v>
          </cell>
          <cell r="U392" t="str">
            <v>MENA_UAE_FC</v>
          </cell>
          <cell r="X392">
            <v>46257.333333333336</v>
          </cell>
          <cell r="Y392">
            <v>46257.75</v>
          </cell>
          <cell r="Z392" t="str">
            <v>Rest Day</v>
          </cell>
          <cell r="AA392" t="str">
            <v>Not Scheduled</v>
          </cell>
          <cell r="AB392" t="str">
            <v>Not Present</v>
          </cell>
          <cell r="AC392" t="str">
            <v>Inbound</v>
          </cell>
          <cell r="AD392" t="str">
            <v>Inbound Stow</v>
          </cell>
          <cell r="AE392" t="str">
            <v>Stow</v>
          </cell>
          <cell r="AF392" t="str">
            <v>Sunday</v>
          </cell>
          <cell r="AG392" t="str">
            <v>Monday</v>
          </cell>
          <cell r="AH392">
            <v>3</v>
          </cell>
          <cell r="AJ392">
            <v>46019</v>
          </cell>
          <cell r="AM392" t="str">
            <v>TEMP</v>
          </cell>
          <cell r="AN392" t="str">
            <v>3P Onsite Worker</v>
          </cell>
          <cell r="AO392" t="str">
            <v>A</v>
          </cell>
          <cell r="AP392">
            <v>9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</row>
        <row r="393">
          <cell r="D393" t="str">
            <v>gprincsi</v>
          </cell>
          <cell r="E393">
            <v>203813082</v>
          </cell>
          <cell r="F393" t="str">
            <v>A</v>
          </cell>
          <cell r="G393" t="str">
            <v>GREEN</v>
          </cell>
          <cell r="H393" t="str">
            <v>FULL_TIME</v>
          </cell>
          <cell r="I393">
            <v>900234</v>
          </cell>
          <cell r="J393" t="str">
            <v>Adecco</v>
          </cell>
          <cell r="K393" t="str">
            <v>PRINCEPAL SINGH</v>
          </cell>
          <cell r="L393" t="str">
            <v>Warehouse Associate (TEMP)</v>
          </cell>
          <cell r="M393" t="str">
            <v>Warehouse Associate 24M</v>
          </cell>
          <cell r="N393" t="str">
            <v>vkkatyal</v>
          </cell>
          <cell r="O393">
            <v>1299</v>
          </cell>
          <cell r="P393" t="str">
            <v>AUH1</v>
          </cell>
          <cell r="Q393" t="str">
            <v>ARE</v>
          </cell>
          <cell r="R393" t="str">
            <v>LK012</v>
          </cell>
          <cell r="S393" t="str">
            <v>Night Shift</v>
          </cell>
          <cell r="T393">
            <v>99</v>
          </cell>
          <cell r="U393" t="str">
            <v>MENA_UAE_FC</v>
          </cell>
          <cell r="X393">
            <v>46257.756944444445</v>
          </cell>
          <cell r="Y393">
            <v>46258.173611111109</v>
          </cell>
          <cell r="Z393" t="str">
            <v>Rest Day</v>
          </cell>
          <cell r="AA393" t="str">
            <v>Not Scheduled</v>
          </cell>
          <cell r="AB393" t="str">
            <v>Not Present</v>
          </cell>
          <cell r="AC393" t="str">
            <v>Inbound</v>
          </cell>
          <cell r="AD393" t="str">
            <v>Inbound Stow</v>
          </cell>
          <cell r="AE393" t="str">
            <v>Stow</v>
          </cell>
          <cell r="AF393" t="str">
            <v>Saturday</v>
          </cell>
          <cell r="AG393" t="str">
            <v>Sunday</v>
          </cell>
          <cell r="AH393">
            <v>3</v>
          </cell>
          <cell r="AJ393">
            <v>45516</v>
          </cell>
          <cell r="AM393" t="str">
            <v>TEMP</v>
          </cell>
          <cell r="AN393" t="str">
            <v>3P Onsite Worker</v>
          </cell>
          <cell r="AO393" t="str">
            <v>A</v>
          </cell>
          <cell r="AP393">
            <v>9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</row>
        <row r="394">
          <cell r="D394" t="str">
            <v>grahamuc</v>
          </cell>
          <cell r="E394">
            <v>203468748</v>
          </cell>
          <cell r="F394" t="str">
            <v>A</v>
          </cell>
          <cell r="G394" t="str">
            <v>GREEN</v>
          </cell>
          <cell r="H394" t="str">
            <v>FULL_TIME</v>
          </cell>
          <cell r="I394">
            <v>900234</v>
          </cell>
          <cell r="J394" t="str">
            <v>Fastlink Outsourcing</v>
          </cell>
          <cell r="K394" t="str">
            <v>Graham Muchinikila</v>
          </cell>
          <cell r="L394" t="str">
            <v>Warehouse Associate (TEMP)</v>
          </cell>
          <cell r="M394" t="str">
            <v>Warehouse Associate 12M</v>
          </cell>
          <cell r="N394" t="str">
            <v>scariav</v>
          </cell>
          <cell r="O394">
            <v>1299</v>
          </cell>
          <cell r="P394" t="str">
            <v>AUH1</v>
          </cell>
          <cell r="Q394" t="str">
            <v>ARE</v>
          </cell>
          <cell r="R394" t="str">
            <v>LK011</v>
          </cell>
          <cell r="S394" t="str">
            <v>Night Shift</v>
          </cell>
          <cell r="T394">
            <v>99</v>
          </cell>
          <cell r="U394" t="str">
            <v>MENA_UAE_FC</v>
          </cell>
          <cell r="V394">
            <v>46257.756944444445</v>
          </cell>
          <cell r="X394">
            <v>46257.756944444445</v>
          </cell>
          <cell r="Y394">
            <v>46258.173611111109</v>
          </cell>
          <cell r="AA394" t="str">
            <v>Scheduled</v>
          </cell>
          <cell r="AB394" t="str">
            <v>Present</v>
          </cell>
          <cell r="AC394" t="str">
            <v>Outbound</v>
          </cell>
          <cell r="AD394" t="str">
            <v>Pack - Single</v>
          </cell>
          <cell r="AE394" t="str">
            <v>Pack</v>
          </cell>
          <cell r="AF394" t="str">
            <v>Friday</v>
          </cell>
          <cell r="AG394" t="str">
            <v>Saturday</v>
          </cell>
          <cell r="AH394">
            <v>18</v>
          </cell>
          <cell r="AJ394">
            <v>45455</v>
          </cell>
          <cell r="AM394" t="str">
            <v>TEMP</v>
          </cell>
          <cell r="AN394" t="str">
            <v>3P Onsite Worker</v>
          </cell>
          <cell r="AO394" t="str">
            <v>A</v>
          </cell>
          <cell r="AP394">
            <v>9</v>
          </cell>
          <cell r="AQ394">
            <v>0</v>
          </cell>
          <cell r="AR394">
            <v>1</v>
          </cell>
          <cell r="AS394">
            <v>1</v>
          </cell>
          <cell r="AT394">
            <v>0</v>
          </cell>
          <cell r="AU394">
            <v>0</v>
          </cell>
        </row>
        <row r="395">
          <cell r="D395" t="str">
            <v>gueudjog</v>
          </cell>
          <cell r="E395">
            <v>103900839</v>
          </cell>
          <cell r="F395" t="str">
            <v>A</v>
          </cell>
          <cell r="G395" t="str">
            <v>BLUE</v>
          </cell>
          <cell r="H395" t="str">
            <v>FULL_TIME</v>
          </cell>
          <cell r="I395" t="str">
            <v>P03251</v>
          </cell>
          <cell r="K395" t="str">
            <v>Giresse Franklin Kwayep Gueudjo</v>
          </cell>
          <cell r="L395" t="str">
            <v>FC Associate I</v>
          </cell>
          <cell r="M395" t="str">
            <v>FC Associate I</v>
          </cell>
          <cell r="N395" t="str">
            <v>helrashd</v>
          </cell>
          <cell r="O395">
            <v>1299</v>
          </cell>
          <cell r="P395" t="str">
            <v>AUH1</v>
          </cell>
          <cell r="Q395" t="str">
            <v>ARE</v>
          </cell>
          <cell r="R395" t="str">
            <v>LK015</v>
          </cell>
          <cell r="S395" t="str">
            <v>Night Shift</v>
          </cell>
          <cell r="T395">
            <v>1</v>
          </cell>
          <cell r="U395" t="str">
            <v>MENA_UAE_FC</v>
          </cell>
          <cell r="V395">
            <v>46257.743055555555</v>
          </cell>
          <cell r="X395">
            <v>46257.756944444445</v>
          </cell>
          <cell r="Y395">
            <v>46258.173611111109</v>
          </cell>
          <cell r="AA395" t="str">
            <v>Scheduled</v>
          </cell>
          <cell r="AB395" t="str">
            <v>Present</v>
          </cell>
          <cell r="AC395" t="str">
            <v>Outbound</v>
          </cell>
          <cell r="AD395" t="str">
            <v>Picking</v>
          </cell>
          <cell r="AE395" t="str">
            <v>Pick</v>
          </cell>
          <cell r="AF395" t="str">
            <v>Tuesday</v>
          </cell>
          <cell r="AG395" t="str">
            <v>Wednesday</v>
          </cell>
          <cell r="AH395">
            <v>13</v>
          </cell>
          <cell r="AJ395">
            <v>44830</v>
          </cell>
          <cell r="AM395" t="str">
            <v>FC</v>
          </cell>
          <cell r="AN395" t="str">
            <v>Regular Full Time</v>
          </cell>
          <cell r="AO395" t="str">
            <v>A</v>
          </cell>
          <cell r="AP395">
            <v>9</v>
          </cell>
          <cell r="AQ395">
            <v>0</v>
          </cell>
          <cell r="AR395">
            <v>1</v>
          </cell>
          <cell r="AS395">
            <v>1</v>
          </cell>
          <cell r="AT395">
            <v>0</v>
          </cell>
          <cell r="AU395">
            <v>0</v>
          </cell>
        </row>
        <row r="396">
          <cell r="D396" t="str">
            <v>gumoshab</v>
          </cell>
          <cell r="E396">
            <v>206874115</v>
          </cell>
          <cell r="F396" t="str">
            <v>A</v>
          </cell>
          <cell r="G396" t="str">
            <v>GREEN</v>
          </cell>
          <cell r="H396" t="str">
            <v>FULL_TIME</v>
          </cell>
          <cell r="I396">
            <v>900234</v>
          </cell>
          <cell r="J396" t="str">
            <v>Dulsco L.L.C.</v>
          </cell>
          <cell r="K396" t="str">
            <v>GUMOSHABE JONAN</v>
          </cell>
          <cell r="L396" t="str">
            <v>Warehouse Associate (TEMP)</v>
          </cell>
          <cell r="M396" t="str">
            <v>Warehouse Associate 8W</v>
          </cell>
          <cell r="N396" t="str">
            <v>vkkatyal</v>
          </cell>
          <cell r="O396">
            <v>1299</v>
          </cell>
          <cell r="P396" t="str">
            <v>AUH1</v>
          </cell>
          <cell r="Q396" t="str">
            <v>ARE</v>
          </cell>
          <cell r="R396" t="str">
            <v>FC059</v>
          </cell>
          <cell r="S396" t="str">
            <v>Day Shift</v>
          </cell>
          <cell r="T396">
            <v>99</v>
          </cell>
          <cell r="U396" t="str">
            <v>MENA_UAE_FC</v>
          </cell>
          <cell r="X396">
            <v>46257.333333333336</v>
          </cell>
          <cell r="Y396">
            <v>46257.75</v>
          </cell>
          <cell r="Z396" t="str">
            <v>Rest Day</v>
          </cell>
          <cell r="AA396" t="str">
            <v>Not Scheduled</v>
          </cell>
          <cell r="AB396" t="str">
            <v>Not Present</v>
          </cell>
          <cell r="AC396" t="str">
            <v>Inbound</v>
          </cell>
          <cell r="AD396" t="str">
            <v>Inbound Stow</v>
          </cell>
          <cell r="AE396" t="str">
            <v>Stow</v>
          </cell>
          <cell r="AF396" t="str">
            <v>Sunday</v>
          </cell>
          <cell r="AG396" t="str">
            <v>Monday</v>
          </cell>
          <cell r="AH396">
            <v>3</v>
          </cell>
          <cell r="AJ396">
            <v>46019</v>
          </cell>
          <cell r="AM396" t="str">
            <v>TEMP</v>
          </cell>
          <cell r="AN396" t="str">
            <v>3P Onsite Worker</v>
          </cell>
          <cell r="AO396" t="str">
            <v>A</v>
          </cell>
          <cell r="AP396">
            <v>9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</row>
        <row r="397">
          <cell r="D397" t="str">
            <v>gwangari</v>
          </cell>
          <cell r="E397">
            <v>205853573</v>
          </cell>
          <cell r="F397" t="str">
            <v>A</v>
          </cell>
          <cell r="G397" t="str">
            <v>GREEN</v>
          </cell>
          <cell r="H397" t="str">
            <v>FULL_TIME</v>
          </cell>
          <cell r="I397">
            <v>900234</v>
          </cell>
          <cell r="J397" t="str">
            <v>EFS Facilities Services</v>
          </cell>
          <cell r="K397" t="str">
            <v>GRACE WANJIRU WANGARI</v>
          </cell>
          <cell r="L397" t="str">
            <v>Warehouse Associate (TEMP)</v>
          </cell>
          <cell r="M397" t="str">
            <v>Warehouse Associate 8W</v>
          </cell>
          <cell r="N397" t="str">
            <v>scariav</v>
          </cell>
          <cell r="O397">
            <v>1299</v>
          </cell>
          <cell r="P397" t="str">
            <v>AUH1</v>
          </cell>
          <cell r="Q397" t="str">
            <v>ARE</v>
          </cell>
          <cell r="R397" t="str">
            <v>LK014</v>
          </cell>
          <cell r="S397" t="str">
            <v>Night Shift</v>
          </cell>
          <cell r="T397">
            <v>99</v>
          </cell>
          <cell r="U397" t="str">
            <v>MENA_UAE_FC</v>
          </cell>
          <cell r="V397">
            <v>46257.756944444445</v>
          </cell>
          <cell r="X397">
            <v>46257.756944444445</v>
          </cell>
          <cell r="Y397">
            <v>46258.173611111109</v>
          </cell>
          <cell r="AA397" t="str">
            <v>Scheduled</v>
          </cell>
          <cell r="AB397" t="str">
            <v>Present</v>
          </cell>
          <cell r="AC397" t="str">
            <v>Outbound</v>
          </cell>
          <cell r="AD397" t="str">
            <v>Picking</v>
          </cell>
          <cell r="AE397" t="str">
            <v>Pick</v>
          </cell>
          <cell r="AF397" t="str">
            <v>Monday</v>
          </cell>
          <cell r="AG397" t="str">
            <v>Tuesday</v>
          </cell>
          <cell r="AH397">
            <v>13</v>
          </cell>
          <cell r="AJ397">
            <v>45893</v>
          </cell>
          <cell r="AM397" t="str">
            <v>TEMP</v>
          </cell>
          <cell r="AN397" t="str">
            <v>3P Onsite Worker</v>
          </cell>
          <cell r="AO397" t="str">
            <v>A</v>
          </cell>
          <cell r="AP397">
            <v>9</v>
          </cell>
          <cell r="AQ397">
            <v>0</v>
          </cell>
          <cell r="AR397">
            <v>1</v>
          </cell>
          <cell r="AS397">
            <v>1</v>
          </cell>
          <cell r="AT397">
            <v>0</v>
          </cell>
          <cell r="AU397">
            <v>0</v>
          </cell>
        </row>
        <row r="398">
          <cell r="D398" t="str">
            <v>gyamfinp</v>
          </cell>
          <cell r="E398">
            <v>205845556</v>
          </cell>
          <cell r="F398" t="str">
            <v>A</v>
          </cell>
          <cell r="G398" t="str">
            <v>GREEN</v>
          </cell>
          <cell r="H398" t="str">
            <v>FULL_TIME</v>
          </cell>
          <cell r="I398">
            <v>900234</v>
          </cell>
          <cell r="J398" t="str">
            <v>Dulsco L.L.C.</v>
          </cell>
          <cell r="K398" t="str">
            <v>PHILIP GYAMFI</v>
          </cell>
          <cell r="L398" t="str">
            <v>Warehouse Associate (TEMP)</v>
          </cell>
          <cell r="M398" t="str">
            <v>Warehouse Associate 8W</v>
          </cell>
          <cell r="N398" t="str">
            <v>scariav</v>
          </cell>
          <cell r="O398">
            <v>1299</v>
          </cell>
          <cell r="P398" t="str">
            <v>AUH1</v>
          </cell>
          <cell r="Q398" t="str">
            <v>ARE</v>
          </cell>
          <cell r="R398" t="str">
            <v>LK017</v>
          </cell>
          <cell r="S398" t="str">
            <v>Night Shift</v>
          </cell>
          <cell r="T398">
            <v>99</v>
          </cell>
          <cell r="U398" t="str">
            <v>MENA_UAE_FC</v>
          </cell>
          <cell r="V398">
            <v>46257.756249999999</v>
          </cell>
          <cell r="X398">
            <v>46257.756944444445</v>
          </cell>
          <cell r="Y398">
            <v>46258.173611111109</v>
          </cell>
          <cell r="AA398" t="str">
            <v>Scheduled</v>
          </cell>
          <cell r="AB398" t="str">
            <v>Present</v>
          </cell>
          <cell r="AC398" t="str">
            <v>Outbound</v>
          </cell>
          <cell r="AD398" t="str">
            <v>Picking</v>
          </cell>
          <cell r="AE398" t="str">
            <v>Pick</v>
          </cell>
          <cell r="AF398" t="str">
            <v>Thursday</v>
          </cell>
          <cell r="AG398" t="str">
            <v>Friday</v>
          </cell>
          <cell r="AH398">
            <v>13</v>
          </cell>
          <cell r="AJ398">
            <v>45893</v>
          </cell>
          <cell r="AM398" t="str">
            <v>TEMP</v>
          </cell>
          <cell r="AN398" t="str">
            <v>3P Onsite Worker</v>
          </cell>
          <cell r="AO398" t="str">
            <v>A</v>
          </cell>
          <cell r="AP398">
            <v>9</v>
          </cell>
          <cell r="AQ398">
            <v>0</v>
          </cell>
          <cell r="AR398">
            <v>1</v>
          </cell>
          <cell r="AS398">
            <v>1</v>
          </cell>
          <cell r="AT398">
            <v>0</v>
          </cell>
          <cell r="AU398">
            <v>0</v>
          </cell>
        </row>
        <row r="399">
          <cell r="D399" t="str">
            <v>habertmu</v>
          </cell>
          <cell r="E399">
            <v>206906444</v>
          </cell>
          <cell r="F399" t="str">
            <v>A</v>
          </cell>
          <cell r="G399" t="str">
            <v>GREEN</v>
          </cell>
          <cell r="H399" t="str">
            <v>FULL_TIME</v>
          </cell>
          <cell r="I399">
            <v>900234</v>
          </cell>
          <cell r="J399" t="str">
            <v>Dulsco L.L.C.</v>
          </cell>
          <cell r="K399" t="str">
            <v>HABERT MUHINDO</v>
          </cell>
          <cell r="L399" t="str">
            <v>Warehouse Associate (TEMP)</v>
          </cell>
          <cell r="M399" t="str">
            <v>Warehouse Associate 8W</v>
          </cell>
          <cell r="N399" t="str">
            <v>lraghava</v>
          </cell>
          <cell r="O399">
            <v>1299</v>
          </cell>
          <cell r="P399" t="str">
            <v>AUH1</v>
          </cell>
          <cell r="Q399" t="str">
            <v>ARE</v>
          </cell>
          <cell r="R399" t="str">
            <v>LK015</v>
          </cell>
          <cell r="S399" t="str">
            <v>Night Shift</v>
          </cell>
          <cell r="T399">
            <v>99</v>
          </cell>
          <cell r="U399" t="str">
            <v>MENA_UAE_FC</v>
          </cell>
          <cell r="V399">
            <v>46257.755555555559</v>
          </cell>
          <cell r="X399">
            <v>46257.756944444445</v>
          </cell>
          <cell r="Y399">
            <v>46258.173611111109</v>
          </cell>
          <cell r="AA399" t="str">
            <v>Scheduled</v>
          </cell>
          <cell r="AB399" t="str">
            <v>Present</v>
          </cell>
          <cell r="AC399" t="str">
            <v>Outbound</v>
          </cell>
          <cell r="AD399" t="str">
            <v>Picking</v>
          </cell>
          <cell r="AE399" t="str">
            <v>Pick</v>
          </cell>
          <cell r="AF399" t="str">
            <v>Tuesday</v>
          </cell>
          <cell r="AG399" t="str">
            <v>Wednesday</v>
          </cell>
          <cell r="AH399">
            <v>13</v>
          </cell>
          <cell r="AJ399">
            <v>46029</v>
          </cell>
          <cell r="AM399" t="str">
            <v>TEMP</v>
          </cell>
          <cell r="AN399" t="str">
            <v>3P Onsite Worker</v>
          </cell>
          <cell r="AO399" t="str">
            <v>A</v>
          </cell>
          <cell r="AP399">
            <v>9</v>
          </cell>
          <cell r="AQ399">
            <v>0</v>
          </cell>
          <cell r="AR399">
            <v>1</v>
          </cell>
          <cell r="AS399">
            <v>1</v>
          </cell>
          <cell r="AT399">
            <v>0</v>
          </cell>
          <cell r="AU399">
            <v>0</v>
          </cell>
        </row>
        <row r="400">
          <cell r="D400" t="str">
            <v>habimsha</v>
          </cell>
          <cell r="E400">
            <v>203965456</v>
          </cell>
          <cell r="F400" t="str">
            <v>A</v>
          </cell>
          <cell r="G400" t="str">
            <v>GREEN</v>
          </cell>
          <cell r="H400" t="str">
            <v>FULL_TIME</v>
          </cell>
          <cell r="I400">
            <v>900234</v>
          </cell>
          <cell r="J400" t="str">
            <v>Fastlink Outsourcing</v>
          </cell>
          <cell r="K400" t="str">
            <v>Sharif Habimana</v>
          </cell>
          <cell r="L400" t="str">
            <v>Warehouse Associate (TEMP)</v>
          </cell>
          <cell r="M400" t="str">
            <v>Warehouse Associate 12M</v>
          </cell>
          <cell r="N400" t="str">
            <v>scariav</v>
          </cell>
          <cell r="O400">
            <v>1299</v>
          </cell>
          <cell r="P400" t="str">
            <v>AUH1</v>
          </cell>
          <cell r="Q400" t="str">
            <v>ARE</v>
          </cell>
          <cell r="R400" t="str">
            <v>LK011</v>
          </cell>
          <cell r="S400" t="str">
            <v>Night Shift</v>
          </cell>
          <cell r="T400">
            <v>99</v>
          </cell>
          <cell r="U400" t="str">
            <v>MENA_UAE_FC</v>
          </cell>
          <cell r="V400">
            <v>46257.756249999999</v>
          </cell>
          <cell r="X400">
            <v>46257.756944444445</v>
          </cell>
          <cell r="Y400">
            <v>46258.173611111109</v>
          </cell>
          <cell r="AA400" t="str">
            <v>Scheduled</v>
          </cell>
          <cell r="AB400" t="str">
            <v>Present</v>
          </cell>
          <cell r="AC400" t="str">
            <v>Outbound</v>
          </cell>
          <cell r="AD400" t="str">
            <v>Picking</v>
          </cell>
          <cell r="AE400" t="str">
            <v>Pick</v>
          </cell>
          <cell r="AF400" t="str">
            <v>Friday</v>
          </cell>
          <cell r="AG400" t="str">
            <v>Saturday</v>
          </cell>
          <cell r="AH400">
            <v>13</v>
          </cell>
          <cell r="AJ400">
            <v>45543</v>
          </cell>
          <cell r="AM400" t="str">
            <v>TEMP</v>
          </cell>
          <cell r="AN400" t="str">
            <v>3P Onsite Worker</v>
          </cell>
          <cell r="AO400" t="str">
            <v>A</v>
          </cell>
          <cell r="AP400">
            <v>9</v>
          </cell>
          <cell r="AQ400">
            <v>0</v>
          </cell>
          <cell r="AR400">
            <v>1</v>
          </cell>
          <cell r="AS400">
            <v>1</v>
          </cell>
          <cell r="AT400">
            <v>0</v>
          </cell>
          <cell r="AU400">
            <v>0</v>
          </cell>
        </row>
        <row r="401">
          <cell r="D401" t="str">
            <v>hamumuni</v>
          </cell>
          <cell r="E401">
            <v>202249751</v>
          </cell>
          <cell r="F401" t="str">
            <v>A</v>
          </cell>
          <cell r="G401" t="str">
            <v>GREEN</v>
          </cell>
          <cell r="H401" t="str">
            <v>FULL_TIME</v>
          </cell>
          <cell r="I401">
            <v>900234</v>
          </cell>
          <cell r="J401" t="str">
            <v>Fastlink Outsourcing</v>
          </cell>
          <cell r="K401" t="str">
            <v>Mumuni Hassana</v>
          </cell>
          <cell r="L401" t="str">
            <v>Warehouse Associate (TEMP)</v>
          </cell>
          <cell r="M401" t="str">
            <v>Warehouse Associate 12M</v>
          </cell>
          <cell r="N401" t="str">
            <v>scariav</v>
          </cell>
          <cell r="O401">
            <v>1299</v>
          </cell>
          <cell r="P401" t="str">
            <v>AUH1</v>
          </cell>
          <cell r="Q401" t="str">
            <v>ARE</v>
          </cell>
          <cell r="R401" t="str">
            <v>LK016</v>
          </cell>
          <cell r="S401" t="str">
            <v>Night Shift</v>
          </cell>
          <cell r="T401">
            <v>99</v>
          </cell>
          <cell r="U401" t="str">
            <v>MENA_UAE_FC</v>
          </cell>
          <cell r="V401">
            <v>46257.753472222219</v>
          </cell>
          <cell r="X401">
            <v>46257.756944444445</v>
          </cell>
          <cell r="Y401">
            <v>46258.173611111109</v>
          </cell>
          <cell r="AA401" t="str">
            <v>Scheduled</v>
          </cell>
          <cell r="AB401" t="str">
            <v>Present</v>
          </cell>
          <cell r="AC401" t="str">
            <v>Outbound</v>
          </cell>
          <cell r="AD401" t="str">
            <v>Pack - Batch</v>
          </cell>
          <cell r="AE401" t="str">
            <v>Pack</v>
          </cell>
          <cell r="AF401" t="str">
            <v>Wednesday</v>
          </cell>
          <cell r="AG401" t="str">
            <v>Thursday</v>
          </cell>
          <cell r="AH401">
            <v>17</v>
          </cell>
          <cell r="AJ401">
            <v>45214</v>
          </cell>
          <cell r="AM401" t="str">
            <v>TEMP</v>
          </cell>
          <cell r="AN401" t="str">
            <v>3P Onsite Worker</v>
          </cell>
          <cell r="AO401" t="str">
            <v>A</v>
          </cell>
          <cell r="AP401">
            <v>9</v>
          </cell>
          <cell r="AQ401">
            <v>0</v>
          </cell>
          <cell r="AR401">
            <v>1</v>
          </cell>
          <cell r="AS401">
            <v>1</v>
          </cell>
          <cell r="AT401">
            <v>0</v>
          </cell>
          <cell r="AU401">
            <v>0</v>
          </cell>
        </row>
        <row r="402">
          <cell r="D402" t="str">
            <v>hamuzawa</v>
          </cell>
          <cell r="E402">
            <v>206846538</v>
          </cell>
          <cell r="F402" t="str">
            <v>A</v>
          </cell>
          <cell r="G402" t="str">
            <v>GREEN</v>
          </cell>
          <cell r="H402" t="str">
            <v>FULL_TIME</v>
          </cell>
          <cell r="I402">
            <v>900234</v>
          </cell>
          <cell r="J402" t="str">
            <v>Dulsco L.L.C.</v>
          </cell>
          <cell r="K402" t="str">
            <v>WANDERA HAMUZA</v>
          </cell>
          <cell r="L402" t="str">
            <v>Warehouse Associate (TEMP)</v>
          </cell>
          <cell r="M402" t="str">
            <v>Warehouse Associate 8W</v>
          </cell>
          <cell r="N402" t="str">
            <v>helrashd</v>
          </cell>
          <cell r="O402">
            <v>1299</v>
          </cell>
          <cell r="P402" t="str">
            <v>AUH1</v>
          </cell>
          <cell r="Q402" t="str">
            <v>ARE</v>
          </cell>
          <cell r="R402" t="str">
            <v>LK011</v>
          </cell>
          <cell r="S402" t="str">
            <v>Night Shift</v>
          </cell>
          <cell r="T402">
            <v>99</v>
          </cell>
          <cell r="U402" t="str">
            <v>MENA_UAE_FC</v>
          </cell>
          <cell r="V402">
            <v>46257.756249999999</v>
          </cell>
          <cell r="X402">
            <v>46257.756944444445</v>
          </cell>
          <cell r="Y402">
            <v>46258.173611111109</v>
          </cell>
          <cell r="AA402" t="str">
            <v>Scheduled</v>
          </cell>
          <cell r="AB402" t="str">
            <v>Present</v>
          </cell>
          <cell r="AC402" t="str">
            <v>Outbound</v>
          </cell>
          <cell r="AD402" t="str">
            <v>Picking</v>
          </cell>
          <cell r="AE402" t="str">
            <v>Pick</v>
          </cell>
          <cell r="AF402" t="str">
            <v>Friday</v>
          </cell>
          <cell r="AG402" t="str">
            <v>Saturday</v>
          </cell>
          <cell r="AH402">
            <v>13</v>
          </cell>
          <cell r="AJ402">
            <v>46012</v>
          </cell>
          <cell r="AM402" t="str">
            <v>TEMP</v>
          </cell>
          <cell r="AN402" t="str">
            <v>3P Onsite Worker</v>
          </cell>
          <cell r="AO402" t="str">
            <v>A</v>
          </cell>
          <cell r="AP402">
            <v>9</v>
          </cell>
          <cell r="AQ402">
            <v>0</v>
          </cell>
          <cell r="AR402">
            <v>1</v>
          </cell>
          <cell r="AS402">
            <v>1</v>
          </cell>
          <cell r="AT402">
            <v>0</v>
          </cell>
          <cell r="AU402">
            <v>0</v>
          </cell>
        </row>
        <row r="403">
          <cell r="D403" t="str">
            <v>hamzmohp</v>
          </cell>
          <cell r="E403">
            <v>204299547</v>
          </cell>
          <cell r="F403" t="str">
            <v>A</v>
          </cell>
          <cell r="G403" t="str">
            <v>GREEN</v>
          </cell>
          <cell r="H403" t="str">
            <v>FULL_TIME</v>
          </cell>
          <cell r="I403">
            <v>900234</v>
          </cell>
          <cell r="J403" t="str">
            <v>Quesscorp</v>
          </cell>
          <cell r="K403" t="str">
            <v>Hamza Mohammed</v>
          </cell>
          <cell r="L403" t="str">
            <v>Warehouse Associate (TEMP)</v>
          </cell>
          <cell r="M403" t="str">
            <v>Warehouse Associate 24M</v>
          </cell>
          <cell r="N403" t="str">
            <v>scariav</v>
          </cell>
          <cell r="O403">
            <v>1299</v>
          </cell>
          <cell r="P403" t="str">
            <v>AUH1</v>
          </cell>
          <cell r="Q403" t="str">
            <v>ARE</v>
          </cell>
          <cell r="R403" t="str">
            <v>FC109</v>
          </cell>
          <cell r="S403" t="str">
            <v>Day Shift</v>
          </cell>
          <cell r="T403">
            <v>99</v>
          </cell>
          <cell r="U403" t="str">
            <v>MENA_UAE_FC</v>
          </cell>
          <cell r="V403">
            <v>46257.326388888891</v>
          </cell>
          <cell r="W403">
            <v>46257.75</v>
          </cell>
          <cell r="X403">
            <v>46257.333333333336</v>
          </cell>
          <cell r="Y403">
            <v>46257.75</v>
          </cell>
          <cell r="AA403" t="str">
            <v>Scheduled</v>
          </cell>
          <cell r="AB403" t="str">
            <v>Present</v>
          </cell>
          <cell r="AC403" t="str">
            <v>Outbound</v>
          </cell>
          <cell r="AD403" t="str">
            <v>Pack - Batch</v>
          </cell>
          <cell r="AE403" t="str">
            <v>Pack</v>
          </cell>
          <cell r="AF403" t="str">
            <v>Tuesday</v>
          </cell>
          <cell r="AG403" t="str">
            <v>Wednesday</v>
          </cell>
          <cell r="AH403">
            <v>17</v>
          </cell>
          <cell r="AJ403">
            <v>45585</v>
          </cell>
          <cell r="AM403" t="str">
            <v>TEMP</v>
          </cell>
          <cell r="AN403" t="str">
            <v>3P Onsite Worker</v>
          </cell>
          <cell r="AO403" t="str">
            <v>A</v>
          </cell>
          <cell r="AP403">
            <v>9</v>
          </cell>
          <cell r="AQ403">
            <v>0</v>
          </cell>
          <cell r="AR403">
            <v>1</v>
          </cell>
          <cell r="AS403">
            <v>1</v>
          </cell>
          <cell r="AT403">
            <v>0</v>
          </cell>
          <cell r="AU403">
            <v>0</v>
          </cell>
        </row>
        <row r="404">
          <cell r="D404" t="str">
            <v>hannmuru</v>
          </cell>
          <cell r="E404">
            <v>206239523</v>
          </cell>
          <cell r="F404" t="str">
            <v>A</v>
          </cell>
          <cell r="G404" t="str">
            <v>GREEN</v>
          </cell>
          <cell r="H404" t="str">
            <v>FULL_TIME</v>
          </cell>
          <cell r="I404">
            <v>900234</v>
          </cell>
          <cell r="J404" t="str">
            <v>EFS Facilities Services</v>
          </cell>
          <cell r="K404" t="str">
            <v>Ann Murugi Mwaura</v>
          </cell>
          <cell r="L404" t="str">
            <v>Warehouse Associate (TEMP)</v>
          </cell>
          <cell r="M404" t="str">
            <v>Warehouse Associate 8W</v>
          </cell>
          <cell r="N404" t="str">
            <v>ansammar</v>
          </cell>
          <cell r="O404">
            <v>1299</v>
          </cell>
          <cell r="P404" t="str">
            <v>AUH1</v>
          </cell>
          <cell r="Q404" t="str">
            <v>ARE</v>
          </cell>
          <cell r="R404" t="str">
            <v>LK014</v>
          </cell>
          <cell r="S404" t="str">
            <v>Night Shift</v>
          </cell>
          <cell r="T404">
            <v>99</v>
          </cell>
          <cell r="U404" t="str">
            <v>MENA_UAE_FC</v>
          </cell>
          <cell r="V404">
            <v>46257.754861111112</v>
          </cell>
          <cell r="X404">
            <v>46257.756944444445</v>
          </cell>
          <cell r="Y404">
            <v>46258.173611111109</v>
          </cell>
          <cell r="AA404" t="str">
            <v>Scheduled</v>
          </cell>
          <cell r="AB404" t="str">
            <v>Present</v>
          </cell>
          <cell r="AC404" t="str">
            <v>Outbound</v>
          </cell>
          <cell r="AD404" t="str">
            <v>Picking</v>
          </cell>
          <cell r="AE404" t="str">
            <v>Pick</v>
          </cell>
          <cell r="AF404" t="str">
            <v>Monday</v>
          </cell>
          <cell r="AG404" t="str">
            <v>Tuesday</v>
          </cell>
          <cell r="AH404">
            <v>13</v>
          </cell>
          <cell r="AJ404">
            <v>45942</v>
          </cell>
          <cell r="AM404" t="str">
            <v>TEMP</v>
          </cell>
          <cell r="AN404" t="str">
            <v>3P Onsite Worker</v>
          </cell>
          <cell r="AO404" t="str">
            <v>A</v>
          </cell>
          <cell r="AP404">
            <v>9</v>
          </cell>
          <cell r="AQ404">
            <v>0</v>
          </cell>
          <cell r="AR404">
            <v>1</v>
          </cell>
          <cell r="AS404">
            <v>1</v>
          </cell>
          <cell r="AT404">
            <v>0</v>
          </cell>
          <cell r="AU404">
            <v>0</v>
          </cell>
        </row>
        <row r="405">
          <cell r="D405" t="str">
            <v>harthufr</v>
          </cell>
          <cell r="E405">
            <v>204865035</v>
          </cell>
          <cell r="F405" t="str">
            <v>A</v>
          </cell>
          <cell r="G405" t="str">
            <v>GREEN</v>
          </cell>
          <cell r="H405" t="str">
            <v>FULL_TIME</v>
          </cell>
          <cell r="I405">
            <v>900234</v>
          </cell>
          <cell r="J405" t="str">
            <v>Dulsco L.L.C.</v>
          </cell>
          <cell r="K405" t="str">
            <v>FRANCIS ARTHUR</v>
          </cell>
          <cell r="L405" t="str">
            <v>Warehouse Associate (TEMP)</v>
          </cell>
          <cell r="M405" t="str">
            <v>Warehouse Associate 8W</v>
          </cell>
          <cell r="N405" t="str">
            <v>lraghava</v>
          </cell>
          <cell r="O405">
            <v>1299</v>
          </cell>
          <cell r="P405" t="str">
            <v>AUH1</v>
          </cell>
          <cell r="Q405" t="str">
            <v>ARE</v>
          </cell>
          <cell r="R405" t="str">
            <v>LK016</v>
          </cell>
          <cell r="S405" t="str">
            <v>Night Shift</v>
          </cell>
          <cell r="T405">
            <v>99</v>
          </cell>
          <cell r="U405" t="str">
            <v>MENA_UAE_FC</v>
          </cell>
          <cell r="V405">
            <v>46257.756249999999</v>
          </cell>
          <cell r="X405">
            <v>46257.756944444445</v>
          </cell>
          <cell r="Y405">
            <v>46258.173611111109</v>
          </cell>
          <cell r="AA405" t="str">
            <v>Scheduled</v>
          </cell>
          <cell r="AB405" t="str">
            <v>Present</v>
          </cell>
          <cell r="AC405" t="str">
            <v>Outbound</v>
          </cell>
          <cell r="AD405" t="str">
            <v>Picking</v>
          </cell>
          <cell r="AE405" t="str">
            <v>Pick</v>
          </cell>
          <cell r="AF405" t="str">
            <v>Wednesday</v>
          </cell>
          <cell r="AG405" t="str">
            <v>Thursday</v>
          </cell>
          <cell r="AH405">
            <v>13</v>
          </cell>
          <cell r="AJ405">
            <v>45893</v>
          </cell>
          <cell r="AM405" t="str">
            <v>TEMP</v>
          </cell>
          <cell r="AN405" t="str">
            <v>3P Onsite Worker</v>
          </cell>
          <cell r="AO405" t="str">
            <v>A</v>
          </cell>
          <cell r="AP405">
            <v>9</v>
          </cell>
          <cell r="AQ405">
            <v>0</v>
          </cell>
          <cell r="AR405">
            <v>1</v>
          </cell>
          <cell r="AS405">
            <v>1</v>
          </cell>
          <cell r="AT405">
            <v>0</v>
          </cell>
          <cell r="AU405">
            <v>0</v>
          </cell>
        </row>
        <row r="406">
          <cell r="D406" t="str">
            <v>haykweat</v>
          </cell>
          <cell r="E406">
            <v>203737012</v>
          </cell>
          <cell r="F406" t="str">
            <v>A</v>
          </cell>
          <cell r="G406" t="str">
            <v>GREEN</v>
          </cell>
          <cell r="H406" t="str">
            <v>FULL_TIME</v>
          </cell>
          <cell r="I406">
            <v>900234</v>
          </cell>
          <cell r="J406" t="str">
            <v>Fastlink Outsourcing</v>
          </cell>
          <cell r="K406" t="str">
            <v>Kweatey Hayford</v>
          </cell>
          <cell r="L406" t="str">
            <v>Warehouse Associate (TEMP)</v>
          </cell>
          <cell r="M406" t="str">
            <v>Warehouse Associate 12M</v>
          </cell>
          <cell r="N406" t="str">
            <v>lraghava</v>
          </cell>
          <cell r="O406">
            <v>1299</v>
          </cell>
          <cell r="P406" t="str">
            <v>AUH1</v>
          </cell>
          <cell r="Q406" t="str">
            <v>ARE</v>
          </cell>
          <cell r="R406" t="str">
            <v>FC109</v>
          </cell>
          <cell r="S406" t="str">
            <v>Day Shift</v>
          </cell>
          <cell r="T406">
            <v>99</v>
          </cell>
          <cell r="U406" t="str">
            <v>MENA_UAE_FC</v>
          </cell>
          <cell r="V406">
            <v>46257.331944444442</v>
          </cell>
          <cell r="W406">
            <v>46257.749305555553</v>
          </cell>
          <cell r="X406">
            <v>46257.333333333336</v>
          </cell>
          <cell r="Y406">
            <v>46257.75</v>
          </cell>
          <cell r="AA406" t="str">
            <v>Scheduled</v>
          </cell>
          <cell r="AB406" t="str">
            <v>Present</v>
          </cell>
          <cell r="AC406" t="str">
            <v>Outbound</v>
          </cell>
          <cell r="AD406" t="str">
            <v>Picking</v>
          </cell>
          <cell r="AE406" t="str">
            <v>Pick</v>
          </cell>
          <cell r="AF406" t="str">
            <v>Tuesday</v>
          </cell>
          <cell r="AG406" t="str">
            <v>Wednesday</v>
          </cell>
          <cell r="AH406">
            <v>13</v>
          </cell>
          <cell r="AJ406">
            <v>45501</v>
          </cell>
          <cell r="AM406" t="str">
            <v>TEMP</v>
          </cell>
          <cell r="AN406" t="str">
            <v>3P Onsite Worker</v>
          </cell>
          <cell r="AO406" t="str">
            <v>A</v>
          </cell>
          <cell r="AP406">
            <v>9</v>
          </cell>
          <cell r="AQ406">
            <v>0</v>
          </cell>
          <cell r="AR406">
            <v>1</v>
          </cell>
          <cell r="AS406">
            <v>1</v>
          </cell>
          <cell r="AT406">
            <v>0</v>
          </cell>
          <cell r="AU406">
            <v>0</v>
          </cell>
        </row>
        <row r="407">
          <cell r="D407" t="str">
            <v>hbabuaru</v>
          </cell>
          <cell r="E407">
            <v>203813037</v>
          </cell>
          <cell r="F407" t="str">
            <v>A</v>
          </cell>
          <cell r="G407" t="str">
            <v>GREEN</v>
          </cell>
          <cell r="H407" t="str">
            <v>FULL_TIME</v>
          </cell>
          <cell r="I407">
            <v>900234</v>
          </cell>
          <cell r="J407" t="str">
            <v>Adecco</v>
          </cell>
          <cell r="K407" t="str">
            <v>ARUN BABU</v>
          </cell>
          <cell r="L407" t="str">
            <v>Warehouse Associate (TEMP)</v>
          </cell>
          <cell r="M407" t="str">
            <v>Warehouse Associate 24M</v>
          </cell>
          <cell r="N407" t="str">
            <v>nnahla</v>
          </cell>
          <cell r="O407">
            <v>1299</v>
          </cell>
          <cell r="P407" t="str">
            <v>AUH1</v>
          </cell>
          <cell r="Q407" t="str">
            <v>ARE</v>
          </cell>
          <cell r="R407" t="str">
            <v>FC059</v>
          </cell>
          <cell r="S407" t="str">
            <v>Day Shift</v>
          </cell>
          <cell r="T407">
            <v>99</v>
          </cell>
          <cell r="U407" t="str">
            <v>MENA_UAE_FC</v>
          </cell>
          <cell r="X407">
            <v>46257.333333333336</v>
          </cell>
          <cell r="Y407">
            <v>46257.75</v>
          </cell>
          <cell r="Z407" t="str">
            <v>Rest Day</v>
          </cell>
          <cell r="AA407" t="str">
            <v>Not Scheduled</v>
          </cell>
          <cell r="AB407" t="str">
            <v>Not Present</v>
          </cell>
          <cell r="AC407" t="str">
            <v>Inbound</v>
          </cell>
          <cell r="AD407" t="str">
            <v>Vendor Receive</v>
          </cell>
          <cell r="AE407" t="str">
            <v>Receive</v>
          </cell>
          <cell r="AF407" t="str">
            <v>Sunday</v>
          </cell>
          <cell r="AG407" t="str">
            <v>Monday</v>
          </cell>
          <cell r="AH407">
            <v>1</v>
          </cell>
          <cell r="AJ407">
            <v>45516</v>
          </cell>
          <cell r="AM407" t="str">
            <v>TEMP</v>
          </cell>
          <cell r="AN407" t="str">
            <v>3P Onsite Worker</v>
          </cell>
          <cell r="AO407" t="str">
            <v>A</v>
          </cell>
          <cell r="AP407">
            <v>9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</row>
        <row r="408">
          <cell r="D408" t="str">
            <v>hbinepal</v>
          </cell>
          <cell r="E408">
            <v>203712972</v>
          </cell>
          <cell r="F408" t="str">
            <v>A</v>
          </cell>
          <cell r="G408" t="str">
            <v>GREEN</v>
          </cell>
          <cell r="H408" t="str">
            <v>FULL_TIME</v>
          </cell>
          <cell r="I408">
            <v>900234</v>
          </cell>
          <cell r="J408" t="str">
            <v>Adecco</v>
          </cell>
          <cell r="K408" t="str">
            <v>BIKASH NEPALI</v>
          </cell>
          <cell r="L408" t="str">
            <v>Warehouse Associate (TEMP)</v>
          </cell>
          <cell r="M408" t="str">
            <v>Warehouse Associate 24M</v>
          </cell>
          <cell r="N408" t="str">
            <v>nnahla</v>
          </cell>
          <cell r="O408">
            <v>1299</v>
          </cell>
          <cell r="P408" t="str">
            <v>AUH1</v>
          </cell>
          <cell r="Q408" t="str">
            <v>ARE</v>
          </cell>
          <cell r="R408" t="str">
            <v>FC059</v>
          </cell>
          <cell r="S408" t="str">
            <v>Day Shift</v>
          </cell>
          <cell r="T408">
            <v>99</v>
          </cell>
          <cell r="U408" t="str">
            <v>MENA_UAE_FC</v>
          </cell>
          <cell r="X408">
            <v>46257.333333333336</v>
          </cell>
          <cell r="Y408">
            <v>46257.75</v>
          </cell>
          <cell r="Z408" t="str">
            <v>Rest Day</v>
          </cell>
          <cell r="AA408" t="str">
            <v>Not Scheduled</v>
          </cell>
          <cell r="AB408" t="str">
            <v>Not Present</v>
          </cell>
          <cell r="AC408" t="str">
            <v>Inbound</v>
          </cell>
          <cell r="AD408" t="str">
            <v>Receive Dock</v>
          </cell>
          <cell r="AE408" t="str">
            <v>Receive</v>
          </cell>
          <cell r="AF408" t="str">
            <v>Sunday</v>
          </cell>
          <cell r="AG408" t="str">
            <v>Monday</v>
          </cell>
          <cell r="AH408">
            <v>2</v>
          </cell>
          <cell r="AJ408">
            <v>45516</v>
          </cell>
          <cell r="AM408" t="str">
            <v>TEMP</v>
          </cell>
          <cell r="AN408" t="str">
            <v>3P Onsite Worker</v>
          </cell>
          <cell r="AO408" t="str">
            <v>A</v>
          </cell>
          <cell r="AP408">
            <v>9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</row>
        <row r="409">
          <cell r="D409" t="str">
            <v>hekibuuk</v>
          </cell>
          <cell r="E409">
            <v>206873643</v>
          </cell>
          <cell r="F409" t="str">
            <v>A</v>
          </cell>
          <cell r="G409" t="str">
            <v>GREEN</v>
          </cell>
          <cell r="H409" t="str">
            <v>FULL_TIME</v>
          </cell>
          <cell r="I409">
            <v>900234</v>
          </cell>
          <cell r="J409" t="str">
            <v>Fastlink Outsourcing</v>
          </cell>
          <cell r="K409" t="str">
            <v>HERMAN KIBUUKA</v>
          </cell>
          <cell r="L409" t="str">
            <v>Warehouse Associate (TEMP)</v>
          </cell>
          <cell r="M409" t="str">
            <v>Warehouse Associate 8W</v>
          </cell>
          <cell r="N409" t="str">
            <v>vkkatyal</v>
          </cell>
          <cell r="O409">
            <v>1299</v>
          </cell>
          <cell r="P409" t="str">
            <v>AUH1</v>
          </cell>
          <cell r="Q409" t="str">
            <v>ARE</v>
          </cell>
          <cell r="R409" t="str">
            <v>FC059</v>
          </cell>
          <cell r="S409" t="str">
            <v>Day Shift</v>
          </cell>
          <cell r="T409">
            <v>99</v>
          </cell>
          <cell r="U409" t="str">
            <v>MENA_UAE_FC</v>
          </cell>
          <cell r="X409">
            <v>46257.333333333336</v>
          </cell>
          <cell r="Y409">
            <v>46257.75</v>
          </cell>
          <cell r="Z409" t="str">
            <v>Rest Day</v>
          </cell>
          <cell r="AA409" t="str">
            <v>Not Scheduled</v>
          </cell>
          <cell r="AB409" t="str">
            <v>Not Present</v>
          </cell>
          <cell r="AC409" t="str">
            <v>Inbound</v>
          </cell>
          <cell r="AD409" t="str">
            <v>IB Problem Solve</v>
          </cell>
          <cell r="AE409" t="str">
            <v>Receive</v>
          </cell>
          <cell r="AF409" t="str">
            <v>Sunday</v>
          </cell>
          <cell r="AG409" t="str">
            <v>Monday</v>
          </cell>
          <cell r="AH409">
            <v>6</v>
          </cell>
          <cell r="AJ409">
            <v>46019</v>
          </cell>
          <cell r="AM409" t="str">
            <v>TEMP</v>
          </cell>
          <cell r="AN409" t="str">
            <v>3P Onsite Worker</v>
          </cell>
          <cell r="AO409" t="str">
            <v>A</v>
          </cell>
          <cell r="AP409">
            <v>9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</row>
        <row r="410">
          <cell r="D410" t="str">
            <v>henredws</v>
          </cell>
          <cell r="E410">
            <v>203512668</v>
          </cell>
          <cell r="F410" t="str">
            <v>A</v>
          </cell>
          <cell r="G410" t="str">
            <v>GREEN</v>
          </cell>
          <cell r="H410" t="str">
            <v>FULL_TIME</v>
          </cell>
          <cell r="I410">
            <v>900234</v>
          </cell>
          <cell r="J410" t="str">
            <v>Fastlink Outsourcing</v>
          </cell>
          <cell r="K410" t="str">
            <v>Henry Edwards</v>
          </cell>
          <cell r="L410" t="str">
            <v>Warehouse Associate (TEMP)</v>
          </cell>
          <cell r="M410" t="str">
            <v>Warehouse Associate 12M</v>
          </cell>
          <cell r="N410" t="str">
            <v>mnarshad</v>
          </cell>
          <cell r="O410">
            <v>1299</v>
          </cell>
          <cell r="P410" t="str">
            <v>AUH1</v>
          </cell>
          <cell r="Q410" t="str">
            <v>ARE</v>
          </cell>
          <cell r="R410" t="str">
            <v>FC109</v>
          </cell>
          <cell r="S410" t="str">
            <v>Day Shift</v>
          </cell>
          <cell r="T410">
            <v>99</v>
          </cell>
          <cell r="U410" t="str">
            <v>MENA_UAE_FC</v>
          </cell>
          <cell r="V410">
            <v>46257.323611111111</v>
          </cell>
          <cell r="W410">
            <v>46257.625</v>
          </cell>
          <cell r="X410">
            <v>46257.333333333336</v>
          </cell>
          <cell r="Y410">
            <v>46257.75</v>
          </cell>
          <cell r="AA410" t="str">
            <v>Scheduled</v>
          </cell>
          <cell r="AB410" t="str">
            <v>Present</v>
          </cell>
          <cell r="AC410" t="str">
            <v>Outbound</v>
          </cell>
          <cell r="AD410" t="str">
            <v>Sort - Batch</v>
          </cell>
          <cell r="AE410" t="str">
            <v>Sort</v>
          </cell>
          <cell r="AF410" t="str">
            <v>Tuesday</v>
          </cell>
          <cell r="AG410" t="str">
            <v>Wednesday</v>
          </cell>
          <cell r="AH410">
            <v>15</v>
          </cell>
          <cell r="AJ410">
            <v>45462</v>
          </cell>
          <cell r="AM410" t="str">
            <v>TEMP</v>
          </cell>
          <cell r="AN410" t="str">
            <v>3P Onsite Worker</v>
          </cell>
          <cell r="AO410" t="str">
            <v>A</v>
          </cell>
          <cell r="AP410">
            <v>9</v>
          </cell>
          <cell r="AQ410">
            <v>0</v>
          </cell>
          <cell r="AR410">
            <v>1</v>
          </cell>
          <cell r="AS410">
            <v>1</v>
          </cell>
          <cell r="AT410">
            <v>0</v>
          </cell>
          <cell r="AU410">
            <v>0</v>
          </cell>
        </row>
        <row r="411">
          <cell r="D411" t="str">
            <v>henrjora</v>
          </cell>
          <cell r="E411">
            <v>204011579</v>
          </cell>
          <cell r="F411" t="str">
            <v>A</v>
          </cell>
          <cell r="G411" t="str">
            <v>GREEN</v>
          </cell>
          <cell r="H411" t="str">
            <v>FULL_TIME</v>
          </cell>
          <cell r="I411">
            <v>900234</v>
          </cell>
          <cell r="J411" t="str">
            <v>Dulsco L.L.C.</v>
          </cell>
          <cell r="K411" t="str">
            <v>JORAM HENRY WONIALA</v>
          </cell>
          <cell r="L411" t="str">
            <v>Warehouse Associate (TEMP)</v>
          </cell>
          <cell r="M411" t="str">
            <v>Warehouse Associate 24M</v>
          </cell>
          <cell r="N411" t="str">
            <v>mnarshad</v>
          </cell>
          <cell r="O411">
            <v>1299</v>
          </cell>
          <cell r="P411" t="str">
            <v>AUH1</v>
          </cell>
          <cell r="Q411" t="str">
            <v>ARE</v>
          </cell>
          <cell r="R411" t="str">
            <v>LK016</v>
          </cell>
          <cell r="S411" t="str">
            <v>Night Shift</v>
          </cell>
          <cell r="T411">
            <v>99</v>
          </cell>
          <cell r="U411" t="str">
            <v>MENA_UAE_FC</v>
          </cell>
          <cell r="V411">
            <v>46257.756249999999</v>
          </cell>
          <cell r="X411">
            <v>46257.756944444445</v>
          </cell>
          <cell r="Y411">
            <v>46258.173611111109</v>
          </cell>
          <cell r="AA411" t="str">
            <v>Scheduled</v>
          </cell>
          <cell r="AB411" t="str">
            <v>Present</v>
          </cell>
          <cell r="AC411" t="str">
            <v>Outbound</v>
          </cell>
          <cell r="AD411" t="str">
            <v>Picking</v>
          </cell>
          <cell r="AE411" t="str">
            <v>Pick</v>
          </cell>
          <cell r="AF411" t="str">
            <v>Wednesday</v>
          </cell>
          <cell r="AG411" t="str">
            <v>Thursday</v>
          </cell>
          <cell r="AH411">
            <v>13</v>
          </cell>
          <cell r="AJ411">
            <v>45550</v>
          </cell>
          <cell r="AM411" t="str">
            <v>TEMP</v>
          </cell>
          <cell r="AN411" t="str">
            <v>3P Onsite Worker</v>
          </cell>
          <cell r="AO411" t="str">
            <v>A</v>
          </cell>
          <cell r="AP411">
            <v>9</v>
          </cell>
          <cell r="AQ411">
            <v>0</v>
          </cell>
          <cell r="AR411">
            <v>1</v>
          </cell>
          <cell r="AS411">
            <v>1</v>
          </cell>
          <cell r="AT411">
            <v>0</v>
          </cell>
          <cell r="AU411">
            <v>0</v>
          </cell>
        </row>
        <row r="412">
          <cell r="D412" t="str">
            <v>hethesak</v>
          </cell>
          <cell r="E412">
            <v>206937730</v>
          </cell>
          <cell r="F412" t="str">
            <v>A</v>
          </cell>
          <cell r="G412" t="str">
            <v>GREEN</v>
          </cell>
          <cell r="H412" t="str">
            <v>FULL_TIME</v>
          </cell>
          <cell r="I412">
            <v>900234</v>
          </cell>
          <cell r="J412" t="str">
            <v>Dulsco L.L.C.</v>
          </cell>
          <cell r="K412" t="str">
            <v>HETHERWICK SAKA NJATI</v>
          </cell>
          <cell r="L412" t="str">
            <v>Warehouse Associate (TEMP)</v>
          </cell>
          <cell r="M412" t="str">
            <v>Warehouse Associate 24M</v>
          </cell>
          <cell r="N412" t="str">
            <v>aanso</v>
          </cell>
          <cell r="O412">
            <v>1299</v>
          </cell>
          <cell r="P412" t="str">
            <v>AUH1</v>
          </cell>
          <cell r="Q412" t="str">
            <v>ARE</v>
          </cell>
          <cell r="R412" t="str">
            <v>FC109</v>
          </cell>
          <cell r="S412" t="str">
            <v>Day Shift</v>
          </cell>
          <cell r="T412">
            <v>99</v>
          </cell>
          <cell r="U412" t="str">
            <v>MENA_UAE_FC</v>
          </cell>
          <cell r="V412">
            <v>46257.331944444442</v>
          </cell>
          <cell r="W412">
            <v>46257.750694444447</v>
          </cell>
          <cell r="X412">
            <v>46257.333333333336</v>
          </cell>
          <cell r="Y412">
            <v>46257.75</v>
          </cell>
          <cell r="AA412" t="str">
            <v>Scheduled</v>
          </cell>
          <cell r="AB412" t="str">
            <v>Present</v>
          </cell>
          <cell r="AC412" t="str">
            <v>Customer returns</v>
          </cell>
          <cell r="AD412" t="str">
            <v>Customer Returns</v>
          </cell>
          <cell r="AE412" t="str">
            <v>Customer returns</v>
          </cell>
          <cell r="AF412" t="str">
            <v>Tuesday</v>
          </cell>
          <cell r="AG412" t="str">
            <v>Wednesday</v>
          </cell>
          <cell r="AH412">
            <v>22</v>
          </cell>
          <cell r="AJ412">
            <v>46047</v>
          </cell>
          <cell r="AM412" t="str">
            <v>TEMP</v>
          </cell>
          <cell r="AN412" t="str">
            <v>3P Onsite Worker</v>
          </cell>
          <cell r="AO412" t="str">
            <v>A</v>
          </cell>
          <cell r="AP412">
            <v>9</v>
          </cell>
          <cell r="AQ412">
            <v>0</v>
          </cell>
          <cell r="AR412">
            <v>1</v>
          </cell>
          <cell r="AS412">
            <v>1</v>
          </cell>
          <cell r="AT412">
            <v>0</v>
          </cell>
          <cell r="AU412">
            <v>0</v>
          </cell>
        </row>
        <row r="413">
          <cell r="D413" t="str">
            <v>hishkutt</v>
          </cell>
          <cell r="E413">
            <v>204373675</v>
          </cell>
          <cell r="F413" t="str">
            <v>A</v>
          </cell>
          <cell r="G413" t="str">
            <v>GREEN</v>
          </cell>
          <cell r="H413" t="str">
            <v>FULL_TIME</v>
          </cell>
          <cell r="I413">
            <v>900234</v>
          </cell>
          <cell r="J413" t="str">
            <v>Adecco</v>
          </cell>
          <cell r="K413" t="str">
            <v>Hisham Kutty</v>
          </cell>
          <cell r="L413" t="str">
            <v>Warehouse Associate (TEMP)</v>
          </cell>
          <cell r="M413" t="str">
            <v>Warehouse Associate 24M</v>
          </cell>
          <cell r="N413" t="str">
            <v>aanso</v>
          </cell>
          <cell r="O413">
            <v>1299</v>
          </cell>
          <cell r="P413" t="str">
            <v>AUH1</v>
          </cell>
          <cell r="Q413" t="str">
            <v>ARE</v>
          </cell>
          <cell r="R413" t="str">
            <v>FC009</v>
          </cell>
          <cell r="S413" t="str">
            <v>Day Shift</v>
          </cell>
          <cell r="T413">
            <v>99</v>
          </cell>
          <cell r="U413" t="str">
            <v>MENA_UAE_FC</v>
          </cell>
          <cell r="V413">
            <v>46257.332638888889</v>
          </cell>
          <cell r="W413">
            <v>46257.749305555553</v>
          </cell>
          <cell r="X413">
            <v>46257.333333333336</v>
          </cell>
          <cell r="Y413">
            <v>46257.75</v>
          </cell>
          <cell r="AA413" t="str">
            <v>Scheduled</v>
          </cell>
          <cell r="AB413" t="str">
            <v>Present</v>
          </cell>
          <cell r="AC413" t="str">
            <v>Customer returns</v>
          </cell>
          <cell r="AD413" t="str">
            <v>Customer Returns</v>
          </cell>
          <cell r="AE413" t="str">
            <v>Customer returns</v>
          </cell>
          <cell r="AF413" t="str">
            <v>Friday</v>
          </cell>
          <cell r="AG413" t="str">
            <v>Saturday</v>
          </cell>
          <cell r="AH413">
            <v>22</v>
          </cell>
          <cell r="AJ413">
            <v>45592</v>
          </cell>
          <cell r="AM413" t="str">
            <v>TEMP</v>
          </cell>
          <cell r="AN413" t="str">
            <v>3P Onsite Worker</v>
          </cell>
          <cell r="AO413" t="str">
            <v>A</v>
          </cell>
          <cell r="AP413">
            <v>9</v>
          </cell>
          <cell r="AQ413">
            <v>0</v>
          </cell>
          <cell r="AR413">
            <v>1</v>
          </cell>
          <cell r="AS413">
            <v>1</v>
          </cell>
          <cell r="AT413">
            <v>0</v>
          </cell>
          <cell r="AU413">
            <v>0</v>
          </cell>
        </row>
        <row r="414">
          <cell r="D414" t="str">
            <v>hissahza</v>
          </cell>
          <cell r="E414">
            <v>203521128</v>
          </cell>
          <cell r="F414" t="str">
            <v>A</v>
          </cell>
          <cell r="G414" t="str">
            <v>BLUE</v>
          </cell>
          <cell r="H414" t="str">
            <v>FULL_TIME</v>
          </cell>
          <cell r="I414" t="str">
            <v>P03231</v>
          </cell>
          <cell r="K414" t="str">
            <v>Zainab Issah</v>
          </cell>
          <cell r="L414" t="str">
            <v>FC Associate III</v>
          </cell>
          <cell r="M414" t="str">
            <v>Operations Supervisor</v>
          </cell>
          <cell r="N414" t="str">
            <v>nnahla</v>
          </cell>
          <cell r="O414">
            <v>1299</v>
          </cell>
          <cell r="P414" t="str">
            <v>AUH1</v>
          </cell>
          <cell r="Q414" t="str">
            <v>ARE</v>
          </cell>
          <cell r="R414" t="str">
            <v>FC134</v>
          </cell>
          <cell r="S414" t="str">
            <v>Day Shift</v>
          </cell>
          <cell r="T414">
            <v>3</v>
          </cell>
          <cell r="U414" t="str">
            <v>MENA_UAE_FC</v>
          </cell>
          <cell r="V414">
            <v>46257.326388888891</v>
          </cell>
          <cell r="W414">
            <v>46257.754166666666</v>
          </cell>
          <cell r="X414">
            <v>46257.333333333336</v>
          </cell>
          <cell r="Y414">
            <v>46257.75</v>
          </cell>
          <cell r="AA414" t="str">
            <v>Scheduled</v>
          </cell>
          <cell r="AB414" t="str">
            <v>Present</v>
          </cell>
          <cell r="AC414" t="str">
            <v>Inbound</v>
          </cell>
          <cell r="AD414" t="str">
            <v>IB Problem Solve</v>
          </cell>
          <cell r="AE414" t="str">
            <v>Receive</v>
          </cell>
          <cell r="AF414" t="str">
            <v>Wednesday</v>
          </cell>
          <cell r="AG414" t="str">
            <v>Thursday</v>
          </cell>
          <cell r="AH414">
            <v>6</v>
          </cell>
          <cell r="AJ414">
            <v>46110</v>
          </cell>
          <cell r="AM414" t="str">
            <v>FC</v>
          </cell>
          <cell r="AN414" t="str">
            <v>Regular Full Time</v>
          </cell>
          <cell r="AO414" t="str">
            <v>A</v>
          </cell>
          <cell r="AP414">
            <v>9</v>
          </cell>
          <cell r="AQ414">
            <v>0</v>
          </cell>
          <cell r="AR414">
            <v>1</v>
          </cell>
          <cell r="AS414">
            <v>1</v>
          </cell>
          <cell r="AT414">
            <v>0</v>
          </cell>
          <cell r="AU414">
            <v>0</v>
          </cell>
        </row>
        <row r="415">
          <cell r="D415" t="str">
            <v>hnkansah</v>
          </cell>
          <cell r="E415">
            <v>203512949</v>
          </cell>
          <cell r="F415" t="str">
            <v>A</v>
          </cell>
          <cell r="G415" t="str">
            <v>GREEN</v>
          </cell>
          <cell r="H415" t="str">
            <v>FULL_TIME</v>
          </cell>
          <cell r="I415">
            <v>900234</v>
          </cell>
          <cell r="J415" t="str">
            <v>Fastlink Outsourcing</v>
          </cell>
          <cell r="K415" t="str">
            <v>Harriet Nkansah</v>
          </cell>
          <cell r="L415" t="str">
            <v>Warehouse Associate (TEMP)</v>
          </cell>
          <cell r="M415" t="str">
            <v>Warehouse Associate 12M</v>
          </cell>
          <cell r="N415" t="str">
            <v>scariav</v>
          </cell>
          <cell r="O415">
            <v>1299</v>
          </cell>
          <cell r="P415" t="str">
            <v>AUH1</v>
          </cell>
          <cell r="Q415" t="str">
            <v>ARE</v>
          </cell>
          <cell r="R415" t="str">
            <v>LK017</v>
          </cell>
          <cell r="S415" t="str">
            <v>Night Shift</v>
          </cell>
          <cell r="T415">
            <v>99</v>
          </cell>
          <cell r="U415" t="str">
            <v>MENA_UAE_FC</v>
          </cell>
          <cell r="V415">
            <v>46257.756944444445</v>
          </cell>
          <cell r="X415">
            <v>46257.756944444445</v>
          </cell>
          <cell r="Y415">
            <v>46258.173611111109</v>
          </cell>
          <cell r="AA415" t="str">
            <v>Scheduled</v>
          </cell>
          <cell r="AB415" t="str">
            <v>Present</v>
          </cell>
          <cell r="AC415" t="str">
            <v>Outbound</v>
          </cell>
          <cell r="AD415" t="str">
            <v>Picking</v>
          </cell>
          <cell r="AE415" t="str">
            <v>Pick</v>
          </cell>
          <cell r="AF415" t="str">
            <v>Thursday</v>
          </cell>
          <cell r="AG415" t="str">
            <v>Friday</v>
          </cell>
          <cell r="AH415">
            <v>13</v>
          </cell>
          <cell r="AJ415">
            <v>45462</v>
          </cell>
          <cell r="AM415" t="str">
            <v>TEMP</v>
          </cell>
          <cell r="AN415" t="str">
            <v>3P Onsite Worker</v>
          </cell>
          <cell r="AO415" t="str">
            <v>A</v>
          </cell>
          <cell r="AP415">
            <v>9</v>
          </cell>
          <cell r="AQ415">
            <v>0</v>
          </cell>
          <cell r="AR415">
            <v>1</v>
          </cell>
          <cell r="AS415">
            <v>1</v>
          </cell>
          <cell r="AT415">
            <v>0</v>
          </cell>
          <cell r="AU415">
            <v>0</v>
          </cell>
        </row>
        <row r="416">
          <cell r="D416" t="str">
            <v>honoadan</v>
          </cell>
          <cell r="E416">
            <v>204246601</v>
          </cell>
          <cell r="F416" t="str">
            <v>A</v>
          </cell>
          <cell r="G416" t="str">
            <v>GREEN</v>
          </cell>
          <cell r="H416" t="str">
            <v>FULL_TIME</v>
          </cell>
          <cell r="I416">
            <v>900234</v>
          </cell>
          <cell r="J416" t="str">
            <v>Quesscorp</v>
          </cell>
          <cell r="K416" t="str">
            <v>Honorine Eyandong Adang</v>
          </cell>
          <cell r="L416" t="str">
            <v>Warehouse Associate (TEMP)</v>
          </cell>
          <cell r="M416" t="str">
            <v>Warehouse Associate 24M</v>
          </cell>
          <cell r="N416" t="str">
            <v>vkkatyal</v>
          </cell>
          <cell r="O416">
            <v>1299</v>
          </cell>
          <cell r="P416" t="str">
            <v>AUH1</v>
          </cell>
          <cell r="Q416" t="str">
            <v>ARE</v>
          </cell>
          <cell r="R416" t="str">
            <v>LK015</v>
          </cell>
          <cell r="S416" t="str">
            <v>Night Shift</v>
          </cell>
          <cell r="T416">
            <v>99</v>
          </cell>
          <cell r="U416" t="str">
            <v>MENA_UAE_FC</v>
          </cell>
          <cell r="V416">
            <v>46257.756249999999</v>
          </cell>
          <cell r="X416">
            <v>46257.756944444445</v>
          </cell>
          <cell r="Y416">
            <v>46258.173611111109</v>
          </cell>
          <cell r="AA416" t="str">
            <v>Scheduled</v>
          </cell>
          <cell r="AB416" t="str">
            <v>Present</v>
          </cell>
          <cell r="AC416" t="str">
            <v>Inbound</v>
          </cell>
          <cell r="AD416" t="str">
            <v>Inbound Stow</v>
          </cell>
          <cell r="AE416" t="str">
            <v>Stow</v>
          </cell>
          <cell r="AF416" t="str">
            <v>Tuesday</v>
          </cell>
          <cell r="AG416" t="str">
            <v>Wednesday</v>
          </cell>
          <cell r="AH416">
            <v>3</v>
          </cell>
          <cell r="AJ416">
            <v>45578</v>
          </cell>
          <cell r="AM416" t="str">
            <v>TEMP</v>
          </cell>
          <cell r="AN416" t="str">
            <v>3P Onsite Worker</v>
          </cell>
          <cell r="AO416" t="str">
            <v>A</v>
          </cell>
          <cell r="AP416">
            <v>9</v>
          </cell>
          <cell r="AQ416">
            <v>0</v>
          </cell>
          <cell r="AR416">
            <v>1</v>
          </cell>
          <cell r="AS416">
            <v>1</v>
          </cell>
          <cell r="AT416">
            <v>0</v>
          </cell>
          <cell r="AU416">
            <v>0</v>
          </cell>
        </row>
        <row r="417">
          <cell r="D417" t="str">
            <v>hossamdj</v>
          </cell>
          <cell r="E417">
            <v>205133783</v>
          </cell>
          <cell r="F417" t="str">
            <v>A</v>
          </cell>
          <cell r="G417" t="str">
            <v>GREEN</v>
          </cell>
          <cell r="H417" t="str">
            <v>FULL_TIME</v>
          </cell>
          <cell r="I417">
            <v>900234</v>
          </cell>
          <cell r="J417" t="str">
            <v>EFS Facilities Services</v>
          </cell>
          <cell r="K417" t="str">
            <v>MD Monir Hossain</v>
          </cell>
          <cell r="L417" t="str">
            <v>Warehouse Associate (TEMP)</v>
          </cell>
          <cell r="M417" t="str">
            <v>Warehouse Associate 8W</v>
          </cell>
          <cell r="N417" t="str">
            <v>helrashd</v>
          </cell>
          <cell r="O417">
            <v>1299</v>
          </cell>
          <cell r="P417" t="str">
            <v>AUH1</v>
          </cell>
          <cell r="Q417" t="str">
            <v>ARE</v>
          </cell>
          <cell r="R417" t="str">
            <v>FC084</v>
          </cell>
          <cell r="S417" t="str">
            <v>Day Shift</v>
          </cell>
          <cell r="T417">
            <v>99</v>
          </cell>
          <cell r="U417" t="str">
            <v>MENA_UAE_FC</v>
          </cell>
          <cell r="V417">
            <v>46257.331944444442</v>
          </cell>
          <cell r="W417">
            <v>46257.74722222222</v>
          </cell>
          <cell r="X417">
            <v>46257.333333333336</v>
          </cell>
          <cell r="Y417">
            <v>46257.75</v>
          </cell>
          <cell r="AA417" t="str">
            <v>Scheduled</v>
          </cell>
          <cell r="AB417" t="str">
            <v>Present</v>
          </cell>
          <cell r="AC417" t="str">
            <v>Outbound</v>
          </cell>
          <cell r="AD417" t="str">
            <v>Picking</v>
          </cell>
          <cell r="AE417" t="str">
            <v>Pick</v>
          </cell>
          <cell r="AF417" t="str">
            <v>Monday</v>
          </cell>
          <cell r="AG417" t="str">
            <v>Tuesday</v>
          </cell>
          <cell r="AH417">
            <v>13</v>
          </cell>
          <cell r="AJ417">
            <v>45756</v>
          </cell>
          <cell r="AM417" t="str">
            <v>TEMP</v>
          </cell>
          <cell r="AN417" t="str">
            <v>3P Onsite Worker</v>
          </cell>
          <cell r="AO417" t="str">
            <v>A</v>
          </cell>
          <cell r="AP417">
            <v>9</v>
          </cell>
          <cell r="AQ417">
            <v>0</v>
          </cell>
          <cell r="AR417">
            <v>1</v>
          </cell>
          <cell r="AS417">
            <v>1</v>
          </cell>
          <cell r="AT417">
            <v>0</v>
          </cell>
          <cell r="AU417">
            <v>0</v>
          </cell>
        </row>
        <row r="418">
          <cell r="D418" t="str">
            <v>hrenneaa</v>
          </cell>
          <cell r="E418">
            <v>203908339</v>
          </cell>
          <cell r="F418" t="str">
            <v>A</v>
          </cell>
          <cell r="G418" t="str">
            <v>GREEN</v>
          </cell>
          <cell r="H418" t="str">
            <v>FULL_TIME</v>
          </cell>
          <cell r="I418">
            <v>900234</v>
          </cell>
          <cell r="J418" t="str">
            <v>Fastlink Outsourcing</v>
          </cell>
          <cell r="K418" t="str">
            <v>Renne Assah Assah</v>
          </cell>
          <cell r="L418" t="str">
            <v>Warehouse Associate (TEMP)</v>
          </cell>
          <cell r="M418" t="str">
            <v>Warehouse Associate 12M</v>
          </cell>
          <cell r="N418" t="str">
            <v>ansammar</v>
          </cell>
          <cell r="O418">
            <v>1299</v>
          </cell>
          <cell r="P418" t="str">
            <v>AUH1</v>
          </cell>
          <cell r="Q418" t="str">
            <v>ARE</v>
          </cell>
          <cell r="R418" t="str">
            <v>FC084</v>
          </cell>
          <cell r="S418" t="str">
            <v>Day Shift</v>
          </cell>
          <cell r="T418">
            <v>99</v>
          </cell>
          <cell r="U418" t="str">
            <v>MENA_UAE_FC</v>
          </cell>
          <cell r="V418">
            <v>46257.332638888889</v>
          </cell>
          <cell r="W418">
            <v>46257.749305555553</v>
          </cell>
          <cell r="X418">
            <v>46257.333333333336</v>
          </cell>
          <cell r="Y418">
            <v>46257.75</v>
          </cell>
          <cell r="AA418" t="str">
            <v>Scheduled</v>
          </cell>
          <cell r="AB418" t="str">
            <v>Present</v>
          </cell>
          <cell r="AC418" t="str">
            <v>Outbound</v>
          </cell>
          <cell r="AD418" t="str">
            <v>Picking</v>
          </cell>
          <cell r="AE418" t="str">
            <v>Pick</v>
          </cell>
          <cell r="AF418" t="str">
            <v>Monday</v>
          </cell>
          <cell r="AG418" t="str">
            <v>Tuesday</v>
          </cell>
          <cell r="AH418">
            <v>13</v>
          </cell>
          <cell r="AJ418">
            <v>45536</v>
          </cell>
          <cell r="AM418" t="str">
            <v>TEMP</v>
          </cell>
          <cell r="AN418" t="str">
            <v>3P Onsite Worker</v>
          </cell>
          <cell r="AO418" t="str">
            <v>A</v>
          </cell>
          <cell r="AP418">
            <v>9</v>
          </cell>
          <cell r="AQ418">
            <v>0</v>
          </cell>
          <cell r="AR418">
            <v>1</v>
          </cell>
          <cell r="AS418">
            <v>1</v>
          </cell>
          <cell r="AT418">
            <v>0</v>
          </cell>
          <cell r="AU418">
            <v>0</v>
          </cell>
        </row>
        <row r="419">
          <cell r="D419" t="str">
            <v>huawais</v>
          </cell>
          <cell r="E419">
            <v>109808051</v>
          </cell>
          <cell r="F419" t="str">
            <v>A</v>
          </cell>
          <cell r="G419" t="str">
            <v>BLUE</v>
          </cell>
          <cell r="H419" t="str">
            <v>FULL_TIME</v>
          </cell>
          <cell r="I419" t="str">
            <v>P03251</v>
          </cell>
          <cell r="K419" t="str">
            <v>Awais Ali</v>
          </cell>
          <cell r="L419" t="str">
            <v>FC Associate I</v>
          </cell>
          <cell r="M419" t="str">
            <v>FC Associate I</v>
          </cell>
          <cell r="N419" t="str">
            <v>ansammar</v>
          </cell>
          <cell r="O419">
            <v>1299</v>
          </cell>
          <cell r="P419" t="str">
            <v>AUH1</v>
          </cell>
          <cell r="Q419" t="str">
            <v>ARE</v>
          </cell>
          <cell r="R419" t="str">
            <v>FC009</v>
          </cell>
          <cell r="S419" t="str">
            <v>Day Shift</v>
          </cell>
          <cell r="T419">
            <v>1</v>
          </cell>
          <cell r="U419" t="str">
            <v>MENA_UAE_FC</v>
          </cell>
          <cell r="V419">
            <v>46257.325694444444</v>
          </cell>
          <cell r="W419">
            <v>46257.75</v>
          </cell>
          <cell r="X419">
            <v>46257.333333333336</v>
          </cell>
          <cell r="Y419">
            <v>46257.75</v>
          </cell>
          <cell r="AA419" t="str">
            <v>Scheduled</v>
          </cell>
          <cell r="AB419" t="str">
            <v>Present</v>
          </cell>
          <cell r="AC419" t="str">
            <v>Outbound</v>
          </cell>
          <cell r="AD419" t="str">
            <v>OB Problem Solve</v>
          </cell>
          <cell r="AE419" t="str">
            <v>Pack</v>
          </cell>
          <cell r="AF419" t="str">
            <v>Friday</v>
          </cell>
          <cell r="AG419" t="str">
            <v>Saturday</v>
          </cell>
          <cell r="AH419">
            <v>20</v>
          </cell>
          <cell r="AJ419">
            <v>44874</v>
          </cell>
          <cell r="AM419" t="str">
            <v>FC</v>
          </cell>
          <cell r="AN419" t="str">
            <v>Regular Full Time</v>
          </cell>
          <cell r="AO419" t="str">
            <v>A</v>
          </cell>
          <cell r="AP419">
            <v>9</v>
          </cell>
          <cell r="AQ419">
            <v>0</v>
          </cell>
          <cell r="AR419">
            <v>1</v>
          </cell>
          <cell r="AS419">
            <v>1</v>
          </cell>
          <cell r="AT419">
            <v>0</v>
          </cell>
          <cell r="AU419">
            <v>0</v>
          </cell>
        </row>
        <row r="420">
          <cell r="D420" t="str">
            <v>huslssen</v>
          </cell>
          <cell r="E420">
            <v>206791445</v>
          </cell>
          <cell r="F420" t="str">
            <v>A</v>
          </cell>
          <cell r="G420" t="str">
            <v>GREEN</v>
          </cell>
          <cell r="H420" t="str">
            <v>FULL_TIME</v>
          </cell>
          <cell r="I420">
            <v>900234</v>
          </cell>
          <cell r="J420" t="str">
            <v>Dulsco L.L.C.</v>
          </cell>
          <cell r="K420" t="str">
            <v>HUSAMA SSENYONGA</v>
          </cell>
          <cell r="L420" t="str">
            <v>Warehouse Associate (TEMP)</v>
          </cell>
          <cell r="M420" t="str">
            <v>Warehouse Associate 8W</v>
          </cell>
          <cell r="N420" t="str">
            <v>vkkatyal</v>
          </cell>
          <cell r="O420">
            <v>1299</v>
          </cell>
          <cell r="P420" t="str">
            <v>AUH1</v>
          </cell>
          <cell r="Q420" t="str">
            <v>ARE</v>
          </cell>
          <cell r="R420" t="str">
            <v>FC059</v>
          </cell>
          <cell r="S420" t="str">
            <v>Day Shift</v>
          </cell>
          <cell r="T420">
            <v>99</v>
          </cell>
          <cell r="U420" t="str">
            <v>MENA_UAE_FC</v>
          </cell>
          <cell r="X420">
            <v>46257.333333333336</v>
          </cell>
          <cell r="Y420">
            <v>46257.75</v>
          </cell>
          <cell r="Z420" t="str">
            <v>Rest Day</v>
          </cell>
          <cell r="AA420" t="str">
            <v>Not Scheduled</v>
          </cell>
          <cell r="AB420" t="str">
            <v>Not Present</v>
          </cell>
          <cell r="AC420" t="str">
            <v>Inbound</v>
          </cell>
          <cell r="AD420" t="str">
            <v>Inbound Stow</v>
          </cell>
          <cell r="AE420" t="str">
            <v>Stow</v>
          </cell>
          <cell r="AF420" t="str">
            <v>Sunday</v>
          </cell>
          <cell r="AG420" t="str">
            <v>Monday</v>
          </cell>
          <cell r="AH420">
            <v>3</v>
          </cell>
          <cell r="AJ420">
            <v>45998</v>
          </cell>
          <cell r="AM420" t="str">
            <v>TEMP</v>
          </cell>
          <cell r="AN420" t="str">
            <v>3P Onsite Worker</v>
          </cell>
          <cell r="AO420" t="str">
            <v>A</v>
          </cell>
          <cell r="AP420">
            <v>9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</row>
        <row r="421">
          <cell r="D421" t="str">
            <v>huzamita</v>
          </cell>
          <cell r="E421">
            <v>206926479</v>
          </cell>
          <cell r="F421" t="str">
            <v>A</v>
          </cell>
          <cell r="G421" t="str">
            <v>GREEN</v>
          </cell>
          <cell r="H421" t="str">
            <v>FULL_TIME</v>
          </cell>
          <cell r="I421">
            <v>900234</v>
          </cell>
          <cell r="J421" t="str">
            <v>Dulsco L.L.C.</v>
          </cell>
          <cell r="K421" t="str">
            <v>HUZAIFAH MITALA</v>
          </cell>
          <cell r="L421" t="str">
            <v>Warehouse Associate (TEMP)</v>
          </cell>
          <cell r="M421" t="str">
            <v>Warehouse Associate 8W</v>
          </cell>
          <cell r="N421" t="str">
            <v>lraghava</v>
          </cell>
          <cell r="O421">
            <v>1299</v>
          </cell>
          <cell r="P421" t="str">
            <v>AUH1</v>
          </cell>
          <cell r="Q421" t="str">
            <v>ARE</v>
          </cell>
          <cell r="R421" t="str">
            <v>FC109</v>
          </cell>
          <cell r="S421" t="str">
            <v>Day Shift</v>
          </cell>
          <cell r="T421">
            <v>99</v>
          </cell>
          <cell r="U421" t="str">
            <v>MENA_UAE_FC</v>
          </cell>
          <cell r="V421">
            <v>46257.329861111109</v>
          </cell>
          <cell r="W421">
            <v>46257.745833333334</v>
          </cell>
          <cell r="X421">
            <v>46257.333333333336</v>
          </cell>
          <cell r="Y421">
            <v>46257.75</v>
          </cell>
          <cell r="AA421" t="str">
            <v>Scheduled</v>
          </cell>
          <cell r="AB421" t="str">
            <v>Present</v>
          </cell>
          <cell r="AC421" t="str">
            <v>Da</v>
          </cell>
          <cell r="AD421" t="str">
            <v>Transfer Out</v>
          </cell>
          <cell r="AE421" t="str">
            <v>Da</v>
          </cell>
          <cell r="AF421" t="str">
            <v>Tuesday</v>
          </cell>
          <cell r="AG421" t="str">
            <v>Wednesday</v>
          </cell>
          <cell r="AH421">
            <v>10</v>
          </cell>
          <cell r="AJ421">
            <v>46036</v>
          </cell>
          <cell r="AM421" t="str">
            <v>TEMP</v>
          </cell>
          <cell r="AN421" t="str">
            <v>3P Onsite Worker</v>
          </cell>
          <cell r="AO421" t="str">
            <v>A</v>
          </cell>
          <cell r="AP421">
            <v>9</v>
          </cell>
          <cell r="AQ421">
            <v>0</v>
          </cell>
          <cell r="AR421">
            <v>1</v>
          </cell>
          <cell r="AS421">
            <v>1</v>
          </cell>
          <cell r="AT421">
            <v>0</v>
          </cell>
          <cell r="AU421">
            <v>0</v>
          </cell>
        </row>
        <row r="422">
          <cell r="D422" t="str">
            <v>iahfrank</v>
          </cell>
          <cell r="E422">
            <v>203741324</v>
          </cell>
          <cell r="F422" t="str">
            <v>A</v>
          </cell>
          <cell r="G422" t="str">
            <v>GREEN</v>
          </cell>
          <cell r="H422" t="str">
            <v>FULL_TIME</v>
          </cell>
          <cell r="I422">
            <v>900234</v>
          </cell>
          <cell r="J422" t="str">
            <v>Fastlink Outsourcing</v>
          </cell>
          <cell r="K422" t="str">
            <v>FRANK AHEN</v>
          </cell>
          <cell r="L422" t="str">
            <v>Warehouse Associate (TEMP)</v>
          </cell>
          <cell r="M422" t="str">
            <v>Warehouse Associate 12M</v>
          </cell>
          <cell r="N422" t="str">
            <v>vkkatyal</v>
          </cell>
          <cell r="O422">
            <v>1299</v>
          </cell>
          <cell r="P422" t="str">
            <v>AUH1</v>
          </cell>
          <cell r="Q422" t="str">
            <v>ARE</v>
          </cell>
          <cell r="R422" t="str">
            <v>FC134</v>
          </cell>
          <cell r="S422" t="str">
            <v>Day Shift</v>
          </cell>
          <cell r="T422">
            <v>99</v>
          </cell>
          <cell r="U422" t="str">
            <v>MENA_UAE_FC</v>
          </cell>
          <cell r="V422">
            <v>46257.332638888889</v>
          </cell>
          <cell r="W422">
            <v>46257.753472222219</v>
          </cell>
          <cell r="X422">
            <v>46257.333333333336</v>
          </cell>
          <cell r="Y422">
            <v>46257.75</v>
          </cell>
          <cell r="AA422" t="str">
            <v>Scheduled</v>
          </cell>
          <cell r="AB422" t="str">
            <v>Present</v>
          </cell>
          <cell r="AC422" t="str">
            <v>Inbound</v>
          </cell>
          <cell r="AD422" t="str">
            <v>Inbound Stow</v>
          </cell>
          <cell r="AE422" t="str">
            <v>Stow</v>
          </cell>
          <cell r="AF422" t="str">
            <v>Wednesday</v>
          </cell>
          <cell r="AG422" t="str">
            <v>Thursday</v>
          </cell>
          <cell r="AH422">
            <v>3</v>
          </cell>
          <cell r="AJ422">
            <v>45501</v>
          </cell>
          <cell r="AM422" t="str">
            <v>TEMP</v>
          </cell>
          <cell r="AN422" t="str">
            <v>3P Onsite Worker</v>
          </cell>
          <cell r="AO422" t="str">
            <v>A</v>
          </cell>
          <cell r="AP422">
            <v>9</v>
          </cell>
          <cell r="AQ422">
            <v>0</v>
          </cell>
          <cell r="AR422">
            <v>1</v>
          </cell>
          <cell r="AS422">
            <v>1</v>
          </cell>
          <cell r="AT422">
            <v>0</v>
          </cell>
          <cell r="AU422">
            <v>0</v>
          </cell>
        </row>
        <row r="423">
          <cell r="D423" t="str">
            <v>ibramoro</v>
          </cell>
          <cell r="E423">
            <v>204967150</v>
          </cell>
          <cell r="F423" t="str">
            <v>A</v>
          </cell>
          <cell r="G423" t="str">
            <v>GREEN</v>
          </cell>
          <cell r="H423" t="str">
            <v>FULL_TIME</v>
          </cell>
          <cell r="I423">
            <v>900234</v>
          </cell>
          <cell r="J423" t="str">
            <v>Dulsco L.L.C.</v>
          </cell>
          <cell r="K423" t="str">
            <v>MORO IBRAHIM</v>
          </cell>
          <cell r="L423" t="str">
            <v>Warehouse Associate (TEMP)</v>
          </cell>
          <cell r="M423" t="str">
            <v>Warehouse Associate 24M</v>
          </cell>
          <cell r="N423" t="str">
            <v>vkkatyal</v>
          </cell>
          <cell r="O423">
            <v>1299</v>
          </cell>
          <cell r="P423" t="str">
            <v>AUH1</v>
          </cell>
          <cell r="Q423" t="str">
            <v>ARE</v>
          </cell>
          <cell r="R423" t="str">
            <v>FC059</v>
          </cell>
          <cell r="S423" t="str">
            <v>Day Shift</v>
          </cell>
          <cell r="T423">
            <v>99</v>
          </cell>
          <cell r="U423" t="str">
            <v>MENA_UAE_FC</v>
          </cell>
          <cell r="X423">
            <v>46257.333333333336</v>
          </cell>
          <cell r="Y423">
            <v>46257.75</v>
          </cell>
          <cell r="Z423" t="str">
            <v>Rest Day</v>
          </cell>
          <cell r="AA423" t="str">
            <v>Not Scheduled</v>
          </cell>
          <cell r="AB423" t="str">
            <v>Not Present</v>
          </cell>
          <cell r="AC423" t="str">
            <v>Inbound</v>
          </cell>
          <cell r="AD423" t="str">
            <v>Inbound Stow</v>
          </cell>
          <cell r="AE423" t="str">
            <v>Stow</v>
          </cell>
          <cell r="AF423" t="str">
            <v>Sunday</v>
          </cell>
          <cell r="AG423" t="str">
            <v>Monday</v>
          </cell>
          <cell r="AH423">
            <v>3</v>
          </cell>
          <cell r="AJ423">
            <v>45825</v>
          </cell>
          <cell r="AM423" t="str">
            <v>TEMP</v>
          </cell>
          <cell r="AN423" t="str">
            <v>3P Onsite Worker</v>
          </cell>
          <cell r="AO423" t="str">
            <v>A</v>
          </cell>
          <cell r="AP423">
            <v>9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</row>
        <row r="424">
          <cell r="D424" t="str">
            <v>ibranuru</v>
          </cell>
          <cell r="E424">
            <v>206129262</v>
          </cell>
          <cell r="F424" t="str">
            <v>A</v>
          </cell>
          <cell r="G424" t="str">
            <v>GREEN</v>
          </cell>
          <cell r="H424" t="str">
            <v>FULL_TIME</v>
          </cell>
          <cell r="I424">
            <v>900234</v>
          </cell>
          <cell r="J424" t="str">
            <v>Fastlink Outsourcing</v>
          </cell>
          <cell r="K424" t="str">
            <v>Nurudeen Ibrahim</v>
          </cell>
          <cell r="L424" t="str">
            <v>Warehouse Associate (TEMP)</v>
          </cell>
          <cell r="M424" t="str">
            <v>Warehouse Associate 12M</v>
          </cell>
          <cell r="N424" t="str">
            <v>ansammar</v>
          </cell>
          <cell r="O424">
            <v>1299</v>
          </cell>
          <cell r="P424" t="str">
            <v>AUH1</v>
          </cell>
          <cell r="Q424" t="str">
            <v>ARE</v>
          </cell>
          <cell r="R424" t="str">
            <v>FC084</v>
          </cell>
          <cell r="S424" t="str">
            <v>Day Shift</v>
          </cell>
          <cell r="T424">
            <v>99</v>
          </cell>
          <cell r="U424" t="str">
            <v>MENA_UAE_FC</v>
          </cell>
          <cell r="V424">
            <v>46257.329861111109</v>
          </cell>
          <cell r="W424">
            <v>46257.749305555553</v>
          </cell>
          <cell r="X424">
            <v>46257.333333333336</v>
          </cell>
          <cell r="Y424">
            <v>46257.75</v>
          </cell>
          <cell r="AA424" t="str">
            <v>Scheduled</v>
          </cell>
          <cell r="AB424" t="str">
            <v>Present</v>
          </cell>
          <cell r="AC424" t="str">
            <v>Outbound</v>
          </cell>
          <cell r="AD424" t="str">
            <v>Picking</v>
          </cell>
          <cell r="AE424" t="str">
            <v>Pick</v>
          </cell>
          <cell r="AF424" t="str">
            <v>Monday</v>
          </cell>
          <cell r="AG424" t="str">
            <v>Tuesday</v>
          </cell>
          <cell r="AH424">
            <v>13</v>
          </cell>
          <cell r="AJ424">
            <v>45928</v>
          </cell>
          <cell r="AM424" t="str">
            <v>TEMP</v>
          </cell>
          <cell r="AN424" t="str">
            <v>3P Onsite Worker</v>
          </cell>
          <cell r="AO424" t="str">
            <v>A</v>
          </cell>
          <cell r="AP424">
            <v>9</v>
          </cell>
          <cell r="AQ424">
            <v>0</v>
          </cell>
          <cell r="AR424">
            <v>1</v>
          </cell>
          <cell r="AS424">
            <v>1</v>
          </cell>
          <cell r="AT424">
            <v>0</v>
          </cell>
          <cell r="AU424">
            <v>0</v>
          </cell>
        </row>
        <row r="425">
          <cell r="D425" t="str">
            <v>ibratuha</v>
          </cell>
          <cell r="E425">
            <v>206846115</v>
          </cell>
          <cell r="F425" t="str">
            <v>A</v>
          </cell>
          <cell r="G425" t="str">
            <v>GREEN</v>
          </cell>
          <cell r="H425" t="str">
            <v>FULL_TIME</v>
          </cell>
          <cell r="I425">
            <v>900234</v>
          </cell>
          <cell r="J425" t="str">
            <v>Dulsco L.L.C.</v>
          </cell>
          <cell r="K425" t="str">
            <v>IBRAHIM ATUHAIRWE</v>
          </cell>
          <cell r="L425" t="str">
            <v>Warehouse Associate (TEMP)</v>
          </cell>
          <cell r="M425" t="str">
            <v>Warehouse Associate 8W</v>
          </cell>
          <cell r="N425" t="str">
            <v>vkkatyal</v>
          </cell>
          <cell r="O425">
            <v>1299</v>
          </cell>
          <cell r="P425" t="str">
            <v>AUH1</v>
          </cell>
          <cell r="Q425" t="str">
            <v>ARE</v>
          </cell>
          <cell r="R425" t="str">
            <v>LK013</v>
          </cell>
          <cell r="S425" t="str">
            <v>Night Shift</v>
          </cell>
          <cell r="T425">
            <v>99</v>
          </cell>
          <cell r="U425" t="str">
            <v>MENA_UAE_FC</v>
          </cell>
          <cell r="V425">
            <v>46257.754166666666</v>
          </cell>
          <cell r="X425">
            <v>46257.756944444445</v>
          </cell>
          <cell r="Y425">
            <v>46258.173611111109</v>
          </cell>
          <cell r="AA425" t="str">
            <v>Scheduled</v>
          </cell>
          <cell r="AB425" t="str">
            <v>Present</v>
          </cell>
          <cell r="AC425" t="str">
            <v>Inbound</v>
          </cell>
          <cell r="AD425" t="str">
            <v>Inbound Stow</v>
          </cell>
          <cell r="AE425" t="str">
            <v>Stow</v>
          </cell>
          <cell r="AF425" t="str">
            <v>Sunday</v>
          </cell>
          <cell r="AG425" t="str">
            <v>Monday</v>
          </cell>
          <cell r="AH425">
            <v>3</v>
          </cell>
          <cell r="AJ425">
            <v>46012</v>
          </cell>
          <cell r="AM425" t="str">
            <v>TEMP</v>
          </cell>
          <cell r="AN425" t="str">
            <v>3P Onsite Worker</v>
          </cell>
          <cell r="AO425" t="str">
            <v>A</v>
          </cell>
          <cell r="AP425">
            <v>9</v>
          </cell>
          <cell r="AQ425">
            <v>0</v>
          </cell>
          <cell r="AR425">
            <v>1</v>
          </cell>
          <cell r="AS425">
            <v>1</v>
          </cell>
          <cell r="AT425">
            <v>0</v>
          </cell>
          <cell r="AU425">
            <v>0</v>
          </cell>
        </row>
        <row r="426">
          <cell r="D426" t="str">
            <v>ibrnafig</v>
          </cell>
          <cell r="E426">
            <v>205938163</v>
          </cell>
          <cell r="F426" t="str">
            <v>A</v>
          </cell>
          <cell r="G426" t="str">
            <v>GREEN</v>
          </cell>
          <cell r="H426" t="str">
            <v>FULL_TIME</v>
          </cell>
          <cell r="I426">
            <v>900234</v>
          </cell>
          <cell r="J426" t="str">
            <v>EFS Facilities Services</v>
          </cell>
          <cell r="K426" t="str">
            <v>Nafiu Ibrahim</v>
          </cell>
          <cell r="L426" t="str">
            <v>Warehouse Associate (TEMP)</v>
          </cell>
          <cell r="M426" t="str">
            <v>Warehouse Associate 8W</v>
          </cell>
          <cell r="N426" t="str">
            <v>mnarshad</v>
          </cell>
          <cell r="O426">
            <v>1299</v>
          </cell>
          <cell r="P426" t="str">
            <v>AUH1</v>
          </cell>
          <cell r="Q426" t="str">
            <v>ARE</v>
          </cell>
          <cell r="R426" t="str">
            <v>LK013</v>
          </cell>
          <cell r="S426" t="str">
            <v>Night Shift</v>
          </cell>
          <cell r="T426">
            <v>99</v>
          </cell>
          <cell r="U426" t="str">
            <v>MENA_UAE_FC</v>
          </cell>
          <cell r="X426">
            <v>46257.756944444445</v>
          </cell>
          <cell r="Y426">
            <v>46258.173611111109</v>
          </cell>
          <cell r="Z426" t="str">
            <v>Rest Day</v>
          </cell>
          <cell r="AA426" t="str">
            <v>Not Scheduled</v>
          </cell>
          <cell r="AB426" t="str">
            <v>Not Present</v>
          </cell>
          <cell r="AC426" t="str">
            <v>Outbound</v>
          </cell>
          <cell r="AD426" t="str">
            <v>Picking</v>
          </cell>
          <cell r="AE426" t="str">
            <v>Pick</v>
          </cell>
          <cell r="AF426" t="str">
            <v>Sunday</v>
          </cell>
          <cell r="AG426" t="str">
            <v>Monday</v>
          </cell>
          <cell r="AH426">
            <v>13</v>
          </cell>
          <cell r="AJ426">
            <v>45907</v>
          </cell>
          <cell r="AM426" t="str">
            <v>TEMP</v>
          </cell>
          <cell r="AN426" t="str">
            <v>3P Onsite Worker</v>
          </cell>
          <cell r="AO426" t="str">
            <v>A</v>
          </cell>
          <cell r="AP426">
            <v>9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</row>
        <row r="427">
          <cell r="D427" t="str">
            <v>iddabdud</v>
          </cell>
          <cell r="E427">
            <v>204864408</v>
          </cell>
          <cell r="F427" t="str">
            <v>A</v>
          </cell>
          <cell r="G427" t="str">
            <v>GREEN</v>
          </cell>
          <cell r="H427" t="str">
            <v>FULL_TIME</v>
          </cell>
          <cell r="I427">
            <v>900234</v>
          </cell>
          <cell r="J427" t="str">
            <v>Dulsco L.L.C.</v>
          </cell>
          <cell r="K427" t="str">
            <v>ABDUL MALIK IDDRISU</v>
          </cell>
          <cell r="L427" t="str">
            <v>Warehouse Associate (TEMP)</v>
          </cell>
          <cell r="M427" t="str">
            <v>Warehouse Associate 8W</v>
          </cell>
          <cell r="N427" t="str">
            <v>aanso</v>
          </cell>
          <cell r="O427">
            <v>1299</v>
          </cell>
          <cell r="P427" t="str">
            <v>AUH1</v>
          </cell>
          <cell r="Q427" t="str">
            <v>ARE</v>
          </cell>
          <cell r="R427" t="str">
            <v>LK013</v>
          </cell>
          <cell r="S427" t="str">
            <v>Night Shift</v>
          </cell>
          <cell r="T427">
            <v>99</v>
          </cell>
          <cell r="U427" t="str">
            <v>MENA_UAE_FC</v>
          </cell>
          <cell r="X427">
            <v>46257.756944444445</v>
          </cell>
          <cell r="Y427">
            <v>46258.173611111109</v>
          </cell>
          <cell r="Z427" t="str">
            <v>Rest Day</v>
          </cell>
          <cell r="AA427" t="str">
            <v>Not Scheduled</v>
          </cell>
          <cell r="AB427" t="str">
            <v>Not Present</v>
          </cell>
          <cell r="AC427" t="str">
            <v>Customer returns</v>
          </cell>
          <cell r="AD427" t="str">
            <v>Customer Returns</v>
          </cell>
          <cell r="AE427" t="str">
            <v>Customer returns</v>
          </cell>
          <cell r="AF427" t="str">
            <v>Sunday</v>
          </cell>
          <cell r="AG427" t="str">
            <v>Monday</v>
          </cell>
          <cell r="AH427">
            <v>22</v>
          </cell>
          <cell r="AJ427">
            <v>45683</v>
          </cell>
          <cell r="AM427" t="str">
            <v>TEMP</v>
          </cell>
          <cell r="AN427" t="str">
            <v>3P Onsite Worker</v>
          </cell>
          <cell r="AO427" t="str">
            <v>A</v>
          </cell>
          <cell r="AP427">
            <v>9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</row>
        <row r="428">
          <cell r="D428" t="str">
            <v>ikeharsa</v>
          </cell>
          <cell r="E428">
            <v>203736776</v>
          </cell>
          <cell r="F428" t="str">
            <v>A</v>
          </cell>
          <cell r="G428" t="str">
            <v>GREEN</v>
          </cell>
          <cell r="H428" t="str">
            <v>FULL_TIME</v>
          </cell>
          <cell r="I428">
            <v>900234</v>
          </cell>
          <cell r="J428" t="str">
            <v>Adecco</v>
          </cell>
          <cell r="K428" t="str">
            <v>Kehar Sing</v>
          </cell>
          <cell r="L428" t="str">
            <v>Warehouse Associate (TEMP)</v>
          </cell>
          <cell r="M428" t="str">
            <v>Warehouse Associate 24M</v>
          </cell>
          <cell r="N428" t="str">
            <v>nnahla</v>
          </cell>
          <cell r="O428">
            <v>1299</v>
          </cell>
          <cell r="P428" t="str">
            <v>AUH1</v>
          </cell>
          <cell r="Q428" t="str">
            <v>ARE</v>
          </cell>
          <cell r="R428" t="str">
            <v>LK017</v>
          </cell>
          <cell r="S428" t="str">
            <v>Night Shift</v>
          </cell>
          <cell r="T428">
            <v>99</v>
          </cell>
          <cell r="U428" t="str">
            <v>MENA_UAE_FC</v>
          </cell>
          <cell r="V428">
            <v>46257.754166666666</v>
          </cell>
          <cell r="X428">
            <v>46257.756944444445</v>
          </cell>
          <cell r="Y428">
            <v>46258.173611111109</v>
          </cell>
          <cell r="AA428" t="str">
            <v>Scheduled</v>
          </cell>
          <cell r="AB428" t="str">
            <v>Present</v>
          </cell>
          <cell r="AC428" t="str">
            <v>Inbound</v>
          </cell>
          <cell r="AD428" t="str">
            <v>Inbound Stow</v>
          </cell>
          <cell r="AE428" t="str">
            <v>Stow</v>
          </cell>
          <cell r="AF428" t="str">
            <v>Thursday</v>
          </cell>
          <cell r="AG428" t="str">
            <v>Friday</v>
          </cell>
          <cell r="AH428">
            <v>3</v>
          </cell>
          <cell r="AJ428">
            <v>45501</v>
          </cell>
          <cell r="AM428" t="str">
            <v>TEMP</v>
          </cell>
          <cell r="AN428" t="str">
            <v>3P Onsite Worker</v>
          </cell>
          <cell r="AO428" t="str">
            <v>A</v>
          </cell>
          <cell r="AP428">
            <v>9</v>
          </cell>
          <cell r="AQ428">
            <v>0</v>
          </cell>
          <cell r="AR428">
            <v>1</v>
          </cell>
          <cell r="AS428">
            <v>1</v>
          </cell>
          <cell r="AT428">
            <v>0</v>
          </cell>
          <cell r="AU428">
            <v>0</v>
          </cell>
        </row>
        <row r="429">
          <cell r="D429" t="str">
            <v>ikitusyl</v>
          </cell>
          <cell r="E429">
            <v>206886516</v>
          </cell>
          <cell r="F429" t="str">
            <v>A</v>
          </cell>
          <cell r="G429" t="str">
            <v>GREEN</v>
          </cell>
          <cell r="H429" t="str">
            <v>REDUCED</v>
          </cell>
          <cell r="I429">
            <v>900234</v>
          </cell>
          <cell r="J429" t="str">
            <v>EFS Facilities Services</v>
          </cell>
          <cell r="K429" t="str">
            <v>SYLYN KITUR</v>
          </cell>
          <cell r="L429" t="str">
            <v>Warehouse Associate (TEMP)</v>
          </cell>
          <cell r="M429" t="str">
            <v>Warehouse Associate 8W</v>
          </cell>
          <cell r="N429" t="str">
            <v>bizthoma</v>
          </cell>
          <cell r="O429">
            <v>1299</v>
          </cell>
          <cell r="P429" t="str">
            <v>AUH1</v>
          </cell>
          <cell r="Q429" t="str">
            <v>ARE</v>
          </cell>
          <cell r="R429" t="str">
            <v>FC555</v>
          </cell>
          <cell r="S429" t="str">
            <v>Night Shift</v>
          </cell>
          <cell r="T429">
            <v>99</v>
          </cell>
          <cell r="U429" t="str">
            <v>MENA_UAE_FC</v>
          </cell>
          <cell r="V429">
            <v>46257.756944444445</v>
          </cell>
          <cell r="X429">
            <v>46257.756944444445</v>
          </cell>
          <cell r="Y429">
            <v>46258.090277777781</v>
          </cell>
          <cell r="AA429" t="str">
            <v>Scheduled</v>
          </cell>
          <cell r="AB429" t="str">
            <v>Present</v>
          </cell>
          <cell r="AC429" t="str">
            <v>Outbound</v>
          </cell>
          <cell r="AD429" t="str">
            <v>Pack - Batch</v>
          </cell>
          <cell r="AE429" t="str">
            <v>Pack</v>
          </cell>
          <cell r="AF429" t="str">
            <v>Monday</v>
          </cell>
          <cell r="AG429" t="str">
            <v>Tuesday</v>
          </cell>
          <cell r="AH429">
            <v>17</v>
          </cell>
          <cell r="AJ429">
            <v>46251</v>
          </cell>
          <cell r="AM429" t="str">
            <v>TEMP</v>
          </cell>
          <cell r="AN429" t="str">
            <v>3P Onsite Worker</v>
          </cell>
          <cell r="AO429" t="str">
            <v>A</v>
          </cell>
          <cell r="AP429">
            <v>7</v>
          </cell>
          <cell r="AQ429">
            <v>0</v>
          </cell>
          <cell r="AR429">
            <v>1</v>
          </cell>
          <cell r="AS429">
            <v>1</v>
          </cell>
          <cell r="AT429">
            <v>0</v>
          </cell>
          <cell r="AU429">
            <v>0</v>
          </cell>
        </row>
        <row r="430">
          <cell r="D430" t="str">
            <v>ikomhari</v>
          </cell>
          <cell r="E430">
            <v>206015673</v>
          </cell>
          <cell r="F430" t="str">
            <v>A</v>
          </cell>
          <cell r="G430" t="str">
            <v>GREEN</v>
          </cell>
          <cell r="H430" t="str">
            <v>FULL_TIME</v>
          </cell>
          <cell r="I430">
            <v>900234</v>
          </cell>
          <cell r="J430" t="str">
            <v>Fastlink Outsourcing</v>
          </cell>
          <cell r="K430" t="str">
            <v>Harikia Ikome Mbah</v>
          </cell>
          <cell r="L430" t="str">
            <v>Warehouse Associate (TEMP)</v>
          </cell>
          <cell r="M430" t="str">
            <v>Warehouse Associate 8W</v>
          </cell>
          <cell r="N430" t="str">
            <v>aanso</v>
          </cell>
          <cell r="O430">
            <v>1299</v>
          </cell>
          <cell r="P430" t="str">
            <v>AUH1</v>
          </cell>
          <cell r="Q430" t="str">
            <v>ARE</v>
          </cell>
          <cell r="R430" t="str">
            <v>FC034</v>
          </cell>
          <cell r="S430" t="str">
            <v>Day Shift</v>
          </cell>
          <cell r="T430">
            <v>99</v>
          </cell>
          <cell r="U430" t="str">
            <v>MENA_UAE_FC</v>
          </cell>
          <cell r="X430">
            <v>46257.333333333336</v>
          </cell>
          <cell r="Y430">
            <v>46257.75</v>
          </cell>
          <cell r="Z430" t="str">
            <v>Rest Day</v>
          </cell>
          <cell r="AA430" t="str">
            <v>Not Scheduled</v>
          </cell>
          <cell r="AB430" t="str">
            <v>Not Present</v>
          </cell>
          <cell r="AC430" t="str">
            <v>Customer returns</v>
          </cell>
          <cell r="AD430" t="str">
            <v>Customer Returns</v>
          </cell>
          <cell r="AE430" t="str">
            <v>Customer returns</v>
          </cell>
          <cell r="AF430" t="str">
            <v>Saturday</v>
          </cell>
          <cell r="AG430" t="str">
            <v>Sunday</v>
          </cell>
          <cell r="AH430">
            <v>22</v>
          </cell>
          <cell r="AJ430">
            <v>45914</v>
          </cell>
          <cell r="AM430" t="str">
            <v>TEMP</v>
          </cell>
          <cell r="AN430" t="str">
            <v>3P Onsite Worker</v>
          </cell>
          <cell r="AO430" t="str">
            <v>A</v>
          </cell>
          <cell r="AP430">
            <v>9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</row>
        <row r="431">
          <cell r="D431" t="str">
            <v>imkinobe</v>
          </cell>
          <cell r="E431">
            <v>206850965</v>
          </cell>
          <cell r="F431" t="str">
            <v>A</v>
          </cell>
          <cell r="G431" t="str">
            <v>GREEN</v>
          </cell>
          <cell r="H431" t="str">
            <v>FULL_TIME</v>
          </cell>
          <cell r="I431">
            <v>900234</v>
          </cell>
          <cell r="J431" t="str">
            <v>Dulsco L.L.C.</v>
          </cell>
          <cell r="K431" t="str">
            <v>MUHAMMAD KINOBE</v>
          </cell>
          <cell r="L431" t="str">
            <v>Warehouse Associate (TEMP)</v>
          </cell>
          <cell r="M431" t="str">
            <v>Warehouse Associate 8W</v>
          </cell>
          <cell r="N431" t="str">
            <v>ansammar</v>
          </cell>
          <cell r="O431">
            <v>1299</v>
          </cell>
          <cell r="P431" t="str">
            <v>AUH1</v>
          </cell>
          <cell r="Q431" t="str">
            <v>ARE</v>
          </cell>
          <cell r="R431" t="str">
            <v>FC009</v>
          </cell>
          <cell r="S431" t="str">
            <v>Day Shift</v>
          </cell>
          <cell r="T431">
            <v>99</v>
          </cell>
          <cell r="U431" t="str">
            <v>MENA_UAE_FC</v>
          </cell>
          <cell r="V431">
            <v>46257.331250000003</v>
          </cell>
          <cell r="W431">
            <v>46257.748611111114</v>
          </cell>
          <cell r="X431">
            <v>46257.333333333336</v>
          </cell>
          <cell r="Y431">
            <v>46257.75</v>
          </cell>
          <cell r="AA431" t="str">
            <v>Scheduled</v>
          </cell>
          <cell r="AB431" t="str">
            <v>Present</v>
          </cell>
          <cell r="AC431" t="str">
            <v>Outbound</v>
          </cell>
          <cell r="AD431" t="str">
            <v>Picking</v>
          </cell>
          <cell r="AE431" t="str">
            <v>Pick</v>
          </cell>
          <cell r="AF431" t="str">
            <v>Friday</v>
          </cell>
          <cell r="AG431" t="str">
            <v>Saturday</v>
          </cell>
          <cell r="AH431">
            <v>13</v>
          </cell>
          <cell r="AJ431">
            <v>46012</v>
          </cell>
          <cell r="AM431" t="str">
            <v>TEMP</v>
          </cell>
          <cell r="AN431" t="str">
            <v>3P Onsite Worker</v>
          </cell>
          <cell r="AO431" t="str">
            <v>A</v>
          </cell>
          <cell r="AP431">
            <v>9</v>
          </cell>
          <cell r="AQ431">
            <v>0</v>
          </cell>
          <cell r="AR431">
            <v>1</v>
          </cell>
          <cell r="AS431">
            <v>1</v>
          </cell>
          <cell r="AT431">
            <v>0</v>
          </cell>
          <cell r="AU431">
            <v>0</v>
          </cell>
        </row>
        <row r="432">
          <cell r="D432" t="str">
            <v>immasere</v>
          </cell>
          <cell r="E432">
            <v>205845295</v>
          </cell>
          <cell r="F432" t="str">
            <v>A</v>
          </cell>
          <cell r="G432" t="str">
            <v>GREEN</v>
          </cell>
          <cell r="H432" t="str">
            <v>FULL_TIME</v>
          </cell>
          <cell r="I432">
            <v>900234</v>
          </cell>
          <cell r="J432" t="str">
            <v>Dulsco L.L.C.</v>
          </cell>
          <cell r="K432" t="str">
            <v>MORIS MASEREKA</v>
          </cell>
          <cell r="L432" t="str">
            <v>Warehouse Associate (TEMP)</v>
          </cell>
          <cell r="M432" t="str">
            <v>Warehouse Associate 8W</v>
          </cell>
          <cell r="N432" t="str">
            <v>bizthoma</v>
          </cell>
          <cell r="O432">
            <v>1299</v>
          </cell>
          <cell r="P432" t="str">
            <v>AUH1</v>
          </cell>
          <cell r="Q432" t="str">
            <v>ARE</v>
          </cell>
          <cell r="R432" t="str">
            <v>LK015</v>
          </cell>
          <cell r="S432" t="str">
            <v>Night Shift</v>
          </cell>
          <cell r="T432">
            <v>99</v>
          </cell>
          <cell r="U432" t="str">
            <v>MENA_UAE_FC</v>
          </cell>
          <cell r="V432">
            <v>46257.756249999999</v>
          </cell>
          <cell r="X432">
            <v>46257.756944444445</v>
          </cell>
          <cell r="Y432">
            <v>46258.173611111109</v>
          </cell>
          <cell r="AA432" t="str">
            <v>Scheduled</v>
          </cell>
          <cell r="AB432" t="str">
            <v>Present</v>
          </cell>
          <cell r="AC432" t="str">
            <v>Outbound</v>
          </cell>
          <cell r="AD432" t="str">
            <v>Pack - Batch</v>
          </cell>
          <cell r="AE432" t="str">
            <v>Pack</v>
          </cell>
          <cell r="AF432" t="str">
            <v>Tuesday</v>
          </cell>
          <cell r="AG432" t="str">
            <v>Wednesday</v>
          </cell>
          <cell r="AH432">
            <v>17</v>
          </cell>
          <cell r="AJ432">
            <v>45893</v>
          </cell>
          <cell r="AM432" t="str">
            <v>TEMP</v>
          </cell>
          <cell r="AN432" t="str">
            <v>3P Onsite Worker</v>
          </cell>
          <cell r="AO432" t="str">
            <v>A</v>
          </cell>
          <cell r="AP432">
            <v>9</v>
          </cell>
          <cell r="AQ432">
            <v>0</v>
          </cell>
          <cell r="AR432">
            <v>1</v>
          </cell>
          <cell r="AS432">
            <v>1</v>
          </cell>
          <cell r="AT432">
            <v>0</v>
          </cell>
          <cell r="AU432">
            <v>0</v>
          </cell>
        </row>
        <row r="433">
          <cell r="D433" t="str">
            <v>inkooder</v>
          </cell>
          <cell r="E433">
            <v>204246170</v>
          </cell>
          <cell r="F433" t="str">
            <v>A</v>
          </cell>
          <cell r="G433" t="str">
            <v>GREEN</v>
          </cell>
          <cell r="H433" t="str">
            <v>FULL_TIME</v>
          </cell>
          <cell r="I433">
            <v>900234</v>
          </cell>
          <cell r="J433" t="str">
            <v>Quesscorp</v>
          </cell>
          <cell r="K433" t="str">
            <v>Derrick Inkoom</v>
          </cell>
          <cell r="L433" t="str">
            <v>Warehouse Associate (TEMP)</v>
          </cell>
          <cell r="M433" t="str">
            <v>Warehouse Associate 24M</v>
          </cell>
          <cell r="N433" t="str">
            <v>vkkatyal</v>
          </cell>
          <cell r="O433">
            <v>1299</v>
          </cell>
          <cell r="P433" t="str">
            <v>AUH1</v>
          </cell>
          <cell r="Q433" t="str">
            <v>ARE</v>
          </cell>
          <cell r="R433" t="str">
            <v>LK016</v>
          </cell>
          <cell r="S433" t="str">
            <v>Night Shift</v>
          </cell>
          <cell r="T433">
            <v>99</v>
          </cell>
          <cell r="U433" t="str">
            <v>MENA_UAE_FC</v>
          </cell>
          <cell r="V433">
            <v>46257.755555555559</v>
          </cell>
          <cell r="X433">
            <v>46257.756944444445</v>
          </cell>
          <cell r="Y433">
            <v>46258.173611111109</v>
          </cell>
          <cell r="AA433" t="str">
            <v>Scheduled</v>
          </cell>
          <cell r="AB433" t="str">
            <v>Present</v>
          </cell>
          <cell r="AC433" t="str">
            <v>Inbound</v>
          </cell>
          <cell r="AD433" t="str">
            <v>Inbound Stow</v>
          </cell>
          <cell r="AE433" t="str">
            <v>Stow</v>
          </cell>
          <cell r="AF433" t="str">
            <v>Wednesday</v>
          </cell>
          <cell r="AG433" t="str">
            <v>Thursday</v>
          </cell>
          <cell r="AH433">
            <v>3</v>
          </cell>
          <cell r="AJ433">
            <v>45578</v>
          </cell>
          <cell r="AM433" t="str">
            <v>TEMP</v>
          </cell>
          <cell r="AN433" t="str">
            <v>3P Onsite Worker</v>
          </cell>
          <cell r="AO433" t="str">
            <v>A</v>
          </cell>
          <cell r="AP433">
            <v>9</v>
          </cell>
          <cell r="AQ433">
            <v>0</v>
          </cell>
          <cell r="AR433">
            <v>1</v>
          </cell>
          <cell r="AS433">
            <v>1</v>
          </cell>
          <cell r="AT433">
            <v>0</v>
          </cell>
          <cell r="AU433">
            <v>0</v>
          </cell>
        </row>
        <row r="434">
          <cell r="D434" t="str">
            <v>innamany</v>
          </cell>
          <cell r="E434">
            <v>204072304</v>
          </cell>
          <cell r="F434" t="str">
            <v>A</v>
          </cell>
          <cell r="G434" t="str">
            <v>GREEN</v>
          </cell>
          <cell r="H434" t="str">
            <v>FULL_TIME</v>
          </cell>
          <cell r="I434">
            <v>900234</v>
          </cell>
          <cell r="J434" t="str">
            <v>Dulsco L.L.C.</v>
          </cell>
          <cell r="K434" t="str">
            <v>INNOCENT AMANYA</v>
          </cell>
          <cell r="L434" t="str">
            <v>Warehouse Associate (TEMP)</v>
          </cell>
          <cell r="M434" t="str">
            <v>Warehouse Associate 8W</v>
          </cell>
          <cell r="N434" t="str">
            <v>ansammar</v>
          </cell>
          <cell r="O434">
            <v>1299</v>
          </cell>
          <cell r="P434" t="str">
            <v>AUH1</v>
          </cell>
          <cell r="Q434" t="str">
            <v>ARE</v>
          </cell>
          <cell r="R434" t="str">
            <v>LK014</v>
          </cell>
          <cell r="S434" t="str">
            <v>Night Shift</v>
          </cell>
          <cell r="T434">
            <v>99</v>
          </cell>
          <cell r="U434" t="str">
            <v>MENA_UAE_FC</v>
          </cell>
          <cell r="V434">
            <v>46257.754861111112</v>
          </cell>
          <cell r="X434">
            <v>46257.756944444445</v>
          </cell>
          <cell r="Y434">
            <v>46258.173611111109</v>
          </cell>
          <cell r="AA434" t="str">
            <v>Scheduled</v>
          </cell>
          <cell r="AB434" t="str">
            <v>Present</v>
          </cell>
          <cell r="AC434" t="str">
            <v>Outbound</v>
          </cell>
          <cell r="AD434" t="str">
            <v>Picking</v>
          </cell>
          <cell r="AE434" t="str">
            <v>Pick</v>
          </cell>
          <cell r="AF434" t="str">
            <v>Monday</v>
          </cell>
          <cell r="AG434" t="str">
            <v>Tuesday</v>
          </cell>
          <cell r="AH434">
            <v>13</v>
          </cell>
          <cell r="AJ434">
            <v>45557</v>
          </cell>
          <cell r="AM434" t="str">
            <v>TEMP</v>
          </cell>
          <cell r="AN434" t="str">
            <v>3P Onsite Worker</v>
          </cell>
          <cell r="AO434" t="str">
            <v>A</v>
          </cell>
          <cell r="AP434">
            <v>9</v>
          </cell>
          <cell r="AQ434">
            <v>0</v>
          </cell>
          <cell r="AR434">
            <v>1</v>
          </cell>
          <cell r="AS434">
            <v>1</v>
          </cell>
          <cell r="AT434">
            <v>0</v>
          </cell>
          <cell r="AU434">
            <v>0</v>
          </cell>
        </row>
        <row r="435">
          <cell r="D435" t="str">
            <v>irfmali</v>
          </cell>
          <cell r="E435">
            <v>103986189</v>
          </cell>
          <cell r="F435" t="str">
            <v>A</v>
          </cell>
          <cell r="G435" t="str">
            <v>BLUE</v>
          </cell>
          <cell r="H435" t="str">
            <v>FULL_TIME</v>
          </cell>
          <cell r="I435" t="str">
            <v>P03231</v>
          </cell>
          <cell r="K435" t="str">
            <v>Malik irfan</v>
          </cell>
          <cell r="L435" t="str">
            <v>FC Associate III</v>
          </cell>
          <cell r="M435" t="str">
            <v>Operations Supervisor</v>
          </cell>
          <cell r="N435" t="str">
            <v>vkkatyal</v>
          </cell>
          <cell r="O435">
            <v>1299</v>
          </cell>
          <cell r="P435" t="str">
            <v>AUH1</v>
          </cell>
          <cell r="Q435" t="str">
            <v>ARE</v>
          </cell>
          <cell r="R435" t="str">
            <v>LK011</v>
          </cell>
          <cell r="S435" t="str">
            <v>Night Shift</v>
          </cell>
          <cell r="T435">
            <v>3</v>
          </cell>
          <cell r="U435" t="str">
            <v>MENA_UAE_FC</v>
          </cell>
          <cell r="V435">
            <v>46257.75</v>
          </cell>
          <cell r="X435">
            <v>46257.756944444445</v>
          </cell>
          <cell r="Y435">
            <v>46258.173611111109</v>
          </cell>
          <cell r="AA435" t="str">
            <v>Scheduled</v>
          </cell>
          <cell r="AB435" t="str">
            <v>Present</v>
          </cell>
          <cell r="AC435" t="str">
            <v>Inbound</v>
          </cell>
          <cell r="AD435" t="str">
            <v>IB Problem Solve</v>
          </cell>
          <cell r="AE435" t="str">
            <v>Receive</v>
          </cell>
          <cell r="AF435" t="str">
            <v>Friday</v>
          </cell>
          <cell r="AG435" t="str">
            <v>Saturday</v>
          </cell>
          <cell r="AH435">
            <v>6</v>
          </cell>
          <cell r="AJ435">
            <v>44781</v>
          </cell>
          <cell r="AM435" t="str">
            <v>FC</v>
          </cell>
          <cell r="AN435" t="str">
            <v>Regular Full Time</v>
          </cell>
          <cell r="AO435" t="str">
            <v>A</v>
          </cell>
          <cell r="AP435">
            <v>9</v>
          </cell>
          <cell r="AQ435">
            <v>0</v>
          </cell>
          <cell r="AR435">
            <v>1</v>
          </cell>
          <cell r="AS435">
            <v>1</v>
          </cell>
          <cell r="AT435">
            <v>0</v>
          </cell>
          <cell r="AU435">
            <v>0</v>
          </cell>
        </row>
        <row r="436">
          <cell r="D436" t="str">
            <v>isaackwa</v>
          </cell>
          <cell r="E436">
            <v>204951503</v>
          </cell>
          <cell r="F436" t="str">
            <v>A</v>
          </cell>
          <cell r="G436" t="str">
            <v>GREEN</v>
          </cell>
          <cell r="H436" t="str">
            <v>FULL_TIME</v>
          </cell>
          <cell r="I436">
            <v>900234</v>
          </cell>
          <cell r="J436" t="str">
            <v>Dulsco L.L.C.</v>
          </cell>
          <cell r="K436" t="str">
            <v>ISAAC KWADWO YEBOAH</v>
          </cell>
          <cell r="L436" t="str">
            <v>Warehouse Associate (TEMP)</v>
          </cell>
          <cell r="M436" t="str">
            <v>Warehouse Associate 24M</v>
          </cell>
          <cell r="N436" t="str">
            <v>lraghava</v>
          </cell>
          <cell r="O436">
            <v>1299</v>
          </cell>
          <cell r="P436" t="str">
            <v>AUH1</v>
          </cell>
          <cell r="Q436" t="str">
            <v>ARE</v>
          </cell>
          <cell r="R436" t="str">
            <v>FC134</v>
          </cell>
          <cell r="S436" t="str">
            <v>Day Shift</v>
          </cell>
          <cell r="T436">
            <v>99</v>
          </cell>
          <cell r="U436" t="str">
            <v>MENA_UAE_FC</v>
          </cell>
          <cell r="V436">
            <v>46257.331944444442</v>
          </cell>
          <cell r="W436">
            <v>46257.75</v>
          </cell>
          <cell r="X436">
            <v>46257.333333333336</v>
          </cell>
          <cell r="Y436">
            <v>46257.75</v>
          </cell>
          <cell r="AA436" t="str">
            <v>Scheduled</v>
          </cell>
          <cell r="AB436" t="str">
            <v>Present</v>
          </cell>
          <cell r="AC436" t="str">
            <v>Outbound</v>
          </cell>
          <cell r="AD436" t="str">
            <v>Picking</v>
          </cell>
          <cell r="AE436" t="str">
            <v>Pick</v>
          </cell>
          <cell r="AF436" t="str">
            <v>Wednesday</v>
          </cell>
          <cell r="AG436" t="str">
            <v>Thursday</v>
          </cell>
          <cell r="AH436">
            <v>13</v>
          </cell>
          <cell r="AJ436">
            <v>45718</v>
          </cell>
          <cell r="AM436" t="str">
            <v>TEMP</v>
          </cell>
          <cell r="AN436" t="str">
            <v>3P Onsite Worker</v>
          </cell>
          <cell r="AO436" t="str">
            <v>A</v>
          </cell>
          <cell r="AP436">
            <v>9</v>
          </cell>
          <cell r="AQ436">
            <v>0</v>
          </cell>
          <cell r="AR436">
            <v>1</v>
          </cell>
          <cell r="AS436">
            <v>1</v>
          </cell>
          <cell r="AT436">
            <v>0</v>
          </cell>
          <cell r="AU436">
            <v>0</v>
          </cell>
        </row>
        <row r="437">
          <cell r="D437" t="str">
            <v>isabarim</v>
          </cell>
          <cell r="E437">
            <v>206138254</v>
          </cell>
          <cell r="F437" t="str">
            <v>A</v>
          </cell>
          <cell r="G437" t="str">
            <v>GREEN</v>
          </cell>
          <cell r="H437" t="str">
            <v>FULL_TIME</v>
          </cell>
          <cell r="I437">
            <v>900234</v>
          </cell>
          <cell r="J437" t="str">
            <v>Fastlink Outsourcing</v>
          </cell>
          <cell r="K437" t="str">
            <v>ISAAC BARIMAH TWUM</v>
          </cell>
          <cell r="L437" t="str">
            <v>Warehouse Associate (TEMP)</v>
          </cell>
          <cell r="M437" t="str">
            <v>Warehouse Associate 8W</v>
          </cell>
          <cell r="N437" t="str">
            <v>scariav</v>
          </cell>
          <cell r="O437">
            <v>1299</v>
          </cell>
          <cell r="P437" t="str">
            <v>AUH1</v>
          </cell>
          <cell r="Q437" t="str">
            <v>ARE</v>
          </cell>
          <cell r="R437" t="str">
            <v>LK012</v>
          </cell>
          <cell r="S437" t="str">
            <v>Night Shift</v>
          </cell>
          <cell r="T437">
            <v>99</v>
          </cell>
          <cell r="U437" t="str">
            <v>MENA_UAE_FC</v>
          </cell>
          <cell r="X437">
            <v>46257.756944444445</v>
          </cell>
          <cell r="Y437">
            <v>46258.173611111109</v>
          </cell>
          <cell r="Z437" t="str">
            <v>Rest Day</v>
          </cell>
          <cell r="AA437" t="str">
            <v>Not Scheduled</v>
          </cell>
          <cell r="AB437" t="str">
            <v>Not Present</v>
          </cell>
          <cell r="AC437" t="str">
            <v>Outbound</v>
          </cell>
          <cell r="AD437" t="str">
            <v>Picking</v>
          </cell>
          <cell r="AE437" t="str">
            <v>Pick</v>
          </cell>
          <cell r="AF437" t="str">
            <v>Saturday</v>
          </cell>
          <cell r="AG437" t="str">
            <v>Sunday</v>
          </cell>
          <cell r="AH437">
            <v>13</v>
          </cell>
          <cell r="AJ437">
            <v>45928</v>
          </cell>
          <cell r="AM437" t="str">
            <v>TEMP</v>
          </cell>
          <cell r="AN437" t="str">
            <v>3P Onsite Worker</v>
          </cell>
          <cell r="AO437" t="str">
            <v>A</v>
          </cell>
          <cell r="AP437">
            <v>9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</row>
        <row r="438">
          <cell r="D438" t="str">
            <v>isamutub</v>
          </cell>
          <cell r="E438">
            <v>206850962</v>
          </cell>
          <cell r="F438" t="str">
            <v>A</v>
          </cell>
          <cell r="G438" t="str">
            <v>GREEN</v>
          </cell>
          <cell r="H438" t="str">
            <v>FULL_TIME</v>
          </cell>
          <cell r="I438">
            <v>900234</v>
          </cell>
          <cell r="J438" t="str">
            <v>Dulsco L.L.C.</v>
          </cell>
          <cell r="K438" t="str">
            <v>ISAYA MUTUBA</v>
          </cell>
          <cell r="L438" t="str">
            <v>Warehouse Associate (TEMP)</v>
          </cell>
          <cell r="M438" t="str">
            <v>Warehouse Associate 8W</v>
          </cell>
          <cell r="N438" t="str">
            <v>ansammar</v>
          </cell>
          <cell r="O438">
            <v>1299</v>
          </cell>
          <cell r="P438" t="str">
            <v>AUH1</v>
          </cell>
          <cell r="Q438" t="str">
            <v>ARE</v>
          </cell>
          <cell r="R438" t="str">
            <v>FC034</v>
          </cell>
          <cell r="S438" t="str">
            <v>Day Shift</v>
          </cell>
          <cell r="T438">
            <v>99</v>
          </cell>
          <cell r="U438" t="str">
            <v>MENA_UAE_FC</v>
          </cell>
          <cell r="X438">
            <v>46257.333333333336</v>
          </cell>
          <cell r="Y438">
            <v>46257.75</v>
          </cell>
          <cell r="Z438" t="str">
            <v>Rest Day</v>
          </cell>
          <cell r="AA438" t="str">
            <v>Not Scheduled</v>
          </cell>
          <cell r="AB438" t="str">
            <v>Not Present</v>
          </cell>
          <cell r="AC438" t="str">
            <v>Outbound</v>
          </cell>
          <cell r="AD438" t="str">
            <v>Picking</v>
          </cell>
          <cell r="AE438" t="str">
            <v>Pick</v>
          </cell>
          <cell r="AF438" t="str">
            <v>Saturday</v>
          </cell>
          <cell r="AG438" t="str">
            <v>Sunday</v>
          </cell>
          <cell r="AH438">
            <v>13</v>
          </cell>
          <cell r="AJ438">
            <v>46012</v>
          </cell>
          <cell r="AM438" t="str">
            <v>TEMP</v>
          </cell>
          <cell r="AN438" t="str">
            <v>3P Onsite Worker</v>
          </cell>
          <cell r="AO438" t="str">
            <v>A</v>
          </cell>
          <cell r="AP438">
            <v>9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</row>
        <row r="439">
          <cell r="D439" t="str">
            <v>isandyam</v>
          </cell>
          <cell r="E439">
            <v>206504129</v>
          </cell>
          <cell r="F439" t="str">
            <v>A</v>
          </cell>
          <cell r="G439" t="str">
            <v>GREEN</v>
          </cell>
          <cell r="H439" t="str">
            <v>FULL_TIME</v>
          </cell>
          <cell r="I439">
            <v>900234</v>
          </cell>
          <cell r="J439" t="str">
            <v>Dulsco L.L.C.</v>
          </cell>
          <cell r="K439" t="str">
            <v>ISAAC NDYAMUHAKI</v>
          </cell>
          <cell r="L439" t="str">
            <v>Warehouse Associate (TEMP)</v>
          </cell>
          <cell r="M439" t="str">
            <v>Warehouse Associate 24M</v>
          </cell>
          <cell r="N439" t="str">
            <v>vkkatyal</v>
          </cell>
          <cell r="O439">
            <v>1299</v>
          </cell>
          <cell r="P439" t="str">
            <v>AUH1</v>
          </cell>
          <cell r="Q439" t="str">
            <v>ARE</v>
          </cell>
          <cell r="R439" t="str">
            <v>LK013</v>
          </cell>
          <cell r="S439" t="str">
            <v>Night Shift</v>
          </cell>
          <cell r="T439">
            <v>99</v>
          </cell>
          <cell r="U439" t="str">
            <v>MENA_UAE_FC</v>
          </cell>
          <cell r="V439">
            <v>46257.754861111112</v>
          </cell>
          <cell r="X439">
            <v>46257.756944444445</v>
          </cell>
          <cell r="Y439">
            <v>46258.173611111109</v>
          </cell>
          <cell r="AA439" t="str">
            <v>Scheduled</v>
          </cell>
          <cell r="AB439" t="str">
            <v>Present</v>
          </cell>
          <cell r="AC439" t="str">
            <v>Inbound</v>
          </cell>
          <cell r="AD439" t="str">
            <v>Inbound Stow</v>
          </cell>
          <cell r="AE439" t="str">
            <v>Stow</v>
          </cell>
          <cell r="AF439" t="str">
            <v>Sunday</v>
          </cell>
          <cell r="AG439" t="str">
            <v>Monday</v>
          </cell>
          <cell r="AH439">
            <v>3</v>
          </cell>
          <cell r="AJ439">
            <v>45970</v>
          </cell>
          <cell r="AM439" t="str">
            <v>TEMP</v>
          </cell>
          <cell r="AN439" t="str">
            <v>3P Onsite Worker</v>
          </cell>
          <cell r="AO439" t="str">
            <v>A</v>
          </cell>
          <cell r="AP439">
            <v>9</v>
          </cell>
          <cell r="AQ439">
            <v>0</v>
          </cell>
          <cell r="AR439">
            <v>1</v>
          </cell>
          <cell r="AS439">
            <v>1</v>
          </cell>
          <cell r="AT439">
            <v>0</v>
          </cell>
          <cell r="AU439">
            <v>0</v>
          </cell>
        </row>
        <row r="440">
          <cell r="D440" t="str">
            <v>islmehez</v>
          </cell>
          <cell r="E440">
            <v>204975662</v>
          </cell>
          <cell r="F440" t="str">
            <v>A</v>
          </cell>
          <cell r="G440" t="str">
            <v>GREEN</v>
          </cell>
          <cell r="H440" t="str">
            <v>FULL_TIME</v>
          </cell>
          <cell r="I440">
            <v>900234</v>
          </cell>
          <cell r="J440" t="str">
            <v>EFS Facilities Services</v>
          </cell>
          <cell r="K440" t="str">
            <v>Mehebub Islam</v>
          </cell>
          <cell r="L440" t="str">
            <v>Warehouse Associate (TEMP)</v>
          </cell>
          <cell r="M440" t="str">
            <v>Warehouse Associate 8W</v>
          </cell>
          <cell r="N440" t="str">
            <v>lraghava</v>
          </cell>
          <cell r="O440">
            <v>1299</v>
          </cell>
          <cell r="P440" t="str">
            <v>AUH1</v>
          </cell>
          <cell r="Q440" t="str">
            <v>ARE</v>
          </cell>
          <cell r="R440" t="str">
            <v>FC009</v>
          </cell>
          <cell r="S440" t="str">
            <v>Day Shift</v>
          </cell>
          <cell r="T440">
            <v>99</v>
          </cell>
          <cell r="U440" t="str">
            <v>MENA_UAE_FC</v>
          </cell>
          <cell r="V440">
            <v>46257.331944444442</v>
          </cell>
          <cell r="W440">
            <v>46257.75</v>
          </cell>
          <cell r="X440">
            <v>46257.333333333336</v>
          </cell>
          <cell r="Y440">
            <v>46257.75</v>
          </cell>
          <cell r="AA440" t="str">
            <v>Scheduled</v>
          </cell>
          <cell r="AB440" t="str">
            <v>Present</v>
          </cell>
          <cell r="AC440" t="str">
            <v>Outbound</v>
          </cell>
          <cell r="AD440" t="str">
            <v>Picking</v>
          </cell>
          <cell r="AE440" t="str">
            <v>Pick</v>
          </cell>
          <cell r="AF440" t="str">
            <v>Friday</v>
          </cell>
          <cell r="AG440" t="str">
            <v>Saturday</v>
          </cell>
          <cell r="AH440">
            <v>13</v>
          </cell>
          <cell r="AJ440">
            <v>45714</v>
          </cell>
          <cell r="AM440" t="str">
            <v>TEMP</v>
          </cell>
          <cell r="AN440" t="str">
            <v>3P Onsite Worker</v>
          </cell>
          <cell r="AO440" t="str">
            <v>A</v>
          </cell>
          <cell r="AP440">
            <v>9</v>
          </cell>
          <cell r="AQ440">
            <v>0</v>
          </cell>
          <cell r="AR440">
            <v>1</v>
          </cell>
          <cell r="AS440">
            <v>1</v>
          </cell>
          <cell r="AT440">
            <v>0</v>
          </cell>
          <cell r="AU440">
            <v>0</v>
          </cell>
        </row>
        <row r="441">
          <cell r="D441" t="str">
            <v>issakmuz</v>
          </cell>
          <cell r="E441">
            <v>204967146</v>
          </cell>
          <cell r="F441" t="str">
            <v>A</v>
          </cell>
          <cell r="G441" t="str">
            <v>GREEN</v>
          </cell>
          <cell r="H441" t="str">
            <v>FULL_TIME</v>
          </cell>
          <cell r="I441">
            <v>900234</v>
          </cell>
          <cell r="J441" t="str">
            <v>Dulsco L.L.C.</v>
          </cell>
          <cell r="K441" t="str">
            <v>MUSTAPHA SABIT ISSAKA</v>
          </cell>
          <cell r="L441" t="str">
            <v>Warehouse Associate (TEMP)</v>
          </cell>
          <cell r="M441" t="str">
            <v>Warehouse Associate 8W</v>
          </cell>
          <cell r="N441" t="str">
            <v>vkkatyal</v>
          </cell>
          <cell r="O441">
            <v>1299</v>
          </cell>
          <cell r="P441" t="str">
            <v>AUH1</v>
          </cell>
          <cell r="Q441" t="str">
            <v>ARE</v>
          </cell>
          <cell r="R441" t="str">
            <v>FC009</v>
          </cell>
          <cell r="S441" t="str">
            <v>Day Shift</v>
          </cell>
          <cell r="T441">
            <v>99</v>
          </cell>
          <cell r="U441" t="str">
            <v>MENA_UAE_FC</v>
          </cell>
          <cell r="V441">
            <v>46257.332638888889</v>
          </cell>
          <cell r="W441">
            <v>46257.75</v>
          </cell>
          <cell r="X441">
            <v>46257.333333333336</v>
          </cell>
          <cell r="Y441">
            <v>46257.75</v>
          </cell>
          <cell r="AA441" t="str">
            <v>Scheduled</v>
          </cell>
          <cell r="AB441" t="str">
            <v>Present</v>
          </cell>
          <cell r="AC441" t="str">
            <v>Inbound</v>
          </cell>
          <cell r="AD441" t="str">
            <v>Inbound Stow</v>
          </cell>
          <cell r="AE441" t="str">
            <v>Stow</v>
          </cell>
          <cell r="AF441" t="str">
            <v>Friday</v>
          </cell>
          <cell r="AG441" t="str">
            <v>Saturday</v>
          </cell>
          <cell r="AH441">
            <v>3</v>
          </cell>
          <cell r="AJ441">
            <v>45825</v>
          </cell>
          <cell r="AM441" t="str">
            <v>TEMP</v>
          </cell>
          <cell r="AN441" t="str">
            <v>3P Onsite Worker</v>
          </cell>
          <cell r="AO441" t="str">
            <v>A</v>
          </cell>
          <cell r="AP441">
            <v>9</v>
          </cell>
          <cell r="AQ441">
            <v>0</v>
          </cell>
          <cell r="AR441">
            <v>1</v>
          </cell>
          <cell r="AS441">
            <v>1</v>
          </cell>
          <cell r="AT441">
            <v>0</v>
          </cell>
          <cell r="AU441">
            <v>0</v>
          </cell>
        </row>
        <row r="442">
          <cell r="D442" t="str">
            <v>itawiah</v>
          </cell>
          <cell r="E442">
            <v>112181816</v>
          </cell>
          <cell r="F442" t="str">
            <v>A</v>
          </cell>
          <cell r="G442" t="str">
            <v>GREEN</v>
          </cell>
          <cell r="H442" t="str">
            <v>FULL_TIME</v>
          </cell>
          <cell r="I442">
            <v>900234</v>
          </cell>
          <cell r="J442" t="str">
            <v>Fastlink Outsourcing</v>
          </cell>
          <cell r="K442" t="str">
            <v>Isaac Tawiah</v>
          </cell>
          <cell r="L442" t="str">
            <v>Warehouse Associate (TEMP)</v>
          </cell>
          <cell r="M442" t="str">
            <v>Warehouse Associate 12M</v>
          </cell>
          <cell r="N442" t="str">
            <v>lraghava</v>
          </cell>
          <cell r="O442">
            <v>1299</v>
          </cell>
          <cell r="P442" t="str">
            <v>AUH1</v>
          </cell>
          <cell r="Q442" t="str">
            <v>ARE</v>
          </cell>
          <cell r="R442" t="str">
            <v>LK016</v>
          </cell>
          <cell r="S442" t="str">
            <v>Night Shift</v>
          </cell>
          <cell r="T442">
            <v>99</v>
          </cell>
          <cell r="U442" t="str">
            <v>MENA_UAE_FC</v>
          </cell>
          <cell r="V442">
            <v>46257.752083333333</v>
          </cell>
          <cell r="X442">
            <v>46257.756944444445</v>
          </cell>
          <cell r="Y442">
            <v>46258.173611111109</v>
          </cell>
          <cell r="AA442" t="str">
            <v>Scheduled</v>
          </cell>
          <cell r="AB442" t="str">
            <v>Present</v>
          </cell>
          <cell r="AC442" t="str">
            <v>Outbound</v>
          </cell>
          <cell r="AD442" t="str">
            <v>Picking</v>
          </cell>
          <cell r="AE442" t="str">
            <v>Pick</v>
          </cell>
          <cell r="AF442" t="str">
            <v>Wednesday</v>
          </cell>
          <cell r="AG442" t="str">
            <v>Thursday</v>
          </cell>
          <cell r="AH442">
            <v>13</v>
          </cell>
          <cell r="AJ442">
            <v>45501</v>
          </cell>
          <cell r="AM442" t="str">
            <v>TEMP</v>
          </cell>
          <cell r="AN442" t="str">
            <v>3P Onsite Worker</v>
          </cell>
          <cell r="AO442" t="str">
            <v>A</v>
          </cell>
          <cell r="AP442">
            <v>9</v>
          </cell>
          <cell r="AQ442">
            <v>0</v>
          </cell>
          <cell r="AR442">
            <v>1</v>
          </cell>
          <cell r="AS442">
            <v>1</v>
          </cell>
          <cell r="AT442">
            <v>0</v>
          </cell>
          <cell r="AU442">
            <v>0</v>
          </cell>
        </row>
        <row r="443">
          <cell r="D443" t="str">
            <v>ivankatl</v>
          </cell>
          <cell r="E443">
            <v>204060922</v>
          </cell>
          <cell r="F443" t="str">
            <v>A</v>
          </cell>
          <cell r="G443" t="str">
            <v>GREEN</v>
          </cell>
          <cell r="H443" t="str">
            <v>FULL_TIME</v>
          </cell>
          <cell r="I443">
            <v>900234</v>
          </cell>
          <cell r="J443" t="str">
            <v>Dulsco L.L.C.</v>
          </cell>
          <cell r="K443" t="str">
            <v>IVAN KATO</v>
          </cell>
          <cell r="L443" t="str">
            <v>Warehouse Associate (TEMP)</v>
          </cell>
          <cell r="M443" t="str">
            <v>Warehouse Associate 24M</v>
          </cell>
          <cell r="N443" t="str">
            <v>ansammar</v>
          </cell>
          <cell r="O443">
            <v>1299</v>
          </cell>
          <cell r="P443" t="str">
            <v>AUH1</v>
          </cell>
          <cell r="Q443" t="str">
            <v>ARE</v>
          </cell>
          <cell r="R443" t="str">
            <v>FC109</v>
          </cell>
          <cell r="S443" t="str">
            <v>Day Shift</v>
          </cell>
          <cell r="T443">
            <v>99</v>
          </cell>
          <cell r="U443" t="str">
            <v>MENA_UAE_FC</v>
          </cell>
          <cell r="V443">
            <v>46257.332638888889</v>
          </cell>
          <cell r="W443">
            <v>46257.75</v>
          </cell>
          <cell r="X443">
            <v>46257.333333333336</v>
          </cell>
          <cell r="Y443">
            <v>46257.75</v>
          </cell>
          <cell r="AA443" t="str">
            <v>Scheduled</v>
          </cell>
          <cell r="AB443" t="str">
            <v>Present</v>
          </cell>
          <cell r="AC443" t="str">
            <v>Outbound</v>
          </cell>
          <cell r="AD443" t="str">
            <v>Picking</v>
          </cell>
          <cell r="AE443" t="str">
            <v>Pick</v>
          </cell>
          <cell r="AF443" t="str">
            <v>Tuesday</v>
          </cell>
          <cell r="AG443" t="str">
            <v>Wednesday</v>
          </cell>
          <cell r="AH443">
            <v>13</v>
          </cell>
          <cell r="AJ443">
            <v>45557</v>
          </cell>
          <cell r="AM443" t="str">
            <v>TEMP</v>
          </cell>
          <cell r="AN443" t="str">
            <v>3P Onsite Worker</v>
          </cell>
          <cell r="AO443" t="str">
            <v>A</v>
          </cell>
          <cell r="AP443">
            <v>9</v>
          </cell>
          <cell r="AQ443">
            <v>0</v>
          </cell>
          <cell r="AR443">
            <v>1</v>
          </cell>
          <cell r="AS443">
            <v>1</v>
          </cell>
          <cell r="AT443">
            <v>0</v>
          </cell>
          <cell r="AU443">
            <v>0</v>
          </cell>
        </row>
        <row r="444">
          <cell r="D444" t="str">
            <v>jacobkip</v>
          </cell>
          <cell r="E444">
            <v>205199352</v>
          </cell>
          <cell r="F444" t="str">
            <v>A</v>
          </cell>
          <cell r="G444" t="str">
            <v>GREEN</v>
          </cell>
          <cell r="H444" t="str">
            <v>FULL_TIME</v>
          </cell>
          <cell r="I444">
            <v>900234</v>
          </cell>
          <cell r="J444" t="str">
            <v>EFS Facilities Services</v>
          </cell>
          <cell r="K444" t="str">
            <v>Jacob Kipketer</v>
          </cell>
          <cell r="L444" t="str">
            <v>Warehouse Associate (TEMP)</v>
          </cell>
          <cell r="M444" t="str">
            <v>Warehouse Associate 12M</v>
          </cell>
          <cell r="N444" t="str">
            <v>ansammar</v>
          </cell>
          <cell r="O444">
            <v>1299</v>
          </cell>
          <cell r="P444" t="str">
            <v>AUH1</v>
          </cell>
          <cell r="Q444" t="str">
            <v>ARE</v>
          </cell>
          <cell r="R444" t="str">
            <v>LK011</v>
          </cell>
          <cell r="S444" t="str">
            <v>Night Shift</v>
          </cell>
          <cell r="T444">
            <v>99</v>
          </cell>
          <cell r="U444" t="str">
            <v>MENA_UAE_FC</v>
          </cell>
          <cell r="V444">
            <v>46257.756944444445</v>
          </cell>
          <cell r="X444">
            <v>46257.756944444445</v>
          </cell>
          <cell r="Y444">
            <v>46258.173611111109</v>
          </cell>
          <cell r="AA444" t="str">
            <v>Scheduled</v>
          </cell>
          <cell r="AB444" t="str">
            <v>Present</v>
          </cell>
          <cell r="AC444" t="str">
            <v>Outbound</v>
          </cell>
          <cell r="AD444" t="str">
            <v>Picking</v>
          </cell>
          <cell r="AE444" t="str">
            <v>Pick</v>
          </cell>
          <cell r="AF444" t="str">
            <v>Friday</v>
          </cell>
          <cell r="AG444" t="str">
            <v>Saturday</v>
          </cell>
          <cell r="AH444">
            <v>13</v>
          </cell>
          <cell r="AJ444">
            <v>45774</v>
          </cell>
          <cell r="AM444" t="str">
            <v>TEMP</v>
          </cell>
          <cell r="AN444" t="str">
            <v>3P Onsite Worker</v>
          </cell>
          <cell r="AO444" t="str">
            <v>A</v>
          </cell>
          <cell r="AP444">
            <v>9</v>
          </cell>
          <cell r="AQ444">
            <v>0</v>
          </cell>
          <cell r="AR444">
            <v>1</v>
          </cell>
          <cell r="AS444">
            <v>1</v>
          </cell>
          <cell r="AT444">
            <v>0</v>
          </cell>
          <cell r="AU444">
            <v>0</v>
          </cell>
        </row>
        <row r="445">
          <cell r="D445" t="str">
            <v>jafarsab</v>
          </cell>
          <cell r="E445">
            <v>204373628</v>
          </cell>
          <cell r="F445" t="str">
            <v>A</v>
          </cell>
          <cell r="G445" t="str">
            <v>GREEN</v>
          </cell>
          <cell r="H445" t="str">
            <v>FULL_TIME</v>
          </cell>
          <cell r="I445">
            <v>900234</v>
          </cell>
          <cell r="J445" t="str">
            <v>Quesscorp</v>
          </cell>
          <cell r="K445" t="str">
            <v>Jafar Abdallah</v>
          </cell>
          <cell r="L445" t="str">
            <v>Warehouse Associate (TEMP)</v>
          </cell>
          <cell r="M445" t="str">
            <v>Warehouse Associate 24M</v>
          </cell>
          <cell r="N445" t="str">
            <v>aanso</v>
          </cell>
          <cell r="O445">
            <v>1299</v>
          </cell>
          <cell r="P445" t="str">
            <v>AUH1</v>
          </cell>
          <cell r="Q445" t="str">
            <v>ARE</v>
          </cell>
          <cell r="R445" t="str">
            <v>FC059</v>
          </cell>
          <cell r="S445" t="str">
            <v>Day Shift</v>
          </cell>
          <cell r="T445">
            <v>99</v>
          </cell>
          <cell r="U445" t="str">
            <v>MENA_UAE_FC</v>
          </cell>
          <cell r="X445">
            <v>46257.333333333336</v>
          </cell>
          <cell r="Y445">
            <v>46257.75</v>
          </cell>
          <cell r="Z445" t="str">
            <v>Rest Day</v>
          </cell>
          <cell r="AA445" t="str">
            <v>Not Scheduled</v>
          </cell>
          <cell r="AB445" t="str">
            <v>Not Present</v>
          </cell>
          <cell r="AC445" t="str">
            <v>Customer returns</v>
          </cell>
          <cell r="AD445" t="str">
            <v>Customer Returns</v>
          </cell>
          <cell r="AE445" t="str">
            <v>Customer returns</v>
          </cell>
          <cell r="AF445" t="str">
            <v>Sunday</v>
          </cell>
          <cell r="AG445" t="str">
            <v>Monday</v>
          </cell>
          <cell r="AH445">
            <v>22</v>
          </cell>
          <cell r="AJ445">
            <v>45592</v>
          </cell>
          <cell r="AM445" t="str">
            <v>TEMP</v>
          </cell>
          <cell r="AN445" t="str">
            <v>3P Onsite Worker</v>
          </cell>
          <cell r="AO445" t="str">
            <v>A</v>
          </cell>
          <cell r="AP445">
            <v>9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</row>
        <row r="446">
          <cell r="D446" t="str">
            <v>jalanssh</v>
          </cell>
          <cell r="E446">
            <v>204403651</v>
          </cell>
          <cell r="F446" t="str">
            <v>A</v>
          </cell>
          <cell r="G446" t="str">
            <v>GREEN</v>
          </cell>
          <cell r="H446" t="str">
            <v>FULL_TIME</v>
          </cell>
          <cell r="I446">
            <v>900234</v>
          </cell>
          <cell r="J446" t="str">
            <v>Adecco</v>
          </cell>
          <cell r="K446" t="str">
            <v>ALAN SHIJU SHIJU</v>
          </cell>
          <cell r="L446" t="str">
            <v>Warehouse Associate (TEMP)</v>
          </cell>
          <cell r="M446" t="str">
            <v>Warehouse Associate 24M</v>
          </cell>
          <cell r="N446" t="str">
            <v>aanso</v>
          </cell>
          <cell r="O446">
            <v>1299</v>
          </cell>
          <cell r="P446" t="str">
            <v>AUH1</v>
          </cell>
          <cell r="Q446" t="str">
            <v>ARE</v>
          </cell>
          <cell r="R446" t="str">
            <v>LK016</v>
          </cell>
          <cell r="S446" t="str">
            <v>Night Shift</v>
          </cell>
          <cell r="T446">
            <v>99</v>
          </cell>
          <cell r="U446" t="str">
            <v>MENA_UAE_FC</v>
          </cell>
          <cell r="V446">
            <v>46257.754166666666</v>
          </cell>
          <cell r="X446">
            <v>46257.756944444445</v>
          </cell>
          <cell r="Y446">
            <v>46258.173611111109</v>
          </cell>
          <cell r="AA446" t="str">
            <v>Scheduled</v>
          </cell>
          <cell r="AB446" t="str">
            <v>Present</v>
          </cell>
          <cell r="AC446" t="str">
            <v>Customer returns</v>
          </cell>
          <cell r="AD446" t="str">
            <v>Customer Returns</v>
          </cell>
          <cell r="AE446" t="str">
            <v>Customer returns</v>
          </cell>
          <cell r="AF446" t="str">
            <v>Wednesday</v>
          </cell>
          <cell r="AG446" t="str">
            <v>Thursday</v>
          </cell>
          <cell r="AH446">
            <v>22</v>
          </cell>
          <cell r="AJ446">
            <v>45595</v>
          </cell>
          <cell r="AM446" t="str">
            <v>TEMP</v>
          </cell>
          <cell r="AN446" t="str">
            <v>3P Onsite Worker</v>
          </cell>
          <cell r="AO446" t="str">
            <v>A</v>
          </cell>
          <cell r="AP446">
            <v>9</v>
          </cell>
          <cell r="AQ446">
            <v>0</v>
          </cell>
          <cell r="AR446">
            <v>1</v>
          </cell>
          <cell r="AS446">
            <v>1</v>
          </cell>
          <cell r="AT446">
            <v>0</v>
          </cell>
          <cell r="AU446">
            <v>0</v>
          </cell>
        </row>
        <row r="447">
          <cell r="D447" t="str">
            <v>janarsre</v>
          </cell>
          <cell r="E447">
            <v>203813083</v>
          </cell>
          <cell r="F447" t="str">
            <v>A</v>
          </cell>
          <cell r="G447" t="str">
            <v>GREEN</v>
          </cell>
          <cell r="H447" t="str">
            <v>FULL_TIME</v>
          </cell>
          <cell r="I447">
            <v>900234</v>
          </cell>
          <cell r="J447" t="str">
            <v>Adecco</v>
          </cell>
          <cell r="K447" t="str">
            <v>SREEKUTTAN JANARDHANAN</v>
          </cell>
          <cell r="L447" t="str">
            <v>Warehouse Associate (TEMP)</v>
          </cell>
          <cell r="M447" t="str">
            <v>Warehouse Associate 24M</v>
          </cell>
          <cell r="N447" t="str">
            <v>nnahla</v>
          </cell>
          <cell r="O447">
            <v>1299</v>
          </cell>
          <cell r="P447" t="str">
            <v>AUH1</v>
          </cell>
          <cell r="Q447" t="str">
            <v>ARE</v>
          </cell>
          <cell r="R447" t="str">
            <v>LK013</v>
          </cell>
          <cell r="S447" t="str">
            <v>Night Shift</v>
          </cell>
          <cell r="T447">
            <v>99</v>
          </cell>
          <cell r="U447" t="str">
            <v>MENA_UAE_FC</v>
          </cell>
          <cell r="X447">
            <v>46257.756944444445</v>
          </cell>
          <cell r="Y447">
            <v>46258.173611111109</v>
          </cell>
          <cell r="Z447" t="str">
            <v>Rest Day</v>
          </cell>
          <cell r="AA447" t="str">
            <v>Not Scheduled</v>
          </cell>
          <cell r="AB447" t="str">
            <v>Not Present</v>
          </cell>
          <cell r="AC447" t="str">
            <v>Inbound</v>
          </cell>
          <cell r="AD447" t="str">
            <v>Inbound Stow</v>
          </cell>
          <cell r="AE447" t="str">
            <v>Stow</v>
          </cell>
          <cell r="AF447" t="str">
            <v>Sunday</v>
          </cell>
          <cell r="AG447" t="str">
            <v>Monday</v>
          </cell>
          <cell r="AH447">
            <v>3</v>
          </cell>
          <cell r="AJ447">
            <v>45516</v>
          </cell>
          <cell r="AM447" t="str">
            <v>TEMP</v>
          </cell>
          <cell r="AN447" t="str">
            <v>3P Onsite Worker</v>
          </cell>
          <cell r="AO447" t="str">
            <v>A</v>
          </cell>
          <cell r="AP447">
            <v>9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</row>
        <row r="448">
          <cell r="D448" t="str">
            <v>janengit</v>
          </cell>
          <cell r="E448">
            <v>206128850</v>
          </cell>
          <cell r="F448" t="str">
            <v>A</v>
          </cell>
          <cell r="G448" t="str">
            <v>GREEN</v>
          </cell>
          <cell r="H448" t="str">
            <v>REDUCED</v>
          </cell>
          <cell r="I448">
            <v>900234</v>
          </cell>
          <cell r="J448" t="str">
            <v>EFS Facilities Services</v>
          </cell>
          <cell r="K448" t="str">
            <v>Jane Njeri Gitau</v>
          </cell>
          <cell r="L448" t="str">
            <v>Warehouse Associate (TEMP)</v>
          </cell>
          <cell r="M448" t="str">
            <v>Warehouse Associate 8W</v>
          </cell>
          <cell r="N448" t="str">
            <v>ansammar</v>
          </cell>
          <cell r="O448">
            <v>1299</v>
          </cell>
          <cell r="P448" t="str">
            <v>AUH1</v>
          </cell>
          <cell r="Q448" t="str">
            <v>ARE</v>
          </cell>
          <cell r="R448" t="str">
            <v>FC556</v>
          </cell>
          <cell r="S448" t="str">
            <v>Night Shift</v>
          </cell>
          <cell r="T448">
            <v>99</v>
          </cell>
          <cell r="U448" t="str">
            <v>MENA_UAE_FC</v>
          </cell>
          <cell r="V448">
            <v>46257.755555555559</v>
          </cell>
          <cell r="X448">
            <v>46257.756944444445</v>
          </cell>
          <cell r="Y448">
            <v>46258.090277777781</v>
          </cell>
          <cell r="AA448" t="str">
            <v>Scheduled</v>
          </cell>
          <cell r="AB448" t="str">
            <v>Present</v>
          </cell>
          <cell r="AC448" t="str">
            <v>Outbound</v>
          </cell>
          <cell r="AD448" t="str">
            <v>Pack - Batch</v>
          </cell>
          <cell r="AE448" t="str">
            <v>Pack</v>
          </cell>
          <cell r="AF448" t="str">
            <v>Tuesday</v>
          </cell>
          <cell r="AG448" t="str">
            <v>Wednesday</v>
          </cell>
          <cell r="AH448">
            <v>17</v>
          </cell>
          <cell r="AJ448">
            <v>46246</v>
          </cell>
          <cell r="AM448" t="str">
            <v>TEMP</v>
          </cell>
          <cell r="AN448" t="str">
            <v>3P Onsite Worker</v>
          </cell>
          <cell r="AO448" t="str">
            <v>A</v>
          </cell>
          <cell r="AP448">
            <v>7</v>
          </cell>
          <cell r="AQ448">
            <v>0</v>
          </cell>
          <cell r="AR448">
            <v>1</v>
          </cell>
          <cell r="AS448">
            <v>1</v>
          </cell>
          <cell r="AT448">
            <v>0</v>
          </cell>
          <cell r="AU448">
            <v>0</v>
          </cell>
        </row>
        <row r="449">
          <cell r="D449" t="str">
            <v>janewanm</v>
          </cell>
          <cell r="E449">
            <v>206192268</v>
          </cell>
          <cell r="F449" t="str">
            <v>A</v>
          </cell>
          <cell r="G449" t="str">
            <v>GREEN</v>
          </cell>
          <cell r="H449" t="str">
            <v>FULL_TIME</v>
          </cell>
          <cell r="I449">
            <v>900234</v>
          </cell>
          <cell r="J449" t="str">
            <v>EFS Facilities Services</v>
          </cell>
          <cell r="K449" t="str">
            <v>Jane wangui wambui</v>
          </cell>
          <cell r="L449" t="str">
            <v>Warehouse Associate (TEMP)</v>
          </cell>
          <cell r="M449" t="str">
            <v>Warehouse Associate 12M</v>
          </cell>
          <cell r="N449" t="str">
            <v>aanso</v>
          </cell>
          <cell r="O449">
            <v>1299</v>
          </cell>
          <cell r="P449" t="str">
            <v>AUH1</v>
          </cell>
          <cell r="Q449" t="str">
            <v>ARE</v>
          </cell>
          <cell r="R449" t="str">
            <v>FC009</v>
          </cell>
          <cell r="S449" t="str">
            <v>Day Shift</v>
          </cell>
          <cell r="T449">
            <v>99</v>
          </cell>
          <cell r="U449" t="str">
            <v>MENA_UAE_FC</v>
          </cell>
          <cell r="V449">
            <v>46257.331944444442</v>
          </cell>
          <cell r="W449">
            <v>46257.748611111114</v>
          </cell>
          <cell r="X449">
            <v>46257.333333333336</v>
          </cell>
          <cell r="Y449">
            <v>46257.75</v>
          </cell>
          <cell r="AA449" t="str">
            <v>Scheduled</v>
          </cell>
          <cell r="AB449" t="str">
            <v>Present</v>
          </cell>
          <cell r="AC449" t="str">
            <v>Customer returns</v>
          </cell>
          <cell r="AD449" t="str">
            <v>Customer Returns</v>
          </cell>
          <cell r="AE449" t="str">
            <v>Customer returns</v>
          </cell>
          <cell r="AF449" t="str">
            <v>Friday</v>
          </cell>
          <cell r="AG449" t="str">
            <v>Saturday</v>
          </cell>
          <cell r="AH449">
            <v>22</v>
          </cell>
          <cell r="AJ449">
            <v>45935</v>
          </cell>
          <cell r="AM449" t="str">
            <v>TEMP</v>
          </cell>
          <cell r="AN449" t="str">
            <v>3P Onsite Worker</v>
          </cell>
          <cell r="AO449" t="str">
            <v>A</v>
          </cell>
          <cell r="AP449">
            <v>9</v>
          </cell>
          <cell r="AQ449">
            <v>0</v>
          </cell>
          <cell r="AR449">
            <v>1</v>
          </cell>
          <cell r="AS449">
            <v>1</v>
          </cell>
          <cell r="AT449">
            <v>0</v>
          </cell>
          <cell r="AU449">
            <v>0</v>
          </cell>
        </row>
        <row r="450">
          <cell r="D450" t="str">
            <v>jarrahad</v>
          </cell>
          <cell r="E450">
            <v>204138121</v>
          </cell>
          <cell r="F450" t="str">
            <v>A</v>
          </cell>
          <cell r="G450" t="str">
            <v>GREEN</v>
          </cell>
          <cell r="H450" t="str">
            <v>FULL_TIME</v>
          </cell>
          <cell r="I450">
            <v>900234</v>
          </cell>
          <cell r="J450" t="str">
            <v>Quesscorp</v>
          </cell>
          <cell r="K450" t="str">
            <v>Haddijatou Jarra</v>
          </cell>
          <cell r="L450" t="str">
            <v>Warehouse Associate (TEMP)</v>
          </cell>
          <cell r="M450" t="str">
            <v>Warehouse Associate 24M</v>
          </cell>
          <cell r="N450" t="str">
            <v>mnarshad</v>
          </cell>
          <cell r="O450">
            <v>1299</v>
          </cell>
          <cell r="P450" t="str">
            <v>AUH1</v>
          </cell>
          <cell r="Q450" t="str">
            <v>ARE</v>
          </cell>
          <cell r="R450" t="str">
            <v>LK012</v>
          </cell>
          <cell r="S450" t="str">
            <v>Night Shift</v>
          </cell>
          <cell r="T450">
            <v>99</v>
          </cell>
          <cell r="U450" t="str">
            <v>MENA_UAE_FC</v>
          </cell>
          <cell r="V450">
            <v>46257.332638888889</v>
          </cell>
          <cell r="W450">
            <v>46257.749305555553</v>
          </cell>
          <cell r="X450">
            <v>46257.333333333336</v>
          </cell>
          <cell r="Y450">
            <v>46257.75</v>
          </cell>
          <cell r="AA450" t="str">
            <v>Scheduled</v>
          </cell>
          <cell r="AB450" t="str">
            <v>Present</v>
          </cell>
          <cell r="AC450" t="str">
            <v>Outbound</v>
          </cell>
          <cell r="AD450" t="str">
            <v>Pack - Single</v>
          </cell>
          <cell r="AE450" t="str">
            <v>Pack</v>
          </cell>
          <cell r="AF450" t="str">
            <v>Saturday</v>
          </cell>
          <cell r="AG450" t="str">
            <v>Sunday</v>
          </cell>
          <cell r="AH450">
            <v>18</v>
          </cell>
          <cell r="AJ450">
            <v>45564</v>
          </cell>
          <cell r="AM450" t="str">
            <v>TEMP</v>
          </cell>
          <cell r="AN450" t="str">
            <v>3P Onsite Worker</v>
          </cell>
          <cell r="AO450" t="str">
            <v>A</v>
          </cell>
          <cell r="AP450">
            <v>9</v>
          </cell>
          <cell r="AQ450">
            <v>0</v>
          </cell>
          <cell r="AR450">
            <v>1</v>
          </cell>
          <cell r="AS450">
            <v>1</v>
          </cell>
          <cell r="AT450">
            <v>0</v>
          </cell>
          <cell r="AU450">
            <v>0</v>
          </cell>
        </row>
        <row r="451">
          <cell r="D451" t="str">
            <v>javahmai</v>
          </cell>
          <cell r="E451">
            <v>206934195</v>
          </cell>
          <cell r="F451" t="str">
            <v>A</v>
          </cell>
          <cell r="G451" t="str">
            <v>GREEN</v>
          </cell>
          <cell r="H451" t="str">
            <v>FULL_TIME</v>
          </cell>
          <cell r="I451">
            <v>900234</v>
          </cell>
          <cell r="J451" t="str">
            <v>EFS Facilities Services</v>
          </cell>
          <cell r="K451" t="str">
            <v>JAVANES KINGORI MAINA</v>
          </cell>
          <cell r="L451" t="str">
            <v>Warehouse Associate (TEMP)</v>
          </cell>
          <cell r="M451" t="str">
            <v>Warehouse Associate 12M</v>
          </cell>
          <cell r="N451" t="str">
            <v>pparsin</v>
          </cell>
          <cell r="O451">
            <v>1299</v>
          </cell>
          <cell r="P451" t="str">
            <v>AUH1</v>
          </cell>
          <cell r="Q451" t="str">
            <v>ARE</v>
          </cell>
          <cell r="R451" t="str">
            <v>LK013</v>
          </cell>
          <cell r="S451" t="str">
            <v>Night Shift</v>
          </cell>
          <cell r="T451">
            <v>99</v>
          </cell>
          <cell r="U451" t="str">
            <v>MENA_UAE_FC</v>
          </cell>
          <cell r="X451">
            <v>46257.756944444445</v>
          </cell>
          <cell r="Y451">
            <v>46258.173611111109</v>
          </cell>
          <cell r="Z451" t="str">
            <v>Rest Day</v>
          </cell>
          <cell r="AA451" t="str">
            <v>Not Scheduled</v>
          </cell>
          <cell r="AB451" t="str">
            <v>Not Present</v>
          </cell>
          <cell r="AC451" t="str">
            <v>Inbound</v>
          </cell>
          <cell r="AD451" t="str">
            <v>Inbound Stow</v>
          </cell>
          <cell r="AE451" t="str">
            <v>Stow</v>
          </cell>
          <cell r="AF451" t="str">
            <v>Sunday</v>
          </cell>
          <cell r="AG451" t="str">
            <v>Monday</v>
          </cell>
          <cell r="AH451">
            <v>3</v>
          </cell>
          <cell r="AJ451">
            <v>46040</v>
          </cell>
          <cell r="AM451" t="str">
            <v>TEMP</v>
          </cell>
          <cell r="AN451" t="str">
            <v>3P Onsite Worker</v>
          </cell>
          <cell r="AO451" t="str">
            <v>A</v>
          </cell>
          <cell r="AP451">
            <v>9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</row>
        <row r="452">
          <cell r="D452" t="str">
            <v>javiramu</v>
          </cell>
          <cell r="E452">
            <v>203736255</v>
          </cell>
          <cell r="F452" t="str">
            <v>A</v>
          </cell>
          <cell r="G452" t="str">
            <v>GREEN</v>
          </cell>
          <cell r="H452" t="str">
            <v>FULL_TIME</v>
          </cell>
          <cell r="I452">
            <v>900234</v>
          </cell>
          <cell r="J452" t="str">
            <v>Dulsco L.L.C.</v>
          </cell>
          <cell r="K452" t="str">
            <v>JAVIRA MUTEBI</v>
          </cell>
          <cell r="L452" t="str">
            <v>Warehouse Associate (TEMP)</v>
          </cell>
          <cell r="M452" t="str">
            <v>Warehouse Associate 24M</v>
          </cell>
          <cell r="N452" t="str">
            <v>vkkatyal</v>
          </cell>
          <cell r="O452">
            <v>1299</v>
          </cell>
          <cell r="P452" t="str">
            <v>AUH1</v>
          </cell>
          <cell r="Q452" t="str">
            <v>ARE</v>
          </cell>
          <cell r="R452" t="str">
            <v>LK014</v>
          </cell>
          <cell r="S452" t="str">
            <v>Night Shift</v>
          </cell>
          <cell r="T452">
            <v>99</v>
          </cell>
          <cell r="U452" t="str">
            <v>MENA_UAE_FC</v>
          </cell>
          <cell r="V452">
            <v>46257.754861111112</v>
          </cell>
          <cell r="X452">
            <v>46257.756944444445</v>
          </cell>
          <cell r="Y452">
            <v>46258.173611111109</v>
          </cell>
          <cell r="AA452" t="str">
            <v>Scheduled</v>
          </cell>
          <cell r="AB452" t="str">
            <v>Present</v>
          </cell>
          <cell r="AC452" t="str">
            <v>Inbound</v>
          </cell>
          <cell r="AD452" t="str">
            <v>Inbound Stow</v>
          </cell>
          <cell r="AE452" t="str">
            <v>Stow</v>
          </cell>
          <cell r="AF452" t="str">
            <v>Monday</v>
          </cell>
          <cell r="AG452" t="str">
            <v>Tuesday</v>
          </cell>
          <cell r="AH452">
            <v>3</v>
          </cell>
          <cell r="AJ452">
            <v>45501</v>
          </cell>
          <cell r="AM452" t="str">
            <v>TEMP</v>
          </cell>
          <cell r="AN452" t="str">
            <v>3P Onsite Worker</v>
          </cell>
          <cell r="AO452" t="str">
            <v>A</v>
          </cell>
          <cell r="AP452">
            <v>9</v>
          </cell>
          <cell r="AQ452">
            <v>0</v>
          </cell>
          <cell r="AR452">
            <v>1</v>
          </cell>
          <cell r="AS452">
            <v>1</v>
          </cell>
          <cell r="AT452">
            <v>0</v>
          </cell>
          <cell r="AU452">
            <v>0</v>
          </cell>
        </row>
        <row r="453">
          <cell r="D453" t="str">
            <v>javshahi</v>
          </cell>
          <cell r="E453">
            <v>103776227</v>
          </cell>
          <cell r="F453" t="str">
            <v>A</v>
          </cell>
          <cell r="G453" t="str">
            <v>BLUE</v>
          </cell>
          <cell r="H453" t="str">
            <v>FULL_TIME</v>
          </cell>
          <cell r="I453" t="str">
            <v>P03251</v>
          </cell>
          <cell r="K453" t="str">
            <v>Shahid Javeed</v>
          </cell>
          <cell r="L453" t="str">
            <v>FC Associate I</v>
          </cell>
          <cell r="M453" t="str">
            <v>FC Associate I</v>
          </cell>
          <cell r="N453" t="str">
            <v>ansammar</v>
          </cell>
          <cell r="O453">
            <v>1299</v>
          </cell>
          <cell r="P453" t="str">
            <v>AUH1</v>
          </cell>
          <cell r="Q453" t="str">
            <v>ARE</v>
          </cell>
          <cell r="R453" t="str">
            <v>FC159</v>
          </cell>
          <cell r="S453" t="str">
            <v>Day Shift</v>
          </cell>
          <cell r="T453">
            <v>1</v>
          </cell>
          <cell r="U453" t="str">
            <v>MENA_UAE_FC</v>
          </cell>
          <cell r="V453">
            <v>46257.323611111111</v>
          </cell>
          <cell r="W453">
            <v>46257.751388888886</v>
          </cell>
          <cell r="X453">
            <v>46257.333333333336</v>
          </cell>
          <cell r="Y453">
            <v>46257.75</v>
          </cell>
          <cell r="AA453" t="str">
            <v>Scheduled</v>
          </cell>
          <cell r="AB453" t="str">
            <v>Present</v>
          </cell>
          <cell r="AC453" t="str">
            <v>Outbound</v>
          </cell>
          <cell r="AD453" t="str">
            <v>Picking</v>
          </cell>
          <cell r="AE453" t="str">
            <v>Pick</v>
          </cell>
          <cell r="AF453" t="str">
            <v>Thursday</v>
          </cell>
          <cell r="AG453" t="str">
            <v>Friday</v>
          </cell>
          <cell r="AH453">
            <v>13</v>
          </cell>
          <cell r="AJ453">
            <v>44781</v>
          </cell>
          <cell r="AM453" t="str">
            <v>FC</v>
          </cell>
          <cell r="AN453" t="str">
            <v>Regular Full Time</v>
          </cell>
          <cell r="AO453" t="str">
            <v>A</v>
          </cell>
          <cell r="AP453">
            <v>9</v>
          </cell>
          <cell r="AQ453">
            <v>0</v>
          </cell>
          <cell r="AR453">
            <v>1</v>
          </cell>
          <cell r="AS453">
            <v>1</v>
          </cell>
          <cell r="AT453">
            <v>0</v>
          </cell>
          <cell r="AU453">
            <v>0</v>
          </cell>
        </row>
        <row r="454">
          <cell r="D454" t="str">
            <v>jboatenv</v>
          </cell>
          <cell r="E454">
            <v>206239750</v>
          </cell>
          <cell r="F454" t="str">
            <v>A</v>
          </cell>
          <cell r="G454" t="str">
            <v>GREEN</v>
          </cell>
          <cell r="H454" t="str">
            <v>FULL_TIME</v>
          </cell>
          <cell r="I454">
            <v>900234</v>
          </cell>
          <cell r="J454" t="str">
            <v>Dulsco L.L.C.</v>
          </cell>
          <cell r="K454" t="str">
            <v>BOATENG JOSEPH</v>
          </cell>
          <cell r="L454" t="str">
            <v>Warehouse Associate (TEMP)</v>
          </cell>
          <cell r="M454" t="str">
            <v>Warehouse Associate 8W</v>
          </cell>
          <cell r="N454" t="str">
            <v>scariav</v>
          </cell>
          <cell r="O454">
            <v>1299</v>
          </cell>
          <cell r="P454" t="str">
            <v>AUH1</v>
          </cell>
          <cell r="Q454" t="str">
            <v>ARE</v>
          </cell>
          <cell r="R454" t="str">
            <v>LK017</v>
          </cell>
          <cell r="S454" t="str">
            <v>Night Shift</v>
          </cell>
          <cell r="T454">
            <v>99</v>
          </cell>
          <cell r="U454" t="str">
            <v>MENA_UAE_FC</v>
          </cell>
          <cell r="V454">
            <v>46257.332638888889</v>
          </cell>
          <cell r="W454">
            <v>46257.748611111114</v>
          </cell>
          <cell r="X454">
            <v>46257.333333333336</v>
          </cell>
          <cell r="Y454">
            <v>46257.75</v>
          </cell>
          <cell r="AA454" t="str">
            <v>Scheduled</v>
          </cell>
          <cell r="AB454" t="str">
            <v>Present</v>
          </cell>
          <cell r="AC454" t="str">
            <v>Outbound</v>
          </cell>
          <cell r="AD454" t="str">
            <v>Sort - Batch</v>
          </cell>
          <cell r="AE454" t="str">
            <v>Sort</v>
          </cell>
          <cell r="AF454" t="str">
            <v>Thursday</v>
          </cell>
          <cell r="AG454" t="str">
            <v>Friday</v>
          </cell>
          <cell r="AH454">
            <v>15</v>
          </cell>
          <cell r="AJ454">
            <v>45942</v>
          </cell>
          <cell r="AM454" t="str">
            <v>TEMP</v>
          </cell>
          <cell r="AN454" t="str">
            <v>3P Onsite Worker</v>
          </cell>
          <cell r="AO454" t="str">
            <v>A</v>
          </cell>
          <cell r="AP454">
            <v>9</v>
          </cell>
          <cell r="AQ454">
            <v>0</v>
          </cell>
          <cell r="AR454">
            <v>1</v>
          </cell>
          <cell r="AS454">
            <v>1</v>
          </cell>
          <cell r="AT454">
            <v>0</v>
          </cell>
          <cell r="AU454">
            <v>0</v>
          </cell>
        </row>
        <row r="455">
          <cell r="D455" t="str">
            <v>jeawcruz</v>
          </cell>
          <cell r="E455">
            <v>203355686</v>
          </cell>
          <cell r="F455" t="str">
            <v>A</v>
          </cell>
          <cell r="G455" t="str">
            <v>GREEN</v>
          </cell>
          <cell r="H455" t="str">
            <v>FULL_TIME</v>
          </cell>
          <cell r="I455">
            <v>900234</v>
          </cell>
          <cell r="J455" t="str">
            <v>Adecco</v>
          </cell>
          <cell r="K455" t="str">
            <v>Jearic Cruz</v>
          </cell>
          <cell r="L455" t="str">
            <v>Warehouse Associate (TEMP)</v>
          </cell>
          <cell r="M455" t="str">
            <v>Warehouse Associate 24M</v>
          </cell>
          <cell r="N455" t="str">
            <v>mnarshad</v>
          </cell>
          <cell r="O455">
            <v>1299</v>
          </cell>
          <cell r="P455" t="str">
            <v>AUH1</v>
          </cell>
          <cell r="Q455" t="str">
            <v>ARE</v>
          </cell>
          <cell r="R455" t="str">
            <v>LK011</v>
          </cell>
          <cell r="S455" t="str">
            <v>Night Shift</v>
          </cell>
          <cell r="T455">
            <v>99</v>
          </cell>
          <cell r="U455" t="str">
            <v>MENA_UAE_FC</v>
          </cell>
          <cell r="V455">
            <v>46257.749305555553</v>
          </cell>
          <cell r="X455">
            <v>46257.756944444445</v>
          </cell>
          <cell r="Y455">
            <v>46258.173611111109</v>
          </cell>
          <cell r="AA455" t="str">
            <v>Scheduled</v>
          </cell>
          <cell r="AB455" t="str">
            <v>Present</v>
          </cell>
          <cell r="AC455" t="str">
            <v>Outbound</v>
          </cell>
          <cell r="AD455" t="str">
            <v>Picking</v>
          </cell>
          <cell r="AE455" t="str">
            <v>Pick</v>
          </cell>
          <cell r="AF455" t="str">
            <v>Friday</v>
          </cell>
          <cell r="AG455" t="str">
            <v>Saturday</v>
          </cell>
          <cell r="AH455">
            <v>13</v>
          </cell>
          <cell r="AJ455">
            <v>45431</v>
          </cell>
          <cell r="AM455" t="str">
            <v>TEMP</v>
          </cell>
          <cell r="AN455" t="str">
            <v>3P Onsite Worker</v>
          </cell>
          <cell r="AO455" t="str">
            <v>A</v>
          </cell>
          <cell r="AP455">
            <v>9</v>
          </cell>
          <cell r="AQ455">
            <v>0</v>
          </cell>
          <cell r="AR455">
            <v>1</v>
          </cell>
          <cell r="AS455">
            <v>1</v>
          </cell>
          <cell r="AT455">
            <v>0</v>
          </cell>
          <cell r="AU455">
            <v>0</v>
          </cell>
        </row>
        <row r="456">
          <cell r="D456" t="str">
            <v>jebenowu</v>
          </cell>
          <cell r="E456">
            <v>206073363</v>
          </cell>
          <cell r="F456" t="str">
            <v>A</v>
          </cell>
          <cell r="G456" t="str">
            <v>GREEN</v>
          </cell>
          <cell r="H456" t="str">
            <v>FULL_TIME</v>
          </cell>
          <cell r="I456">
            <v>900234</v>
          </cell>
          <cell r="J456" t="str">
            <v>Fastlink Outsourcing</v>
          </cell>
          <cell r="K456" t="str">
            <v>Ebenezer Owusu</v>
          </cell>
          <cell r="L456" t="str">
            <v>Warehouse Associate (TEMP)</v>
          </cell>
          <cell r="M456" t="str">
            <v>Warehouse Associate 12M</v>
          </cell>
          <cell r="N456" t="str">
            <v>amanmish</v>
          </cell>
          <cell r="O456">
            <v>1299</v>
          </cell>
          <cell r="P456" t="str">
            <v>AUH1</v>
          </cell>
          <cell r="Q456" t="str">
            <v>ARE</v>
          </cell>
          <cell r="R456" t="str">
            <v>FC034</v>
          </cell>
          <cell r="S456" t="str">
            <v>Day Shift</v>
          </cell>
          <cell r="T456">
            <v>99</v>
          </cell>
          <cell r="U456" t="str">
            <v>MENA_UAE_FC</v>
          </cell>
          <cell r="X456">
            <v>46257.333333333336</v>
          </cell>
          <cell r="Y456">
            <v>46257.75</v>
          </cell>
          <cell r="Z456" t="str">
            <v>Rest Day</v>
          </cell>
          <cell r="AA456" t="str">
            <v>Not Scheduled</v>
          </cell>
          <cell r="AB456" t="str">
            <v>Not Present</v>
          </cell>
          <cell r="AC456" t="str">
            <v>Outbound</v>
          </cell>
          <cell r="AD456" t="str">
            <v>Picking</v>
          </cell>
          <cell r="AE456" t="str">
            <v>Pick</v>
          </cell>
          <cell r="AF456" t="str">
            <v>Saturday</v>
          </cell>
          <cell r="AG456" t="str">
            <v>Sunday</v>
          </cell>
          <cell r="AH456">
            <v>13</v>
          </cell>
          <cell r="AJ456">
            <v>45928</v>
          </cell>
          <cell r="AM456" t="str">
            <v>TEMP</v>
          </cell>
          <cell r="AN456" t="str">
            <v>3P Onsite Worker</v>
          </cell>
          <cell r="AO456" t="str">
            <v>A</v>
          </cell>
          <cell r="AP456">
            <v>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</row>
        <row r="457">
          <cell r="D457" t="str">
            <v>jedaisyt</v>
          </cell>
          <cell r="E457">
            <v>206138682</v>
          </cell>
          <cell r="F457" t="str">
            <v>A</v>
          </cell>
          <cell r="G457" t="str">
            <v>GREEN</v>
          </cell>
          <cell r="H457" t="str">
            <v>FULL_TIME</v>
          </cell>
          <cell r="I457">
            <v>900234</v>
          </cell>
          <cell r="J457" t="str">
            <v>EFS Facilities Services</v>
          </cell>
          <cell r="K457" t="str">
            <v>Daisy Jepkurui</v>
          </cell>
          <cell r="L457" t="str">
            <v>Warehouse Associate (TEMP)</v>
          </cell>
          <cell r="M457" t="str">
            <v>Warehouse Associate 8W</v>
          </cell>
          <cell r="N457" t="str">
            <v>ansammar</v>
          </cell>
          <cell r="O457">
            <v>1299</v>
          </cell>
          <cell r="P457" t="str">
            <v>AUH1</v>
          </cell>
          <cell r="Q457" t="str">
            <v>ARE</v>
          </cell>
          <cell r="R457" t="str">
            <v>LK015</v>
          </cell>
          <cell r="S457" t="str">
            <v>Night Shift</v>
          </cell>
          <cell r="T457">
            <v>99</v>
          </cell>
          <cell r="U457" t="str">
            <v>MENA_UAE_FC</v>
          </cell>
          <cell r="V457">
            <v>46257.756249999999</v>
          </cell>
          <cell r="X457">
            <v>46257.756944444445</v>
          </cell>
          <cell r="Y457">
            <v>46258.173611111109</v>
          </cell>
          <cell r="AA457" t="str">
            <v>Scheduled</v>
          </cell>
          <cell r="AB457" t="str">
            <v>Present</v>
          </cell>
          <cell r="AC457" t="str">
            <v>Outbound</v>
          </cell>
          <cell r="AD457" t="str">
            <v>Picking</v>
          </cell>
          <cell r="AE457" t="str">
            <v>Pick</v>
          </cell>
          <cell r="AF457" t="str">
            <v>Tuesday</v>
          </cell>
          <cell r="AG457" t="str">
            <v>Wednesday</v>
          </cell>
          <cell r="AH457">
            <v>13</v>
          </cell>
          <cell r="AJ457">
            <v>45928</v>
          </cell>
          <cell r="AM457" t="str">
            <v>TEMP</v>
          </cell>
          <cell r="AN457" t="str">
            <v>3P Onsite Worker</v>
          </cell>
          <cell r="AO457" t="str">
            <v>A</v>
          </cell>
          <cell r="AP457">
            <v>9</v>
          </cell>
          <cell r="AQ457">
            <v>0</v>
          </cell>
          <cell r="AR457">
            <v>1</v>
          </cell>
          <cell r="AS457">
            <v>1</v>
          </cell>
          <cell r="AT457">
            <v>0</v>
          </cell>
          <cell r="AU457">
            <v>0</v>
          </cell>
        </row>
        <row r="458">
          <cell r="D458" t="str">
            <v>jemaisen</v>
          </cell>
          <cell r="E458">
            <v>106268319</v>
          </cell>
          <cell r="F458" t="str">
            <v>A</v>
          </cell>
          <cell r="G458" t="str">
            <v>BLUE</v>
          </cell>
          <cell r="H458" t="str">
            <v>FULL_TIME</v>
          </cell>
          <cell r="I458" t="str">
            <v>P03251</v>
          </cell>
          <cell r="K458" t="str">
            <v>Jemaisen Hermano Plaza</v>
          </cell>
          <cell r="L458" t="str">
            <v>FC Associate I</v>
          </cell>
          <cell r="M458" t="str">
            <v>FC Associate I</v>
          </cell>
          <cell r="N458" t="str">
            <v>kebedeed</v>
          </cell>
          <cell r="O458">
            <v>1299</v>
          </cell>
          <cell r="P458" t="str">
            <v>AUH1</v>
          </cell>
          <cell r="Q458" t="str">
            <v>ARE</v>
          </cell>
          <cell r="R458" t="str">
            <v>FC009</v>
          </cell>
          <cell r="S458" t="str">
            <v>Day Shift</v>
          </cell>
          <cell r="T458">
            <v>1</v>
          </cell>
          <cell r="U458" t="str">
            <v>MENA_UAE_FC</v>
          </cell>
          <cell r="V458">
            <v>46257.332638888889</v>
          </cell>
          <cell r="W458">
            <v>46257.749305555553</v>
          </cell>
          <cell r="X458">
            <v>46257.333333333336</v>
          </cell>
          <cell r="Y458">
            <v>46257.75</v>
          </cell>
          <cell r="AA458" t="str">
            <v>Scheduled</v>
          </cell>
          <cell r="AB458" t="str">
            <v>Present</v>
          </cell>
          <cell r="AC458" t="str">
            <v>ICQA</v>
          </cell>
          <cell r="AD458" t="str">
            <v>IC/QA/CS</v>
          </cell>
          <cell r="AE458" t="str">
            <v>Support</v>
          </cell>
          <cell r="AF458" t="str">
            <v>Friday</v>
          </cell>
          <cell r="AG458" t="str">
            <v>Saturday</v>
          </cell>
          <cell r="AH458">
            <v>27</v>
          </cell>
          <cell r="AJ458">
            <v>44756</v>
          </cell>
          <cell r="AM458" t="str">
            <v>FC</v>
          </cell>
          <cell r="AN458" t="str">
            <v>Regular Full Time</v>
          </cell>
          <cell r="AO458" t="str">
            <v>A</v>
          </cell>
          <cell r="AP458">
            <v>9</v>
          </cell>
          <cell r="AQ458">
            <v>0</v>
          </cell>
          <cell r="AR458">
            <v>1</v>
          </cell>
          <cell r="AS458">
            <v>1</v>
          </cell>
          <cell r="AT458">
            <v>0</v>
          </cell>
          <cell r="AU458">
            <v>0</v>
          </cell>
        </row>
        <row r="459">
          <cell r="D459" t="str">
            <v>jemutmer</v>
          </cell>
          <cell r="E459">
            <v>206192541</v>
          </cell>
          <cell r="F459" t="str">
            <v>A</v>
          </cell>
          <cell r="G459" t="str">
            <v>GREEN</v>
          </cell>
          <cell r="H459" t="str">
            <v>FULL_TIME</v>
          </cell>
          <cell r="I459">
            <v>900234</v>
          </cell>
          <cell r="J459" t="str">
            <v>EFS Facilities Services</v>
          </cell>
          <cell r="K459" t="str">
            <v>Mercy Jemutai</v>
          </cell>
          <cell r="L459" t="str">
            <v>Warehouse Associate (TEMP)</v>
          </cell>
          <cell r="M459" t="str">
            <v>Warehouse Associate 8W</v>
          </cell>
          <cell r="N459" t="str">
            <v>bizthoma</v>
          </cell>
          <cell r="O459">
            <v>1299</v>
          </cell>
          <cell r="P459" t="str">
            <v>AUH1</v>
          </cell>
          <cell r="Q459" t="str">
            <v>ARE</v>
          </cell>
          <cell r="R459" t="str">
            <v>LK011</v>
          </cell>
          <cell r="S459" t="str">
            <v>Night Shift</v>
          </cell>
          <cell r="T459">
            <v>99</v>
          </cell>
          <cell r="U459" t="str">
            <v>MENA_UAE_FC</v>
          </cell>
          <cell r="V459">
            <v>46257.755555555559</v>
          </cell>
          <cell r="X459">
            <v>46257.756944444445</v>
          </cell>
          <cell r="Y459">
            <v>46258.173611111109</v>
          </cell>
          <cell r="AA459" t="str">
            <v>Scheduled</v>
          </cell>
          <cell r="AB459" t="str">
            <v>Present</v>
          </cell>
          <cell r="AC459" t="str">
            <v>Outbound</v>
          </cell>
          <cell r="AD459" t="str">
            <v>Picking</v>
          </cell>
          <cell r="AE459" t="str">
            <v>Pick</v>
          </cell>
          <cell r="AF459" t="str">
            <v>Friday</v>
          </cell>
          <cell r="AG459" t="str">
            <v>Saturday</v>
          </cell>
          <cell r="AH459">
            <v>13</v>
          </cell>
          <cell r="AJ459">
            <v>45935</v>
          </cell>
          <cell r="AM459" t="str">
            <v>TEMP</v>
          </cell>
          <cell r="AN459" t="str">
            <v>3P Onsite Worker</v>
          </cell>
          <cell r="AO459" t="str">
            <v>A</v>
          </cell>
          <cell r="AP459">
            <v>9</v>
          </cell>
          <cell r="AQ459">
            <v>0</v>
          </cell>
          <cell r="AR459">
            <v>1</v>
          </cell>
          <cell r="AS459">
            <v>1</v>
          </cell>
          <cell r="AT459">
            <v>0</v>
          </cell>
          <cell r="AU459">
            <v>0</v>
          </cell>
        </row>
        <row r="460">
          <cell r="D460" t="str">
            <v>jepchval</v>
          </cell>
          <cell r="E460">
            <v>206886730</v>
          </cell>
          <cell r="F460" t="str">
            <v>A</v>
          </cell>
          <cell r="G460" t="str">
            <v>GREEN</v>
          </cell>
          <cell r="H460" t="str">
            <v>FULL_TIME</v>
          </cell>
          <cell r="I460">
            <v>900234</v>
          </cell>
          <cell r="J460" t="str">
            <v>EFS Facilities Services</v>
          </cell>
          <cell r="K460" t="str">
            <v>VALENTINE JEPCHIRCHIR</v>
          </cell>
          <cell r="L460" t="str">
            <v>Warehouse Associate (TEMP)</v>
          </cell>
          <cell r="M460" t="str">
            <v>Warehouse Associate 8W</v>
          </cell>
          <cell r="N460" t="str">
            <v>ansammar</v>
          </cell>
          <cell r="O460">
            <v>1299</v>
          </cell>
          <cell r="P460" t="str">
            <v>AUH1</v>
          </cell>
          <cell r="Q460" t="str">
            <v>ARE</v>
          </cell>
          <cell r="R460" t="str">
            <v>FC159</v>
          </cell>
          <cell r="S460" t="str">
            <v>Day Shift</v>
          </cell>
          <cell r="T460">
            <v>99</v>
          </cell>
          <cell r="U460" t="str">
            <v>MENA_UAE_FC</v>
          </cell>
          <cell r="V460">
            <v>46257.331250000003</v>
          </cell>
          <cell r="W460">
            <v>46257.749305555553</v>
          </cell>
          <cell r="X460">
            <v>46257.333333333336</v>
          </cell>
          <cell r="Y460">
            <v>46257.75</v>
          </cell>
          <cell r="AA460" t="str">
            <v>Scheduled</v>
          </cell>
          <cell r="AB460" t="str">
            <v>Present</v>
          </cell>
          <cell r="AC460" t="str">
            <v>Outbound</v>
          </cell>
          <cell r="AD460" t="str">
            <v>Picking</v>
          </cell>
          <cell r="AE460" t="str">
            <v>Pick</v>
          </cell>
          <cell r="AF460" t="str">
            <v>Thursday</v>
          </cell>
          <cell r="AG460" t="str">
            <v>Friday</v>
          </cell>
          <cell r="AH460">
            <v>13</v>
          </cell>
          <cell r="AJ460">
            <v>46026</v>
          </cell>
          <cell r="AM460" t="str">
            <v>TEMP</v>
          </cell>
          <cell r="AN460" t="str">
            <v>3P Onsite Worker</v>
          </cell>
          <cell r="AO460" t="str">
            <v>A</v>
          </cell>
          <cell r="AP460">
            <v>9</v>
          </cell>
          <cell r="AQ460">
            <v>0</v>
          </cell>
          <cell r="AR460">
            <v>1</v>
          </cell>
          <cell r="AS460">
            <v>1</v>
          </cell>
          <cell r="AT460">
            <v>0</v>
          </cell>
          <cell r="AU460">
            <v>0</v>
          </cell>
        </row>
        <row r="461">
          <cell r="D461" t="str">
            <v>jephttwe</v>
          </cell>
          <cell r="E461">
            <v>203965183</v>
          </cell>
          <cell r="F461" t="str">
            <v>A</v>
          </cell>
          <cell r="G461" t="str">
            <v>GREEN</v>
          </cell>
          <cell r="H461" t="str">
            <v>FULL_TIME</v>
          </cell>
          <cell r="I461">
            <v>900234</v>
          </cell>
          <cell r="J461" t="str">
            <v>Fastlink Outsourcing</v>
          </cell>
          <cell r="K461" t="str">
            <v>JEPHTER TWENE</v>
          </cell>
          <cell r="L461" t="str">
            <v>Warehouse Associate (TEMP)</v>
          </cell>
          <cell r="M461" t="str">
            <v>Warehouse Associate 12M</v>
          </cell>
          <cell r="N461" t="str">
            <v>bizthoma</v>
          </cell>
          <cell r="O461">
            <v>1299</v>
          </cell>
          <cell r="P461" t="str">
            <v>AUH1</v>
          </cell>
          <cell r="Q461" t="str">
            <v>ARE</v>
          </cell>
          <cell r="R461" t="str">
            <v>LK013</v>
          </cell>
          <cell r="S461" t="str">
            <v>Night Shift</v>
          </cell>
          <cell r="T461">
            <v>99</v>
          </cell>
          <cell r="U461" t="str">
            <v>MENA_UAE_FC</v>
          </cell>
          <cell r="X461">
            <v>46257.756944444445</v>
          </cell>
          <cell r="Y461">
            <v>46258.173611111109</v>
          </cell>
          <cell r="Z461" t="str">
            <v>Rest Day</v>
          </cell>
          <cell r="AA461" t="str">
            <v>Not Scheduled</v>
          </cell>
          <cell r="AB461" t="str">
            <v>Not Present</v>
          </cell>
          <cell r="AC461" t="str">
            <v>Outbound</v>
          </cell>
          <cell r="AD461" t="str">
            <v>Picking</v>
          </cell>
          <cell r="AE461" t="str">
            <v>Pick</v>
          </cell>
          <cell r="AF461" t="str">
            <v>Sunday</v>
          </cell>
          <cell r="AG461" t="str">
            <v>Monday</v>
          </cell>
          <cell r="AH461">
            <v>13</v>
          </cell>
          <cell r="AJ461">
            <v>45543</v>
          </cell>
          <cell r="AM461" t="str">
            <v>TEMP</v>
          </cell>
          <cell r="AN461" t="str">
            <v>3P Onsite Worker</v>
          </cell>
          <cell r="AO461" t="str">
            <v>A</v>
          </cell>
          <cell r="AP461">
            <v>9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</row>
        <row r="462">
          <cell r="D462" t="str">
            <v>jepkirja</v>
          </cell>
          <cell r="E462">
            <v>206890217</v>
          </cell>
          <cell r="F462" t="str">
            <v>A</v>
          </cell>
          <cell r="G462" t="str">
            <v>GREEN</v>
          </cell>
          <cell r="H462" t="str">
            <v>FULL_TIME</v>
          </cell>
          <cell r="I462">
            <v>900234</v>
          </cell>
          <cell r="J462" t="str">
            <v>EFS Facilities Services</v>
          </cell>
          <cell r="K462" t="str">
            <v>JANE JEPKIRUI</v>
          </cell>
          <cell r="L462" t="str">
            <v>Warehouse Associate (TEMP)</v>
          </cell>
          <cell r="M462" t="str">
            <v>Warehouse Associate 8W</v>
          </cell>
          <cell r="N462" t="str">
            <v>ansammar</v>
          </cell>
          <cell r="O462">
            <v>1299</v>
          </cell>
          <cell r="P462" t="str">
            <v>AUH1</v>
          </cell>
          <cell r="Q462" t="str">
            <v>ARE</v>
          </cell>
          <cell r="R462" t="str">
            <v>FC159</v>
          </cell>
          <cell r="S462" t="str">
            <v>Day Shift</v>
          </cell>
          <cell r="T462">
            <v>99</v>
          </cell>
          <cell r="U462" t="str">
            <v>MENA_UAE_FC</v>
          </cell>
          <cell r="V462">
            <v>46257.331250000003</v>
          </cell>
          <cell r="W462">
            <v>46257.749305555553</v>
          </cell>
          <cell r="X462">
            <v>46257.333333333336</v>
          </cell>
          <cell r="Y462">
            <v>46257.75</v>
          </cell>
          <cell r="AA462" t="str">
            <v>Scheduled</v>
          </cell>
          <cell r="AB462" t="str">
            <v>Present</v>
          </cell>
          <cell r="AC462" t="str">
            <v>Outbound</v>
          </cell>
          <cell r="AD462" t="str">
            <v>Picking</v>
          </cell>
          <cell r="AE462" t="str">
            <v>Pick</v>
          </cell>
          <cell r="AF462" t="str">
            <v>Thursday</v>
          </cell>
          <cell r="AG462" t="str">
            <v>Friday</v>
          </cell>
          <cell r="AH462">
            <v>13</v>
          </cell>
          <cell r="AJ462">
            <v>46026</v>
          </cell>
          <cell r="AM462" t="str">
            <v>TEMP</v>
          </cell>
          <cell r="AN462" t="str">
            <v>3P Onsite Worker</v>
          </cell>
          <cell r="AO462" t="str">
            <v>A</v>
          </cell>
          <cell r="AP462">
            <v>9</v>
          </cell>
          <cell r="AQ462">
            <v>0</v>
          </cell>
          <cell r="AR462">
            <v>1</v>
          </cell>
          <cell r="AS462">
            <v>1</v>
          </cell>
          <cell r="AT462">
            <v>0</v>
          </cell>
          <cell r="AU462">
            <v>0</v>
          </cell>
        </row>
        <row r="463">
          <cell r="D463" t="str">
            <v>jepkirtf</v>
          </cell>
          <cell r="E463">
            <v>206192230</v>
          </cell>
          <cell r="F463" t="str">
            <v>A</v>
          </cell>
          <cell r="G463" t="str">
            <v>GREEN</v>
          </cell>
          <cell r="H463" t="str">
            <v>FULL_TIME</v>
          </cell>
          <cell r="I463">
            <v>900234</v>
          </cell>
          <cell r="J463" t="str">
            <v>EFS Facilities Services</v>
          </cell>
          <cell r="K463" t="str">
            <v>Faith Jepkirui</v>
          </cell>
          <cell r="L463" t="str">
            <v>Warehouse Associate (TEMP)</v>
          </cell>
          <cell r="M463" t="str">
            <v>Warehouse Associate 12M</v>
          </cell>
          <cell r="N463" t="str">
            <v>scariav</v>
          </cell>
          <cell r="O463">
            <v>1299</v>
          </cell>
          <cell r="P463" t="str">
            <v>AUH1</v>
          </cell>
          <cell r="Q463" t="str">
            <v>ARE</v>
          </cell>
          <cell r="R463" t="str">
            <v>LK013</v>
          </cell>
          <cell r="S463" t="str">
            <v>Night Shift</v>
          </cell>
          <cell r="T463">
            <v>99</v>
          </cell>
          <cell r="U463" t="str">
            <v>MENA_UAE_FC</v>
          </cell>
          <cell r="V463">
            <v>46257.756944444445</v>
          </cell>
          <cell r="X463">
            <v>46257.756944444445</v>
          </cell>
          <cell r="Y463">
            <v>46258.173611111109</v>
          </cell>
          <cell r="Z463" t="str">
            <v>Rest Day</v>
          </cell>
          <cell r="AA463" t="str">
            <v>Not Scheduled</v>
          </cell>
          <cell r="AB463" t="str">
            <v>Present</v>
          </cell>
          <cell r="AC463" t="str">
            <v>Outbound</v>
          </cell>
          <cell r="AD463" t="str">
            <v>Picking</v>
          </cell>
          <cell r="AE463" t="str">
            <v>Pick</v>
          </cell>
          <cell r="AF463" t="str">
            <v>Sunday</v>
          </cell>
          <cell r="AG463" t="str">
            <v>Monday</v>
          </cell>
          <cell r="AH463">
            <v>13</v>
          </cell>
          <cell r="AJ463">
            <v>45935</v>
          </cell>
          <cell r="AM463" t="str">
            <v>TEMP</v>
          </cell>
          <cell r="AN463" t="str">
            <v>3P Onsite Worker</v>
          </cell>
          <cell r="AO463" t="str">
            <v>A</v>
          </cell>
          <cell r="AP463">
            <v>9</v>
          </cell>
          <cell r="AQ463">
            <v>1</v>
          </cell>
          <cell r="AR463">
            <v>1</v>
          </cell>
          <cell r="AS463">
            <v>0</v>
          </cell>
          <cell r="AT463">
            <v>0</v>
          </cell>
          <cell r="AU463">
            <v>0</v>
          </cell>
        </row>
        <row r="464">
          <cell r="D464" t="str">
            <v>jeplerut</v>
          </cell>
          <cell r="E464">
            <v>206889908</v>
          </cell>
          <cell r="F464" t="str">
            <v>A</v>
          </cell>
          <cell r="G464" t="str">
            <v>GREEN</v>
          </cell>
          <cell r="H464" t="str">
            <v>FULL_TIME</v>
          </cell>
          <cell r="I464">
            <v>900234</v>
          </cell>
          <cell r="J464" t="str">
            <v>EFS Facilities Services</v>
          </cell>
          <cell r="K464" t="str">
            <v>RUTH JEPLETING</v>
          </cell>
          <cell r="L464" t="str">
            <v>Warehouse Associate (TEMP)</v>
          </cell>
          <cell r="M464" t="str">
            <v>Warehouse Associate 8W</v>
          </cell>
          <cell r="N464" t="str">
            <v>vkkatyal</v>
          </cell>
          <cell r="O464">
            <v>1299</v>
          </cell>
          <cell r="P464" t="str">
            <v>AUH1</v>
          </cell>
          <cell r="Q464" t="str">
            <v>ARE</v>
          </cell>
          <cell r="R464" t="str">
            <v>FC134</v>
          </cell>
          <cell r="S464" t="str">
            <v>Day Shift</v>
          </cell>
          <cell r="T464">
            <v>99</v>
          </cell>
          <cell r="U464" t="str">
            <v>MENA_UAE_FC</v>
          </cell>
          <cell r="V464">
            <v>46257.331250000003</v>
          </cell>
          <cell r="W464">
            <v>46257.749305555553</v>
          </cell>
          <cell r="X464">
            <v>46257.333333333336</v>
          </cell>
          <cell r="Y464">
            <v>46257.75</v>
          </cell>
          <cell r="AA464" t="str">
            <v>Scheduled</v>
          </cell>
          <cell r="AB464" t="str">
            <v>Present</v>
          </cell>
          <cell r="AC464" t="str">
            <v>Outbound</v>
          </cell>
          <cell r="AD464" t="str">
            <v>Picking</v>
          </cell>
          <cell r="AE464" t="str">
            <v>Pick</v>
          </cell>
          <cell r="AF464" t="str">
            <v>Wednesday</v>
          </cell>
          <cell r="AG464" t="str">
            <v>Thursday</v>
          </cell>
          <cell r="AH464">
            <v>13</v>
          </cell>
          <cell r="AJ464">
            <v>46026</v>
          </cell>
          <cell r="AM464" t="str">
            <v>TEMP</v>
          </cell>
          <cell r="AN464" t="str">
            <v>3P Onsite Worker</v>
          </cell>
          <cell r="AO464" t="str">
            <v>A</v>
          </cell>
          <cell r="AP464">
            <v>9</v>
          </cell>
          <cell r="AQ464">
            <v>0</v>
          </cell>
          <cell r="AR464">
            <v>1</v>
          </cell>
          <cell r="AS464">
            <v>1</v>
          </cell>
          <cell r="AT464">
            <v>0</v>
          </cell>
          <cell r="AU464">
            <v>0</v>
          </cell>
        </row>
        <row r="465">
          <cell r="D465" t="str">
            <v>jepsharo</v>
          </cell>
          <cell r="E465">
            <v>206886644</v>
          </cell>
          <cell r="F465" t="str">
            <v>A</v>
          </cell>
          <cell r="G465" t="str">
            <v>GREEN</v>
          </cell>
          <cell r="H465" t="str">
            <v>FULL_TIME</v>
          </cell>
          <cell r="I465">
            <v>900234</v>
          </cell>
          <cell r="J465" t="str">
            <v>EFS Facilities Services</v>
          </cell>
          <cell r="K465" t="str">
            <v>Sharon Jepkemboi</v>
          </cell>
          <cell r="L465" t="str">
            <v>Warehouse Associate (TEMP)</v>
          </cell>
          <cell r="M465" t="str">
            <v>Warehouse Associate 8W</v>
          </cell>
          <cell r="N465" t="str">
            <v>mnarshad</v>
          </cell>
          <cell r="O465">
            <v>1299</v>
          </cell>
          <cell r="P465" t="str">
            <v>AUH1</v>
          </cell>
          <cell r="Q465" t="str">
            <v>ARE</v>
          </cell>
          <cell r="R465" t="str">
            <v>LK016</v>
          </cell>
          <cell r="S465" t="str">
            <v>Night Shift</v>
          </cell>
          <cell r="T465">
            <v>99</v>
          </cell>
          <cell r="U465" t="str">
            <v>MENA_UAE_FC</v>
          </cell>
          <cell r="V465">
            <v>46257.754861111112</v>
          </cell>
          <cell r="X465">
            <v>46257.756944444445</v>
          </cell>
          <cell r="Y465">
            <v>46258.173611111109</v>
          </cell>
          <cell r="AA465" t="str">
            <v>Scheduled</v>
          </cell>
          <cell r="AB465" t="str">
            <v>Present</v>
          </cell>
          <cell r="AC465" t="str">
            <v>Outbound</v>
          </cell>
          <cell r="AD465" t="str">
            <v>Picking</v>
          </cell>
          <cell r="AE465" t="str">
            <v>Pick</v>
          </cell>
          <cell r="AF465" t="str">
            <v>Wednesday</v>
          </cell>
          <cell r="AG465" t="str">
            <v>Thursday</v>
          </cell>
          <cell r="AH465">
            <v>13</v>
          </cell>
          <cell r="AJ465">
            <v>46026</v>
          </cell>
          <cell r="AM465" t="str">
            <v>TEMP</v>
          </cell>
          <cell r="AN465" t="str">
            <v>3P Onsite Worker</v>
          </cell>
          <cell r="AO465" t="str">
            <v>A</v>
          </cell>
          <cell r="AP465">
            <v>9</v>
          </cell>
          <cell r="AQ465">
            <v>0</v>
          </cell>
          <cell r="AR465">
            <v>1</v>
          </cell>
          <cell r="AS465">
            <v>1</v>
          </cell>
          <cell r="AT465">
            <v>0</v>
          </cell>
          <cell r="AU465">
            <v>0</v>
          </cell>
        </row>
        <row r="466">
          <cell r="D466" t="str">
            <v>jeptanui</v>
          </cell>
          <cell r="E466">
            <v>206230579</v>
          </cell>
          <cell r="F466" t="str">
            <v>A</v>
          </cell>
          <cell r="G466" t="str">
            <v>GREEN</v>
          </cell>
          <cell r="H466" t="str">
            <v>FULL_TIME</v>
          </cell>
          <cell r="I466">
            <v>900234</v>
          </cell>
          <cell r="J466" t="str">
            <v>EFS Facilities Services</v>
          </cell>
          <cell r="K466" t="str">
            <v>Violah Jeptanui</v>
          </cell>
          <cell r="L466" t="str">
            <v>Warehouse Associate (TEMP)</v>
          </cell>
          <cell r="M466" t="str">
            <v>Warehouse Associate 8W</v>
          </cell>
          <cell r="N466" t="str">
            <v>mnarshad</v>
          </cell>
          <cell r="O466">
            <v>1299</v>
          </cell>
          <cell r="P466" t="str">
            <v>AUH1</v>
          </cell>
          <cell r="Q466" t="str">
            <v>ARE</v>
          </cell>
          <cell r="R466" t="str">
            <v>FC557</v>
          </cell>
          <cell r="S466" t="str">
            <v>Night Shift</v>
          </cell>
          <cell r="T466">
            <v>99</v>
          </cell>
          <cell r="U466" t="str">
            <v>MENA_UAE_FC</v>
          </cell>
          <cell r="V466">
            <v>46257.754861111112</v>
          </cell>
          <cell r="X466">
            <v>46257.756944444445</v>
          </cell>
          <cell r="Y466">
            <v>46258.090277777781</v>
          </cell>
          <cell r="AA466" t="str">
            <v>Scheduled</v>
          </cell>
          <cell r="AB466" t="str">
            <v>Present</v>
          </cell>
          <cell r="AC466" t="str">
            <v>Outbound</v>
          </cell>
          <cell r="AD466" t="str">
            <v>Picking</v>
          </cell>
          <cell r="AE466" t="str">
            <v>Pick</v>
          </cell>
          <cell r="AF466" t="str">
            <v>Wednesday</v>
          </cell>
          <cell r="AG466" t="str">
            <v>Thursday</v>
          </cell>
          <cell r="AH466">
            <v>13</v>
          </cell>
          <cell r="AJ466">
            <v>46237</v>
          </cell>
          <cell r="AM466" t="str">
            <v>TEMP</v>
          </cell>
          <cell r="AN466" t="str">
            <v>3P Onsite Worker</v>
          </cell>
          <cell r="AO466" t="str">
            <v>A</v>
          </cell>
          <cell r="AP466">
            <v>7</v>
          </cell>
          <cell r="AQ466">
            <v>0</v>
          </cell>
          <cell r="AR466">
            <v>1</v>
          </cell>
          <cell r="AS466">
            <v>1</v>
          </cell>
          <cell r="AT466">
            <v>0</v>
          </cell>
          <cell r="AU466">
            <v>0</v>
          </cell>
        </row>
        <row r="467">
          <cell r="D467" t="str">
            <v>jermercy</v>
          </cell>
          <cell r="E467">
            <v>206192271</v>
          </cell>
          <cell r="F467" t="str">
            <v>A</v>
          </cell>
          <cell r="G467" t="str">
            <v>GREEN</v>
          </cell>
          <cell r="H467" t="str">
            <v>FULL_TIME</v>
          </cell>
          <cell r="I467">
            <v>900234</v>
          </cell>
          <cell r="J467" t="str">
            <v>EFS Facilities Services</v>
          </cell>
          <cell r="K467" t="str">
            <v>MERCY JERUTO</v>
          </cell>
          <cell r="L467" t="str">
            <v>Warehouse Associate (TEMP)</v>
          </cell>
          <cell r="M467" t="str">
            <v>Warehouse Associate 8W</v>
          </cell>
          <cell r="N467" t="str">
            <v>bizthoma</v>
          </cell>
          <cell r="O467">
            <v>1299</v>
          </cell>
          <cell r="P467" t="str">
            <v>AUH1</v>
          </cell>
          <cell r="Q467" t="str">
            <v>ARE</v>
          </cell>
          <cell r="R467" t="str">
            <v>LK011</v>
          </cell>
          <cell r="S467" t="str">
            <v>Night Shift</v>
          </cell>
          <cell r="T467">
            <v>99</v>
          </cell>
          <cell r="U467" t="str">
            <v>MENA_UAE_FC</v>
          </cell>
          <cell r="V467">
            <v>46257.754861111112</v>
          </cell>
          <cell r="X467">
            <v>46257.756944444445</v>
          </cell>
          <cell r="Y467">
            <v>46258.173611111109</v>
          </cell>
          <cell r="AA467" t="str">
            <v>Scheduled</v>
          </cell>
          <cell r="AB467" t="str">
            <v>Present</v>
          </cell>
          <cell r="AC467" t="str">
            <v>Outbound</v>
          </cell>
          <cell r="AD467" t="str">
            <v>Picking</v>
          </cell>
          <cell r="AE467" t="str">
            <v>Pick</v>
          </cell>
          <cell r="AF467" t="str">
            <v>Friday</v>
          </cell>
          <cell r="AG467" t="str">
            <v>Saturday</v>
          </cell>
          <cell r="AH467">
            <v>13</v>
          </cell>
          <cell r="AJ467">
            <v>45935</v>
          </cell>
          <cell r="AM467" t="str">
            <v>TEMP</v>
          </cell>
          <cell r="AN467" t="str">
            <v>3P Onsite Worker</v>
          </cell>
          <cell r="AO467" t="str">
            <v>A</v>
          </cell>
          <cell r="AP467">
            <v>9</v>
          </cell>
          <cell r="AQ467">
            <v>0</v>
          </cell>
          <cell r="AR467">
            <v>1</v>
          </cell>
          <cell r="AS467">
            <v>1</v>
          </cell>
          <cell r="AT467">
            <v>0</v>
          </cell>
          <cell r="AU467">
            <v>0</v>
          </cell>
        </row>
        <row r="468">
          <cell r="D468" t="str">
            <v>jerodfai</v>
          </cell>
          <cell r="E468">
            <v>206890228</v>
          </cell>
          <cell r="F468" t="str">
            <v>A</v>
          </cell>
          <cell r="G468" t="str">
            <v>GREEN</v>
          </cell>
          <cell r="H468" t="str">
            <v>FULL_TIME</v>
          </cell>
          <cell r="I468">
            <v>900234</v>
          </cell>
          <cell r="J468" t="str">
            <v>EFS Facilities Services</v>
          </cell>
          <cell r="K468" t="str">
            <v>FAITH JEROTICH</v>
          </cell>
          <cell r="L468" t="str">
            <v>Warehouse Associate (TEMP)</v>
          </cell>
          <cell r="M468" t="str">
            <v>Warehouse Associate 8W</v>
          </cell>
          <cell r="N468" t="str">
            <v>pparsin</v>
          </cell>
          <cell r="O468">
            <v>1299</v>
          </cell>
          <cell r="P468" t="str">
            <v>AUH1</v>
          </cell>
          <cell r="Q468" t="str">
            <v>ARE</v>
          </cell>
          <cell r="R468" t="str">
            <v>FC059</v>
          </cell>
          <cell r="S468" t="str">
            <v>Day Shift</v>
          </cell>
          <cell r="T468">
            <v>99</v>
          </cell>
          <cell r="U468" t="str">
            <v>MENA_UAE_FC</v>
          </cell>
          <cell r="X468">
            <v>46257.333333333336</v>
          </cell>
          <cell r="Y468">
            <v>46257.75</v>
          </cell>
          <cell r="Z468" t="str">
            <v>Rest Day</v>
          </cell>
          <cell r="AA468" t="str">
            <v>Not Scheduled</v>
          </cell>
          <cell r="AB468" t="str">
            <v>Not Present</v>
          </cell>
          <cell r="AC468" t="str">
            <v>Inbound</v>
          </cell>
          <cell r="AD468" t="str">
            <v>Inbound Stow</v>
          </cell>
          <cell r="AE468" t="str">
            <v>Stow</v>
          </cell>
          <cell r="AF468" t="str">
            <v>Sunday</v>
          </cell>
          <cell r="AG468" t="str">
            <v>Monday</v>
          </cell>
          <cell r="AH468">
            <v>3</v>
          </cell>
          <cell r="AJ468">
            <v>46026</v>
          </cell>
          <cell r="AM468" t="str">
            <v>TEMP</v>
          </cell>
          <cell r="AN468" t="str">
            <v>3P Onsite Worker</v>
          </cell>
          <cell r="AO468" t="str">
            <v>A</v>
          </cell>
          <cell r="AP468">
            <v>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</row>
        <row r="469">
          <cell r="D469" t="str">
            <v>jeropfar</v>
          </cell>
          <cell r="E469">
            <v>206930336</v>
          </cell>
          <cell r="F469" t="str">
            <v>A</v>
          </cell>
          <cell r="G469" t="str">
            <v>GREEN</v>
          </cell>
          <cell r="H469" t="str">
            <v>FULL_TIME</v>
          </cell>
          <cell r="I469">
            <v>900234</v>
          </cell>
          <cell r="J469" t="str">
            <v>EFS Facilities Services</v>
          </cell>
          <cell r="K469" t="str">
            <v>FAITH JEROP</v>
          </cell>
          <cell r="L469" t="str">
            <v>Warehouse Associate (TEMP)</v>
          </cell>
          <cell r="M469" t="str">
            <v>Warehouse Associate 8W</v>
          </cell>
          <cell r="N469" t="str">
            <v>bizthoma</v>
          </cell>
          <cell r="O469">
            <v>1299</v>
          </cell>
          <cell r="P469" t="str">
            <v>AUH1</v>
          </cell>
          <cell r="Q469" t="str">
            <v>ARE</v>
          </cell>
          <cell r="R469" t="str">
            <v>FC109</v>
          </cell>
          <cell r="S469" t="str">
            <v>Day Shift</v>
          </cell>
          <cell r="T469">
            <v>99</v>
          </cell>
          <cell r="U469" t="str">
            <v>MENA_UAE_FC</v>
          </cell>
          <cell r="V469">
            <v>46257.330555555556</v>
          </cell>
          <cell r="W469">
            <v>46257.747916666667</v>
          </cell>
          <cell r="X469">
            <v>46257.333333333336</v>
          </cell>
          <cell r="Y469">
            <v>46257.75</v>
          </cell>
          <cell r="AA469" t="str">
            <v>Scheduled</v>
          </cell>
          <cell r="AB469" t="str">
            <v>Present</v>
          </cell>
          <cell r="AC469" t="str">
            <v>Da</v>
          </cell>
          <cell r="AD469" t="str">
            <v>Transfer Out</v>
          </cell>
          <cell r="AE469" t="str">
            <v>Da</v>
          </cell>
          <cell r="AF469" t="str">
            <v>Tuesday</v>
          </cell>
          <cell r="AG469" t="str">
            <v>Wednesday</v>
          </cell>
          <cell r="AH469">
            <v>10</v>
          </cell>
          <cell r="AJ469">
            <v>46036</v>
          </cell>
          <cell r="AM469" t="str">
            <v>TEMP</v>
          </cell>
          <cell r="AN469" t="str">
            <v>3P Onsite Worker</v>
          </cell>
          <cell r="AO469" t="str">
            <v>A</v>
          </cell>
          <cell r="AP469">
            <v>9</v>
          </cell>
          <cell r="AQ469">
            <v>0</v>
          </cell>
          <cell r="AR469">
            <v>1</v>
          </cell>
          <cell r="AS469">
            <v>1</v>
          </cell>
          <cell r="AT469">
            <v>0</v>
          </cell>
          <cell r="AU469">
            <v>0</v>
          </cell>
        </row>
        <row r="470">
          <cell r="D470" t="str">
            <v>jerstelt</v>
          </cell>
          <cell r="E470">
            <v>206890218</v>
          </cell>
          <cell r="F470" t="str">
            <v>A</v>
          </cell>
          <cell r="G470" t="str">
            <v>GREEN</v>
          </cell>
          <cell r="H470" t="str">
            <v>REDUCED</v>
          </cell>
          <cell r="I470">
            <v>900234</v>
          </cell>
          <cell r="J470" t="str">
            <v>EFS Facilities Services</v>
          </cell>
          <cell r="K470" t="str">
            <v>STELLAH JEROP</v>
          </cell>
          <cell r="L470" t="str">
            <v>Warehouse Associate (TEMP)</v>
          </cell>
          <cell r="M470" t="str">
            <v>Warehouse Associate 8W</v>
          </cell>
          <cell r="N470" t="str">
            <v>bizthoma</v>
          </cell>
          <cell r="O470">
            <v>1299</v>
          </cell>
          <cell r="P470" t="str">
            <v>AUH1</v>
          </cell>
          <cell r="Q470" t="str">
            <v>ARE</v>
          </cell>
          <cell r="R470" t="str">
            <v>FC559</v>
          </cell>
          <cell r="S470" t="str">
            <v>Night Shift</v>
          </cell>
          <cell r="T470">
            <v>99</v>
          </cell>
          <cell r="U470" t="str">
            <v>MENA_UAE_FC</v>
          </cell>
          <cell r="X470">
            <v>46257.756944444445</v>
          </cell>
          <cell r="Y470">
            <v>46258.090277777781</v>
          </cell>
          <cell r="Z470" t="str">
            <v>Rest Day</v>
          </cell>
          <cell r="AA470" t="str">
            <v>Not Scheduled</v>
          </cell>
          <cell r="AB470" t="str">
            <v>Not Present</v>
          </cell>
          <cell r="AC470" t="str">
            <v>Outbound</v>
          </cell>
          <cell r="AD470" t="str">
            <v>Pack - Batch</v>
          </cell>
          <cell r="AE470" t="str">
            <v>Pack</v>
          </cell>
          <cell r="AF470" t="str">
            <v>Saturday</v>
          </cell>
          <cell r="AG470" t="str">
            <v>Sunday</v>
          </cell>
          <cell r="AH470">
            <v>17</v>
          </cell>
          <cell r="AJ470">
            <v>46251</v>
          </cell>
          <cell r="AM470" t="str">
            <v>TEMP</v>
          </cell>
          <cell r="AN470" t="str">
            <v>3P Onsite Worker</v>
          </cell>
          <cell r="AO470" t="str">
            <v>A</v>
          </cell>
          <cell r="AP470">
            <v>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</row>
        <row r="471">
          <cell r="D471" t="str">
            <v>jerutaum</v>
          </cell>
          <cell r="E471">
            <v>206883741</v>
          </cell>
          <cell r="F471" t="str">
            <v>A</v>
          </cell>
          <cell r="G471" t="str">
            <v>GREEN</v>
          </cell>
          <cell r="H471" t="str">
            <v>FULL_TIME</v>
          </cell>
          <cell r="I471">
            <v>900234</v>
          </cell>
          <cell r="J471" t="str">
            <v>EFS Facilities Services</v>
          </cell>
          <cell r="K471" t="str">
            <v>AUDIA JERUTO</v>
          </cell>
          <cell r="L471" t="str">
            <v>Warehouse Associate (TEMP)</v>
          </cell>
          <cell r="M471" t="str">
            <v>Warehouse Associate 8W</v>
          </cell>
          <cell r="N471" t="str">
            <v>vkkatyal</v>
          </cell>
          <cell r="O471">
            <v>1299</v>
          </cell>
          <cell r="P471" t="str">
            <v>AUH1</v>
          </cell>
          <cell r="Q471" t="str">
            <v>ARE</v>
          </cell>
          <cell r="R471" t="str">
            <v>FC059</v>
          </cell>
          <cell r="S471" t="str">
            <v>Day Shift</v>
          </cell>
          <cell r="T471">
            <v>99</v>
          </cell>
          <cell r="U471" t="str">
            <v>MENA_UAE_FC</v>
          </cell>
          <cell r="X471">
            <v>46257.333333333336</v>
          </cell>
          <cell r="Y471">
            <v>46257.75</v>
          </cell>
          <cell r="Z471" t="str">
            <v>Rest Day</v>
          </cell>
          <cell r="AA471" t="str">
            <v>Not Scheduled</v>
          </cell>
          <cell r="AB471" t="str">
            <v>Not Present</v>
          </cell>
          <cell r="AC471" t="str">
            <v>Inbound</v>
          </cell>
          <cell r="AD471" t="str">
            <v>Inbound Stow</v>
          </cell>
          <cell r="AE471" t="str">
            <v>Stow</v>
          </cell>
          <cell r="AF471" t="str">
            <v>Sunday</v>
          </cell>
          <cell r="AG471" t="str">
            <v>Monday</v>
          </cell>
          <cell r="AH471">
            <v>3</v>
          </cell>
          <cell r="AJ471">
            <v>46026</v>
          </cell>
          <cell r="AM471" t="str">
            <v>TEMP</v>
          </cell>
          <cell r="AN471" t="str">
            <v>3P Onsite Worker</v>
          </cell>
          <cell r="AO471" t="str">
            <v>A</v>
          </cell>
          <cell r="AP471">
            <v>9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</row>
        <row r="472">
          <cell r="D472" t="str">
            <v>jescmapu</v>
          </cell>
          <cell r="E472">
            <v>204246163</v>
          </cell>
          <cell r="F472" t="str">
            <v>A</v>
          </cell>
          <cell r="G472" t="str">
            <v>GREEN</v>
          </cell>
          <cell r="H472" t="str">
            <v>FULL_TIME</v>
          </cell>
          <cell r="I472">
            <v>900234</v>
          </cell>
          <cell r="J472" t="str">
            <v>Quesscorp</v>
          </cell>
          <cell r="K472" t="str">
            <v>Jescar Mapuranga</v>
          </cell>
          <cell r="L472" t="str">
            <v>Warehouse Associate (TEMP)</v>
          </cell>
          <cell r="M472" t="str">
            <v>Warehouse Associate 24M</v>
          </cell>
          <cell r="N472" t="str">
            <v>pparsin</v>
          </cell>
          <cell r="O472">
            <v>1299</v>
          </cell>
          <cell r="P472" t="str">
            <v>AUH1</v>
          </cell>
          <cell r="Q472" t="str">
            <v>ARE</v>
          </cell>
          <cell r="R472" t="str">
            <v>LK012</v>
          </cell>
          <cell r="S472" t="str">
            <v>Night Shift</v>
          </cell>
          <cell r="T472">
            <v>99</v>
          </cell>
          <cell r="U472" t="str">
            <v>MENA_UAE_FC</v>
          </cell>
          <cell r="X472">
            <v>46257.756944444445</v>
          </cell>
          <cell r="Y472">
            <v>46258.173611111109</v>
          </cell>
          <cell r="Z472" t="str">
            <v>Rest Day</v>
          </cell>
          <cell r="AA472" t="str">
            <v>Not Scheduled</v>
          </cell>
          <cell r="AB472" t="str">
            <v>Not Present</v>
          </cell>
          <cell r="AC472" t="str">
            <v>Inbound</v>
          </cell>
          <cell r="AD472" t="str">
            <v>Replenishment</v>
          </cell>
          <cell r="AE472" t="str">
            <v>Stow</v>
          </cell>
          <cell r="AF472" t="str">
            <v>Saturday</v>
          </cell>
          <cell r="AG472" t="str">
            <v>Sunday</v>
          </cell>
          <cell r="AH472">
            <v>4</v>
          </cell>
          <cell r="AJ472">
            <v>45578</v>
          </cell>
          <cell r="AM472" t="str">
            <v>TEMP</v>
          </cell>
          <cell r="AN472" t="str">
            <v>3P Onsite Worker</v>
          </cell>
          <cell r="AO472" t="str">
            <v>A</v>
          </cell>
          <cell r="AP472">
            <v>9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</row>
        <row r="473">
          <cell r="D473" t="str">
            <v>jfsheila</v>
          </cell>
          <cell r="E473">
            <v>206297429</v>
          </cell>
          <cell r="F473" t="str">
            <v>A</v>
          </cell>
          <cell r="G473" t="str">
            <v>GREEN</v>
          </cell>
          <cell r="H473" t="str">
            <v>FULL_TIME</v>
          </cell>
          <cell r="I473">
            <v>900234</v>
          </cell>
          <cell r="J473" t="str">
            <v>EFS Facilities Services</v>
          </cell>
          <cell r="K473" t="str">
            <v>Sheilah Kuttoh Jeptoo</v>
          </cell>
          <cell r="L473" t="str">
            <v>Warehouse Associate (TEMP)</v>
          </cell>
          <cell r="M473" t="str">
            <v>Warehouse Associate 12M</v>
          </cell>
          <cell r="N473" t="str">
            <v>bavameer</v>
          </cell>
          <cell r="O473">
            <v>1299</v>
          </cell>
          <cell r="P473" t="str">
            <v>AUH1</v>
          </cell>
          <cell r="Q473" t="str">
            <v>ARE</v>
          </cell>
          <cell r="R473" t="str">
            <v>LK012</v>
          </cell>
          <cell r="S473" t="str">
            <v>Night Shift</v>
          </cell>
          <cell r="T473">
            <v>99</v>
          </cell>
          <cell r="U473" t="str">
            <v>MENA_UAE_FC</v>
          </cell>
          <cell r="X473">
            <v>46257.756944444445</v>
          </cell>
          <cell r="Y473">
            <v>46258.173611111109</v>
          </cell>
          <cell r="Z473" t="str">
            <v>Rest Day</v>
          </cell>
          <cell r="AA473" t="str">
            <v>Not Scheduled</v>
          </cell>
          <cell r="AB473" t="str">
            <v>Not Present</v>
          </cell>
          <cell r="AC473" t="str">
            <v>Customer returns</v>
          </cell>
          <cell r="AD473" t="str">
            <v>Customer Returns</v>
          </cell>
          <cell r="AE473" t="str">
            <v>Customer returns</v>
          </cell>
          <cell r="AF473" t="str">
            <v>Saturday</v>
          </cell>
          <cell r="AG473" t="str">
            <v>Sunday</v>
          </cell>
          <cell r="AH473">
            <v>22</v>
          </cell>
          <cell r="AJ473">
            <v>45949</v>
          </cell>
          <cell r="AM473" t="str">
            <v>TEMP</v>
          </cell>
          <cell r="AN473" t="str">
            <v>3P Onsite Worker</v>
          </cell>
          <cell r="AO473" t="str">
            <v>A</v>
          </cell>
          <cell r="AP473">
            <v>9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</row>
        <row r="474">
          <cell r="D474" t="str">
            <v>jhabshai</v>
          </cell>
          <cell r="E474">
            <v>205199079</v>
          </cell>
          <cell r="F474" t="str">
            <v>A</v>
          </cell>
          <cell r="G474" t="str">
            <v>GREEN</v>
          </cell>
          <cell r="H474" t="str">
            <v>FULL_TIME</v>
          </cell>
          <cell r="I474">
            <v>900234</v>
          </cell>
          <cell r="J474" t="str">
            <v>EFS Facilities Services</v>
          </cell>
          <cell r="K474" t="str">
            <v>Habeeb Shaik</v>
          </cell>
          <cell r="L474" t="str">
            <v>Warehouse Associate (TEMP)</v>
          </cell>
          <cell r="M474" t="str">
            <v>Warehouse Associate 12M</v>
          </cell>
          <cell r="N474" t="str">
            <v>lraghava</v>
          </cell>
          <cell r="O474">
            <v>1299</v>
          </cell>
          <cell r="P474" t="str">
            <v>AUH1</v>
          </cell>
          <cell r="Q474" t="str">
            <v>ARE</v>
          </cell>
          <cell r="R474" t="str">
            <v>LK012</v>
          </cell>
          <cell r="S474" t="str">
            <v>Night Shift</v>
          </cell>
          <cell r="T474">
            <v>99</v>
          </cell>
          <cell r="U474" t="str">
            <v>MENA_UAE_FC</v>
          </cell>
          <cell r="X474">
            <v>46257.756944444445</v>
          </cell>
          <cell r="Y474">
            <v>46258.173611111109</v>
          </cell>
          <cell r="Z474" t="str">
            <v>Rest Day</v>
          </cell>
          <cell r="AA474" t="str">
            <v>Not Scheduled</v>
          </cell>
          <cell r="AB474" t="str">
            <v>Not Present</v>
          </cell>
          <cell r="AC474" t="str">
            <v>Outbound</v>
          </cell>
          <cell r="AD474" t="str">
            <v>Picking</v>
          </cell>
          <cell r="AE474" t="str">
            <v>Pick</v>
          </cell>
          <cell r="AF474" t="str">
            <v>Saturday</v>
          </cell>
          <cell r="AG474" t="str">
            <v>Sunday</v>
          </cell>
          <cell r="AH474">
            <v>13</v>
          </cell>
          <cell r="AJ474">
            <v>45774</v>
          </cell>
          <cell r="AM474" t="str">
            <v>TEMP</v>
          </cell>
          <cell r="AN474" t="str">
            <v>3P Onsite Worker</v>
          </cell>
          <cell r="AO474" t="str">
            <v>A</v>
          </cell>
          <cell r="AP474">
            <v>9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</row>
        <row r="475">
          <cell r="D475" t="str">
            <v>jingekwa</v>
          </cell>
          <cell r="E475">
            <v>206517353</v>
          </cell>
          <cell r="F475" t="str">
            <v>A</v>
          </cell>
          <cell r="G475" t="str">
            <v>GREEN</v>
          </cell>
          <cell r="H475" t="str">
            <v>FULL_TIME</v>
          </cell>
          <cell r="I475">
            <v>900234</v>
          </cell>
          <cell r="J475" t="str">
            <v>EFS Facilities Services</v>
          </cell>
          <cell r="K475" t="str">
            <v>JINA MOSINGA EKWALLA</v>
          </cell>
          <cell r="L475" t="str">
            <v>Warehouse Associate (TEMP)</v>
          </cell>
          <cell r="M475" t="str">
            <v>Warehouse Associate 8W</v>
          </cell>
          <cell r="N475" t="str">
            <v>mnarshad</v>
          </cell>
          <cell r="O475">
            <v>1299</v>
          </cell>
          <cell r="P475" t="str">
            <v>AUH1</v>
          </cell>
          <cell r="Q475" t="str">
            <v>ARE</v>
          </cell>
          <cell r="R475" t="str">
            <v>LK017</v>
          </cell>
          <cell r="S475" t="str">
            <v>Night Shift</v>
          </cell>
          <cell r="T475">
            <v>99</v>
          </cell>
          <cell r="U475" t="str">
            <v>MENA_UAE_FC</v>
          </cell>
          <cell r="V475">
            <v>46257.756249999999</v>
          </cell>
          <cell r="X475">
            <v>46257.756944444445</v>
          </cell>
          <cell r="Y475">
            <v>46258.173611111109</v>
          </cell>
          <cell r="AA475" t="str">
            <v>Scheduled</v>
          </cell>
          <cell r="AB475" t="str">
            <v>Present</v>
          </cell>
          <cell r="AC475" t="str">
            <v>Outbound</v>
          </cell>
          <cell r="AD475" t="str">
            <v>Picking</v>
          </cell>
          <cell r="AE475" t="str">
            <v>Pick</v>
          </cell>
          <cell r="AF475" t="str">
            <v>Thursday</v>
          </cell>
          <cell r="AG475" t="str">
            <v>Friday</v>
          </cell>
          <cell r="AH475">
            <v>13</v>
          </cell>
          <cell r="AJ475">
            <v>45970</v>
          </cell>
          <cell r="AM475" t="str">
            <v>TEMP</v>
          </cell>
          <cell r="AN475" t="str">
            <v>3P Onsite Worker</v>
          </cell>
          <cell r="AO475" t="str">
            <v>A</v>
          </cell>
          <cell r="AP475">
            <v>9</v>
          </cell>
          <cell r="AQ475">
            <v>0</v>
          </cell>
          <cell r="AR475">
            <v>1</v>
          </cell>
          <cell r="AS475">
            <v>1</v>
          </cell>
          <cell r="AT475">
            <v>0</v>
          </cell>
          <cell r="AU475">
            <v>0</v>
          </cell>
        </row>
        <row r="476">
          <cell r="D476" t="str">
            <v>jkaboggo</v>
          </cell>
          <cell r="E476">
            <v>206875332</v>
          </cell>
          <cell r="F476" t="str">
            <v>A</v>
          </cell>
          <cell r="G476" t="str">
            <v>GREEN</v>
          </cell>
          <cell r="H476" t="str">
            <v>FULL_TIME</v>
          </cell>
          <cell r="I476">
            <v>900234</v>
          </cell>
          <cell r="J476" t="str">
            <v>Dulsco L.L.C.</v>
          </cell>
          <cell r="K476" t="str">
            <v>KABOGGOZA JORAM</v>
          </cell>
          <cell r="L476" t="str">
            <v>Warehouse Associate (TEMP)</v>
          </cell>
          <cell r="M476" t="str">
            <v>Warehouse Associate 8W</v>
          </cell>
          <cell r="N476" t="str">
            <v>bavameer</v>
          </cell>
          <cell r="O476">
            <v>1299</v>
          </cell>
          <cell r="P476" t="str">
            <v>AUH1</v>
          </cell>
          <cell r="Q476" t="str">
            <v>ARE</v>
          </cell>
          <cell r="R476" t="str">
            <v>FC134</v>
          </cell>
          <cell r="S476" t="str">
            <v>Day Shift</v>
          </cell>
          <cell r="T476">
            <v>99</v>
          </cell>
          <cell r="U476" t="str">
            <v>MENA_UAE_FC</v>
          </cell>
          <cell r="V476">
            <v>46257.331944444442</v>
          </cell>
          <cell r="W476">
            <v>46257.75</v>
          </cell>
          <cell r="X476">
            <v>46257.333333333336</v>
          </cell>
          <cell r="Y476">
            <v>46257.75</v>
          </cell>
          <cell r="AA476" t="str">
            <v>Scheduled</v>
          </cell>
          <cell r="AB476" t="str">
            <v>Present</v>
          </cell>
          <cell r="AC476" t="str">
            <v>Customer returns</v>
          </cell>
          <cell r="AD476" t="str">
            <v>Customer Returns</v>
          </cell>
          <cell r="AE476" t="str">
            <v>Customer returns</v>
          </cell>
          <cell r="AF476" t="str">
            <v>Wednesday</v>
          </cell>
          <cell r="AG476" t="str">
            <v>Thursday</v>
          </cell>
          <cell r="AH476">
            <v>22</v>
          </cell>
          <cell r="AJ476">
            <v>46019</v>
          </cell>
          <cell r="AM476" t="str">
            <v>TEMP</v>
          </cell>
          <cell r="AN476" t="str">
            <v>3P Onsite Worker</v>
          </cell>
          <cell r="AO476" t="str">
            <v>A</v>
          </cell>
          <cell r="AP476">
            <v>9</v>
          </cell>
          <cell r="AQ476">
            <v>0</v>
          </cell>
          <cell r="AR476">
            <v>1</v>
          </cell>
          <cell r="AS476">
            <v>1</v>
          </cell>
          <cell r="AT476">
            <v>0</v>
          </cell>
          <cell r="AU476">
            <v>0</v>
          </cell>
        </row>
        <row r="477">
          <cell r="D477" t="str">
            <v>jkissawk</v>
          </cell>
          <cell r="E477">
            <v>204967153</v>
          </cell>
          <cell r="F477" t="str">
            <v>A</v>
          </cell>
          <cell r="G477" t="str">
            <v>GREEN</v>
          </cell>
          <cell r="H477" t="str">
            <v>FULL_TIME</v>
          </cell>
          <cell r="I477">
            <v>900234</v>
          </cell>
          <cell r="J477" t="str">
            <v>Dulsco L.L.C.</v>
          </cell>
          <cell r="K477" t="str">
            <v>KASIM KISSAW</v>
          </cell>
          <cell r="L477" t="str">
            <v>Warehouse Associate (TEMP)</v>
          </cell>
          <cell r="M477" t="str">
            <v>Warehouse Associate 24M</v>
          </cell>
          <cell r="N477" t="str">
            <v>nnahla</v>
          </cell>
          <cell r="O477">
            <v>1299</v>
          </cell>
          <cell r="P477" t="str">
            <v>AUH1</v>
          </cell>
          <cell r="Q477" t="str">
            <v>ARE</v>
          </cell>
          <cell r="R477" t="str">
            <v>LK014</v>
          </cell>
          <cell r="S477" t="str">
            <v>Night Shift</v>
          </cell>
          <cell r="T477">
            <v>99</v>
          </cell>
          <cell r="U477" t="str">
            <v>MENA_UAE_FC</v>
          </cell>
          <cell r="V477">
            <v>46257.754166666666</v>
          </cell>
          <cell r="X477">
            <v>46257.756944444445</v>
          </cell>
          <cell r="Y477">
            <v>46258.173611111109</v>
          </cell>
          <cell r="AA477" t="str">
            <v>Scheduled</v>
          </cell>
          <cell r="AB477" t="str">
            <v>Present</v>
          </cell>
          <cell r="AC477" t="str">
            <v>Inbound</v>
          </cell>
          <cell r="AD477" t="str">
            <v>Inbound Stow</v>
          </cell>
          <cell r="AE477" t="str">
            <v>Stow</v>
          </cell>
          <cell r="AF477" t="str">
            <v>Monday</v>
          </cell>
          <cell r="AG477" t="str">
            <v>Tuesday</v>
          </cell>
          <cell r="AH477">
            <v>3</v>
          </cell>
          <cell r="AJ477">
            <v>45825</v>
          </cell>
          <cell r="AM477" t="str">
            <v>TEMP</v>
          </cell>
          <cell r="AN477" t="str">
            <v>3P Onsite Worker</v>
          </cell>
          <cell r="AO477" t="str">
            <v>A</v>
          </cell>
          <cell r="AP477">
            <v>9</v>
          </cell>
          <cell r="AQ477">
            <v>0</v>
          </cell>
          <cell r="AR477">
            <v>1</v>
          </cell>
          <cell r="AS477">
            <v>1</v>
          </cell>
          <cell r="AT477">
            <v>0</v>
          </cell>
          <cell r="AU477">
            <v>0</v>
          </cell>
        </row>
        <row r="478">
          <cell r="D478" t="str">
            <v>jkusasir</v>
          </cell>
          <cell r="E478">
            <v>206953801</v>
          </cell>
          <cell r="F478" t="str">
            <v>A</v>
          </cell>
          <cell r="G478" t="str">
            <v>GREEN</v>
          </cell>
          <cell r="H478" t="str">
            <v>FULL_TIME</v>
          </cell>
          <cell r="I478">
            <v>900234</v>
          </cell>
          <cell r="J478" t="str">
            <v>Dulsco L.L.C.</v>
          </cell>
          <cell r="K478" t="str">
            <v>JOSEPHATE KUSASIRA</v>
          </cell>
          <cell r="L478" t="str">
            <v>Warehouse Associate (TEMP)</v>
          </cell>
          <cell r="M478" t="str">
            <v>Warehouse Associate 24M</v>
          </cell>
          <cell r="N478" t="str">
            <v>pparsin</v>
          </cell>
          <cell r="O478">
            <v>1299</v>
          </cell>
          <cell r="P478" t="str">
            <v>AUH1</v>
          </cell>
          <cell r="Q478" t="str">
            <v>ARE</v>
          </cell>
          <cell r="R478" t="str">
            <v>FC059</v>
          </cell>
          <cell r="S478" t="str">
            <v>Day Shift</v>
          </cell>
          <cell r="T478">
            <v>99</v>
          </cell>
          <cell r="U478" t="str">
            <v>MENA_UAE_FC</v>
          </cell>
          <cell r="X478">
            <v>46257.333333333336</v>
          </cell>
          <cell r="Y478">
            <v>46257.75</v>
          </cell>
          <cell r="Z478" t="str">
            <v>Rest Day</v>
          </cell>
          <cell r="AA478" t="str">
            <v>Not Scheduled</v>
          </cell>
          <cell r="AB478" t="str">
            <v>Not Present</v>
          </cell>
          <cell r="AC478" t="str">
            <v>Inbound</v>
          </cell>
          <cell r="AD478" t="str">
            <v>Inbound Stow</v>
          </cell>
          <cell r="AE478" t="str">
            <v>Stow</v>
          </cell>
          <cell r="AF478" t="str">
            <v>Sunday</v>
          </cell>
          <cell r="AG478" t="str">
            <v>Monday</v>
          </cell>
          <cell r="AH478">
            <v>3</v>
          </cell>
          <cell r="AJ478">
            <v>46049</v>
          </cell>
          <cell r="AM478" t="str">
            <v>TEMP</v>
          </cell>
          <cell r="AN478" t="str">
            <v>3P Onsite Worker</v>
          </cell>
          <cell r="AO478" t="str">
            <v>A</v>
          </cell>
          <cell r="AP478">
            <v>9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</row>
        <row r="479">
          <cell r="D479" t="str">
            <v>joaagyek</v>
          </cell>
          <cell r="E479">
            <v>203469053</v>
          </cell>
          <cell r="F479" t="str">
            <v>A</v>
          </cell>
          <cell r="G479" t="str">
            <v>GREEN</v>
          </cell>
          <cell r="H479" t="str">
            <v>FULL_TIME</v>
          </cell>
          <cell r="I479">
            <v>900234</v>
          </cell>
          <cell r="J479" t="str">
            <v>Fastlink Outsourcing</v>
          </cell>
          <cell r="K479" t="str">
            <v>Joana Agyekum</v>
          </cell>
          <cell r="L479" t="str">
            <v>Warehouse Associate (TEMP)</v>
          </cell>
          <cell r="M479" t="str">
            <v>Warehouse Associate 12M</v>
          </cell>
          <cell r="N479" t="str">
            <v>aanso</v>
          </cell>
          <cell r="O479">
            <v>1299</v>
          </cell>
          <cell r="P479" t="str">
            <v>AUH1</v>
          </cell>
          <cell r="Q479" t="str">
            <v>ARE</v>
          </cell>
          <cell r="R479" t="str">
            <v>LK016</v>
          </cell>
          <cell r="S479" t="str">
            <v>Night Shift</v>
          </cell>
          <cell r="T479">
            <v>99</v>
          </cell>
          <cell r="U479" t="str">
            <v>MENA_UAE_FC</v>
          </cell>
          <cell r="V479">
            <v>46257.754861111112</v>
          </cell>
          <cell r="X479">
            <v>46257.756944444445</v>
          </cell>
          <cell r="Y479">
            <v>46258.173611111109</v>
          </cell>
          <cell r="AA479" t="str">
            <v>Scheduled</v>
          </cell>
          <cell r="AB479" t="str">
            <v>Present</v>
          </cell>
          <cell r="AC479" t="str">
            <v>Customer returns</v>
          </cell>
          <cell r="AD479" t="str">
            <v>Customer Returns</v>
          </cell>
          <cell r="AE479" t="str">
            <v>Customer returns</v>
          </cell>
          <cell r="AF479" t="str">
            <v>Wednesday</v>
          </cell>
          <cell r="AG479" t="str">
            <v>Thursday</v>
          </cell>
          <cell r="AH479">
            <v>22</v>
          </cell>
          <cell r="AJ479">
            <v>45455</v>
          </cell>
          <cell r="AM479" t="str">
            <v>TEMP</v>
          </cell>
          <cell r="AN479" t="str">
            <v>3P Onsite Worker</v>
          </cell>
          <cell r="AO479" t="str">
            <v>A</v>
          </cell>
          <cell r="AP479">
            <v>9</v>
          </cell>
          <cell r="AQ479">
            <v>0</v>
          </cell>
          <cell r="AR479">
            <v>1</v>
          </cell>
          <cell r="AS479">
            <v>1</v>
          </cell>
          <cell r="AT479">
            <v>0</v>
          </cell>
          <cell r="AU479">
            <v>0</v>
          </cell>
        </row>
        <row r="480">
          <cell r="D480" t="str">
            <v>joboateq</v>
          </cell>
          <cell r="E480">
            <v>203965411</v>
          </cell>
          <cell r="F480" t="str">
            <v>A</v>
          </cell>
          <cell r="G480" t="str">
            <v>GREEN</v>
          </cell>
          <cell r="H480" t="str">
            <v>FULL_TIME</v>
          </cell>
          <cell r="I480">
            <v>900234</v>
          </cell>
          <cell r="J480" t="str">
            <v>Fastlink Outsourcing</v>
          </cell>
          <cell r="K480" t="str">
            <v>John Boateng Opoku</v>
          </cell>
          <cell r="L480" t="str">
            <v>Warehouse Associate (TEMP)</v>
          </cell>
          <cell r="M480" t="str">
            <v>Warehouse Associate 12M</v>
          </cell>
          <cell r="N480" t="str">
            <v>lraghava</v>
          </cell>
          <cell r="O480">
            <v>1299</v>
          </cell>
          <cell r="P480" t="str">
            <v>AUH1</v>
          </cell>
          <cell r="Q480" t="str">
            <v>ARE</v>
          </cell>
          <cell r="R480" t="str">
            <v>LK014</v>
          </cell>
          <cell r="S480" t="str">
            <v>Night Shift</v>
          </cell>
          <cell r="T480">
            <v>99</v>
          </cell>
          <cell r="U480" t="str">
            <v>MENA_UAE_FC</v>
          </cell>
          <cell r="V480">
            <v>46257.755555555559</v>
          </cell>
          <cell r="X480">
            <v>46257.756944444445</v>
          </cell>
          <cell r="Y480">
            <v>46258.173611111109</v>
          </cell>
          <cell r="AA480" t="str">
            <v>Scheduled</v>
          </cell>
          <cell r="AB480" t="str">
            <v>Present</v>
          </cell>
          <cell r="AC480" t="str">
            <v>Outbound</v>
          </cell>
          <cell r="AD480" t="str">
            <v>Picking</v>
          </cell>
          <cell r="AE480" t="str">
            <v>Pick</v>
          </cell>
          <cell r="AF480" t="str">
            <v>Monday</v>
          </cell>
          <cell r="AG480" t="str">
            <v>Tuesday</v>
          </cell>
          <cell r="AH480">
            <v>13</v>
          </cell>
          <cell r="AJ480">
            <v>45543</v>
          </cell>
          <cell r="AM480" t="str">
            <v>TEMP</v>
          </cell>
          <cell r="AN480" t="str">
            <v>3P Onsite Worker</v>
          </cell>
          <cell r="AO480" t="str">
            <v>A</v>
          </cell>
          <cell r="AP480">
            <v>9</v>
          </cell>
          <cell r="AQ480">
            <v>0</v>
          </cell>
          <cell r="AR480">
            <v>1</v>
          </cell>
          <cell r="AS480">
            <v>1</v>
          </cell>
          <cell r="AT480">
            <v>0</v>
          </cell>
          <cell r="AU480">
            <v>0</v>
          </cell>
        </row>
        <row r="481">
          <cell r="D481" t="str">
            <v>jobubolo</v>
          </cell>
          <cell r="E481">
            <v>206846692</v>
          </cell>
          <cell r="F481" t="str">
            <v>A</v>
          </cell>
          <cell r="G481" t="str">
            <v>GREEN</v>
          </cell>
          <cell r="H481" t="str">
            <v>FULL_TIME</v>
          </cell>
          <cell r="I481">
            <v>900234</v>
          </cell>
          <cell r="J481" t="str">
            <v>Dulsco L.L.C.</v>
          </cell>
          <cell r="K481" t="str">
            <v>JOEL BUBOLO</v>
          </cell>
          <cell r="L481" t="str">
            <v>Warehouse Associate (TEMP)</v>
          </cell>
          <cell r="M481" t="str">
            <v>Warehouse Associate 8W</v>
          </cell>
          <cell r="N481" t="str">
            <v>vkkatyal</v>
          </cell>
          <cell r="O481">
            <v>1299</v>
          </cell>
          <cell r="P481" t="str">
            <v>AUH1</v>
          </cell>
          <cell r="Q481" t="str">
            <v>ARE</v>
          </cell>
          <cell r="R481" t="str">
            <v>LK013</v>
          </cell>
          <cell r="S481" t="str">
            <v>Night Shift</v>
          </cell>
          <cell r="T481">
            <v>99</v>
          </cell>
          <cell r="U481" t="str">
            <v>MENA_UAE_FC</v>
          </cell>
          <cell r="X481">
            <v>46257.756944444445</v>
          </cell>
          <cell r="Y481">
            <v>46258.173611111109</v>
          </cell>
          <cell r="Z481" t="str">
            <v>Rest Day</v>
          </cell>
          <cell r="AA481" t="str">
            <v>Not Scheduled</v>
          </cell>
          <cell r="AB481" t="str">
            <v>Not Present</v>
          </cell>
          <cell r="AC481" t="str">
            <v>Inbound</v>
          </cell>
          <cell r="AD481" t="str">
            <v>Inbound Stow</v>
          </cell>
          <cell r="AE481" t="str">
            <v>Stow</v>
          </cell>
          <cell r="AF481" t="str">
            <v>Sunday</v>
          </cell>
          <cell r="AG481" t="str">
            <v>Monday</v>
          </cell>
          <cell r="AH481">
            <v>3</v>
          </cell>
          <cell r="AJ481">
            <v>46012</v>
          </cell>
          <cell r="AM481" t="str">
            <v>TEMP</v>
          </cell>
          <cell r="AN481" t="str">
            <v>3P Onsite Worker</v>
          </cell>
          <cell r="AO481" t="str">
            <v>A</v>
          </cell>
          <cell r="AP481">
            <v>9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</row>
        <row r="482">
          <cell r="D482" t="str">
            <v>jodansoe</v>
          </cell>
          <cell r="E482">
            <v>204967041</v>
          </cell>
          <cell r="F482" t="str">
            <v>A</v>
          </cell>
          <cell r="G482" t="str">
            <v>GREEN</v>
          </cell>
          <cell r="H482" t="str">
            <v>FULL_TIME</v>
          </cell>
          <cell r="I482">
            <v>900234</v>
          </cell>
          <cell r="J482" t="str">
            <v>Dulsco L.L.C.</v>
          </cell>
          <cell r="K482" t="str">
            <v>JOSEPH KOFI DANSO YEBOAH</v>
          </cell>
          <cell r="L482" t="str">
            <v>Warehouse Associate (TEMP)</v>
          </cell>
          <cell r="M482" t="str">
            <v>Warehouse Associate 24M</v>
          </cell>
          <cell r="N482" t="str">
            <v>amanmish</v>
          </cell>
          <cell r="O482">
            <v>1299</v>
          </cell>
          <cell r="P482" t="str">
            <v>AUH1</v>
          </cell>
          <cell r="Q482" t="str">
            <v>ARE</v>
          </cell>
          <cell r="R482" t="str">
            <v>FC034</v>
          </cell>
          <cell r="S482" t="str">
            <v>Day Shift</v>
          </cell>
          <cell r="T482">
            <v>99</v>
          </cell>
          <cell r="U482" t="str">
            <v>MENA_UAE_FC</v>
          </cell>
          <cell r="X482">
            <v>46257.333333333336</v>
          </cell>
          <cell r="Y482">
            <v>46257.75</v>
          </cell>
          <cell r="Z482" t="str">
            <v>Rest Day</v>
          </cell>
          <cell r="AA482" t="str">
            <v>Not Scheduled</v>
          </cell>
          <cell r="AB482" t="str">
            <v>Not Present</v>
          </cell>
          <cell r="AC482" t="str">
            <v>Outbound</v>
          </cell>
          <cell r="AD482" t="str">
            <v>Picking</v>
          </cell>
          <cell r="AE482" t="str">
            <v>Pick</v>
          </cell>
          <cell r="AF482" t="str">
            <v>Saturday</v>
          </cell>
          <cell r="AG482" t="str">
            <v>Sunday</v>
          </cell>
          <cell r="AH482">
            <v>13</v>
          </cell>
          <cell r="AJ482">
            <v>45718</v>
          </cell>
          <cell r="AM482" t="str">
            <v>TEMP</v>
          </cell>
          <cell r="AN482" t="str">
            <v>3P Onsite Worker</v>
          </cell>
          <cell r="AO482" t="str">
            <v>A</v>
          </cell>
          <cell r="AP482">
            <v>9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</row>
        <row r="483">
          <cell r="D483" t="str">
            <v>johnngek</v>
          </cell>
          <cell r="E483">
            <v>206192274</v>
          </cell>
          <cell r="F483" t="str">
            <v>A</v>
          </cell>
          <cell r="G483" t="str">
            <v>GREEN</v>
          </cell>
          <cell r="H483" t="str">
            <v>FULL_TIME</v>
          </cell>
          <cell r="I483">
            <v>900234</v>
          </cell>
          <cell r="J483" t="str">
            <v>EFS Facilities Services</v>
          </cell>
          <cell r="K483" t="str">
            <v>John Ngere Kiarie</v>
          </cell>
          <cell r="L483" t="str">
            <v>Warehouse Associate (TEMP)</v>
          </cell>
          <cell r="M483" t="str">
            <v>Warehouse Associate 8W</v>
          </cell>
          <cell r="N483" t="str">
            <v>aanso</v>
          </cell>
          <cell r="O483">
            <v>1299</v>
          </cell>
          <cell r="P483" t="str">
            <v>AUH1</v>
          </cell>
          <cell r="Q483" t="str">
            <v>ARE</v>
          </cell>
          <cell r="R483" t="str">
            <v>LK016</v>
          </cell>
          <cell r="S483" t="str">
            <v>Night Shift</v>
          </cell>
          <cell r="T483">
            <v>99</v>
          </cell>
          <cell r="U483" t="str">
            <v>MENA_UAE_FC</v>
          </cell>
          <cell r="V483">
            <v>46257.754166666666</v>
          </cell>
          <cell r="X483">
            <v>46257.756944444445</v>
          </cell>
          <cell r="Y483">
            <v>46258.173611111109</v>
          </cell>
          <cell r="AA483" t="str">
            <v>Scheduled</v>
          </cell>
          <cell r="AB483" t="str">
            <v>Present</v>
          </cell>
          <cell r="AC483" t="str">
            <v>Customer returns</v>
          </cell>
          <cell r="AD483" t="str">
            <v>Customer Returns</v>
          </cell>
          <cell r="AE483" t="str">
            <v>Customer returns</v>
          </cell>
          <cell r="AF483" t="str">
            <v>Wednesday</v>
          </cell>
          <cell r="AG483" t="str">
            <v>Thursday</v>
          </cell>
          <cell r="AH483">
            <v>22</v>
          </cell>
          <cell r="AJ483">
            <v>45935</v>
          </cell>
          <cell r="AM483" t="str">
            <v>TEMP</v>
          </cell>
          <cell r="AN483" t="str">
            <v>3P Onsite Worker</v>
          </cell>
          <cell r="AO483" t="str">
            <v>A</v>
          </cell>
          <cell r="AP483">
            <v>9</v>
          </cell>
          <cell r="AQ483">
            <v>0</v>
          </cell>
          <cell r="AR483">
            <v>1</v>
          </cell>
          <cell r="AS483">
            <v>1</v>
          </cell>
          <cell r="AT483">
            <v>0</v>
          </cell>
          <cell r="AU483">
            <v>0</v>
          </cell>
        </row>
        <row r="484">
          <cell r="D484" t="str">
            <v>johnyoky</v>
          </cell>
          <cell r="E484">
            <v>203599606</v>
          </cell>
          <cell r="F484" t="str">
            <v>A</v>
          </cell>
          <cell r="G484" t="str">
            <v>GREEN</v>
          </cell>
          <cell r="H484" t="str">
            <v>FULL_TIME</v>
          </cell>
          <cell r="I484">
            <v>900234</v>
          </cell>
          <cell r="J484" t="str">
            <v>Fastlink Outsourcing</v>
          </cell>
          <cell r="K484" t="str">
            <v>JOHN OKYERE</v>
          </cell>
          <cell r="L484" t="str">
            <v>Warehouse Associate (TEMP)</v>
          </cell>
          <cell r="M484" t="str">
            <v>Warehouse Associate 12M</v>
          </cell>
          <cell r="N484" t="str">
            <v>pparsin</v>
          </cell>
          <cell r="O484">
            <v>1299</v>
          </cell>
          <cell r="P484" t="str">
            <v>AUH1</v>
          </cell>
          <cell r="Q484" t="str">
            <v>ARE</v>
          </cell>
          <cell r="R484" t="str">
            <v>FC159</v>
          </cell>
          <cell r="S484" t="str">
            <v>Day Shift</v>
          </cell>
          <cell r="T484">
            <v>99</v>
          </cell>
          <cell r="U484" t="str">
            <v>MENA_UAE_FC</v>
          </cell>
          <cell r="V484">
            <v>46257.330555555556</v>
          </cell>
          <cell r="W484">
            <v>46257.745138888888</v>
          </cell>
          <cell r="X484">
            <v>46257.333333333336</v>
          </cell>
          <cell r="Y484">
            <v>46257.75</v>
          </cell>
          <cell r="AA484" t="str">
            <v>Scheduled</v>
          </cell>
          <cell r="AB484" t="str">
            <v>Present</v>
          </cell>
          <cell r="AC484" t="str">
            <v>Inbound</v>
          </cell>
          <cell r="AD484" t="str">
            <v>Inbound Stow</v>
          </cell>
          <cell r="AE484" t="str">
            <v>Stow</v>
          </cell>
          <cell r="AF484" t="str">
            <v>Thursday</v>
          </cell>
          <cell r="AG484" t="str">
            <v>Friday</v>
          </cell>
          <cell r="AH484">
            <v>3</v>
          </cell>
          <cell r="AJ484">
            <v>45543</v>
          </cell>
          <cell r="AM484" t="str">
            <v>TEMP</v>
          </cell>
          <cell r="AN484" t="str">
            <v>3P Onsite Worker</v>
          </cell>
          <cell r="AO484" t="str">
            <v>A</v>
          </cell>
          <cell r="AP484">
            <v>9</v>
          </cell>
          <cell r="AQ484">
            <v>0</v>
          </cell>
          <cell r="AR484">
            <v>1</v>
          </cell>
          <cell r="AS484">
            <v>1</v>
          </cell>
          <cell r="AT484">
            <v>0</v>
          </cell>
          <cell r="AU484">
            <v>0</v>
          </cell>
        </row>
        <row r="485">
          <cell r="D485" t="str">
            <v>jonztutu</v>
          </cell>
          <cell r="E485">
            <v>203469052</v>
          </cell>
          <cell r="F485" t="str">
            <v>A</v>
          </cell>
          <cell r="G485" t="str">
            <v>GREEN</v>
          </cell>
          <cell r="H485" t="str">
            <v>FULL_TIME</v>
          </cell>
          <cell r="I485">
            <v>900234</v>
          </cell>
          <cell r="J485" t="str">
            <v>Fastlink Outsourcing</v>
          </cell>
          <cell r="K485" t="str">
            <v>Jonathan Tutu</v>
          </cell>
          <cell r="L485" t="str">
            <v>Warehouse Associate (TEMP)</v>
          </cell>
          <cell r="M485" t="str">
            <v>Warehouse Associate 12M</v>
          </cell>
          <cell r="N485" t="str">
            <v>aanso</v>
          </cell>
          <cell r="O485">
            <v>1299</v>
          </cell>
          <cell r="P485" t="str">
            <v>AUH1</v>
          </cell>
          <cell r="Q485" t="str">
            <v>ARE</v>
          </cell>
          <cell r="R485" t="str">
            <v>FC134</v>
          </cell>
          <cell r="S485" t="str">
            <v>Day Shift</v>
          </cell>
          <cell r="T485">
            <v>99</v>
          </cell>
          <cell r="U485" t="str">
            <v>MENA_UAE_FC</v>
          </cell>
          <cell r="V485">
            <v>46257.331250000003</v>
          </cell>
          <cell r="W485">
            <v>46257.748611111114</v>
          </cell>
          <cell r="X485">
            <v>46257.333333333336</v>
          </cell>
          <cell r="Y485">
            <v>46257.75</v>
          </cell>
          <cell r="AA485" t="str">
            <v>Scheduled</v>
          </cell>
          <cell r="AB485" t="str">
            <v>Present</v>
          </cell>
          <cell r="AC485" t="str">
            <v>Customer returns</v>
          </cell>
          <cell r="AD485" t="str">
            <v>Customer Returns</v>
          </cell>
          <cell r="AE485" t="str">
            <v>Customer returns</v>
          </cell>
          <cell r="AF485" t="str">
            <v>Wednesday</v>
          </cell>
          <cell r="AG485" t="str">
            <v>Thursday</v>
          </cell>
          <cell r="AH485">
            <v>22</v>
          </cell>
          <cell r="AJ485">
            <v>45455</v>
          </cell>
          <cell r="AM485" t="str">
            <v>TEMP</v>
          </cell>
          <cell r="AN485" t="str">
            <v>3P Onsite Worker</v>
          </cell>
          <cell r="AO485" t="str">
            <v>A</v>
          </cell>
          <cell r="AP485">
            <v>9</v>
          </cell>
          <cell r="AQ485">
            <v>0</v>
          </cell>
          <cell r="AR485">
            <v>1</v>
          </cell>
          <cell r="AS485">
            <v>1</v>
          </cell>
          <cell r="AT485">
            <v>0</v>
          </cell>
          <cell r="AU485">
            <v>0</v>
          </cell>
        </row>
        <row r="486">
          <cell r="D486" t="str">
            <v>joolubeg</v>
          </cell>
          <cell r="E486">
            <v>203736329</v>
          </cell>
          <cell r="F486" t="str">
            <v>A</v>
          </cell>
          <cell r="G486" t="str">
            <v>GREEN</v>
          </cell>
          <cell r="H486" t="str">
            <v>FULL_TIME</v>
          </cell>
          <cell r="I486">
            <v>900234</v>
          </cell>
          <cell r="J486" t="str">
            <v>Dulsco L.L.C.</v>
          </cell>
          <cell r="K486" t="str">
            <v>JOHN LUBEGA</v>
          </cell>
          <cell r="L486" t="str">
            <v>Warehouse Associate (TEMP)</v>
          </cell>
          <cell r="M486" t="str">
            <v>Warehouse Associate 24M</v>
          </cell>
          <cell r="N486" t="str">
            <v>pparsin</v>
          </cell>
          <cell r="O486">
            <v>1299</v>
          </cell>
          <cell r="P486" t="str">
            <v>AUH1</v>
          </cell>
          <cell r="Q486" t="str">
            <v>ARE</v>
          </cell>
          <cell r="R486" t="str">
            <v>FC059</v>
          </cell>
          <cell r="S486" t="str">
            <v>Day Shift</v>
          </cell>
          <cell r="T486">
            <v>99</v>
          </cell>
          <cell r="U486" t="str">
            <v>MENA_UAE_FC</v>
          </cell>
          <cell r="X486">
            <v>46257.333333333336</v>
          </cell>
          <cell r="Y486">
            <v>46257.75</v>
          </cell>
          <cell r="Z486" t="str">
            <v>Rest Day</v>
          </cell>
          <cell r="AA486" t="str">
            <v>Not Scheduled</v>
          </cell>
          <cell r="AB486" t="str">
            <v>Not Present</v>
          </cell>
          <cell r="AC486" t="str">
            <v>Inbound</v>
          </cell>
          <cell r="AD486" t="str">
            <v>IB Problem Solve</v>
          </cell>
          <cell r="AE486" t="str">
            <v>Receive</v>
          </cell>
          <cell r="AF486" t="str">
            <v>Sunday</v>
          </cell>
          <cell r="AG486" t="str">
            <v>Monday</v>
          </cell>
          <cell r="AH486">
            <v>6</v>
          </cell>
          <cell r="AJ486">
            <v>45501</v>
          </cell>
          <cell r="AM486" t="str">
            <v>TEMP</v>
          </cell>
          <cell r="AN486" t="str">
            <v>3P Onsite Worker</v>
          </cell>
          <cell r="AO486" t="str">
            <v>A</v>
          </cell>
          <cell r="AP486">
            <v>9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</row>
        <row r="487">
          <cell r="D487" t="str">
            <v>josdohmo</v>
          </cell>
          <cell r="E487">
            <v>202199024</v>
          </cell>
          <cell r="F487" t="str">
            <v>A</v>
          </cell>
          <cell r="G487" t="str">
            <v>GREEN</v>
          </cell>
          <cell r="H487" t="str">
            <v>FULL_TIME</v>
          </cell>
          <cell r="I487">
            <v>900234</v>
          </cell>
          <cell r="J487" t="str">
            <v>Quesscorp</v>
          </cell>
          <cell r="K487" t="str">
            <v>Joseph Gana Dohmovat</v>
          </cell>
          <cell r="L487" t="str">
            <v>Warehouse Associate (TEMP)</v>
          </cell>
          <cell r="M487" t="str">
            <v>Warehouse Associate 24M</v>
          </cell>
          <cell r="N487" t="str">
            <v>aanso</v>
          </cell>
          <cell r="O487">
            <v>1299</v>
          </cell>
          <cell r="P487" t="str">
            <v>AUH1</v>
          </cell>
          <cell r="Q487" t="str">
            <v>ARE</v>
          </cell>
          <cell r="R487" t="str">
            <v>LK012</v>
          </cell>
          <cell r="S487" t="str">
            <v>Night Shift</v>
          </cell>
          <cell r="T487">
            <v>99</v>
          </cell>
          <cell r="U487" t="str">
            <v>MENA_UAE_FC</v>
          </cell>
          <cell r="X487">
            <v>46257.756944444445</v>
          </cell>
          <cell r="Y487">
            <v>46258.173611111109</v>
          </cell>
          <cell r="Z487" t="str">
            <v>Rest Day</v>
          </cell>
          <cell r="AA487" t="str">
            <v>Not Scheduled</v>
          </cell>
          <cell r="AB487" t="str">
            <v>Not Present</v>
          </cell>
          <cell r="AC487" t="str">
            <v>Customer returns</v>
          </cell>
          <cell r="AD487" t="str">
            <v>Customer Returns</v>
          </cell>
          <cell r="AE487" t="str">
            <v>Customer returns</v>
          </cell>
          <cell r="AF487" t="str">
            <v>Saturday</v>
          </cell>
          <cell r="AG487" t="str">
            <v>Sunday</v>
          </cell>
          <cell r="AH487">
            <v>22</v>
          </cell>
          <cell r="AJ487">
            <v>45588</v>
          </cell>
          <cell r="AM487" t="str">
            <v>TEMP</v>
          </cell>
          <cell r="AN487" t="str">
            <v>3P Onsite Worker</v>
          </cell>
          <cell r="AO487" t="str">
            <v>A</v>
          </cell>
          <cell r="AP487">
            <v>9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</row>
        <row r="488">
          <cell r="D488" t="str">
            <v>josompau</v>
          </cell>
          <cell r="E488">
            <v>203850879</v>
          </cell>
          <cell r="F488" t="str">
            <v>A</v>
          </cell>
          <cell r="G488" t="str">
            <v>GREEN</v>
          </cell>
          <cell r="H488" t="str">
            <v>FULL_TIME</v>
          </cell>
          <cell r="I488">
            <v>900234</v>
          </cell>
          <cell r="J488" t="str">
            <v>Dulsco L.L.C.</v>
          </cell>
          <cell r="K488" t="str">
            <v>Joshua Mpaulo</v>
          </cell>
          <cell r="L488" t="str">
            <v>Warehouse Associate (TEMP)</v>
          </cell>
          <cell r="M488" t="str">
            <v>Warehouse Associate 24M</v>
          </cell>
          <cell r="N488" t="str">
            <v>ansammar</v>
          </cell>
          <cell r="O488">
            <v>1299</v>
          </cell>
          <cell r="P488" t="str">
            <v>AUH1</v>
          </cell>
          <cell r="Q488" t="str">
            <v>ARE</v>
          </cell>
          <cell r="R488" t="str">
            <v>FC009</v>
          </cell>
          <cell r="S488" t="str">
            <v>Day Shift</v>
          </cell>
          <cell r="T488">
            <v>99</v>
          </cell>
          <cell r="U488" t="str">
            <v>MENA_UAE_FC</v>
          </cell>
          <cell r="V488">
            <v>46257.327777777777</v>
          </cell>
          <cell r="W488">
            <v>46257.745138888888</v>
          </cell>
          <cell r="X488">
            <v>46257.333333333336</v>
          </cell>
          <cell r="Y488">
            <v>46257.75</v>
          </cell>
          <cell r="AA488" t="str">
            <v>Scheduled</v>
          </cell>
          <cell r="AB488" t="str">
            <v>Present</v>
          </cell>
          <cell r="AC488" t="str">
            <v>Outbound</v>
          </cell>
          <cell r="AD488" t="str">
            <v>Picking</v>
          </cell>
          <cell r="AE488" t="str">
            <v>Pick</v>
          </cell>
          <cell r="AF488" t="str">
            <v>Friday</v>
          </cell>
          <cell r="AG488" t="str">
            <v>Saturday</v>
          </cell>
          <cell r="AH488">
            <v>13</v>
          </cell>
          <cell r="AJ488">
            <v>45523</v>
          </cell>
          <cell r="AM488" t="str">
            <v>TEMP</v>
          </cell>
          <cell r="AN488" t="str">
            <v>3P Onsite Worker</v>
          </cell>
          <cell r="AO488" t="str">
            <v>A</v>
          </cell>
          <cell r="AP488">
            <v>9</v>
          </cell>
          <cell r="AQ488">
            <v>0</v>
          </cell>
          <cell r="AR488">
            <v>1</v>
          </cell>
          <cell r="AS488">
            <v>1</v>
          </cell>
          <cell r="AT488">
            <v>0</v>
          </cell>
          <cell r="AU488">
            <v>0</v>
          </cell>
        </row>
        <row r="489">
          <cell r="D489" t="str">
            <v>jospalbi</v>
          </cell>
          <cell r="E489">
            <v>203813033</v>
          </cell>
          <cell r="F489" t="str">
            <v>A</v>
          </cell>
          <cell r="G489" t="str">
            <v>GREEN</v>
          </cell>
          <cell r="H489" t="str">
            <v>FULL_TIME</v>
          </cell>
          <cell r="I489">
            <v>900234</v>
          </cell>
          <cell r="J489" t="str">
            <v>Adecco</v>
          </cell>
          <cell r="K489" t="str">
            <v>ALBIN JOSE</v>
          </cell>
          <cell r="L489" t="str">
            <v>Warehouse Associate (TEMP)</v>
          </cell>
          <cell r="M489" t="str">
            <v>Warehouse Associate 24M</v>
          </cell>
          <cell r="N489" t="str">
            <v>abbaszoo</v>
          </cell>
          <cell r="O489">
            <v>1299</v>
          </cell>
          <cell r="P489" t="str">
            <v>AUH1</v>
          </cell>
          <cell r="Q489" t="str">
            <v>ARE</v>
          </cell>
          <cell r="R489" t="str">
            <v>LK013</v>
          </cell>
          <cell r="S489" t="str">
            <v>Night Shift</v>
          </cell>
          <cell r="T489">
            <v>99</v>
          </cell>
          <cell r="U489" t="str">
            <v>MENA_UAE_FC</v>
          </cell>
          <cell r="X489">
            <v>46257.756944444445</v>
          </cell>
          <cell r="Y489">
            <v>46258.173611111109</v>
          </cell>
          <cell r="Z489" t="str">
            <v>Rest Day</v>
          </cell>
          <cell r="AA489" t="str">
            <v>Not Scheduled</v>
          </cell>
          <cell r="AB489" t="str">
            <v>Not Present</v>
          </cell>
          <cell r="AC489" t="str">
            <v>Inbound</v>
          </cell>
          <cell r="AD489" t="str">
            <v>Inbound Stow</v>
          </cell>
          <cell r="AE489" t="str">
            <v>Stow</v>
          </cell>
          <cell r="AF489" t="str">
            <v>Sunday</v>
          </cell>
          <cell r="AG489" t="str">
            <v>Monday</v>
          </cell>
          <cell r="AH489">
            <v>3</v>
          </cell>
          <cell r="AJ489">
            <v>45516</v>
          </cell>
          <cell r="AM489" t="str">
            <v>TEMP</v>
          </cell>
          <cell r="AN489" t="str">
            <v>3P Onsite Worker</v>
          </cell>
          <cell r="AO489" t="str">
            <v>A</v>
          </cell>
          <cell r="AP489">
            <v>9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</row>
        <row r="490">
          <cell r="D490" t="str">
            <v>jothembo</v>
          </cell>
          <cell r="E490">
            <v>203850884</v>
          </cell>
          <cell r="F490" t="str">
            <v>A</v>
          </cell>
          <cell r="G490" t="str">
            <v>GREEN</v>
          </cell>
          <cell r="H490" t="str">
            <v>FULL_TIME</v>
          </cell>
          <cell r="I490">
            <v>900234</v>
          </cell>
          <cell r="J490" t="str">
            <v>Dulsco L.L.C.</v>
          </cell>
          <cell r="K490" t="str">
            <v>John Thembo</v>
          </cell>
          <cell r="L490" t="str">
            <v>Warehouse Associate (TEMP)</v>
          </cell>
          <cell r="M490" t="str">
            <v>Warehouse Associate 24M</v>
          </cell>
          <cell r="N490" t="str">
            <v>bizthoma</v>
          </cell>
          <cell r="O490">
            <v>1299</v>
          </cell>
          <cell r="P490" t="str">
            <v>AUH1</v>
          </cell>
          <cell r="Q490" t="str">
            <v>ARE</v>
          </cell>
          <cell r="R490" t="str">
            <v>FC134</v>
          </cell>
          <cell r="S490" t="str">
            <v>Day Shift</v>
          </cell>
          <cell r="T490">
            <v>99</v>
          </cell>
          <cell r="U490" t="str">
            <v>MENA_UAE_FC</v>
          </cell>
          <cell r="V490">
            <v>46257.335416666669</v>
          </cell>
          <cell r="W490">
            <v>46257.747916666667</v>
          </cell>
          <cell r="X490">
            <v>46257.333333333336</v>
          </cell>
          <cell r="Y490">
            <v>46257.75</v>
          </cell>
          <cell r="AA490" t="str">
            <v>Scheduled</v>
          </cell>
          <cell r="AB490" t="str">
            <v>Present</v>
          </cell>
          <cell r="AC490" t="str">
            <v>Outbound</v>
          </cell>
          <cell r="AD490" t="str">
            <v>Picking</v>
          </cell>
          <cell r="AE490" t="str">
            <v>Pick</v>
          </cell>
          <cell r="AF490" t="str">
            <v>Wednesday</v>
          </cell>
          <cell r="AG490" t="str">
            <v>Thursday</v>
          </cell>
          <cell r="AH490">
            <v>13</v>
          </cell>
          <cell r="AJ490">
            <v>45523</v>
          </cell>
          <cell r="AM490" t="str">
            <v>TEMP</v>
          </cell>
          <cell r="AN490" t="str">
            <v>3P Onsite Worker</v>
          </cell>
          <cell r="AO490" t="str">
            <v>A</v>
          </cell>
          <cell r="AP490">
            <v>9</v>
          </cell>
          <cell r="AQ490">
            <v>0</v>
          </cell>
          <cell r="AR490">
            <v>1</v>
          </cell>
          <cell r="AS490">
            <v>1</v>
          </cell>
          <cell r="AT490">
            <v>0</v>
          </cell>
          <cell r="AU490">
            <v>0</v>
          </cell>
        </row>
        <row r="491">
          <cell r="D491" t="str">
            <v>joycamaa</v>
          </cell>
          <cell r="E491">
            <v>206250876</v>
          </cell>
          <cell r="F491" t="str">
            <v>A</v>
          </cell>
          <cell r="G491" t="str">
            <v>GREEN</v>
          </cell>
          <cell r="H491" t="str">
            <v>FULL_TIME</v>
          </cell>
          <cell r="I491">
            <v>900234</v>
          </cell>
          <cell r="J491" t="str">
            <v>Fastlink Outsourcing</v>
          </cell>
          <cell r="K491" t="str">
            <v>JOYCE AMA ABBAN</v>
          </cell>
          <cell r="L491" t="str">
            <v>Warehouse Associate (TEMP)</v>
          </cell>
          <cell r="M491" t="str">
            <v>Warehouse Associate 12M</v>
          </cell>
          <cell r="N491" t="str">
            <v>mnarshad</v>
          </cell>
          <cell r="O491">
            <v>1299</v>
          </cell>
          <cell r="P491" t="str">
            <v>AUH1</v>
          </cell>
          <cell r="Q491" t="str">
            <v>ARE</v>
          </cell>
          <cell r="R491" t="str">
            <v>LK015</v>
          </cell>
          <cell r="S491" t="str">
            <v>Night Shift</v>
          </cell>
          <cell r="T491">
            <v>99</v>
          </cell>
          <cell r="U491" t="str">
            <v>MENA_UAE_FC</v>
          </cell>
          <cell r="V491">
            <v>46257.332638888889</v>
          </cell>
          <cell r="W491">
            <v>46257.75</v>
          </cell>
          <cell r="X491">
            <v>46257.333333333336</v>
          </cell>
          <cell r="Y491">
            <v>46257.75</v>
          </cell>
          <cell r="AA491" t="str">
            <v>Scheduled</v>
          </cell>
          <cell r="AB491" t="str">
            <v>Present</v>
          </cell>
          <cell r="AC491" t="str">
            <v>Outbound</v>
          </cell>
          <cell r="AD491" t="str">
            <v>Picking</v>
          </cell>
          <cell r="AE491" t="str">
            <v>Pick</v>
          </cell>
          <cell r="AF491" t="str">
            <v>Tuesday</v>
          </cell>
          <cell r="AG491" t="str">
            <v>Wednesday</v>
          </cell>
          <cell r="AH491">
            <v>13</v>
          </cell>
          <cell r="AJ491">
            <v>45942</v>
          </cell>
          <cell r="AM491" t="str">
            <v>TEMP</v>
          </cell>
          <cell r="AN491" t="str">
            <v>3P Onsite Worker</v>
          </cell>
          <cell r="AO491" t="str">
            <v>A</v>
          </cell>
          <cell r="AP491">
            <v>9</v>
          </cell>
          <cell r="AQ491">
            <v>0</v>
          </cell>
          <cell r="AR491">
            <v>1</v>
          </cell>
          <cell r="AS491">
            <v>1</v>
          </cell>
          <cell r="AT491">
            <v>0</v>
          </cell>
          <cell r="AU491">
            <v>0</v>
          </cell>
        </row>
        <row r="492">
          <cell r="D492" t="str">
            <v>jrockson</v>
          </cell>
          <cell r="E492">
            <v>203469083</v>
          </cell>
          <cell r="F492" t="str">
            <v>A</v>
          </cell>
          <cell r="G492" t="str">
            <v>GREEN</v>
          </cell>
          <cell r="H492" t="str">
            <v>FULL_TIME</v>
          </cell>
          <cell r="I492">
            <v>900234</v>
          </cell>
          <cell r="J492" t="str">
            <v>Fastlink Outsourcing</v>
          </cell>
          <cell r="K492" t="str">
            <v>Rockson Appaw Junior</v>
          </cell>
          <cell r="L492" t="str">
            <v>Warehouse Associate (TEMP)</v>
          </cell>
          <cell r="M492" t="str">
            <v>Warehouse Associate 12M</v>
          </cell>
          <cell r="N492" t="str">
            <v>bavameer</v>
          </cell>
          <cell r="O492">
            <v>1299</v>
          </cell>
          <cell r="P492" t="str">
            <v>AUH1</v>
          </cell>
          <cell r="Q492" t="str">
            <v>ARE</v>
          </cell>
          <cell r="R492" t="str">
            <v>LK014</v>
          </cell>
          <cell r="S492" t="str">
            <v>Night Shift</v>
          </cell>
          <cell r="T492">
            <v>99</v>
          </cell>
          <cell r="U492" t="str">
            <v>MENA_UAE_FC</v>
          </cell>
          <cell r="V492">
            <v>46257.755555555559</v>
          </cell>
          <cell r="X492">
            <v>46257.756944444445</v>
          </cell>
          <cell r="Y492">
            <v>46258.173611111109</v>
          </cell>
          <cell r="AA492" t="str">
            <v>Scheduled</v>
          </cell>
          <cell r="AB492" t="str">
            <v>Present</v>
          </cell>
          <cell r="AC492" t="str">
            <v>Customer returns</v>
          </cell>
          <cell r="AD492" t="str">
            <v>Customer Returns</v>
          </cell>
          <cell r="AE492" t="str">
            <v>Customer returns</v>
          </cell>
          <cell r="AF492" t="str">
            <v>Monday</v>
          </cell>
          <cell r="AG492" t="str">
            <v>Tuesday</v>
          </cell>
          <cell r="AH492">
            <v>22</v>
          </cell>
          <cell r="AJ492">
            <v>45455</v>
          </cell>
          <cell r="AM492" t="str">
            <v>TEMP</v>
          </cell>
          <cell r="AN492" t="str">
            <v>3P Onsite Worker</v>
          </cell>
          <cell r="AO492" t="str">
            <v>A</v>
          </cell>
          <cell r="AP492">
            <v>9</v>
          </cell>
          <cell r="AQ492">
            <v>0</v>
          </cell>
          <cell r="AR492">
            <v>1</v>
          </cell>
          <cell r="AS492">
            <v>1</v>
          </cell>
          <cell r="AT492">
            <v>0</v>
          </cell>
          <cell r="AU492">
            <v>0</v>
          </cell>
        </row>
        <row r="493">
          <cell r="D493" t="str">
            <v>jrosenyw</v>
          </cell>
          <cell r="E493">
            <v>205854085</v>
          </cell>
          <cell r="F493" t="str">
            <v>A</v>
          </cell>
          <cell r="G493" t="str">
            <v>GREEN</v>
          </cell>
          <cell r="H493" t="str">
            <v>FULL_TIME</v>
          </cell>
          <cell r="I493">
            <v>900234</v>
          </cell>
          <cell r="J493" t="str">
            <v>EFS Facilities Services</v>
          </cell>
          <cell r="K493" t="str">
            <v>ROSE NYANCHERA JAIRUS</v>
          </cell>
          <cell r="L493" t="str">
            <v>Warehouse Associate (TEMP)</v>
          </cell>
          <cell r="M493" t="str">
            <v>Warehouse Associate 8W</v>
          </cell>
          <cell r="N493" t="str">
            <v>ansammar</v>
          </cell>
          <cell r="O493">
            <v>1299</v>
          </cell>
          <cell r="P493" t="str">
            <v>AUH1</v>
          </cell>
          <cell r="Q493" t="str">
            <v>ARE</v>
          </cell>
          <cell r="R493" t="str">
            <v>FC059</v>
          </cell>
          <cell r="S493" t="str">
            <v>Day Shift</v>
          </cell>
          <cell r="T493">
            <v>99</v>
          </cell>
          <cell r="U493" t="str">
            <v>MENA_UAE_FC</v>
          </cell>
          <cell r="X493">
            <v>46257.333333333336</v>
          </cell>
          <cell r="Y493">
            <v>46257.75</v>
          </cell>
          <cell r="Z493" t="str">
            <v>Rest Day</v>
          </cell>
          <cell r="AA493" t="str">
            <v>Not Scheduled</v>
          </cell>
          <cell r="AB493" t="str">
            <v>Not Present</v>
          </cell>
          <cell r="AC493" t="str">
            <v>Outbound</v>
          </cell>
          <cell r="AD493" t="str">
            <v>Picking</v>
          </cell>
          <cell r="AE493" t="str">
            <v>Pick</v>
          </cell>
          <cell r="AF493" t="str">
            <v>Sunday</v>
          </cell>
          <cell r="AG493" t="str">
            <v>Monday</v>
          </cell>
          <cell r="AH493">
            <v>13</v>
          </cell>
          <cell r="AJ493">
            <v>45893</v>
          </cell>
          <cell r="AM493" t="str">
            <v>TEMP</v>
          </cell>
          <cell r="AN493" t="str">
            <v>3P Onsite Worker</v>
          </cell>
          <cell r="AO493" t="str">
            <v>A</v>
          </cell>
          <cell r="AP493">
            <v>9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</row>
        <row r="494">
          <cell r="D494" t="str">
            <v>jsalmmoh</v>
          </cell>
          <cell r="E494">
            <v>203342037</v>
          </cell>
          <cell r="F494" t="str">
            <v>A</v>
          </cell>
          <cell r="G494" t="str">
            <v>GREEN</v>
          </cell>
          <cell r="H494" t="str">
            <v>FULL_TIME</v>
          </cell>
          <cell r="I494">
            <v>900234</v>
          </cell>
          <cell r="J494" t="str">
            <v>Adecco</v>
          </cell>
          <cell r="K494" t="str">
            <v>SALMAN MOHAMMAD</v>
          </cell>
          <cell r="L494" t="str">
            <v>Warehouse Associate (TEMP)</v>
          </cell>
          <cell r="M494" t="str">
            <v>Warehouse Associate 24M</v>
          </cell>
          <cell r="N494" t="str">
            <v>scariav</v>
          </cell>
          <cell r="O494">
            <v>1299</v>
          </cell>
          <cell r="P494" t="str">
            <v>AUH1</v>
          </cell>
          <cell r="Q494" t="str">
            <v>ARE</v>
          </cell>
          <cell r="R494" t="str">
            <v>FC009</v>
          </cell>
          <cell r="S494" t="str">
            <v>Day Shift</v>
          </cell>
          <cell r="T494">
            <v>99</v>
          </cell>
          <cell r="U494" t="str">
            <v>MENA_UAE_FC</v>
          </cell>
          <cell r="V494">
            <v>46257.329861111109</v>
          </cell>
          <cell r="W494">
            <v>46257.748611111114</v>
          </cell>
          <cell r="X494">
            <v>46257.333333333336</v>
          </cell>
          <cell r="Y494">
            <v>46257.75</v>
          </cell>
          <cell r="AA494" t="str">
            <v>Scheduled</v>
          </cell>
          <cell r="AB494" t="str">
            <v>Present</v>
          </cell>
          <cell r="AC494" t="str">
            <v>Outbound</v>
          </cell>
          <cell r="AD494" t="str">
            <v>Picking</v>
          </cell>
          <cell r="AE494" t="str">
            <v>Pick</v>
          </cell>
          <cell r="AF494" t="str">
            <v>Friday</v>
          </cell>
          <cell r="AG494" t="str">
            <v>Saturday</v>
          </cell>
          <cell r="AH494">
            <v>13</v>
          </cell>
          <cell r="AJ494">
            <v>45431</v>
          </cell>
          <cell r="AM494" t="str">
            <v>TEMP</v>
          </cell>
          <cell r="AN494" t="str">
            <v>3P Onsite Worker</v>
          </cell>
          <cell r="AO494" t="str">
            <v>A</v>
          </cell>
          <cell r="AP494">
            <v>9</v>
          </cell>
          <cell r="AQ494">
            <v>0</v>
          </cell>
          <cell r="AR494">
            <v>1</v>
          </cell>
          <cell r="AS494">
            <v>1</v>
          </cell>
          <cell r="AT494">
            <v>0</v>
          </cell>
          <cell r="AU494">
            <v>0</v>
          </cell>
        </row>
        <row r="495">
          <cell r="D495" t="str">
            <v>jsamuean</v>
          </cell>
          <cell r="E495">
            <v>204864420</v>
          </cell>
          <cell r="F495" t="str">
            <v>A</v>
          </cell>
          <cell r="G495" t="str">
            <v>GREEN</v>
          </cell>
          <cell r="H495" t="str">
            <v>FULL_TIME</v>
          </cell>
          <cell r="I495">
            <v>900234</v>
          </cell>
          <cell r="J495" t="str">
            <v>Dulsco L.L.C.</v>
          </cell>
          <cell r="K495" t="str">
            <v>SAMUEL ANNOR BOAITEY</v>
          </cell>
          <cell r="L495" t="str">
            <v>Warehouse Associate (TEMP)</v>
          </cell>
          <cell r="M495" t="str">
            <v>Warehouse Associate 8W</v>
          </cell>
          <cell r="N495" t="str">
            <v>vkkatyal</v>
          </cell>
          <cell r="O495">
            <v>1299</v>
          </cell>
          <cell r="P495" t="str">
            <v>AUH1</v>
          </cell>
          <cell r="Q495" t="str">
            <v>ARE</v>
          </cell>
          <cell r="R495" t="str">
            <v>LK012</v>
          </cell>
          <cell r="S495" t="str">
            <v>Night Shift</v>
          </cell>
          <cell r="T495">
            <v>99</v>
          </cell>
          <cell r="U495" t="str">
            <v>MENA_UAE_FC</v>
          </cell>
          <cell r="X495">
            <v>46257.756944444445</v>
          </cell>
          <cell r="Y495">
            <v>46258.173611111109</v>
          </cell>
          <cell r="Z495" t="str">
            <v>Rest Day</v>
          </cell>
          <cell r="AA495" t="str">
            <v>Not Scheduled</v>
          </cell>
          <cell r="AB495" t="str">
            <v>Not Present</v>
          </cell>
          <cell r="AC495" t="str">
            <v>Inbound</v>
          </cell>
          <cell r="AD495" t="str">
            <v>Inbound Stow</v>
          </cell>
          <cell r="AE495" t="str">
            <v>Stow</v>
          </cell>
          <cell r="AF495" t="str">
            <v>Saturday</v>
          </cell>
          <cell r="AG495" t="str">
            <v>Sunday</v>
          </cell>
          <cell r="AH495">
            <v>3</v>
          </cell>
          <cell r="AJ495">
            <v>45683</v>
          </cell>
          <cell r="AM495" t="str">
            <v>TEMP</v>
          </cell>
          <cell r="AN495" t="str">
            <v>3P Onsite Worker</v>
          </cell>
          <cell r="AO495" t="str">
            <v>A</v>
          </cell>
          <cell r="AP495">
            <v>9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</row>
        <row r="496">
          <cell r="D496" t="str">
            <v>judibaba</v>
          </cell>
          <cell r="E496">
            <v>202198840</v>
          </cell>
          <cell r="F496" t="str">
            <v>A</v>
          </cell>
          <cell r="G496" t="str">
            <v>GREEN</v>
          </cell>
          <cell r="H496" t="str">
            <v>FULL_TIME</v>
          </cell>
          <cell r="I496">
            <v>900234</v>
          </cell>
          <cell r="J496" t="str">
            <v>Quesscorp</v>
          </cell>
          <cell r="K496" t="str">
            <v>Judith Atampoka Baba</v>
          </cell>
          <cell r="L496" t="str">
            <v>Warehouse Associate (TEMP)</v>
          </cell>
          <cell r="M496" t="str">
            <v>Warehouse Associate 24M</v>
          </cell>
          <cell r="N496" t="str">
            <v>bizthoma</v>
          </cell>
          <cell r="O496">
            <v>1299</v>
          </cell>
          <cell r="P496" t="str">
            <v>AUH1</v>
          </cell>
          <cell r="Q496" t="str">
            <v>ARE</v>
          </cell>
          <cell r="R496" t="str">
            <v>LK015</v>
          </cell>
          <cell r="S496" t="str">
            <v>Night Shift</v>
          </cell>
          <cell r="T496">
            <v>99</v>
          </cell>
          <cell r="U496" t="str">
            <v>MENA_UAE_FC</v>
          </cell>
          <cell r="V496">
            <v>46257.756249999999</v>
          </cell>
          <cell r="X496">
            <v>46257.756944444445</v>
          </cell>
          <cell r="Y496">
            <v>46258.173611111109</v>
          </cell>
          <cell r="AA496" t="str">
            <v>Scheduled</v>
          </cell>
          <cell r="AB496" t="str">
            <v>Present</v>
          </cell>
          <cell r="AC496" t="str">
            <v>Outbound</v>
          </cell>
          <cell r="AD496" t="str">
            <v>Pack - Batch</v>
          </cell>
          <cell r="AE496" t="str">
            <v>Pack</v>
          </cell>
          <cell r="AF496" t="str">
            <v>Tuesday</v>
          </cell>
          <cell r="AG496" t="str">
            <v>Wednesday</v>
          </cell>
          <cell r="AH496">
            <v>17</v>
          </cell>
          <cell r="AJ496">
            <v>45585</v>
          </cell>
          <cell r="AM496" t="str">
            <v>TEMP</v>
          </cell>
          <cell r="AN496" t="str">
            <v>3P Onsite Worker</v>
          </cell>
          <cell r="AO496" t="str">
            <v>A</v>
          </cell>
          <cell r="AP496">
            <v>9</v>
          </cell>
          <cell r="AQ496">
            <v>0</v>
          </cell>
          <cell r="AR496">
            <v>1</v>
          </cell>
          <cell r="AS496">
            <v>1</v>
          </cell>
          <cell r="AT496">
            <v>0</v>
          </cell>
          <cell r="AU496">
            <v>0</v>
          </cell>
        </row>
        <row r="497">
          <cell r="D497" t="str">
            <v>juesaidi</v>
          </cell>
          <cell r="E497">
            <v>204010043</v>
          </cell>
          <cell r="F497" t="str">
            <v>A</v>
          </cell>
          <cell r="G497" t="str">
            <v>GREEN</v>
          </cell>
          <cell r="H497" t="str">
            <v>FULL_TIME</v>
          </cell>
          <cell r="I497">
            <v>900234</v>
          </cell>
          <cell r="J497" t="str">
            <v>Dulsco L.L.C.</v>
          </cell>
          <cell r="K497" t="str">
            <v>SAIDI JUNIOR LUBEGA</v>
          </cell>
          <cell r="L497" t="str">
            <v>Warehouse Associate (TEMP)</v>
          </cell>
          <cell r="M497" t="str">
            <v>Warehouse Associate 24M</v>
          </cell>
          <cell r="N497" t="str">
            <v>mnarshad</v>
          </cell>
          <cell r="O497">
            <v>1299</v>
          </cell>
          <cell r="P497" t="str">
            <v>AUH1</v>
          </cell>
          <cell r="Q497" t="str">
            <v>ARE</v>
          </cell>
          <cell r="R497" t="str">
            <v>FC059</v>
          </cell>
          <cell r="S497" t="str">
            <v>Day Shift</v>
          </cell>
          <cell r="T497">
            <v>99</v>
          </cell>
          <cell r="U497" t="str">
            <v>MENA_UAE_FC</v>
          </cell>
          <cell r="X497">
            <v>46257.333333333336</v>
          </cell>
          <cell r="Y497">
            <v>46257.75</v>
          </cell>
          <cell r="Z497" t="str">
            <v>Rest Day</v>
          </cell>
          <cell r="AA497" t="str">
            <v>Not Scheduled</v>
          </cell>
          <cell r="AB497" t="str">
            <v>Not Present</v>
          </cell>
          <cell r="AC497" t="str">
            <v>Outbound</v>
          </cell>
          <cell r="AD497" t="str">
            <v>Sort - Batch</v>
          </cell>
          <cell r="AE497" t="str">
            <v>Sort</v>
          </cell>
          <cell r="AF497" t="str">
            <v>Sunday</v>
          </cell>
          <cell r="AG497" t="str">
            <v>Monday</v>
          </cell>
          <cell r="AH497">
            <v>15</v>
          </cell>
          <cell r="AJ497">
            <v>45550</v>
          </cell>
          <cell r="AM497" t="str">
            <v>TEMP</v>
          </cell>
          <cell r="AN497" t="str">
            <v>3P Onsite Worker</v>
          </cell>
          <cell r="AO497" t="str">
            <v>A</v>
          </cell>
          <cell r="AP497">
            <v>9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</row>
        <row r="498">
          <cell r="D498" t="str">
            <v>julieoky</v>
          </cell>
          <cell r="E498">
            <v>203679318</v>
          </cell>
          <cell r="F498" t="str">
            <v>A</v>
          </cell>
          <cell r="G498" t="str">
            <v>GREEN</v>
          </cell>
          <cell r="H498" t="str">
            <v>FULL_TIME</v>
          </cell>
          <cell r="I498">
            <v>900234</v>
          </cell>
          <cell r="J498" t="str">
            <v>Fastlink Outsourcing</v>
          </cell>
          <cell r="K498" t="str">
            <v>Julier Okyere</v>
          </cell>
          <cell r="L498" t="str">
            <v>Warehouse Associate (TEMP)</v>
          </cell>
          <cell r="M498" t="str">
            <v>Warehouse Associate 12M</v>
          </cell>
          <cell r="N498" t="str">
            <v>bavameer</v>
          </cell>
          <cell r="O498">
            <v>1299</v>
          </cell>
          <cell r="P498" t="str">
            <v>AUH1</v>
          </cell>
          <cell r="Q498" t="str">
            <v>ARE</v>
          </cell>
          <cell r="R498" t="str">
            <v>LK012</v>
          </cell>
          <cell r="S498" t="str">
            <v>Night Shift</v>
          </cell>
          <cell r="T498">
            <v>99</v>
          </cell>
          <cell r="U498" t="str">
            <v>MENA_UAE_FC</v>
          </cell>
          <cell r="X498">
            <v>46257.756944444445</v>
          </cell>
          <cell r="Y498">
            <v>46258.173611111109</v>
          </cell>
          <cell r="Z498" t="str">
            <v>Rest Day</v>
          </cell>
          <cell r="AA498" t="str">
            <v>Not Scheduled</v>
          </cell>
          <cell r="AB498" t="str">
            <v>Not Present</v>
          </cell>
          <cell r="AC498" t="str">
            <v>Customer returns</v>
          </cell>
          <cell r="AD498" t="str">
            <v>Customer Returns</v>
          </cell>
          <cell r="AE498" t="str">
            <v>Customer returns</v>
          </cell>
          <cell r="AF498" t="str">
            <v>Saturday</v>
          </cell>
          <cell r="AG498" t="str">
            <v>Sunday</v>
          </cell>
          <cell r="AH498">
            <v>22</v>
          </cell>
          <cell r="AJ498">
            <v>45487</v>
          </cell>
          <cell r="AM498" t="str">
            <v>TEMP</v>
          </cell>
          <cell r="AN498" t="str">
            <v>3P Onsite Worker</v>
          </cell>
          <cell r="AO498" t="str">
            <v>A</v>
          </cell>
          <cell r="AP498">
            <v>9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</row>
        <row r="499">
          <cell r="D499" t="str">
            <v>jumail</v>
          </cell>
          <cell r="E499">
            <v>103909188</v>
          </cell>
          <cell r="F499" t="str">
            <v>A</v>
          </cell>
          <cell r="G499" t="str">
            <v>BLUE</v>
          </cell>
          <cell r="H499" t="str">
            <v>FULL_TIME</v>
          </cell>
          <cell r="I499" t="str">
            <v>P03231</v>
          </cell>
          <cell r="K499" t="str">
            <v>Muhammed Jumail</v>
          </cell>
          <cell r="L499" t="str">
            <v>FC Associate III</v>
          </cell>
          <cell r="M499" t="str">
            <v>Operations Supervisor</v>
          </cell>
          <cell r="N499" t="str">
            <v>mnarshad</v>
          </cell>
          <cell r="O499">
            <v>1299</v>
          </cell>
          <cell r="P499" t="str">
            <v>AUH1</v>
          </cell>
          <cell r="Q499" t="str">
            <v>ARE</v>
          </cell>
          <cell r="R499" t="str">
            <v>FC134</v>
          </cell>
          <cell r="S499" t="str">
            <v>Day Shift</v>
          </cell>
          <cell r="T499">
            <v>3</v>
          </cell>
          <cell r="U499" t="str">
            <v>MENA_UAE_FC</v>
          </cell>
          <cell r="V499">
            <v>46257.32708333333</v>
          </cell>
          <cell r="W499">
            <v>46257.752083333333</v>
          </cell>
          <cell r="X499">
            <v>46257.333333333336</v>
          </cell>
          <cell r="Y499">
            <v>46257.75</v>
          </cell>
          <cell r="AA499" t="str">
            <v>Scheduled</v>
          </cell>
          <cell r="AB499" t="str">
            <v>Present</v>
          </cell>
          <cell r="AC499" t="str">
            <v>Outbound</v>
          </cell>
          <cell r="AD499" t="str">
            <v>OB Lead/PA</v>
          </cell>
          <cell r="AE499" t="str">
            <v>Pack</v>
          </cell>
          <cell r="AF499" t="str">
            <v>Wednesday</v>
          </cell>
          <cell r="AG499" t="str">
            <v>Thursday</v>
          </cell>
          <cell r="AH499">
            <v>19</v>
          </cell>
          <cell r="AJ499">
            <v>44066</v>
          </cell>
          <cell r="AM499" t="str">
            <v>FC</v>
          </cell>
          <cell r="AN499" t="str">
            <v>Regular Full Time</v>
          </cell>
          <cell r="AO499" t="str">
            <v>A</v>
          </cell>
          <cell r="AP499">
            <v>9</v>
          </cell>
          <cell r="AQ499">
            <v>0</v>
          </cell>
          <cell r="AR499">
            <v>1</v>
          </cell>
          <cell r="AS499">
            <v>1</v>
          </cell>
          <cell r="AT499">
            <v>0</v>
          </cell>
          <cell r="AU499">
            <v>0</v>
          </cell>
        </row>
        <row r="500">
          <cell r="D500" t="str">
            <v>jurutapi</v>
          </cell>
          <cell r="E500">
            <v>206875751</v>
          </cell>
          <cell r="F500" t="str">
            <v>A</v>
          </cell>
          <cell r="G500" t="str">
            <v>GREEN</v>
          </cell>
          <cell r="H500" t="str">
            <v>FULL_TIME</v>
          </cell>
          <cell r="I500">
            <v>900234</v>
          </cell>
          <cell r="J500" t="str">
            <v>Fastlink Outsourcing</v>
          </cell>
          <cell r="K500" t="str">
            <v>TAPIWA JURU</v>
          </cell>
          <cell r="L500" t="str">
            <v>Warehouse Associate (TEMP)</v>
          </cell>
          <cell r="M500" t="str">
            <v>Warehouse Associate 8W</v>
          </cell>
          <cell r="N500" t="str">
            <v>vkkatyal</v>
          </cell>
          <cell r="O500">
            <v>1299</v>
          </cell>
          <cell r="P500" t="str">
            <v>AUH1</v>
          </cell>
          <cell r="Q500" t="str">
            <v>ARE</v>
          </cell>
          <cell r="R500" t="str">
            <v>FC059</v>
          </cell>
          <cell r="S500" t="str">
            <v>Day Shift</v>
          </cell>
          <cell r="T500">
            <v>99</v>
          </cell>
          <cell r="U500" t="str">
            <v>MENA_UAE_FC</v>
          </cell>
          <cell r="X500">
            <v>46257.333333333336</v>
          </cell>
          <cell r="Y500">
            <v>46257.75</v>
          </cell>
          <cell r="Z500" t="str">
            <v>Rest Day</v>
          </cell>
          <cell r="AA500" t="str">
            <v>Not Scheduled</v>
          </cell>
          <cell r="AB500" t="str">
            <v>Not Present</v>
          </cell>
          <cell r="AC500" t="str">
            <v>Inbound</v>
          </cell>
          <cell r="AD500" t="str">
            <v>Inbound Stow</v>
          </cell>
          <cell r="AE500" t="str">
            <v>Stow</v>
          </cell>
          <cell r="AF500" t="str">
            <v>Sunday</v>
          </cell>
          <cell r="AG500" t="str">
            <v>Monday</v>
          </cell>
          <cell r="AH500">
            <v>3</v>
          </cell>
          <cell r="AJ500">
            <v>46019</v>
          </cell>
          <cell r="AM500" t="str">
            <v>TEMP</v>
          </cell>
          <cell r="AN500" t="str">
            <v>3P Onsite Worker</v>
          </cell>
          <cell r="AO500" t="str">
            <v>A</v>
          </cell>
          <cell r="AP500">
            <v>9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</row>
        <row r="501">
          <cell r="D501" t="str">
            <v>justicyi</v>
          </cell>
          <cell r="E501">
            <v>203512669</v>
          </cell>
          <cell r="F501" t="str">
            <v>A</v>
          </cell>
          <cell r="G501" t="str">
            <v>GREEN</v>
          </cell>
          <cell r="H501" t="str">
            <v>FULL_TIME</v>
          </cell>
          <cell r="I501">
            <v>900234</v>
          </cell>
          <cell r="J501" t="str">
            <v>Fastlink Outsourcing</v>
          </cell>
          <cell r="K501" t="str">
            <v>Justice Yin</v>
          </cell>
          <cell r="L501" t="str">
            <v>Warehouse Associate (TEMP)</v>
          </cell>
          <cell r="M501" t="str">
            <v>Warehouse Associate 12M</v>
          </cell>
          <cell r="N501" t="str">
            <v>mnarshad</v>
          </cell>
          <cell r="O501">
            <v>1299</v>
          </cell>
          <cell r="P501" t="str">
            <v>AUH1</v>
          </cell>
          <cell r="Q501" t="str">
            <v>ARE</v>
          </cell>
          <cell r="R501" t="str">
            <v>FC109</v>
          </cell>
          <cell r="S501" t="str">
            <v>Day Shift</v>
          </cell>
          <cell r="T501">
            <v>99</v>
          </cell>
          <cell r="U501" t="str">
            <v>MENA_UAE_FC</v>
          </cell>
          <cell r="V501">
            <v>46257.334027777775</v>
          </cell>
          <cell r="W501">
            <v>46257.75</v>
          </cell>
          <cell r="X501">
            <v>46257.333333333336</v>
          </cell>
          <cell r="Y501">
            <v>46257.75</v>
          </cell>
          <cell r="AA501" t="str">
            <v>Scheduled</v>
          </cell>
          <cell r="AB501" t="str">
            <v>Present</v>
          </cell>
          <cell r="AC501" t="str">
            <v>Outbound</v>
          </cell>
          <cell r="AD501" t="str">
            <v>Pack - Single</v>
          </cell>
          <cell r="AE501" t="str">
            <v>Pack</v>
          </cell>
          <cell r="AF501" t="str">
            <v>Tuesday</v>
          </cell>
          <cell r="AG501" t="str">
            <v>Wednesday</v>
          </cell>
          <cell r="AH501">
            <v>18</v>
          </cell>
          <cell r="AJ501">
            <v>45462</v>
          </cell>
          <cell r="AM501" t="str">
            <v>TEMP</v>
          </cell>
          <cell r="AN501" t="str">
            <v>3P Onsite Worker</v>
          </cell>
          <cell r="AO501" t="str">
            <v>A</v>
          </cell>
          <cell r="AP501">
            <v>9</v>
          </cell>
          <cell r="AQ501">
            <v>0</v>
          </cell>
          <cell r="AR501">
            <v>1</v>
          </cell>
          <cell r="AS501">
            <v>1</v>
          </cell>
          <cell r="AT501">
            <v>0</v>
          </cell>
          <cell r="AU501">
            <v>0</v>
          </cell>
        </row>
        <row r="502">
          <cell r="D502" t="str">
            <v>kabalisu</v>
          </cell>
          <cell r="E502">
            <v>203800482</v>
          </cell>
          <cell r="F502" t="str">
            <v>A</v>
          </cell>
          <cell r="G502" t="str">
            <v>GREEN</v>
          </cell>
          <cell r="H502" t="str">
            <v>FULL_TIME</v>
          </cell>
          <cell r="I502">
            <v>900234</v>
          </cell>
          <cell r="J502" t="str">
            <v>Dulsco L.L.C.</v>
          </cell>
          <cell r="K502" t="str">
            <v>SULAIT KABALI</v>
          </cell>
          <cell r="L502" t="str">
            <v>Warehouse Associate (TEMP)</v>
          </cell>
          <cell r="M502" t="str">
            <v>Warehouse Associate 24M</v>
          </cell>
          <cell r="N502" t="str">
            <v>vkkatyal</v>
          </cell>
          <cell r="O502">
            <v>1299</v>
          </cell>
          <cell r="P502" t="str">
            <v>AUH1</v>
          </cell>
          <cell r="Q502" t="str">
            <v>ARE</v>
          </cell>
          <cell r="R502" t="str">
            <v>LK016</v>
          </cell>
          <cell r="S502" t="str">
            <v>Night Shift</v>
          </cell>
          <cell r="T502">
            <v>99</v>
          </cell>
          <cell r="U502" t="str">
            <v>MENA_UAE_FC</v>
          </cell>
          <cell r="V502">
            <v>46257.754166666666</v>
          </cell>
          <cell r="X502">
            <v>46257.756944444445</v>
          </cell>
          <cell r="Y502">
            <v>46258.173611111109</v>
          </cell>
          <cell r="AA502" t="str">
            <v>Scheduled</v>
          </cell>
          <cell r="AB502" t="str">
            <v>Present</v>
          </cell>
          <cell r="AC502" t="str">
            <v>Inbound</v>
          </cell>
          <cell r="AD502" t="str">
            <v>Inbound Stow</v>
          </cell>
          <cell r="AE502" t="str">
            <v>Stow</v>
          </cell>
          <cell r="AF502" t="str">
            <v>Wednesday</v>
          </cell>
          <cell r="AG502" t="str">
            <v>Thursday</v>
          </cell>
          <cell r="AH502">
            <v>3</v>
          </cell>
          <cell r="AJ502">
            <v>45515</v>
          </cell>
          <cell r="AM502" t="str">
            <v>TEMP</v>
          </cell>
          <cell r="AN502" t="str">
            <v>3P Onsite Worker</v>
          </cell>
          <cell r="AO502" t="str">
            <v>A</v>
          </cell>
          <cell r="AP502">
            <v>9</v>
          </cell>
          <cell r="AQ502">
            <v>0</v>
          </cell>
          <cell r="AR502">
            <v>1</v>
          </cell>
          <cell r="AS502">
            <v>1</v>
          </cell>
          <cell r="AT502">
            <v>0</v>
          </cell>
          <cell r="AU502">
            <v>0</v>
          </cell>
        </row>
        <row r="503">
          <cell r="D503" t="str">
            <v>kabbrigg</v>
          </cell>
          <cell r="E503">
            <v>203521521</v>
          </cell>
          <cell r="F503" t="str">
            <v>A</v>
          </cell>
          <cell r="G503" t="str">
            <v>GREEN</v>
          </cell>
          <cell r="H503" t="str">
            <v>FULL_TIME</v>
          </cell>
          <cell r="I503">
            <v>900234</v>
          </cell>
          <cell r="J503" t="str">
            <v>Fastlink Outsourcing</v>
          </cell>
          <cell r="K503" t="str">
            <v>Briggs Kabaya</v>
          </cell>
          <cell r="L503" t="str">
            <v>Warehouse Associate (TEMP)</v>
          </cell>
          <cell r="M503" t="str">
            <v>Warehouse Associate 12M</v>
          </cell>
          <cell r="N503" t="str">
            <v>nnahla</v>
          </cell>
          <cell r="O503">
            <v>1299</v>
          </cell>
          <cell r="P503" t="str">
            <v>AUH1</v>
          </cell>
          <cell r="Q503" t="str">
            <v>ARE</v>
          </cell>
          <cell r="R503" t="str">
            <v>FC059</v>
          </cell>
          <cell r="S503" t="str">
            <v>Day Shift</v>
          </cell>
          <cell r="T503">
            <v>99</v>
          </cell>
          <cell r="U503" t="str">
            <v>MENA_UAE_FC</v>
          </cell>
          <cell r="X503">
            <v>46257.333333333336</v>
          </cell>
          <cell r="Y503">
            <v>46257.75</v>
          </cell>
          <cell r="Z503" t="str">
            <v>Rest Day</v>
          </cell>
          <cell r="AA503" t="str">
            <v>Not Scheduled</v>
          </cell>
          <cell r="AB503" t="str">
            <v>Not Present</v>
          </cell>
          <cell r="AC503" t="str">
            <v>Inbound</v>
          </cell>
          <cell r="AD503" t="str">
            <v>Inbound Stow</v>
          </cell>
          <cell r="AE503" t="str">
            <v>Stow</v>
          </cell>
          <cell r="AF503" t="str">
            <v>Sunday</v>
          </cell>
          <cell r="AG503" t="str">
            <v>Monday</v>
          </cell>
          <cell r="AH503">
            <v>3</v>
          </cell>
          <cell r="AJ503">
            <v>45462</v>
          </cell>
          <cell r="AM503" t="str">
            <v>TEMP</v>
          </cell>
          <cell r="AN503" t="str">
            <v>3P Onsite Worker</v>
          </cell>
          <cell r="AO503" t="str">
            <v>A</v>
          </cell>
          <cell r="AP503">
            <v>9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</row>
        <row r="504">
          <cell r="D504" t="str">
            <v>kabhenry</v>
          </cell>
          <cell r="E504">
            <v>203737200</v>
          </cell>
          <cell r="F504" t="str">
            <v>A</v>
          </cell>
          <cell r="G504" t="str">
            <v>GREEN</v>
          </cell>
          <cell r="H504" t="str">
            <v>FULL_TIME</v>
          </cell>
          <cell r="I504">
            <v>900234</v>
          </cell>
          <cell r="J504" t="str">
            <v>Dulsco L.L.C.</v>
          </cell>
          <cell r="K504" t="str">
            <v>HENRY KABANDA</v>
          </cell>
          <cell r="L504" t="str">
            <v>Warehouse Associate (TEMP)</v>
          </cell>
          <cell r="M504" t="str">
            <v>Warehouse Associate 24M</v>
          </cell>
          <cell r="N504" t="str">
            <v>pparsin</v>
          </cell>
          <cell r="O504">
            <v>1299</v>
          </cell>
          <cell r="P504" t="str">
            <v>AUH1</v>
          </cell>
          <cell r="Q504" t="str">
            <v>ARE</v>
          </cell>
          <cell r="R504" t="str">
            <v>FC134</v>
          </cell>
          <cell r="S504" t="str">
            <v>Day Shift</v>
          </cell>
          <cell r="T504">
            <v>99</v>
          </cell>
          <cell r="U504" t="str">
            <v>MENA_UAE_FC</v>
          </cell>
          <cell r="V504">
            <v>46257.331944444442</v>
          </cell>
          <cell r="W504">
            <v>46257.750694444447</v>
          </cell>
          <cell r="X504">
            <v>46257.333333333336</v>
          </cell>
          <cell r="Y504">
            <v>46257.75</v>
          </cell>
          <cell r="AA504" t="str">
            <v>Scheduled</v>
          </cell>
          <cell r="AB504" t="str">
            <v>Present</v>
          </cell>
          <cell r="AC504" t="str">
            <v>Inbound</v>
          </cell>
          <cell r="AD504" t="str">
            <v>Inbound Stow</v>
          </cell>
          <cell r="AE504" t="str">
            <v>Stow</v>
          </cell>
          <cell r="AF504" t="str">
            <v>Wednesday</v>
          </cell>
          <cell r="AG504" t="str">
            <v>Thursday</v>
          </cell>
          <cell r="AH504">
            <v>3</v>
          </cell>
          <cell r="AJ504">
            <v>45501</v>
          </cell>
          <cell r="AM504" t="str">
            <v>TEMP</v>
          </cell>
          <cell r="AN504" t="str">
            <v>3P Onsite Worker</v>
          </cell>
          <cell r="AO504" t="str">
            <v>A</v>
          </cell>
          <cell r="AP504">
            <v>9</v>
          </cell>
          <cell r="AQ504">
            <v>0</v>
          </cell>
          <cell r="AR504">
            <v>1</v>
          </cell>
          <cell r="AS504">
            <v>1</v>
          </cell>
          <cell r="AT504">
            <v>0</v>
          </cell>
          <cell r="AU504">
            <v>0</v>
          </cell>
        </row>
        <row r="505">
          <cell r="D505" t="str">
            <v>kadumbul</v>
          </cell>
          <cell r="E505">
            <v>206858475</v>
          </cell>
          <cell r="F505" t="str">
            <v>A</v>
          </cell>
          <cell r="G505" t="str">
            <v>GREEN</v>
          </cell>
          <cell r="H505" t="str">
            <v>FULL_TIME</v>
          </cell>
          <cell r="I505">
            <v>900234</v>
          </cell>
          <cell r="J505" t="str">
            <v>Dulsco L.L.C.</v>
          </cell>
          <cell r="K505" t="str">
            <v>WILLIAM KADUMBULA</v>
          </cell>
          <cell r="L505" t="str">
            <v>Warehouse Associate (TEMP)</v>
          </cell>
          <cell r="M505" t="str">
            <v>Warehouse Associate 8W</v>
          </cell>
          <cell r="N505" t="str">
            <v>vkkatyal</v>
          </cell>
          <cell r="O505">
            <v>1299</v>
          </cell>
          <cell r="P505" t="str">
            <v>AUH1</v>
          </cell>
          <cell r="Q505" t="str">
            <v>ARE</v>
          </cell>
          <cell r="R505" t="str">
            <v>FC059</v>
          </cell>
          <cell r="S505" t="str">
            <v>Day Shift</v>
          </cell>
          <cell r="T505">
            <v>99</v>
          </cell>
          <cell r="U505" t="str">
            <v>MENA_UAE_FC</v>
          </cell>
          <cell r="X505">
            <v>46257.333333333336</v>
          </cell>
          <cell r="Y505">
            <v>46257.75</v>
          </cell>
          <cell r="Z505" t="str">
            <v>Rest Day</v>
          </cell>
          <cell r="AA505" t="str">
            <v>Not Scheduled</v>
          </cell>
          <cell r="AB505" t="str">
            <v>Not Present</v>
          </cell>
          <cell r="AC505" t="str">
            <v>Inbound</v>
          </cell>
          <cell r="AD505" t="str">
            <v>Inbound Stow</v>
          </cell>
          <cell r="AE505" t="str">
            <v>Stow</v>
          </cell>
          <cell r="AF505" t="str">
            <v>Sunday</v>
          </cell>
          <cell r="AG505" t="str">
            <v>Monday</v>
          </cell>
          <cell r="AH505">
            <v>3</v>
          </cell>
          <cell r="AJ505">
            <v>46012</v>
          </cell>
          <cell r="AM505" t="str">
            <v>TEMP</v>
          </cell>
          <cell r="AN505" t="str">
            <v>3P Onsite Worker</v>
          </cell>
          <cell r="AO505" t="str">
            <v>A</v>
          </cell>
          <cell r="AP505">
            <v>9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</row>
        <row r="506">
          <cell r="D506" t="str">
            <v>kahermaj</v>
          </cell>
          <cell r="E506">
            <v>203737144</v>
          </cell>
          <cell r="F506" t="str">
            <v>A</v>
          </cell>
          <cell r="G506" t="str">
            <v>GREEN</v>
          </cell>
          <cell r="H506" t="str">
            <v>FULL_TIME</v>
          </cell>
          <cell r="I506">
            <v>900234</v>
          </cell>
          <cell r="J506" t="str">
            <v>Fastlink Outsourcing</v>
          </cell>
          <cell r="K506" t="str">
            <v>KAMOGA HERMAN HERMAN</v>
          </cell>
          <cell r="L506" t="str">
            <v>Warehouse Associate (TEMP)</v>
          </cell>
          <cell r="M506" t="str">
            <v>Warehouse Associate 12M</v>
          </cell>
          <cell r="N506" t="str">
            <v>nnahla</v>
          </cell>
          <cell r="O506">
            <v>1299</v>
          </cell>
          <cell r="P506" t="str">
            <v>AUH1</v>
          </cell>
          <cell r="Q506" t="str">
            <v>ARE</v>
          </cell>
          <cell r="R506" t="str">
            <v>FC134</v>
          </cell>
          <cell r="S506" t="str">
            <v>Day Shift</v>
          </cell>
          <cell r="T506">
            <v>99</v>
          </cell>
          <cell r="U506" t="str">
            <v>MENA_UAE_FC</v>
          </cell>
          <cell r="V506">
            <v>46257.331250000003</v>
          </cell>
          <cell r="W506">
            <v>46257.751388888886</v>
          </cell>
          <cell r="X506">
            <v>46257.333333333336</v>
          </cell>
          <cell r="Y506">
            <v>46257.75</v>
          </cell>
          <cell r="AA506" t="str">
            <v>Scheduled</v>
          </cell>
          <cell r="AB506" t="str">
            <v>Present</v>
          </cell>
          <cell r="AC506" t="str">
            <v>Inbound</v>
          </cell>
          <cell r="AD506" t="str">
            <v>Inbound Stow</v>
          </cell>
          <cell r="AE506" t="str">
            <v>Stow</v>
          </cell>
          <cell r="AF506" t="str">
            <v>Wednesday</v>
          </cell>
          <cell r="AG506" t="str">
            <v>Thursday</v>
          </cell>
          <cell r="AH506">
            <v>3</v>
          </cell>
          <cell r="AJ506">
            <v>45501</v>
          </cell>
          <cell r="AM506" t="str">
            <v>TEMP</v>
          </cell>
          <cell r="AN506" t="str">
            <v>3P Onsite Worker</v>
          </cell>
          <cell r="AO506" t="str">
            <v>A</v>
          </cell>
          <cell r="AP506">
            <v>9</v>
          </cell>
          <cell r="AQ506">
            <v>0</v>
          </cell>
          <cell r="AR506">
            <v>1</v>
          </cell>
          <cell r="AS506">
            <v>1</v>
          </cell>
          <cell r="AT506">
            <v>0</v>
          </cell>
          <cell r="AU506">
            <v>0</v>
          </cell>
        </row>
        <row r="507">
          <cell r="D507" t="str">
            <v>kahuhenx</v>
          </cell>
          <cell r="E507">
            <v>206915469</v>
          </cell>
          <cell r="F507" t="str">
            <v>A</v>
          </cell>
          <cell r="G507" t="str">
            <v>GREEN</v>
          </cell>
          <cell r="H507" t="str">
            <v>FULL_TIME</v>
          </cell>
          <cell r="I507">
            <v>900234</v>
          </cell>
          <cell r="J507" t="str">
            <v>Dulsco L.L.C.</v>
          </cell>
          <cell r="K507" t="str">
            <v>HENRY KAHUNDE</v>
          </cell>
          <cell r="L507" t="str">
            <v>Warehouse Associate (TEMP)</v>
          </cell>
          <cell r="M507" t="str">
            <v>Warehouse Associate 8W</v>
          </cell>
          <cell r="N507" t="str">
            <v>lraghava</v>
          </cell>
          <cell r="O507">
            <v>1299</v>
          </cell>
          <cell r="P507" t="str">
            <v>AUH1</v>
          </cell>
          <cell r="Q507" t="str">
            <v>ARE</v>
          </cell>
          <cell r="R507" t="str">
            <v>LK014</v>
          </cell>
          <cell r="S507" t="str">
            <v>Night Shift</v>
          </cell>
          <cell r="T507">
            <v>99</v>
          </cell>
          <cell r="U507" t="str">
            <v>MENA_UAE_FC</v>
          </cell>
          <cell r="V507">
            <v>46257.755555555559</v>
          </cell>
          <cell r="X507">
            <v>46257.756944444445</v>
          </cell>
          <cell r="Y507">
            <v>46258.173611111109</v>
          </cell>
          <cell r="AA507" t="str">
            <v>Scheduled</v>
          </cell>
          <cell r="AB507" t="str">
            <v>Present</v>
          </cell>
          <cell r="AC507" t="str">
            <v>Outbound</v>
          </cell>
          <cell r="AD507" t="str">
            <v>Picking</v>
          </cell>
          <cell r="AE507" t="str">
            <v>Pick</v>
          </cell>
          <cell r="AF507" t="str">
            <v>Monday</v>
          </cell>
          <cell r="AG507" t="str">
            <v>Tuesday</v>
          </cell>
          <cell r="AH507">
            <v>13</v>
          </cell>
          <cell r="AJ507">
            <v>46033</v>
          </cell>
          <cell r="AM507" t="str">
            <v>TEMP</v>
          </cell>
          <cell r="AN507" t="str">
            <v>3P Onsite Worker</v>
          </cell>
          <cell r="AO507" t="str">
            <v>A</v>
          </cell>
          <cell r="AP507">
            <v>9</v>
          </cell>
          <cell r="AQ507">
            <v>0</v>
          </cell>
          <cell r="AR507">
            <v>1</v>
          </cell>
          <cell r="AS507">
            <v>1</v>
          </cell>
          <cell r="AT507">
            <v>0</v>
          </cell>
          <cell r="AU507">
            <v>0</v>
          </cell>
        </row>
        <row r="508">
          <cell r="D508" t="str">
            <v>kaijudit</v>
          </cell>
          <cell r="E508">
            <v>206149617</v>
          </cell>
          <cell r="F508" t="str">
            <v>A</v>
          </cell>
          <cell r="G508" t="str">
            <v>GREEN</v>
          </cell>
          <cell r="H508" t="str">
            <v>FULL_TIME</v>
          </cell>
          <cell r="I508">
            <v>900234</v>
          </cell>
          <cell r="J508" t="str">
            <v>Fastlink Outsourcing</v>
          </cell>
          <cell r="K508" t="str">
            <v>JUDITH KABUGHO</v>
          </cell>
          <cell r="L508" t="str">
            <v>Warehouse Associate (TEMP)</v>
          </cell>
          <cell r="M508" t="str">
            <v>Warehouse Associate 12M</v>
          </cell>
          <cell r="N508" t="str">
            <v>kebedeed</v>
          </cell>
          <cell r="O508">
            <v>1299</v>
          </cell>
          <cell r="P508" t="str">
            <v>AUH1</v>
          </cell>
          <cell r="Q508" t="str">
            <v>ARE</v>
          </cell>
          <cell r="R508" t="str">
            <v>FC059</v>
          </cell>
          <cell r="S508" t="str">
            <v>Day Shift</v>
          </cell>
          <cell r="T508">
            <v>99</v>
          </cell>
          <cell r="U508" t="str">
            <v>MENA_UAE_FC</v>
          </cell>
          <cell r="X508">
            <v>46257.333333333336</v>
          </cell>
          <cell r="Y508">
            <v>46257.75</v>
          </cell>
          <cell r="Z508" t="str">
            <v>Rest Day</v>
          </cell>
          <cell r="AA508" t="str">
            <v>Not Scheduled</v>
          </cell>
          <cell r="AB508" t="str">
            <v>Not Present</v>
          </cell>
          <cell r="AC508" t="str">
            <v>ICQA</v>
          </cell>
          <cell r="AD508" t="str">
            <v>IC/QA/CS</v>
          </cell>
          <cell r="AE508" t="str">
            <v>Support</v>
          </cell>
          <cell r="AF508" t="str">
            <v>Sunday</v>
          </cell>
          <cell r="AG508" t="str">
            <v>Monday</v>
          </cell>
          <cell r="AH508">
            <v>27</v>
          </cell>
          <cell r="AJ508">
            <v>45928</v>
          </cell>
          <cell r="AM508" t="str">
            <v>TEMP</v>
          </cell>
          <cell r="AN508" t="str">
            <v>3P Onsite Worker</v>
          </cell>
          <cell r="AO508" t="str">
            <v>A</v>
          </cell>
          <cell r="AP508">
            <v>9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</row>
        <row r="509">
          <cell r="D509" t="str">
            <v>kajannab</v>
          </cell>
          <cell r="E509">
            <v>206129604</v>
          </cell>
          <cell r="F509" t="str">
            <v>A</v>
          </cell>
          <cell r="G509" t="str">
            <v>GREEN</v>
          </cell>
          <cell r="H509" t="str">
            <v>FULL_TIME</v>
          </cell>
          <cell r="I509">
            <v>900234</v>
          </cell>
          <cell r="J509" t="str">
            <v>Fastlink Outsourcing</v>
          </cell>
          <cell r="K509" t="str">
            <v>Annabel Kalumba</v>
          </cell>
          <cell r="L509" t="str">
            <v>Warehouse Associate (TEMP)</v>
          </cell>
          <cell r="M509" t="str">
            <v>Warehouse Associate 8W</v>
          </cell>
          <cell r="N509" t="str">
            <v>lraghava</v>
          </cell>
          <cell r="O509">
            <v>1299</v>
          </cell>
          <cell r="P509" t="str">
            <v>AUH1</v>
          </cell>
          <cell r="Q509" t="str">
            <v>ARE</v>
          </cell>
          <cell r="R509" t="str">
            <v>FC059</v>
          </cell>
          <cell r="S509" t="str">
            <v>Day Shift</v>
          </cell>
          <cell r="T509">
            <v>99</v>
          </cell>
          <cell r="U509" t="str">
            <v>MENA_UAE_FC</v>
          </cell>
          <cell r="X509">
            <v>46257.333333333336</v>
          </cell>
          <cell r="Y509">
            <v>46257.75</v>
          </cell>
          <cell r="Z509" t="str">
            <v>Rest Day</v>
          </cell>
          <cell r="AA509" t="str">
            <v>Not Scheduled</v>
          </cell>
          <cell r="AB509" t="str">
            <v>Not Present</v>
          </cell>
          <cell r="AC509" t="str">
            <v>Outbound</v>
          </cell>
          <cell r="AD509" t="str">
            <v>Picking</v>
          </cell>
          <cell r="AE509" t="str">
            <v>Pick</v>
          </cell>
          <cell r="AF509" t="str">
            <v>Sunday</v>
          </cell>
          <cell r="AG509" t="str">
            <v>Monday</v>
          </cell>
          <cell r="AH509">
            <v>13</v>
          </cell>
          <cell r="AJ509">
            <v>45928</v>
          </cell>
          <cell r="AM509" t="str">
            <v>TEMP</v>
          </cell>
          <cell r="AN509" t="str">
            <v>3P Onsite Worker</v>
          </cell>
          <cell r="AO509" t="str">
            <v>A</v>
          </cell>
          <cell r="AP509">
            <v>9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</row>
        <row r="510">
          <cell r="D510" t="str">
            <v>kakimera</v>
          </cell>
          <cell r="E510">
            <v>203850878</v>
          </cell>
          <cell r="F510" t="str">
            <v>A</v>
          </cell>
          <cell r="G510" t="str">
            <v>GREEN</v>
          </cell>
          <cell r="H510" t="str">
            <v>FULL_TIME</v>
          </cell>
          <cell r="I510">
            <v>900234</v>
          </cell>
          <cell r="J510" t="str">
            <v>Dulsco L.L.C.</v>
          </cell>
          <cell r="K510" t="str">
            <v>Kato Kimera</v>
          </cell>
          <cell r="L510" t="str">
            <v>Warehouse Associate (TEMP)</v>
          </cell>
          <cell r="M510" t="str">
            <v>Warehouse Associate 24M</v>
          </cell>
          <cell r="N510" t="str">
            <v>lraghava</v>
          </cell>
          <cell r="O510">
            <v>1299</v>
          </cell>
          <cell r="P510" t="str">
            <v>AUH1</v>
          </cell>
          <cell r="Q510" t="str">
            <v>ARE</v>
          </cell>
          <cell r="R510" t="str">
            <v>LK017</v>
          </cell>
          <cell r="S510" t="str">
            <v>Night Shift</v>
          </cell>
          <cell r="T510">
            <v>99</v>
          </cell>
          <cell r="U510" t="str">
            <v>MENA_UAE_FC</v>
          </cell>
          <cell r="V510">
            <v>46257.753472222219</v>
          </cell>
          <cell r="X510">
            <v>46257.756944444445</v>
          </cell>
          <cell r="Y510">
            <v>46258.173611111109</v>
          </cell>
          <cell r="AA510" t="str">
            <v>Scheduled</v>
          </cell>
          <cell r="AB510" t="str">
            <v>Present</v>
          </cell>
          <cell r="AC510" t="str">
            <v>Outbound</v>
          </cell>
          <cell r="AD510" t="str">
            <v>Picking</v>
          </cell>
          <cell r="AE510" t="str">
            <v>Pick</v>
          </cell>
          <cell r="AF510" t="str">
            <v>Thursday</v>
          </cell>
          <cell r="AG510" t="str">
            <v>Friday</v>
          </cell>
          <cell r="AH510">
            <v>13</v>
          </cell>
          <cell r="AJ510">
            <v>45523</v>
          </cell>
          <cell r="AM510" t="str">
            <v>TEMP</v>
          </cell>
          <cell r="AN510" t="str">
            <v>3P Onsite Worker</v>
          </cell>
          <cell r="AO510" t="str">
            <v>A</v>
          </cell>
          <cell r="AP510">
            <v>9</v>
          </cell>
          <cell r="AQ510">
            <v>0</v>
          </cell>
          <cell r="AR510">
            <v>1</v>
          </cell>
          <cell r="AS510">
            <v>1</v>
          </cell>
          <cell r="AT510">
            <v>0</v>
          </cell>
          <cell r="AU510">
            <v>0</v>
          </cell>
        </row>
        <row r="511">
          <cell r="D511" t="str">
            <v>kakramen</v>
          </cell>
          <cell r="E511">
            <v>206072874</v>
          </cell>
          <cell r="F511" t="str">
            <v>A</v>
          </cell>
          <cell r="G511" t="str">
            <v>GREEN</v>
          </cell>
          <cell r="H511" t="str">
            <v>FULL_TIME</v>
          </cell>
          <cell r="I511">
            <v>900234</v>
          </cell>
          <cell r="J511" t="str">
            <v>Fastlink Outsourcing</v>
          </cell>
          <cell r="K511" t="str">
            <v>Ransford Kakra Mensah</v>
          </cell>
          <cell r="L511" t="str">
            <v>Warehouse Associate (TEMP)</v>
          </cell>
          <cell r="M511" t="str">
            <v>Warehouse Associate 12M</v>
          </cell>
          <cell r="N511" t="str">
            <v>ansammar</v>
          </cell>
          <cell r="O511">
            <v>1299</v>
          </cell>
          <cell r="P511" t="str">
            <v>AUH1</v>
          </cell>
          <cell r="Q511" t="str">
            <v>ARE</v>
          </cell>
          <cell r="R511" t="str">
            <v>FC084</v>
          </cell>
          <cell r="S511" t="str">
            <v>Day Shift</v>
          </cell>
          <cell r="T511">
            <v>99</v>
          </cell>
          <cell r="U511" t="str">
            <v>MENA_UAE_FC</v>
          </cell>
          <cell r="V511">
            <v>46257.332638888889</v>
          </cell>
          <cell r="W511">
            <v>46257.75</v>
          </cell>
          <cell r="X511">
            <v>46257.333333333336</v>
          </cell>
          <cell r="Y511">
            <v>46257.75</v>
          </cell>
          <cell r="AA511" t="str">
            <v>Scheduled</v>
          </cell>
          <cell r="AB511" t="str">
            <v>Present</v>
          </cell>
          <cell r="AC511" t="str">
            <v>Outbound</v>
          </cell>
          <cell r="AD511" t="str">
            <v>Picking</v>
          </cell>
          <cell r="AE511" t="str">
            <v>Pick</v>
          </cell>
          <cell r="AF511" t="str">
            <v>Monday</v>
          </cell>
          <cell r="AG511" t="str">
            <v>Tuesday</v>
          </cell>
          <cell r="AH511">
            <v>13</v>
          </cell>
          <cell r="AJ511">
            <v>45928</v>
          </cell>
          <cell r="AM511" t="str">
            <v>TEMP</v>
          </cell>
          <cell r="AN511" t="str">
            <v>3P Onsite Worker</v>
          </cell>
          <cell r="AO511" t="str">
            <v>A</v>
          </cell>
          <cell r="AP511">
            <v>9</v>
          </cell>
          <cell r="AQ511">
            <v>0</v>
          </cell>
          <cell r="AR511">
            <v>1</v>
          </cell>
          <cell r="AS511">
            <v>1</v>
          </cell>
          <cell r="AT511">
            <v>0</v>
          </cell>
          <cell r="AU511">
            <v>0</v>
          </cell>
        </row>
        <row r="512">
          <cell r="D512" t="str">
            <v>kallbnik</v>
          </cell>
          <cell r="E512">
            <v>204053437</v>
          </cell>
          <cell r="F512" t="str">
            <v>A</v>
          </cell>
          <cell r="G512" t="str">
            <v>GREEN</v>
          </cell>
          <cell r="H512" t="str">
            <v>FULL_TIME</v>
          </cell>
          <cell r="I512">
            <v>900234</v>
          </cell>
          <cell r="J512" t="str">
            <v>Adecco</v>
          </cell>
          <cell r="K512" t="str">
            <v>Nikhil Kallingal</v>
          </cell>
          <cell r="L512" t="str">
            <v>Warehouse Associate (TEMP)</v>
          </cell>
          <cell r="M512" t="str">
            <v>Warehouse Associate 24M</v>
          </cell>
          <cell r="N512" t="str">
            <v>ansammar</v>
          </cell>
          <cell r="O512">
            <v>1299</v>
          </cell>
          <cell r="P512" t="str">
            <v>AUH1</v>
          </cell>
          <cell r="Q512" t="str">
            <v>ARE</v>
          </cell>
          <cell r="R512" t="str">
            <v>FC009</v>
          </cell>
          <cell r="S512" t="str">
            <v>Day Shift</v>
          </cell>
          <cell r="T512">
            <v>99</v>
          </cell>
          <cell r="U512" t="str">
            <v>MENA_UAE_FC</v>
          </cell>
          <cell r="V512">
            <v>46257.330555555556</v>
          </cell>
          <cell r="W512">
            <v>46257.438194444447</v>
          </cell>
          <cell r="X512">
            <v>46257.333333333336</v>
          </cell>
          <cell r="Y512">
            <v>46257.75</v>
          </cell>
          <cell r="AA512" t="str">
            <v>Scheduled</v>
          </cell>
          <cell r="AB512" t="str">
            <v>Present</v>
          </cell>
          <cell r="AC512" t="str">
            <v>Outbound</v>
          </cell>
          <cell r="AD512" t="str">
            <v>Pack - Batch</v>
          </cell>
          <cell r="AE512" t="str">
            <v>Pack</v>
          </cell>
          <cell r="AF512" t="str">
            <v>Friday</v>
          </cell>
          <cell r="AG512" t="str">
            <v>Saturday</v>
          </cell>
          <cell r="AH512">
            <v>17</v>
          </cell>
          <cell r="AJ512">
            <v>45557</v>
          </cell>
          <cell r="AM512" t="str">
            <v>TEMP</v>
          </cell>
          <cell r="AN512" t="str">
            <v>3P Onsite Worker</v>
          </cell>
          <cell r="AO512" t="str">
            <v>A</v>
          </cell>
          <cell r="AP512">
            <v>9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0</v>
          </cell>
        </row>
        <row r="513">
          <cell r="D513" t="str">
            <v>kalugerk</v>
          </cell>
          <cell r="E513">
            <v>206873877</v>
          </cell>
          <cell r="F513" t="str">
            <v>A</v>
          </cell>
          <cell r="G513" t="str">
            <v>GREEN</v>
          </cell>
          <cell r="H513" t="str">
            <v>FULL_TIME</v>
          </cell>
          <cell r="I513">
            <v>900234</v>
          </cell>
          <cell r="J513" t="str">
            <v>Dulsco L.L.C.</v>
          </cell>
          <cell r="K513" t="str">
            <v>KALULE GERALD</v>
          </cell>
          <cell r="L513" t="str">
            <v>Warehouse Associate (TEMP)</v>
          </cell>
          <cell r="M513" t="str">
            <v>Warehouse Associate 8W</v>
          </cell>
          <cell r="N513" t="str">
            <v>bavameer</v>
          </cell>
          <cell r="O513">
            <v>1299</v>
          </cell>
          <cell r="P513" t="str">
            <v>AUH1</v>
          </cell>
          <cell r="Q513" t="str">
            <v>ARE</v>
          </cell>
          <cell r="R513" t="str">
            <v>LK013</v>
          </cell>
          <cell r="S513" t="str">
            <v>Night Shift</v>
          </cell>
          <cell r="T513">
            <v>99</v>
          </cell>
          <cell r="U513" t="str">
            <v>MENA_UAE_FC</v>
          </cell>
          <cell r="X513">
            <v>46257.756944444445</v>
          </cell>
          <cell r="Y513">
            <v>46258.173611111109</v>
          </cell>
          <cell r="Z513" t="str">
            <v>Rest Day</v>
          </cell>
          <cell r="AA513" t="str">
            <v>Not Scheduled</v>
          </cell>
          <cell r="AB513" t="str">
            <v>Not Present</v>
          </cell>
          <cell r="AC513" t="str">
            <v>Customer returns</v>
          </cell>
          <cell r="AD513" t="str">
            <v>Customer Returns</v>
          </cell>
          <cell r="AE513" t="str">
            <v>Customer returns</v>
          </cell>
          <cell r="AF513" t="str">
            <v>Sunday</v>
          </cell>
          <cell r="AG513" t="str">
            <v>Monday</v>
          </cell>
          <cell r="AH513">
            <v>22</v>
          </cell>
          <cell r="AJ513">
            <v>46019</v>
          </cell>
          <cell r="AM513" t="str">
            <v>TEMP</v>
          </cell>
          <cell r="AN513" t="str">
            <v>3P Onsite Worker</v>
          </cell>
          <cell r="AO513" t="str">
            <v>A</v>
          </cell>
          <cell r="AP513">
            <v>9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</row>
        <row r="514">
          <cell r="D514" t="str">
            <v>kalyange</v>
          </cell>
          <cell r="E514">
            <v>204011443</v>
          </cell>
          <cell r="F514" t="str">
            <v>A</v>
          </cell>
          <cell r="G514" t="str">
            <v>GREEN</v>
          </cell>
          <cell r="H514" t="str">
            <v>FULL_TIME</v>
          </cell>
          <cell r="I514">
            <v>900234</v>
          </cell>
          <cell r="J514" t="str">
            <v>Dulsco L.L.C.</v>
          </cell>
          <cell r="K514" t="str">
            <v>GERALD KALYANGO</v>
          </cell>
          <cell r="L514" t="str">
            <v>Warehouse Associate (TEMP)</v>
          </cell>
          <cell r="M514" t="str">
            <v>Warehouse Associate 24M</v>
          </cell>
          <cell r="N514" t="str">
            <v>bizthoma</v>
          </cell>
          <cell r="O514">
            <v>1299</v>
          </cell>
          <cell r="P514" t="str">
            <v>AUH1</v>
          </cell>
          <cell r="Q514" t="str">
            <v>ARE</v>
          </cell>
          <cell r="R514" t="str">
            <v>LK015</v>
          </cell>
          <cell r="S514" t="str">
            <v>Night Shift</v>
          </cell>
          <cell r="T514">
            <v>99</v>
          </cell>
          <cell r="U514" t="str">
            <v>MENA_UAE_FC</v>
          </cell>
          <cell r="V514">
            <v>46257.755555555559</v>
          </cell>
          <cell r="X514">
            <v>46257.756944444445</v>
          </cell>
          <cell r="Y514">
            <v>46258.173611111109</v>
          </cell>
          <cell r="AA514" t="str">
            <v>Scheduled</v>
          </cell>
          <cell r="AB514" t="str">
            <v>Present</v>
          </cell>
          <cell r="AC514" t="str">
            <v>Outbound</v>
          </cell>
          <cell r="AD514" t="str">
            <v>Sort - Batch</v>
          </cell>
          <cell r="AE514" t="str">
            <v>Sort</v>
          </cell>
          <cell r="AF514" t="str">
            <v>Tuesday</v>
          </cell>
          <cell r="AG514" t="str">
            <v>Wednesday</v>
          </cell>
          <cell r="AH514">
            <v>15</v>
          </cell>
          <cell r="AJ514">
            <v>45550</v>
          </cell>
          <cell r="AM514" t="str">
            <v>TEMP</v>
          </cell>
          <cell r="AN514" t="str">
            <v>3P Onsite Worker</v>
          </cell>
          <cell r="AO514" t="str">
            <v>A</v>
          </cell>
          <cell r="AP514">
            <v>9</v>
          </cell>
          <cell r="AQ514">
            <v>0</v>
          </cell>
          <cell r="AR514">
            <v>1</v>
          </cell>
          <cell r="AS514">
            <v>1</v>
          </cell>
          <cell r="AT514">
            <v>0</v>
          </cell>
          <cell r="AU514">
            <v>0</v>
          </cell>
        </row>
        <row r="515">
          <cell r="D515" t="str">
            <v>kamaesth</v>
          </cell>
          <cell r="E515">
            <v>205502951</v>
          </cell>
          <cell r="F515" t="str">
            <v>A</v>
          </cell>
          <cell r="G515" t="str">
            <v>GREEN</v>
          </cell>
          <cell r="H515" t="str">
            <v>FULL_TIME</v>
          </cell>
          <cell r="I515">
            <v>900234</v>
          </cell>
          <cell r="J515" t="str">
            <v>EFS Facilities Services</v>
          </cell>
          <cell r="K515" t="str">
            <v>ESTHER WAIRIMU KAMAU</v>
          </cell>
          <cell r="L515" t="str">
            <v>Warehouse Associate (TEMP)</v>
          </cell>
          <cell r="M515" t="str">
            <v>Warehouse Associate 8W</v>
          </cell>
          <cell r="N515" t="str">
            <v>vkkatyal</v>
          </cell>
          <cell r="O515">
            <v>1299</v>
          </cell>
          <cell r="P515" t="str">
            <v>AUH1</v>
          </cell>
          <cell r="Q515" t="str">
            <v>ARE</v>
          </cell>
          <cell r="R515" t="str">
            <v>LK017</v>
          </cell>
          <cell r="S515" t="str">
            <v>Night Shift</v>
          </cell>
          <cell r="T515">
            <v>99</v>
          </cell>
          <cell r="U515" t="str">
            <v>MENA_UAE_FC</v>
          </cell>
          <cell r="V515">
            <v>46257.756249999999</v>
          </cell>
          <cell r="X515">
            <v>46257.756944444445</v>
          </cell>
          <cell r="Y515">
            <v>46258.173611111109</v>
          </cell>
          <cell r="AA515" t="str">
            <v>Scheduled</v>
          </cell>
          <cell r="AB515" t="str">
            <v>Present</v>
          </cell>
          <cell r="AC515" t="str">
            <v>Inbound</v>
          </cell>
          <cell r="AD515" t="str">
            <v>Inbound Stow</v>
          </cell>
          <cell r="AE515" t="str">
            <v>Stow</v>
          </cell>
          <cell r="AF515" t="str">
            <v>Thursday</v>
          </cell>
          <cell r="AG515" t="str">
            <v>Friday</v>
          </cell>
          <cell r="AH515">
            <v>3</v>
          </cell>
          <cell r="AJ515">
            <v>45830</v>
          </cell>
          <cell r="AM515" t="str">
            <v>TEMP</v>
          </cell>
          <cell r="AN515" t="str">
            <v>3P Onsite Worker</v>
          </cell>
          <cell r="AO515" t="str">
            <v>A</v>
          </cell>
          <cell r="AP515">
            <v>9</v>
          </cell>
          <cell r="AQ515">
            <v>0</v>
          </cell>
          <cell r="AR515">
            <v>1</v>
          </cell>
          <cell r="AS515">
            <v>1</v>
          </cell>
          <cell r="AT515">
            <v>0</v>
          </cell>
          <cell r="AU515">
            <v>0</v>
          </cell>
        </row>
        <row r="516">
          <cell r="D516" t="str">
            <v>kamalize</v>
          </cell>
          <cell r="E516">
            <v>206915012</v>
          </cell>
          <cell r="F516" t="str">
            <v>A</v>
          </cell>
          <cell r="G516" t="str">
            <v>GREEN</v>
          </cell>
          <cell r="H516" t="str">
            <v>FULL_TIME</v>
          </cell>
          <cell r="I516">
            <v>900234</v>
          </cell>
          <cell r="J516" t="str">
            <v>Dulsco L.L.C.</v>
          </cell>
          <cell r="K516" t="str">
            <v>EMMANUEL KAMALIZENI</v>
          </cell>
          <cell r="L516" t="str">
            <v>Warehouse Associate (TEMP)</v>
          </cell>
          <cell r="M516" t="str">
            <v>Warehouse Associate 8W</v>
          </cell>
          <cell r="N516" t="str">
            <v>scariav</v>
          </cell>
          <cell r="O516">
            <v>1299</v>
          </cell>
          <cell r="P516" t="str">
            <v>AUH1</v>
          </cell>
          <cell r="Q516" t="str">
            <v>ARE</v>
          </cell>
          <cell r="R516" t="str">
            <v>FC559</v>
          </cell>
          <cell r="S516" t="str">
            <v>Night Shift</v>
          </cell>
          <cell r="T516">
            <v>99</v>
          </cell>
          <cell r="U516" t="str">
            <v>MENA_UAE_FC</v>
          </cell>
          <cell r="X516">
            <v>46257.756944444445</v>
          </cell>
          <cell r="Y516">
            <v>46258.090277777781</v>
          </cell>
          <cell r="Z516" t="str">
            <v>Rest Day</v>
          </cell>
          <cell r="AA516" t="str">
            <v>Not Scheduled</v>
          </cell>
          <cell r="AB516" t="str">
            <v>Not Present</v>
          </cell>
          <cell r="AF516" t="str">
            <v>Saturday</v>
          </cell>
          <cell r="AG516" t="str">
            <v>Sunday</v>
          </cell>
          <cell r="AJ516">
            <v>46225</v>
          </cell>
          <cell r="AM516" t="str">
            <v>TEMP</v>
          </cell>
          <cell r="AN516" t="str">
            <v>3P Onsite Worker</v>
          </cell>
          <cell r="AO516" t="str">
            <v>A</v>
          </cell>
          <cell r="AP516">
            <v>7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</row>
        <row r="517">
          <cell r="D517" t="str">
            <v>kamargib</v>
          </cell>
          <cell r="E517">
            <v>203521427</v>
          </cell>
          <cell r="F517" t="str">
            <v>A</v>
          </cell>
          <cell r="G517" t="str">
            <v>GREEN</v>
          </cell>
          <cell r="H517" t="str">
            <v>FULL_TIME</v>
          </cell>
          <cell r="I517">
            <v>900234</v>
          </cell>
          <cell r="J517" t="str">
            <v>Fastlink Outsourcing</v>
          </cell>
          <cell r="K517" t="str">
            <v>Gibrilla kamara</v>
          </cell>
          <cell r="L517" t="str">
            <v>Warehouse Associate (TEMP)</v>
          </cell>
          <cell r="M517" t="str">
            <v>Warehouse Associate 12M</v>
          </cell>
          <cell r="N517" t="str">
            <v>pparsin</v>
          </cell>
          <cell r="O517">
            <v>1299</v>
          </cell>
          <cell r="P517" t="str">
            <v>AUH1</v>
          </cell>
          <cell r="Q517" t="str">
            <v>ARE</v>
          </cell>
          <cell r="R517" t="str">
            <v>FC009</v>
          </cell>
          <cell r="S517" t="str">
            <v>Day Shift</v>
          </cell>
          <cell r="T517">
            <v>99</v>
          </cell>
          <cell r="U517" t="str">
            <v>MENA_UAE_FC</v>
          </cell>
          <cell r="V517">
            <v>46257.331944444442</v>
          </cell>
          <cell r="W517">
            <v>46257.749305555553</v>
          </cell>
          <cell r="X517">
            <v>46257.333333333336</v>
          </cell>
          <cell r="Y517">
            <v>46257.75</v>
          </cell>
          <cell r="AA517" t="str">
            <v>Scheduled</v>
          </cell>
          <cell r="AB517" t="str">
            <v>Present</v>
          </cell>
          <cell r="AC517" t="str">
            <v>Inbound</v>
          </cell>
          <cell r="AD517" t="str">
            <v>Inbound Prep</v>
          </cell>
          <cell r="AE517" t="str">
            <v>Prep</v>
          </cell>
          <cell r="AF517" t="str">
            <v>Friday</v>
          </cell>
          <cell r="AG517" t="str">
            <v>Saturday</v>
          </cell>
          <cell r="AH517">
            <v>36</v>
          </cell>
          <cell r="AJ517">
            <v>45462</v>
          </cell>
          <cell r="AM517" t="str">
            <v>TEMP</v>
          </cell>
          <cell r="AN517" t="str">
            <v>3P Onsite Worker</v>
          </cell>
          <cell r="AO517" t="str">
            <v>A</v>
          </cell>
          <cell r="AP517">
            <v>9</v>
          </cell>
          <cell r="AQ517">
            <v>0</v>
          </cell>
          <cell r="AR517">
            <v>1</v>
          </cell>
          <cell r="AS517">
            <v>1</v>
          </cell>
          <cell r="AT517">
            <v>0</v>
          </cell>
          <cell r="AU517">
            <v>0</v>
          </cell>
        </row>
        <row r="518">
          <cell r="D518" t="str">
            <v>kamarjoy</v>
          </cell>
          <cell r="E518">
            <v>202334276</v>
          </cell>
          <cell r="F518" t="str">
            <v>A</v>
          </cell>
          <cell r="G518" t="str">
            <v>GREEN</v>
          </cell>
          <cell r="H518" t="str">
            <v>FULL_TIME</v>
          </cell>
          <cell r="I518">
            <v>900234</v>
          </cell>
          <cell r="J518" t="str">
            <v>Quesscorp</v>
          </cell>
          <cell r="K518" t="str">
            <v>John Kamara</v>
          </cell>
          <cell r="L518" t="str">
            <v>Warehouse Associate (TEMP)</v>
          </cell>
          <cell r="M518" t="str">
            <v>Warehouse Associate 24M</v>
          </cell>
          <cell r="N518" t="str">
            <v>pparsin</v>
          </cell>
          <cell r="O518">
            <v>1299</v>
          </cell>
          <cell r="P518" t="str">
            <v>AUH1</v>
          </cell>
          <cell r="Q518" t="str">
            <v>ARE</v>
          </cell>
          <cell r="R518" t="str">
            <v>FC159</v>
          </cell>
          <cell r="S518" t="str">
            <v>Day Shift</v>
          </cell>
          <cell r="T518">
            <v>99</v>
          </cell>
          <cell r="U518" t="str">
            <v>MENA_UAE_FC</v>
          </cell>
          <cell r="V518">
            <v>46257.331250000003</v>
          </cell>
          <cell r="W518">
            <v>46257.753472222219</v>
          </cell>
          <cell r="X518">
            <v>46257.333333333336</v>
          </cell>
          <cell r="Y518">
            <v>46257.75</v>
          </cell>
          <cell r="AA518" t="str">
            <v>Scheduled</v>
          </cell>
          <cell r="AB518" t="str">
            <v>Present</v>
          </cell>
          <cell r="AC518" t="str">
            <v>Inbound</v>
          </cell>
          <cell r="AD518" t="str">
            <v>Inbound Stow</v>
          </cell>
          <cell r="AE518" t="str">
            <v>Stow</v>
          </cell>
          <cell r="AF518" t="str">
            <v>Thursday</v>
          </cell>
          <cell r="AG518" t="str">
            <v>Friday</v>
          </cell>
          <cell r="AH518">
            <v>3</v>
          </cell>
          <cell r="AJ518">
            <v>45580</v>
          </cell>
          <cell r="AM518" t="str">
            <v>TEMP</v>
          </cell>
          <cell r="AN518" t="str">
            <v>3P Onsite Worker</v>
          </cell>
          <cell r="AO518" t="str">
            <v>A</v>
          </cell>
          <cell r="AP518">
            <v>9</v>
          </cell>
          <cell r="AQ518">
            <v>0</v>
          </cell>
          <cell r="AR518">
            <v>1</v>
          </cell>
          <cell r="AS518">
            <v>1</v>
          </cell>
          <cell r="AT518">
            <v>0</v>
          </cell>
          <cell r="AU518">
            <v>0</v>
          </cell>
        </row>
        <row r="519">
          <cell r="D519" t="str">
            <v>kampmesh</v>
          </cell>
          <cell r="E519">
            <v>204011575</v>
          </cell>
          <cell r="F519" t="str">
            <v>A</v>
          </cell>
          <cell r="G519" t="str">
            <v>GREEN</v>
          </cell>
          <cell r="H519" t="str">
            <v>FULL_TIME</v>
          </cell>
          <cell r="I519">
            <v>900234</v>
          </cell>
          <cell r="J519" t="str">
            <v>Dulsco L.L.C.</v>
          </cell>
          <cell r="K519" t="str">
            <v>MESHACH KAMPAME</v>
          </cell>
          <cell r="L519" t="str">
            <v>Warehouse Associate (TEMP)</v>
          </cell>
          <cell r="M519" t="str">
            <v>Warehouse Associate 8W</v>
          </cell>
          <cell r="N519" t="str">
            <v>ansammar</v>
          </cell>
          <cell r="O519">
            <v>1299</v>
          </cell>
          <cell r="P519" t="str">
            <v>AUH1</v>
          </cell>
          <cell r="Q519" t="str">
            <v>ARE</v>
          </cell>
          <cell r="R519" t="str">
            <v>FC084</v>
          </cell>
          <cell r="S519" t="str">
            <v>Day Shift</v>
          </cell>
          <cell r="T519">
            <v>99</v>
          </cell>
          <cell r="U519" t="str">
            <v>MENA_UAE_FC</v>
          </cell>
          <cell r="V519">
            <v>46257.331944444442</v>
          </cell>
          <cell r="W519">
            <v>46257.748611111114</v>
          </cell>
          <cell r="X519">
            <v>46257.333333333336</v>
          </cell>
          <cell r="Y519">
            <v>46257.75</v>
          </cell>
          <cell r="AA519" t="str">
            <v>Scheduled</v>
          </cell>
          <cell r="AB519" t="str">
            <v>Present</v>
          </cell>
          <cell r="AC519" t="str">
            <v>Outbound</v>
          </cell>
          <cell r="AD519" t="str">
            <v>Sort - Batch</v>
          </cell>
          <cell r="AE519" t="str">
            <v>Sort</v>
          </cell>
          <cell r="AF519" t="str">
            <v>Monday</v>
          </cell>
          <cell r="AG519" t="str">
            <v>Tuesday</v>
          </cell>
          <cell r="AH519">
            <v>15</v>
          </cell>
          <cell r="AJ519">
            <v>45550</v>
          </cell>
          <cell r="AM519" t="str">
            <v>TEMP</v>
          </cell>
          <cell r="AN519" t="str">
            <v>3P Onsite Worker</v>
          </cell>
          <cell r="AO519" t="str">
            <v>A</v>
          </cell>
          <cell r="AP519">
            <v>9</v>
          </cell>
          <cell r="AQ519">
            <v>0</v>
          </cell>
          <cell r="AR519">
            <v>1</v>
          </cell>
          <cell r="AS519">
            <v>1</v>
          </cell>
          <cell r="AT519">
            <v>0</v>
          </cell>
          <cell r="AU519">
            <v>0</v>
          </cell>
        </row>
        <row r="520">
          <cell r="D520" t="str">
            <v>kamwadan</v>
          </cell>
          <cell r="E520">
            <v>206953984</v>
          </cell>
          <cell r="F520" t="str">
            <v>A</v>
          </cell>
          <cell r="G520" t="str">
            <v>GREEN</v>
          </cell>
          <cell r="H520" t="str">
            <v>FULL_TIME</v>
          </cell>
          <cell r="I520">
            <v>900234</v>
          </cell>
          <cell r="J520" t="str">
            <v>Dulsco L.L.C.</v>
          </cell>
          <cell r="K520" t="str">
            <v>DANIEL KAMWATHENDO</v>
          </cell>
          <cell r="L520" t="str">
            <v>Warehouse Associate (TEMP)</v>
          </cell>
          <cell r="M520" t="str">
            <v>Warehouse Associate 24M</v>
          </cell>
          <cell r="N520" t="str">
            <v>aanso</v>
          </cell>
          <cell r="O520">
            <v>1299</v>
          </cell>
          <cell r="P520" t="str">
            <v>AUH1</v>
          </cell>
          <cell r="Q520" t="str">
            <v>ARE</v>
          </cell>
          <cell r="R520" t="str">
            <v>FC009</v>
          </cell>
          <cell r="S520" t="str">
            <v>Day Shift</v>
          </cell>
          <cell r="T520">
            <v>99</v>
          </cell>
          <cell r="U520" t="str">
            <v>MENA_UAE_FC</v>
          </cell>
          <cell r="V520">
            <v>46257.331250000003</v>
          </cell>
          <cell r="W520">
            <v>46257.749305555553</v>
          </cell>
          <cell r="X520">
            <v>46257.333333333336</v>
          </cell>
          <cell r="Y520">
            <v>46257.75</v>
          </cell>
          <cell r="AA520" t="str">
            <v>Scheduled</v>
          </cell>
          <cell r="AB520" t="str">
            <v>Present</v>
          </cell>
          <cell r="AC520" t="str">
            <v>Customer returns</v>
          </cell>
          <cell r="AD520" t="str">
            <v>Customer Returns</v>
          </cell>
          <cell r="AE520" t="str">
            <v>Customer returns</v>
          </cell>
          <cell r="AF520" t="str">
            <v>Friday</v>
          </cell>
          <cell r="AG520" t="str">
            <v>Saturday</v>
          </cell>
          <cell r="AH520">
            <v>22</v>
          </cell>
          <cell r="AJ520">
            <v>46047</v>
          </cell>
          <cell r="AM520" t="str">
            <v>TEMP</v>
          </cell>
          <cell r="AN520" t="str">
            <v>3P Onsite Worker</v>
          </cell>
          <cell r="AO520" t="str">
            <v>A</v>
          </cell>
          <cell r="AP520">
            <v>9</v>
          </cell>
          <cell r="AQ520">
            <v>0</v>
          </cell>
          <cell r="AR520">
            <v>1</v>
          </cell>
          <cell r="AS520">
            <v>1</v>
          </cell>
          <cell r="AT520">
            <v>0</v>
          </cell>
          <cell r="AU520">
            <v>0</v>
          </cell>
        </row>
        <row r="521">
          <cell r="D521" t="str">
            <v>kanyesst</v>
          </cell>
          <cell r="E521">
            <v>203908914</v>
          </cell>
          <cell r="F521" t="str">
            <v>A</v>
          </cell>
          <cell r="G521" t="str">
            <v>GREEN</v>
          </cell>
          <cell r="H521" t="str">
            <v>FULL_TIME</v>
          </cell>
          <cell r="I521">
            <v>900234</v>
          </cell>
          <cell r="J521" t="str">
            <v>Dulsco L.L.C.</v>
          </cell>
          <cell r="K521" t="str">
            <v>STEVEN KANYESIGYE</v>
          </cell>
          <cell r="L521" t="str">
            <v>Warehouse Associate (TEMP)</v>
          </cell>
          <cell r="M521" t="str">
            <v>Warehouse Associate 24M</v>
          </cell>
          <cell r="N521" t="str">
            <v>ansammar</v>
          </cell>
          <cell r="O521">
            <v>1299</v>
          </cell>
          <cell r="P521" t="str">
            <v>AUH1</v>
          </cell>
          <cell r="Q521" t="str">
            <v>ARE</v>
          </cell>
          <cell r="R521" t="str">
            <v>LK017</v>
          </cell>
          <cell r="S521" t="str">
            <v>Night Shift</v>
          </cell>
          <cell r="T521">
            <v>99</v>
          </cell>
          <cell r="U521" t="str">
            <v>MENA_UAE_FC</v>
          </cell>
          <cell r="V521">
            <v>46257.75277777778</v>
          </cell>
          <cell r="X521">
            <v>46257.756944444445</v>
          </cell>
          <cell r="Y521">
            <v>46258.173611111109</v>
          </cell>
          <cell r="AA521" t="str">
            <v>Scheduled</v>
          </cell>
          <cell r="AB521" t="str">
            <v>Present</v>
          </cell>
          <cell r="AC521" t="str">
            <v>Outbound</v>
          </cell>
          <cell r="AD521" t="str">
            <v>Picking</v>
          </cell>
          <cell r="AE521" t="str">
            <v>Pick</v>
          </cell>
          <cell r="AF521" t="str">
            <v>Thursday</v>
          </cell>
          <cell r="AG521" t="str">
            <v>Friday</v>
          </cell>
          <cell r="AH521">
            <v>13</v>
          </cell>
          <cell r="AJ521">
            <v>45536</v>
          </cell>
          <cell r="AM521" t="str">
            <v>TEMP</v>
          </cell>
          <cell r="AN521" t="str">
            <v>3P Onsite Worker</v>
          </cell>
          <cell r="AO521" t="str">
            <v>A</v>
          </cell>
          <cell r="AP521">
            <v>9</v>
          </cell>
          <cell r="AQ521">
            <v>0</v>
          </cell>
          <cell r="AR521">
            <v>1</v>
          </cell>
          <cell r="AS521">
            <v>1</v>
          </cell>
          <cell r="AT521">
            <v>0</v>
          </cell>
          <cell r="AU521">
            <v>0</v>
          </cell>
        </row>
        <row r="522">
          <cell r="D522" t="str">
            <v>karerahb</v>
          </cell>
          <cell r="E522">
            <v>206953381</v>
          </cell>
          <cell r="F522" t="str">
            <v>A</v>
          </cell>
          <cell r="G522" t="str">
            <v>GREEN</v>
          </cell>
          <cell r="H522" t="str">
            <v>FULL_TIME</v>
          </cell>
          <cell r="I522">
            <v>900234</v>
          </cell>
          <cell r="J522" t="str">
            <v>EFS Facilities Services</v>
          </cell>
          <cell r="K522" t="str">
            <v>Brenda Wambui Karerah</v>
          </cell>
          <cell r="L522" t="str">
            <v>Warehouse Associate (TEMP)</v>
          </cell>
          <cell r="M522" t="str">
            <v>Warehouse Associate 24M</v>
          </cell>
          <cell r="N522" t="str">
            <v>kebedeed</v>
          </cell>
          <cell r="O522">
            <v>1299</v>
          </cell>
          <cell r="P522" t="str">
            <v>AUH1</v>
          </cell>
          <cell r="Q522" t="str">
            <v>ARE</v>
          </cell>
          <cell r="R522" t="str">
            <v>FC084</v>
          </cell>
          <cell r="S522" t="str">
            <v>Day Shift</v>
          </cell>
          <cell r="T522">
            <v>99</v>
          </cell>
          <cell r="U522" t="str">
            <v>MENA_UAE_FC</v>
          </cell>
          <cell r="V522">
            <v>46257.331944444442</v>
          </cell>
          <cell r="W522">
            <v>46257.748611111114</v>
          </cell>
          <cell r="X522">
            <v>46257.333333333336</v>
          </cell>
          <cell r="Y522">
            <v>46257.75</v>
          </cell>
          <cell r="AA522" t="str">
            <v>Scheduled</v>
          </cell>
          <cell r="AB522" t="str">
            <v>Present</v>
          </cell>
          <cell r="AC522" t="str">
            <v>ICQA</v>
          </cell>
          <cell r="AD522" t="str">
            <v>IC/QA/CS</v>
          </cell>
          <cell r="AE522" t="str">
            <v>Support</v>
          </cell>
          <cell r="AF522" t="str">
            <v>Monday</v>
          </cell>
          <cell r="AG522" t="str">
            <v>Tuesday</v>
          </cell>
          <cell r="AH522">
            <v>27</v>
          </cell>
          <cell r="AJ522">
            <v>46047</v>
          </cell>
          <cell r="AM522" t="str">
            <v>TEMP</v>
          </cell>
          <cell r="AN522" t="str">
            <v>3P Onsite Worker</v>
          </cell>
          <cell r="AO522" t="str">
            <v>A</v>
          </cell>
          <cell r="AP522">
            <v>9</v>
          </cell>
          <cell r="AQ522">
            <v>0</v>
          </cell>
          <cell r="AR522">
            <v>1</v>
          </cell>
          <cell r="AS522">
            <v>1</v>
          </cell>
          <cell r="AT522">
            <v>0</v>
          </cell>
          <cell r="AU522">
            <v>0</v>
          </cell>
        </row>
        <row r="523">
          <cell r="D523" t="str">
            <v>karugaba</v>
          </cell>
          <cell r="E523">
            <v>203469078</v>
          </cell>
          <cell r="F523" t="str">
            <v>A</v>
          </cell>
          <cell r="G523" t="str">
            <v>GREEN</v>
          </cell>
          <cell r="H523" t="str">
            <v>FULL_TIME</v>
          </cell>
          <cell r="I523">
            <v>900234</v>
          </cell>
          <cell r="J523" t="str">
            <v>Fastlink Outsourcing</v>
          </cell>
          <cell r="K523" t="str">
            <v>johnpaul Karugaba</v>
          </cell>
          <cell r="L523" t="str">
            <v>Warehouse Associate (TEMP)</v>
          </cell>
          <cell r="M523" t="str">
            <v>Warehouse Associate 12M</v>
          </cell>
          <cell r="N523" t="str">
            <v>aanso</v>
          </cell>
          <cell r="O523">
            <v>1299</v>
          </cell>
          <cell r="P523" t="str">
            <v>AUH1</v>
          </cell>
          <cell r="Q523" t="str">
            <v>ARE</v>
          </cell>
          <cell r="R523" t="str">
            <v>FC134</v>
          </cell>
          <cell r="S523" t="str">
            <v>Day Shift</v>
          </cell>
          <cell r="T523">
            <v>99</v>
          </cell>
          <cell r="U523" t="str">
            <v>MENA_UAE_FC</v>
          </cell>
          <cell r="V523">
            <v>46257.332638888889</v>
          </cell>
          <cell r="W523">
            <v>46257.748611111114</v>
          </cell>
          <cell r="X523">
            <v>46257.333333333336</v>
          </cell>
          <cell r="Y523">
            <v>46257.75</v>
          </cell>
          <cell r="AA523" t="str">
            <v>Scheduled</v>
          </cell>
          <cell r="AB523" t="str">
            <v>Present</v>
          </cell>
          <cell r="AC523" t="str">
            <v>Customer returns</v>
          </cell>
          <cell r="AD523" t="str">
            <v>Customer Returns</v>
          </cell>
          <cell r="AE523" t="str">
            <v>Customer returns</v>
          </cell>
          <cell r="AF523" t="str">
            <v>Wednesday</v>
          </cell>
          <cell r="AG523" t="str">
            <v>Thursday</v>
          </cell>
          <cell r="AH523">
            <v>22</v>
          </cell>
          <cell r="AJ523">
            <v>45455</v>
          </cell>
          <cell r="AM523" t="str">
            <v>TEMP</v>
          </cell>
          <cell r="AN523" t="str">
            <v>3P Onsite Worker</v>
          </cell>
          <cell r="AO523" t="str">
            <v>A</v>
          </cell>
          <cell r="AP523">
            <v>9</v>
          </cell>
          <cell r="AQ523">
            <v>0</v>
          </cell>
          <cell r="AR523">
            <v>1</v>
          </cell>
          <cell r="AS523">
            <v>1</v>
          </cell>
          <cell r="AT523">
            <v>0</v>
          </cell>
          <cell r="AU523">
            <v>0</v>
          </cell>
        </row>
        <row r="524">
          <cell r="D524" t="str">
            <v>kasasabd</v>
          </cell>
          <cell r="E524">
            <v>206791753</v>
          </cell>
          <cell r="F524" t="str">
            <v>A</v>
          </cell>
          <cell r="G524" t="str">
            <v>GREEN</v>
          </cell>
          <cell r="H524" t="str">
            <v>FULL_TIME</v>
          </cell>
          <cell r="I524">
            <v>900234</v>
          </cell>
          <cell r="J524" t="str">
            <v>Dulsco L.L.C.</v>
          </cell>
          <cell r="K524" t="str">
            <v>KASASA ABDUL</v>
          </cell>
          <cell r="L524" t="str">
            <v>Warehouse Associate (TEMP)</v>
          </cell>
          <cell r="M524" t="str">
            <v>Warehouse Associate 8W</v>
          </cell>
          <cell r="N524" t="str">
            <v>pparsin</v>
          </cell>
          <cell r="O524">
            <v>1299</v>
          </cell>
          <cell r="P524" t="str">
            <v>AUH1</v>
          </cell>
          <cell r="Q524" t="str">
            <v>ARE</v>
          </cell>
          <cell r="R524" t="str">
            <v>LK017</v>
          </cell>
          <cell r="S524" t="str">
            <v>Night Shift</v>
          </cell>
          <cell r="T524">
            <v>99</v>
          </cell>
          <cell r="U524" t="str">
            <v>MENA_UAE_FC</v>
          </cell>
          <cell r="V524">
            <v>46257.753472222219</v>
          </cell>
          <cell r="X524">
            <v>46257.756944444445</v>
          </cell>
          <cell r="Y524">
            <v>46258.173611111109</v>
          </cell>
          <cell r="AA524" t="str">
            <v>Scheduled</v>
          </cell>
          <cell r="AB524" t="str">
            <v>Present</v>
          </cell>
          <cell r="AC524" t="str">
            <v>Inbound</v>
          </cell>
          <cell r="AD524" t="str">
            <v>Receive Dock</v>
          </cell>
          <cell r="AE524" t="str">
            <v>Receive</v>
          </cell>
          <cell r="AF524" t="str">
            <v>Thursday</v>
          </cell>
          <cell r="AG524" t="str">
            <v>Friday</v>
          </cell>
          <cell r="AH524">
            <v>2</v>
          </cell>
          <cell r="AJ524">
            <v>45998</v>
          </cell>
          <cell r="AM524" t="str">
            <v>TEMP</v>
          </cell>
          <cell r="AN524" t="str">
            <v>3P Onsite Worker</v>
          </cell>
          <cell r="AO524" t="str">
            <v>A</v>
          </cell>
          <cell r="AP524">
            <v>9</v>
          </cell>
          <cell r="AQ524">
            <v>0</v>
          </cell>
          <cell r="AR524">
            <v>1</v>
          </cell>
          <cell r="AS524">
            <v>1</v>
          </cell>
          <cell r="AT524">
            <v>0</v>
          </cell>
          <cell r="AU524">
            <v>0</v>
          </cell>
        </row>
        <row r="525">
          <cell r="D525" t="str">
            <v>kasobfra</v>
          </cell>
          <cell r="E525">
            <v>206504141</v>
          </cell>
          <cell r="F525" t="str">
            <v>A</v>
          </cell>
          <cell r="G525" t="str">
            <v>GREEN</v>
          </cell>
          <cell r="H525" t="str">
            <v>FULL_TIME</v>
          </cell>
          <cell r="I525">
            <v>900234</v>
          </cell>
          <cell r="J525" t="str">
            <v>Dulsco L.L.C.</v>
          </cell>
          <cell r="K525" t="str">
            <v>FRANCIS KASOBYA</v>
          </cell>
          <cell r="L525" t="str">
            <v>Warehouse Associate (TEMP)</v>
          </cell>
          <cell r="M525" t="str">
            <v>Warehouse Associate 24M</v>
          </cell>
          <cell r="N525" t="str">
            <v>vkkatyal</v>
          </cell>
          <cell r="O525">
            <v>1299</v>
          </cell>
          <cell r="P525" t="str">
            <v>AUH1</v>
          </cell>
          <cell r="Q525" t="str">
            <v>ARE</v>
          </cell>
          <cell r="R525" t="str">
            <v>FC059</v>
          </cell>
          <cell r="S525" t="str">
            <v>Day Shift</v>
          </cell>
          <cell r="T525">
            <v>99</v>
          </cell>
          <cell r="U525" t="str">
            <v>MENA_UAE_FC</v>
          </cell>
          <cell r="X525">
            <v>46257.333333333336</v>
          </cell>
          <cell r="Y525">
            <v>46257.75</v>
          </cell>
          <cell r="Z525" t="str">
            <v>Rest Day</v>
          </cell>
          <cell r="AA525" t="str">
            <v>Not Scheduled</v>
          </cell>
          <cell r="AB525" t="str">
            <v>Not Present</v>
          </cell>
          <cell r="AC525" t="str">
            <v>Inbound</v>
          </cell>
          <cell r="AD525" t="str">
            <v>Inbound Stow</v>
          </cell>
          <cell r="AE525" t="str">
            <v>Stow</v>
          </cell>
          <cell r="AF525" t="str">
            <v>Sunday</v>
          </cell>
          <cell r="AG525" t="str">
            <v>Monday</v>
          </cell>
          <cell r="AH525">
            <v>3</v>
          </cell>
          <cell r="AJ525">
            <v>45970</v>
          </cell>
          <cell r="AM525" t="str">
            <v>TEMP</v>
          </cell>
          <cell r="AN525" t="str">
            <v>3P Onsite Worker</v>
          </cell>
          <cell r="AO525" t="str">
            <v>A</v>
          </cell>
          <cell r="AP525">
            <v>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</row>
        <row r="526">
          <cell r="D526" t="str">
            <v>katamgjo</v>
          </cell>
          <cell r="E526">
            <v>203850804</v>
          </cell>
          <cell r="F526" t="str">
            <v>A</v>
          </cell>
          <cell r="G526" t="str">
            <v>GREEN</v>
          </cell>
          <cell r="H526" t="str">
            <v>FULL_TIME</v>
          </cell>
          <cell r="I526">
            <v>900234</v>
          </cell>
          <cell r="J526" t="str">
            <v>Dulsco L.L.C.</v>
          </cell>
          <cell r="K526" t="str">
            <v>John Katamba</v>
          </cell>
          <cell r="L526" t="str">
            <v>Warehouse Associate (TEMP)</v>
          </cell>
          <cell r="M526" t="str">
            <v>Warehouse Associate 24M</v>
          </cell>
          <cell r="N526" t="str">
            <v>ansammar</v>
          </cell>
          <cell r="O526">
            <v>1299</v>
          </cell>
          <cell r="P526" t="str">
            <v>AUH1</v>
          </cell>
          <cell r="Q526" t="str">
            <v>ARE</v>
          </cell>
          <cell r="R526" t="str">
            <v>FC159</v>
          </cell>
          <cell r="S526" t="str">
            <v>Day Shift</v>
          </cell>
          <cell r="T526">
            <v>99</v>
          </cell>
          <cell r="U526" t="str">
            <v>MENA_UAE_FC</v>
          </cell>
          <cell r="V526">
            <v>46257.333333333336</v>
          </cell>
          <cell r="W526">
            <v>46257.74722222222</v>
          </cell>
          <cell r="X526">
            <v>46257.333333333336</v>
          </cell>
          <cell r="Y526">
            <v>46257.75</v>
          </cell>
          <cell r="AA526" t="str">
            <v>Scheduled</v>
          </cell>
          <cell r="AB526" t="str">
            <v>Present</v>
          </cell>
          <cell r="AC526" t="str">
            <v>Outbound</v>
          </cell>
          <cell r="AD526" t="str">
            <v>Picking</v>
          </cell>
          <cell r="AE526" t="str">
            <v>Pick</v>
          </cell>
          <cell r="AF526" t="str">
            <v>Thursday</v>
          </cell>
          <cell r="AG526" t="str">
            <v>Friday</v>
          </cell>
          <cell r="AH526">
            <v>13</v>
          </cell>
          <cell r="AJ526">
            <v>45523</v>
          </cell>
          <cell r="AM526" t="str">
            <v>TEMP</v>
          </cell>
          <cell r="AN526" t="str">
            <v>3P Onsite Worker</v>
          </cell>
          <cell r="AO526" t="str">
            <v>A</v>
          </cell>
          <cell r="AP526">
            <v>9</v>
          </cell>
          <cell r="AQ526">
            <v>0</v>
          </cell>
          <cell r="AR526">
            <v>1</v>
          </cell>
          <cell r="AS526">
            <v>1</v>
          </cell>
          <cell r="AT526">
            <v>0</v>
          </cell>
          <cell r="AU526">
            <v>0</v>
          </cell>
        </row>
        <row r="527">
          <cell r="D527" t="str">
            <v>katojavi</v>
          </cell>
          <cell r="E527">
            <v>206791755</v>
          </cell>
          <cell r="F527" t="str">
            <v>A</v>
          </cell>
          <cell r="G527" t="str">
            <v>GREEN</v>
          </cell>
          <cell r="H527" t="str">
            <v>FULL_TIME</v>
          </cell>
          <cell r="I527">
            <v>900234</v>
          </cell>
          <cell r="J527" t="str">
            <v>Dulsco L.L.C.</v>
          </cell>
          <cell r="K527" t="str">
            <v>KATO JAVIIRA</v>
          </cell>
          <cell r="L527" t="str">
            <v>Warehouse Associate (TEMP)</v>
          </cell>
          <cell r="M527" t="str">
            <v>Warehouse Associate 8W</v>
          </cell>
          <cell r="N527" t="str">
            <v>pparsin</v>
          </cell>
          <cell r="O527">
            <v>1299</v>
          </cell>
          <cell r="P527" t="str">
            <v>AUH1</v>
          </cell>
          <cell r="Q527" t="str">
            <v>ARE</v>
          </cell>
          <cell r="R527" t="str">
            <v>LK013</v>
          </cell>
          <cell r="S527" t="str">
            <v>Night Shift</v>
          </cell>
          <cell r="T527">
            <v>99</v>
          </cell>
          <cell r="U527" t="str">
            <v>MENA_UAE_FC</v>
          </cell>
          <cell r="X527">
            <v>46257.756944444445</v>
          </cell>
          <cell r="Y527">
            <v>46258.173611111109</v>
          </cell>
          <cell r="Z527" t="str">
            <v>Rest Day</v>
          </cell>
          <cell r="AA527" t="str">
            <v>Not Scheduled</v>
          </cell>
          <cell r="AB527" t="str">
            <v>Not Present</v>
          </cell>
          <cell r="AC527" t="str">
            <v>Inbound</v>
          </cell>
          <cell r="AD527" t="str">
            <v>Inbound Stow</v>
          </cell>
          <cell r="AE527" t="str">
            <v>Stow</v>
          </cell>
          <cell r="AF527" t="str">
            <v>Sunday</v>
          </cell>
          <cell r="AG527" t="str">
            <v>Monday</v>
          </cell>
          <cell r="AH527">
            <v>3</v>
          </cell>
          <cell r="AJ527">
            <v>45998</v>
          </cell>
          <cell r="AM527" t="str">
            <v>TEMP</v>
          </cell>
          <cell r="AN527" t="str">
            <v>3P Onsite Worker</v>
          </cell>
          <cell r="AO527" t="str">
            <v>A</v>
          </cell>
          <cell r="AP527">
            <v>9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</row>
        <row r="528">
          <cell r="D528" t="str">
            <v>kavumauu</v>
          </cell>
          <cell r="E528">
            <v>206851165</v>
          </cell>
          <cell r="F528" t="str">
            <v>A</v>
          </cell>
          <cell r="G528" t="str">
            <v>GREEN</v>
          </cell>
          <cell r="H528" t="str">
            <v>FULL_TIME</v>
          </cell>
          <cell r="I528">
            <v>900234</v>
          </cell>
          <cell r="J528" t="str">
            <v>Dulsco L.L.C.</v>
          </cell>
          <cell r="K528" t="str">
            <v>UKACHA KAVUMA</v>
          </cell>
          <cell r="L528" t="str">
            <v>Warehouse Associate (TEMP)</v>
          </cell>
          <cell r="M528" t="str">
            <v>Warehouse Associate 8W</v>
          </cell>
          <cell r="N528" t="str">
            <v>ansammar</v>
          </cell>
          <cell r="O528">
            <v>1299</v>
          </cell>
          <cell r="P528" t="str">
            <v>AUH1</v>
          </cell>
          <cell r="Q528" t="str">
            <v>ARE</v>
          </cell>
          <cell r="R528" t="str">
            <v>LK017</v>
          </cell>
          <cell r="S528" t="str">
            <v>Night Shift</v>
          </cell>
          <cell r="T528">
            <v>99</v>
          </cell>
          <cell r="U528" t="str">
            <v>MENA_UAE_FC</v>
          </cell>
          <cell r="V528">
            <v>46257.756249999999</v>
          </cell>
          <cell r="X528">
            <v>46257.756944444445</v>
          </cell>
          <cell r="Y528">
            <v>46258.173611111109</v>
          </cell>
          <cell r="AA528" t="str">
            <v>Scheduled</v>
          </cell>
          <cell r="AB528" t="str">
            <v>Present</v>
          </cell>
          <cell r="AC528" t="str">
            <v>Outbound</v>
          </cell>
          <cell r="AD528" t="str">
            <v>Picking</v>
          </cell>
          <cell r="AE528" t="str">
            <v>Pick</v>
          </cell>
          <cell r="AF528" t="str">
            <v>Thursday</v>
          </cell>
          <cell r="AG528" t="str">
            <v>Friday</v>
          </cell>
          <cell r="AH528">
            <v>13</v>
          </cell>
          <cell r="AJ528">
            <v>46029</v>
          </cell>
          <cell r="AM528" t="str">
            <v>TEMP</v>
          </cell>
          <cell r="AN528" t="str">
            <v>3P Onsite Worker</v>
          </cell>
          <cell r="AO528" t="str">
            <v>A</v>
          </cell>
          <cell r="AP528">
            <v>9</v>
          </cell>
          <cell r="AQ528">
            <v>0</v>
          </cell>
          <cell r="AR528">
            <v>1</v>
          </cell>
          <cell r="AS528">
            <v>1</v>
          </cell>
          <cell r="AT528">
            <v>0</v>
          </cell>
          <cell r="AU528">
            <v>0</v>
          </cell>
        </row>
        <row r="529">
          <cell r="D529" t="str">
            <v>kawenahm</v>
          </cell>
          <cell r="E529">
            <v>203850881</v>
          </cell>
          <cell r="F529" t="str">
            <v>A</v>
          </cell>
          <cell r="G529" t="str">
            <v>GREEN</v>
          </cell>
          <cell r="H529" t="str">
            <v>FULL_TIME</v>
          </cell>
          <cell r="I529">
            <v>900234</v>
          </cell>
          <cell r="J529" t="str">
            <v>Dulsco L.L.C.</v>
          </cell>
          <cell r="K529" t="str">
            <v>Kawenja Ahmed</v>
          </cell>
          <cell r="L529" t="str">
            <v>Warehouse Associate (TEMP)</v>
          </cell>
          <cell r="M529" t="str">
            <v>Warehouse Associate 8W</v>
          </cell>
          <cell r="N529" t="str">
            <v>lraghava</v>
          </cell>
          <cell r="O529">
            <v>1299</v>
          </cell>
          <cell r="P529" t="str">
            <v>AUH1</v>
          </cell>
          <cell r="Q529" t="str">
            <v>ARE</v>
          </cell>
          <cell r="R529" t="str">
            <v>LK011</v>
          </cell>
          <cell r="S529" t="str">
            <v>Night Shift</v>
          </cell>
          <cell r="T529">
            <v>99</v>
          </cell>
          <cell r="U529" t="str">
            <v>MENA_UAE_FC</v>
          </cell>
          <cell r="V529">
            <v>46257.756249999999</v>
          </cell>
          <cell r="X529">
            <v>46257.756944444445</v>
          </cell>
          <cell r="Y529">
            <v>46258.173611111109</v>
          </cell>
          <cell r="AA529" t="str">
            <v>Scheduled</v>
          </cell>
          <cell r="AB529" t="str">
            <v>Present</v>
          </cell>
          <cell r="AC529" t="str">
            <v>Outbound</v>
          </cell>
          <cell r="AD529" t="str">
            <v>Picking</v>
          </cell>
          <cell r="AE529" t="str">
            <v>Pick</v>
          </cell>
          <cell r="AF529" t="str">
            <v>Friday</v>
          </cell>
          <cell r="AG529" t="str">
            <v>Saturday</v>
          </cell>
          <cell r="AH529">
            <v>13</v>
          </cell>
          <cell r="AJ529">
            <v>45523</v>
          </cell>
          <cell r="AM529" t="str">
            <v>TEMP</v>
          </cell>
          <cell r="AN529" t="str">
            <v>3P Onsite Worker</v>
          </cell>
          <cell r="AO529" t="str">
            <v>A</v>
          </cell>
          <cell r="AP529">
            <v>9</v>
          </cell>
          <cell r="AQ529">
            <v>0</v>
          </cell>
          <cell r="AR529">
            <v>1</v>
          </cell>
          <cell r="AS529">
            <v>1</v>
          </cell>
          <cell r="AT529">
            <v>0</v>
          </cell>
          <cell r="AU529">
            <v>0</v>
          </cell>
        </row>
        <row r="530">
          <cell r="D530" t="str">
            <v>kayimose</v>
          </cell>
          <cell r="E530">
            <v>206874057</v>
          </cell>
          <cell r="F530" t="str">
            <v>A</v>
          </cell>
          <cell r="G530" t="str">
            <v>GREEN</v>
          </cell>
          <cell r="H530" t="str">
            <v>FULL_TIME</v>
          </cell>
          <cell r="I530">
            <v>900234</v>
          </cell>
          <cell r="J530" t="str">
            <v>Dulsco L.L.C.</v>
          </cell>
          <cell r="K530" t="str">
            <v>KAYIRA MOSES</v>
          </cell>
          <cell r="L530" t="str">
            <v>Warehouse Associate (TEMP)</v>
          </cell>
          <cell r="M530" t="str">
            <v>Warehouse Associate 8W</v>
          </cell>
          <cell r="N530" t="str">
            <v>vkkatyal</v>
          </cell>
          <cell r="O530">
            <v>1299</v>
          </cell>
          <cell r="P530" t="str">
            <v>AUH1</v>
          </cell>
          <cell r="Q530" t="str">
            <v>ARE</v>
          </cell>
          <cell r="R530" t="str">
            <v>LK016</v>
          </cell>
          <cell r="S530" t="str">
            <v>Night Shift</v>
          </cell>
          <cell r="T530">
            <v>99</v>
          </cell>
          <cell r="U530" t="str">
            <v>MENA_UAE_FC</v>
          </cell>
          <cell r="V530">
            <v>46257.756944444445</v>
          </cell>
          <cell r="X530">
            <v>46257.756944444445</v>
          </cell>
          <cell r="Y530">
            <v>46258.173611111109</v>
          </cell>
          <cell r="AA530" t="str">
            <v>Scheduled</v>
          </cell>
          <cell r="AB530" t="str">
            <v>Present</v>
          </cell>
          <cell r="AC530" t="str">
            <v>Inbound</v>
          </cell>
          <cell r="AD530" t="str">
            <v>Inbound Stow</v>
          </cell>
          <cell r="AE530" t="str">
            <v>Stow</v>
          </cell>
          <cell r="AF530" t="str">
            <v>Wednesday</v>
          </cell>
          <cell r="AG530" t="str">
            <v>Thursday</v>
          </cell>
          <cell r="AH530">
            <v>3</v>
          </cell>
          <cell r="AJ530">
            <v>46019</v>
          </cell>
          <cell r="AM530" t="str">
            <v>TEMP</v>
          </cell>
          <cell r="AN530" t="str">
            <v>3P Onsite Worker</v>
          </cell>
          <cell r="AO530" t="str">
            <v>A</v>
          </cell>
          <cell r="AP530">
            <v>9</v>
          </cell>
          <cell r="AQ530">
            <v>0</v>
          </cell>
          <cell r="AR530">
            <v>1</v>
          </cell>
          <cell r="AS530">
            <v>1</v>
          </cell>
          <cell r="AT530">
            <v>0</v>
          </cell>
          <cell r="AU530">
            <v>0</v>
          </cell>
        </row>
        <row r="531">
          <cell r="D531" t="str">
            <v>kazibwas</v>
          </cell>
          <cell r="E531">
            <v>206874041</v>
          </cell>
          <cell r="F531" t="str">
            <v>A</v>
          </cell>
          <cell r="G531" t="str">
            <v>GREEN</v>
          </cell>
          <cell r="H531" t="str">
            <v>FULL_TIME</v>
          </cell>
          <cell r="I531">
            <v>900234</v>
          </cell>
          <cell r="J531" t="str">
            <v>Dulsco L.L.C.</v>
          </cell>
          <cell r="K531" t="str">
            <v>KAZIBWA SIRAGI</v>
          </cell>
          <cell r="L531" t="str">
            <v>Warehouse Associate (TEMP)</v>
          </cell>
          <cell r="M531" t="str">
            <v>Warehouse Associate 8W</v>
          </cell>
          <cell r="N531" t="str">
            <v>vkkatyal</v>
          </cell>
          <cell r="O531">
            <v>1299</v>
          </cell>
          <cell r="P531" t="str">
            <v>AUH1</v>
          </cell>
          <cell r="Q531" t="str">
            <v>ARE</v>
          </cell>
          <cell r="R531" t="str">
            <v>FC059</v>
          </cell>
          <cell r="S531" t="str">
            <v>Day Shift</v>
          </cell>
          <cell r="T531">
            <v>99</v>
          </cell>
          <cell r="U531" t="str">
            <v>MENA_UAE_FC</v>
          </cell>
          <cell r="X531">
            <v>46257.333333333336</v>
          </cell>
          <cell r="Y531">
            <v>46257.75</v>
          </cell>
          <cell r="Z531" t="str">
            <v>Rest Day</v>
          </cell>
          <cell r="AA531" t="str">
            <v>Not Scheduled</v>
          </cell>
          <cell r="AB531" t="str">
            <v>Not Present</v>
          </cell>
          <cell r="AC531" t="str">
            <v>Inbound</v>
          </cell>
          <cell r="AD531" t="str">
            <v>Inbound Stow</v>
          </cell>
          <cell r="AE531" t="str">
            <v>Stow</v>
          </cell>
          <cell r="AF531" t="str">
            <v>Sunday</v>
          </cell>
          <cell r="AG531" t="str">
            <v>Monday</v>
          </cell>
          <cell r="AH531">
            <v>3</v>
          </cell>
          <cell r="AJ531">
            <v>46019</v>
          </cell>
          <cell r="AM531" t="str">
            <v>TEMP</v>
          </cell>
          <cell r="AN531" t="str">
            <v>3P Onsite Worker</v>
          </cell>
          <cell r="AO531" t="str">
            <v>A</v>
          </cell>
          <cell r="AP531">
            <v>9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</row>
        <row r="532">
          <cell r="D532" t="str">
            <v>keizokre</v>
          </cell>
          <cell r="E532">
            <v>206513285</v>
          </cell>
          <cell r="F532" t="str">
            <v>A</v>
          </cell>
          <cell r="G532" t="str">
            <v>GREEN</v>
          </cell>
          <cell r="H532" t="str">
            <v>FULL_TIME</v>
          </cell>
          <cell r="I532">
            <v>900234</v>
          </cell>
          <cell r="J532" t="str">
            <v>Dulsco L.L.C.</v>
          </cell>
          <cell r="K532" t="str">
            <v>REUBEN KEIZO KISEMBO</v>
          </cell>
          <cell r="L532" t="str">
            <v>Warehouse Associate (TEMP)</v>
          </cell>
          <cell r="M532" t="str">
            <v>Warehouse Associate 8W</v>
          </cell>
          <cell r="N532" t="str">
            <v>nnahla</v>
          </cell>
          <cell r="O532">
            <v>1299</v>
          </cell>
          <cell r="P532" t="str">
            <v>AUH1</v>
          </cell>
          <cell r="Q532" t="str">
            <v>ARE</v>
          </cell>
          <cell r="R532" t="str">
            <v>LK015</v>
          </cell>
          <cell r="S532" t="str">
            <v>Night Shift</v>
          </cell>
          <cell r="T532">
            <v>99</v>
          </cell>
          <cell r="U532" t="str">
            <v>MENA_UAE_FC</v>
          </cell>
          <cell r="V532">
            <v>46257.756944444445</v>
          </cell>
          <cell r="X532">
            <v>46257.756944444445</v>
          </cell>
          <cell r="Y532">
            <v>46258.173611111109</v>
          </cell>
          <cell r="AA532" t="str">
            <v>Scheduled</v>
          </cell>
          <cell r="AB532" t="str">
            <v>Present</v>
          </cell>
          <cell r="AC532" t="str">
            <v>Inbound</v>
          </cell>
          <cell r="AD532" t="str">
            <v>Inbound Stow</v>
          </cell>
          <cell r="AE532" t="str">
            <v>Stow</v>
          </cell>
          <cell r="AF532" t="str">
            <v>Tuesday</v>
          </cell>
          <cell r="AG532" t="str">
            <v>Wednesday</v>
          </cell>
          <cell r="AH532">
            <v>3</v>
          </cell>
          <cell r="AJ532">
            <v>45970</v>
          </cell>
          <cell r="AM532" t="str">
            <v>TEMP</v>
          </cell>
          <cell r="AN532" t="str">
            <v>3P Onsite Worker</v>
          </cell>
          <cell r="AO532" t="str">
            <v>A</v>
          </cell>
          <cell r="AP532">
            <v>9</v>
          </cell>
          <cell r="AQ532">
            <v>0</v>
          </cell>
          <cell r="AR532">
            <v>1</v>
          </cell>
          <cell r="AS532">
            <v>1</v>
          </cell>
          <cell r="AT532">
            <v>0</v>
          </cell>
          <cell r="AU532">
            <v>0</v>
          </cell>
        </row>
        <row r="533">
          <cell r="D533" t="str">
            <v>kellkama</v>
          </cell>
          <cell r="E533">
            <v>206962042</v>
          </cell>
          <cell r="F533" t="str">
            <v>A</v>
          </cell>
          <cell r="G533" t="str">
            <v>GREEN</v>
          </cell>
          <cell r="H533" t="str">
            <v>FULL_TIME</v>
          </cell>
          <cell r="I533">
            <v>900234</v>
          </cell>
          <cell r="J533" t="str">
            <v>EFS Facilities Services</v>
          </cell>
          <cell r="K533" t="str">
            <v>KELLY WAMBUI KAMAU</v>
          </cell>
          <cell r="L533" t="str">
            <v>Warehouse Associate (TEMP)</v>
          </cell>
          <cell r="M533" t="str">
            <v>Warehouse Associate 12M</v>
          </cell>
          <cell r="N533" t="str">
            <v>bavameer</v>
          </cell>
          <cell r="O533">
            <v>1299</v>
          </cell>
          <cell r="P533" t="str">
            <v>AUH1</v>
          </cell>
          <cell r="Q533" t="str">
            <v>ARE</v>
          </cell>
          <cell r="R533" t="str">
            <v>LK014</v>
          </cell>
          <cell r="S533" t="str">
            <v>Night Shift</v>
          </cell>
          <cell r="T533">
            <v>99</v>
          </cell>
          <cell r="U533" t="str">
            <v>MENA_UAE_FC</v>
          </cell>
          <cell r="V533">
            <v>46257.754166666666</v>
          </cell>
          <cell r="X533">
            <v>46257.756944444445</v>
          </cell>
          <cell r="Y533">
            <v>46258.173611111109</v>
          </cell>
          <cell r="AA533" t="str">
            <v>Scheduled</v>
          </cell>
          <cell r="AB533" t="str">
            <v>Present</v>
          </cell>
          <cell r="AC533" t="str">
            <v>Customer returns</v>
          </cell>
          <cell r="AD533" t="str">
            <v>Customer Returns</v>
          </cell>
          <cell r="AE533" t="str">
            <v>Customer returns</v>
          </cell>
          <cell r="AF533" t="str">
            <v>Monday</v>
          </cell>
          <cell r="AG533" t="str">
            <v>Tuesday</v>
          </cell>
          <cell r="AH533">
            <v>22</v>
          </cell>
          <cell r="AJ533">
            <v>46047</v>
          </cell>
          <cell r="AM533" t="str">
            <v>TEMP</v>
          </cell>
          <cell r="AN533" t="str">
            <v>3P Onsite Worker</v>
          </cell>
          <cell r="AO533" t="str">
            <v>A</v>
          </cell>
          <cell r="AP533">
            <v>9</v>
          </cell>
          <cell r="AQ533">
            <v>0</v>
          </cell>
          <cell r="AR533">
            <v>1</v>
          </cell>
          <cell r="AS533">
            <v>1</v>
          </cell>
          <cell r="AT533">
            <v>0</v>
          </cell>
          <cell r="AU533">
            <v>0</v>
          </cell>
        </row>
        <row r="534">
          <cell r="D534" t="str">
            <v>kengachu</v>
          </cell>
          <cell r="E534">
            <v>205257122</v>
          </cell>
          <cell r="F534" t="str">
            <v>A</v>
          </cell>
          <cell r="G534" t="str">
            <v>GREEN</v>
          </cell>
          <cell r="H534" t="str">
            <v>FULL_TIME</v>
          </cell>
          <cell r="I534">
            <v>900234</v>
          </cell>
          <cell r="J534" t="str">
            <v>EFS Facilities Services</v>
          </cell>
          <cell r="K534" t="str">
            <v>Kennedy Maina Gachui</v>
          </cell>
          <cell r="L534" t="str">
            <v>Warehouse Associate (TEMP)</v>
          </cell>
          <cell r="M534" t="str">
            <v>Warehouse Associate 8W</v>
          </cell>
          <cell r="N534" t="str">
            <v>lraghava</v>
          </cell>
          <cell r="O534">
            <v>1299</v>
          </cell>
          <cell r="P534" t="str">
            <v>AUH1</v>
          </cell>
          <cell r="Q534" t="str">
            <v>ARE</v>
          </cell>
          <cell r="R534" t="str">
            <v>FC034</v>
          </cell>
          <cell r="S534" t="str">
            <v>Day Shift</v>
          </cell>
          <cell r="T534">
            <v>99</v>
          </cell>
          <cell r="U534" t="str">
            <v>MENA_UAE_FC</v>
          </cell>
          <cell r="X534">
            <v>46257.333333333336</v>
          </cell>
          <cell r="Y534">
            <v>46257.75</v>
          </cell>
          <cell r="Z534" t="str">
            <v>Rest Day</v>
          </cell>
          <cell r="AA534" t="str">
            <v>Not Scheduled</v>
          </cell>
          <cell r="AB534" t="str">
            <v>Not Present</v>
          </cell>
          <cell r="AC534" t="str">
            <v>Outbound</v>
          </cell>
          <cell r="AD534" t="str">
            <v>Picking</v>
          </cell>
          <cell r="AE534" t="str">
            <v>Pick</v>
          </cell>
          <cell r="AF534" t="str">
            <v>Saturday</v>
          </cell>
          <cell r="AG534" t="str">
            <v>Sunday</v>
          </cell>
          <cell r="AH534">
            <v>13</v>
          </cell>
          <cell r="AJ534">
            <v>45788</v>
          </cell>
          <cell r="AM534" t="str">
            <v>TEMP</v>
          </cell>
          <cell r="AN534" t="str">
            <v>3P Onsite Worker</v>
          </cell>
          <cell r="AO534" t="str">
            <v>A</v>
          </cell>
          <cell r="AP534">
            <v>9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</row>
        <row r="535">
          <cell r="D535" t="str">
            <v>kennenav</v>
          </cell>
          <cell r="E535">
            <v>203850880</v>
          </cell>
          <cell r="F535" t="str">
            <v>A</v>
          </cell>
          <cell r="G535" t="str">
            <v>GREEN</v>
          </cell>
          <cell r="H535" t="str">
            <v>FULL_TIME</v>
          </cell>
          <cell r="I535">
            <v>900234</v>
          </cell>
          <cell r="J535" t="str">
            <v>Dulsco L.L.C.</v>
          </cell>
          <cell r="K535" t="str">
            <v>Kenneth Nayebare</v>
          </cell>
          <cell r="L535" t="str">
            <v>Warehouse Associate (TEMP)</v>
          </cell>
          <cell r="M535" t="str">
            <v>Warehouse Associate 24M</v>
          </cell>
          <cell r="N535" t="str">
            <v>mnarshad</v>
          </cell>
          <cell r="O535">
            <v>1299</v>
          </cell>
          <cell r="P535" t="str">
            <v>AUH1</v>
          </cell>
          <cell r="Q535" t="str">
            <v>ARE</v>
          </cell>
          <cell r="R535" t="str">
            <v>FC084</v>
          </cell>
          <cell r="S535" t="str">
            <v>Day Shift</v>
          </cell>
          <cell r="T535">
            <v>99</v>
          </cell>
          <cell r="U535" t="str">
            <v>MENA_UAE_FC</v>
          </cell>
          <cell r="V535">
            <v>46257.332638888889</v>
          </cell>
          <cell r="W535">
            <v>46257.748611111114</v>
          </cell>
          <cell r="X535">
            <v>46257.333333333336</v>
          </cell>
          <cell r="Y535">
            <v>46257.75</v>
          </cell>
          <cell r="AA535" t="str">
            <v>Scheduled</v>
          </cell>
          <cell r="AB535" t="str">
            <v>Present</v>
          </cell>
          <cell r="AC535" t="str">
            <v>Outbound</v>
          </cell>
          <cell r="AD535" t="str">
            <v>Picking</v>
          </cell>
          <cell r="AE535" t="str">
            <v>Pick</v>
          </cell>
          <cell r="AF535" t="str">
            <v>Monday</v>
          </cell>
          <cell r="AG535" t="str">
            <v>Tuesday</v>
          </cell>
          <cell r="AH535">
            <v>13</v>
          </cell>
          <cell r="AJ535">
            <v>45523</v>
          </cell>
          <cell r="AM535" t="str">
            <v>TEMP</v>
          </cell>
          <cell r="AN535" t="str">
            <v>3P Onsite Worker</v>
          </cell>
          <cell r="AO535" t="str">
            <v>A</v>
          </cell>
          <cell r="AP535">
            <v>9</v>
          </cell>
          <cell r="AQ535">
            <v>0</v>
          </cell>
          <cell r="AR535">
            <v>1</v>
          </cell>
          <cell r="AS535">
            <v>1</v>
          </cell>
          <cell r="AT535">
            <v>0</v>
          </cell>
          <cell r="AU535">
            <v>0</v>
          </cell>
        </row>
        <row r="536">
          <cell r="D536" t="str">
            <v>kerneose</v>
          </cell>
          <cell r="E536">
            <v>206239769</v>
          </cell>
          <cell r="F536" t="str">
            <v>A</v>
          </cell>
          <cell r="G536" t="str">
            <v>GREEN</v>
          </cell>
          <cell r="H536" t="str">
            <v>FULL_TIME</v>
          </cell>
          <cell r="I536">
            <v>900234</v>
          </cell>
          <cell r="J536" t="str">
            <v>Dulsco L.L.C.</v>
          </cell>
          <cell r="K536" t="str">
            <v>OSEI ERNEST</v>
          </cell>
          <cell r="L536" t="str">
            <v>Warehouse Associate (TEMP)</v>
          </cell>
          <cell r="M536" t="str">
            <v>Warehouse Associate 24M</v>
          </cell>
          <cell r="N536" t="str">
            <v>ansammar</v>
          </cell>
          <cell r="O536">
            <v>1299</v>
          </cell>
          <cell r="P536" t="str">
            <v>AUH1</v>
          </cell>
          <cell r="Q536" t="str">
            <v>ARE</v>
          </cell>
          <cell r="R536" t="str">
            <v>FC034</v>
          </cell>
          <cell r="S536" t="str">
            <v>Day Shift</v>
          </cell>
          <cell r="T536">
            <v>99</v>
          </cell>
          <cell r="U536" t="str">
            <v>MENA_UAE_FC</v>
          </cell>
          <cell r="X536">
            <v>46257.333333333336</v>
          </cell>
          <cell r="Y536">
            <v>46257.75</v>
          </cell>
          <cell r="Z536" t="str">
            <v>Rest Day</v>
          </cell>
          <cell r="AA536" t="str">
            <v>Not Scheduled</v>
          </cell>
          <cell r="AB536" t="str">
            <v>Not Present</v>
          </cell>
          <cell r="AC536" t="str">
            <v>ICQA</v>
          </cell>
          <cell r="AD536" t="str">
            <v>IC/QA/CS</v>
          </cell>
          <cell r="AE536" t="str">
            <v>Support</v>
          </cell>
          <cell r="AF536" t="str">
            <v>Saturday</v>
          </cell>
          <cell r="AG536" t="str">
            <v>Sunday</v>
          </cell>
          <cell r="AH536">
            <v>27</v>
          </cell>
          <cell r="AJ536">
            <v>45942</v>
          </cell>
          <cell r="AM536" t="str">
            <v>TEMP</v>
          </cell>
          <cell r="AN536" t="str">
            <v>3P Onsite Worker</v>
          </cell>
          <cell r="AO536" t="str">
            <v>A</v>
          </cell>
          <cell r="AP536">
            <v>9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</row>
        <row r="537">
          <cell r="D537" t="str">
            <v>kevndung</v>
          </cell>
          <cell r="E537">
            <v>206137340</v>
          </cell>
          <cell r="F537" t="str">
            <v>A</v>
          </cell>
          <cell r="G537" t="str">
            <v>GREEN</v>
          </cell>
          <cell r="H537" t="str">
            <v>FULL_TIME</v>
          </cell>
          <cell r="I537">
            <v>900234</v>
          </cell>
          <cell r="J537" t="str">
            <v>Fastlink Outsourcing</v>
          </cell>
          <cell r="K537" t="str">
            <v>Kevin Ndungu Kosgei</v>
          </cell>
          <cell r="L537" t="str">
            <v>Warehouse Associate (TEMP)</v>
          </cell>
          <cell r="M537" t="str">
            <v>Warehouse Associate 12M</v>
          </cell>
          <cell r="N537" t="str">
            <v>bizthoma</v>
          </cell>
          <cell r="O537">
            <v>1299</v>
          </cell>
          <cell r="P537" t="str">
            <v>AUH1</v>
          </cell>
          <cell r="Q537" t="str">
            <v>ARE</v>
          </cell>
          <cell r="R537" t="str">
            <v>LK014</v>
          </cell>
          <cell r="S537" t="str">
            <v>Night Shift</v>
          </cell>
          <cell r="T537">
            <v>99</v>
          </cell>
          <cell r="U537" t="str">
            <v>MENA_UAE_FC</v>
          </cell>
          <cell r="V537">
            <v>46257.754861111112</v>
          </cell>
          <cell r="X537">
            <v>46257.756944444445</v>
          </cell>
          <cell r="Y537">
            <v>46258.173611111109</v>
          </cell>
          <cell r="AA537" t="str">
            <v>Scheduled</v>
          </cell>
          <cell r="AB537" t="str">
            <v>Present</v>
          </cell>
          <cell r="AC537" t="str">
            <v>Outbound</v>
          </cell>
          <cell r="AD537" t="str">
            <v>Picking</v>
          </cell>
          <cell r="AE537" t="str">
            <v>Pick</v>
          </cell>
          <cell r="AF537" t="str">
            <v>Monday</v>
          </cell>
          <cell r="AG537" t="str">
            <v>Tuesday</v>
          </cell>
          <cell r="AH537">
            <v>13</v>
          </cell>
          <cell r="AJ537">
            <v>45928</v>
          </cell>
          <cell r="AM537" t="str">
            <v>TEMP</v>
          </cell>
          <cell r="AN537" t="str">
            <v>3P Onsite Worker</v>
          </cell>
          <cell r="AO537" t="str">
            <v>A</v>
          </cell>
          <cell r="AP537">
            <v>9</v>
          </cell>
          <cell r="AQ537">
            <v>0</v>
          </cell>
          <cell r="AR537">
            <v>1</v>
          </cell>
          <cell r="AS537">
            <v>1</v>
          </cell>
          <cell r="AT537">
            <v>0</v>
          </cell>
          <cell r="AU537">
            <v>0</v>
          </cell>
        </row>
        <row r="538">
          <cell r="D538" t="str">
            <v>khaliuus</v>
          </cell>
          <cell r="E538">
            <v>112911448</v>
          </cell>
          <cell r="F538" t="str">
            <v>A</v>
          </cell>
          <cell r="G538" t="str">
            <v>BLUE</v>
          </cell>
          <cell r="H538" t="str">
            <v>FULL_TIME</v>
          </cell>
          <cell r="I538" t="str">
            <v>P03231</v>
          </cell>
          <cell r="K538" t="str">
            <v>Usman Khalid</v>
          </cell>
          <cell r="L538" t="str">
            <v>FC Associate III</v>
          </cell>
          <cell r="M538" t="str">
            <v>Operations Supervisor</v>
          </cell>
          <cell r="N538" t="str">
            <v>pparsin</v>
          </cell>
          <cell r="O538">
            <v>1299</v>
          </cell>
          <cell r="P538" t="str">
            <v>AUH1</v>
          </cell>
          <cell r="Q538" t="str">
            <v>ARE</v>
          </cell>
          <cell r="R538" t="str">
            <v>FC059</v>
          </cell>
          <cell r="S538" t="str">
            <v>Day Shift</v>
          </cell>
          <cell r="T538">
            <v>3</v>
          </cell>
          <cell r="U538" t="str">
            <v>MENA_UAE_FC</v>
          </cell>
          <cell r="X538">
            <v>46257.333333333336</v>
          </cell>
          <cell r="Y538">
            <v>46257.75</v>
          </cell>
          <cell r="Z538" t="str">
            <v>Rest Day</v>
          </cell>
          <cell r="AA538" t="str">
            <v>Not Scheduled</v>
          </cell>
          <cell r="AB538" t="str">
            <v>Not Present</v>
          </cell>
          <cell r="AC538" t="str">
            <v>Inbound</v>
          </cell>
          <cell r="AD538" t="str">
            <v>IB Lead/PA</v>
          </cell>
          <cell r="AE538" t="str">
            <v>Receive</v>
          </cell>
          <cell r="AF538" t="str">
            <v>Sunday</v>
          </cell>
          <cell r="AG538" t="str">
            <v>Monday</v>
          </cell>
          <cell r="AH538">
            <v>5</v>
          </cell>
          <cell r="AJ538">
            <v>46012</v>
          </cell>
          <cell r="AM538" t="str">
            <v>FC</v>
          </cell>
          <cell r="AN538" t="str">
            <v>Regular Full Time</v>
          </cell>
          <cell r="AO538" t="str">
            <v>A</v>
          </cell>
          <cell r="AP538">
            <v>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</row>
        <row r="539">
          <cell r="D539" t="str">
            <v>khaztanv</v>
          </cell>
          <cell r="E539">
            <v>203341958</v>
          </cell>
          <cell r="F539" t="str">
            <v>A</v>
          </cell>
          <cell r="G539" t="str">
            <v>GREEN</v>
          </cell>
          <cell r="H539" t="str">
            <v>FULL_TIME</v>
          </cell>
          <cell r="I539">
            <v>900234</v>
          </cell>
          <cell r="J539" t="str">
            <v>Adecco</v>
          </cell>
          <cell r="K539" t="str">
            <v>TANVEER KHAN</v>
          </cell>
          <cell r="L539" t="str">
            <v>Warehouse Associate (TEMP)</v>
          </cell>
          <cell r="M539" t="str">
            <v>Warehouse Associate 24M</v>
          </cell>
          <cell r="N539" t="str">
            <v>scariav</v>
          </cell>
          <cell r="O539">
            <v>1299</v>
          </cell>
          <cell r="P539" t="str">
            <v>AUH1</v>
          </cell>
          <cell r="Q539" t="str">
            <v>ARE</v>
          </cell>
          <cell r="R539" t="str">
            <v>FC009</v>
          </cell>
          <cell r="S539" t="str">
            <v>Day Shift</v>
          </cell>
          <cell r="T539">
            <v>99</v>
          </cell>
          <cell r="U539" t="str">
            <v>MENA_UAE_FC</v>
          </cell>
          <cell r="V539">
            <v>46257.322916666664</v>
          </cell>
          <cell r="W539">
            <v>46257.749305555553</v>
          </cell>
          <cell r="X539">
            <v>46257.333333333336</v>
          </cell>
          <cell r="Y539">
            <v>46257.75</v>
          </cell>
          <cell r="AA539" t="str">
            <v>Scheduled</v>
          </cell>
          <cell r="AB539" t="str">
            <v>Present</v>
          </cell>
          <cell r="AC539" t="str">
            <v>Outbound</v>
          </cell>
          <cell r="AD539" t="str">
            <v>Sort - Batch</v>
          </cell>
          <cell r="AE539" t="str">
            <v>Sort</v>
          </cell>
          <cell r="AF539" t="str">
            <v>Friday</v>
          </cell>
          <cell r="AG539" t="str">
            <v>Saturday</v>
          </cell>
          <cell r="AH539">
            <v>15</v>
          </cell>
          <cell r="AJ539">
            <v>45431</v>
          </cell>
          <cell r="AM539" t="str">
            <v>TEMP</v>
          </cell>
          <cell r="AN539" t="str">
            <v>3P Onsite Worker</v>
          </cell>
          <cell r="AO539" t="str">
            <v>A</v>
          </cell>
          <cell r="AP539">
            <v>9</v>
          </cell>
          <cell r="AQ539">
            <v>0</v>
          </cell>
          <cell r="AR539">
            <v>1</v>
          </cell>
          <cell r="AS539">
            <v>1</v>
          </cell>
          <cell r="AT539">
            <v>0</v>
          </cell>
          <cell r="AU539">
            <v>0</v>
          </cell>
        </row>
        <row r="540">
          <cell r="D540" t="str">
            <v>kialicew</v>
          </cell>
          <cell r="E540">
            <v>206958448</v>
          </cell>
          <cell r="F540" t="str">
            <v>A</v>
          </cell>
          <cell r="G540" t="str">
            <v>GREEN</v>
          </cell>
          <cell r="H540" t="str">
            <v>FULL_TIME</v>
          </cell>
          <cell r="I540">
            <v>900234</v>
          </cell>
          <cell r="J540" t="str">
            <v>EFS Facilities Services</v>
          </cell>
          <cell r="K540" t="str">
            <v>Alice Wanjiru Kinyanjui</v>
          </cell>
          <cell r="L540" t="str">
            <v>Warehouse Associate (TEMP)</v>
          </cell>
          <cell r="M540" t="str">
            <v>Warehouse Associate 8W</v>
          </cell>
          <cell r="N540" t="str">
            <v>pparsin</v>
          </cell>
          <cell r="O540">
            <v>1299</v>
          </cell>
          <cell r="P540" t="str">
            <v>AUH1</v>
          </cell>
          <cell r="Q540" t="str">
            <v>ARE</v>
          </cell>
          <cell r="R540" t="str">
            <v>LK013</v>
          </cell>
          <cell r="S540" t="str">
            <v>Night Shift</v>
          </cell>
          <cell r="T540">
            <v>99</v>
          </cell>
          <cell r="U540" t="str">
            <v>MENA_UAE_FC</v>
          </cell>
          <cell r="X540">
            <v>46257.756944444445</v>
          </cell>
          <cell r="Y540">
            <v>46258.173611111109</v>
          </cell>
          <cell r="Z540" t="str">
            <v>Rest Day</v>
          </cell>
          <cell r="AA540" t="str">
            <v>Not Scheduled</v>
          </cell>
          <cell r="AB540" t="str">
            <v>Not Present</v>
          </cell>
          <cell r="AC540" t="str">
            <v>Inbound</v>
          </cell>
          <cell r="AD540" t="str">
            <v>Inbound Stow</v>
          </cell>
          <cell r="AE540" t="str">
            <v>Stow</v>
          </cell>
          <cell r="AF540" t="str">
            <v>Sunday</v>
          </cell>
          <cell r="AG540" t="str">
            <v>Monday</v>
          </cell>
          <cell r="AH540">
            <v>3</v>
          </cell>
          <cell r="AJ540">
            <v>46047</v>
          </cell>
          <cell r="AM540" t="str">
            <v>TEMP</v>
          </cell>
          <cell r="AN540" t="str">
            <v>3P Onsite Worker</v>
          </cell>
          <cell r="AO540" t="str">
            <v>A</v>
          </cell>
          <cell r="AP540">
            <v>9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</row>
        <row r="541">
          <cell r="D541" t="str">
            <v>kibenanc</v>
          </cell>
          <cell r="E541">
            <v>205853572</v>
          </cell>
          <cell r="F541" t="str">
            <v>A</v>
          </cell>
          <cell r="G541" t="str">
            <v>GREEN</v>
          </cell>
          <cell r="H541" t="str">
            <v>REDUCED</v>
          </cell>
          <cell r="I541">
            <v>900234</v>
          </cell>
          <cell r="J541" t="str">
            <v>EFS Facilities Services</v>
          </cell>
          <cell r="K541" t="str">
            <v>NANCY JEPTOO KIBET</v>
          </cell>
          <cell r="L541" t="str">
            <v>Warehouse Associate (TEMP)</v>
          </cell>
          <cell r="M541" t="str">
            <v>Warehouse Associate 8W</v>
          </cell>
          <cell r="N541" t="str">
            <v>ansammar</v>
          </cell>
          <cell r="O541">
            <v>1299</v>
          </cell>
          <cell r="P541" t="str">
            <v>AUH1</v>
          </cell>
          <cell r="Q541" t="str">
            <v>ARE</v>
          </cell>
          <cell r="R541" t="str">
            <v>FC557</v>
          </cell>
          <cell r="S541" t="str">
            <v>Night Shift</v>
          </cell>
          <cell r="T541">
            <v>99</v>
          </cell>
          <cell r="U541" t="str">
            <v>MENA_UAE_FC</v>
          </cell>
          <cell r="V541">
            <v>46257.756944444445</v>
          </cell>
          <cell r="X541">
            <v>46257.756944444445</v>
          </cell>
          <cell r="Y541">
            <v>46258.090277777781</v>
          </cell>
          <cell r="AA541" t="str">
            <v>Scheduled</v>
          </cell>
          <cell r="AB541" t="str">
            <v>Present</v>
          </cell>
          <cell r="AC541" t="str">
            <v>Outbound</v>
          </cell>
          <cell r="AD541" t="str">
            <v>Picking</v>
          </cell>
          <cell r="AE541" t="str">
            <v>Pick</v>
          </cell>
          <cell r="AF541" t="str">
            <v>Wednesday</v>
          </cell>
          <cell r="AG541" t="str">
            <v>Thursday</v>
          </cell>
          <cell r="AH541">
            <v>13</v>
          </cell>
          <cell r="AJ541">
            <v>46246</v>
          </cell>
          <cell r="AM541" t="str">
            <v>TEMP</v>
          </cell>
          <cell r="AN541" t="str">
            <v>3P Onsite Worker</v>
          </cell>
          <cell r="AO541" t="str">
            <v>A</v>
          </cell>
          <cell r="AP541">
            <v>7</v>
          </cell>
          <cell r="AQ541">
            <v>0</v>
          </cell>
          <cell r="AR541">
            <v>1</v>
          </cell>
          <cell r="AS541">
            <v>1</v>
          </cell>
          <cell r="AT541">
            <v>0</v>
          </cell>
          <cell r="AU541">
            <v>0</v>
          </cell>
        </row>
        <row r="542">
          <cell r="D542" t="str">
            <v>kibevely</v>
          </cell>
          <cell r="E542">
            <v>206930331</v>
          </cell>
          <cell r="F542" t="str">
            <v>A</v>
          </cell>
          <cell r="G542" t="str">
            <v>GREEN</v>
          </cell>
          <cell r="H542" t="str">
            <v>FULL_TIME</v>
          </cell>
          <cell r="I542">
            <v>900234</v>
          </cell>
          <cell r="J542" t="str">
            <v>EFS Facilities Services</v>
          </cell>
          <cell r="K542" t="str">
            <v>EVELYN KIBAGE</v>
          </cell>
          <cell r="L542" t="str">
            <v>Warehouse Associate (TEMP)</v>
          </cell>
          <cell r="M542" t="str">
            <v>Warehouse Associate 8W</v>
          </cell>
          <cell r="N542" t="str">
            <v>mnarshad</v>
          </cell>
          <cell r="O542">
            <v>1299</v>
          </cell>
          <cell r="P542" t="str">
            <v>AUH1</v>
          </cell>
          <cell r="Q542" t="str">
            <v>ARE</v>
          </cell>
          <cell r="R542" t="str">
            <v>FC554</v>
          </cell>
          <cell r="S542" t="str">
            <v>Night Shift</v>
          </cell>
          <cell r="T542">
            <v>99</v>
          </cell>
          <cell r="U542" t="str">
            <v>MENA_UAE_FC</v>
          </cell>
          <cell r="X542">
            <v>46257.756944444445</v>
          </cell>
          <cell r="Y542">
            <v>46258.090277777781</v>
          </cell>
          <cell r="Z542" t="str">
            <v>Rest Day</v>
          </cell>
          <cell r="AA542" t="str">
            <v>Not Scheduled</v>
          </cell>
          <cell r="AB542" t="str">
            <v>Not Present</v>
          </cell>
          <cell r="AC542" t="str">
            <v>Outbound</v>
          </cell>
          <cell r="AD542" t="str">
            <v>Picking</v>
          </cell>
          <cell r="AE542" t="str">
            <v>Pick</v>
          </cell>
          <cell r="AF542" t="str">
            <v>Sunday</v>
          </cell>
          <cell r="AG542" t="str">
            <v>Monday</v>
          </cell>
          <cell r="AH542">
            <v>13</v>
          </cell>
          <cell r="AJ542">
            <v>46237</v>
          </cell>
          <cell r="AM542" t="str">
            <v>TEMP</v>
          </cell>
          <cell r="AN542" t="str">
            <v>3P Onsite Worker</v>
          </cell>
          <cell r="AO542" t="str">
            <v>A</v>
          </cell>
          <cell r="AP542">
            <v>7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</row>
        <row r="543">
          <cell r="D543" t="str">
            <v>kibgasto</v>
          </cell>
          <cell r="E543">
            <v>204070590</v>
          </cell>
          <cell r="F543" t="str">
            <v>A</v>
          </cell>
          <cell r="G543" t="str">
            <v>GREEN</v>
          </cell>
          <cell r="H543" t="str">
            <v>FULL_TIME</v>
          </cell>
          <cell r="I543">
            <v>900234</v>
          </cell>
          <cell r="J543" t="str">
            <v>Dulsco L.L.C.</v>
          </cell>
          <cell r="K543" t="str">
            <v>GASTON KIBUGA</v>
          </cell>
          <cell r="L543" t="str">
            <v>Warehouse Associate (TEMP)</v>
          </cell>
          <cell r="M543" t="str">
            <v>Warehouse Associate 24M</v>
          </cell>
          <cell r="N543" t="str">
            <v>ansammar</v>
          </cell>
          <cell r="O543">
            <v>1299</v>
          </cell>
          <cell r="P543" t="str">
            <v>AUH1</v>
          </cell>
          <cell r="Q543" t="str">
            <v>ARE</v>
          </cell>
          <cell r="R543" t="str">
            <v>FC034</v>
          </cell>
          <cell r="S543" t="str">
            <v>Day Shift</v>
          </cell>
          <cell r="T543">
            <v>99</v>
          </cell>
          <cell r="U543" t="str">
            <v>MENA_UAE_FC</v>
          </cell>
          <cell r="X543">
            <v>46257.333333333336</v>
          </cell>
          <cell r="Y543">
            <v>46257.75</v>
          </cell>
          <cell r="Z543" t="str">
            <v>Rest Day</v>
          </cell>
          <cell r="AA543" t="str">
            <v>Not Scheduled</v>
          </cell>
          <cell r="AB543" t="str">
            <v>Not Present</v>
          </cell>
          <cell r="AC543" t="str">
            <v>Outbound</v>
          </cell>
          <cell r="AD543" t="str">
            <v>Picking</v>
          </cell>
          <cell r="AE543" t="str">
            <v>Pick</v>
          </cell>
          <cell r="AF543" t="str">
            <v>Saturday</v>
          </cell>
          <cell r="AG543" t="str">
            <v>Sunday</v>
          </cell>
          <cell r="AH543">
            <v>13</v>
          </cell>
          <cell r="AJ543">
            <v>45557</v>
          </cell>
          <cell r="AM543" t="str">
            <v>TEMP</v>
          </cell>
          <cell r="AN543" t="str">
            <v>3P Onsite Worker</v>
          </cell>
          <cell r="AO543" t="str">
            <v>A</v>
          </cell>
          <cell r="AP543">
            <v>9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</row>
        <row r="544">
          <cell r="D544" t="str">
            <v>kibkenet</v>
          </cell>
          <cell r="E544">
            <v>204228019</v>
          </cell>
          <cell r="F544" t="str">
            <v>A</v>
          </cell>
          <cell r="G544" t="str">
            <v>GREEN</v>
          </cell>
          <cell r="H544" t="str">
            <v>FULL_TIME</v>
          </cell>
          <cell r="I544">
            <v>900234</v>
          </cell>
          <cell r="J544" t="str">
            <v>Dulsco L.L.C.</v>
          </cell>
          <cell r="K544" t="str">
            <v>KENETH KIBIRIGE</v>
          </cell>
          <cell r="L544" t="str">
            <v>Warehouse Associate (TEMP)</v>
          </cell>
          <cell r="M544" t="str">
            <v>Warehouse Associate 24M</v>
          </cell>
          <cell r="N544" t="str">
            <v>lraghava</v>
          </cell>
          <cell r="O544">
            <v>1299</v>
          </cell>
          <cell r="P544" t="str">
            <v>AUH1</v>
          </cell>
          <cell r="Q544" t="str">
            <v>ARE</v>
          </cell>
          <cell r="R544" t="str">
            <v>LK017</v>
          </cell>
          <cell r="S544" t="str">
            <v>Night Shift</v>
          </cell>
          <cell r="T544">
            <v>99</v>
          </cell>
          <cell r="U544" t="str">
            <v>MENA_UAE_FC</v>
          </cell>
          <cell r="V544">
            <v>46257.333333333336</v>
          </cell>
          <cell r="W544">
            <v>46257.75</v>
          </cell>
          <cell r="X544">
            <v>46257.333333333336</v>
          </cell>
          <cell r="Y544">
            <v>46257.75</v>
          </cell>
          <cell r="AA544" t="str">
            <v>Scheduled</v>
          </cell>
          <cell r="AB544" t="str">
            <v>Present</v>
          </cell>
          <cell r="AC544" t="str">
            <v>Outbound</v>
          </cell>
          <cell r="AD544" t="str">
            <v>Picking</v>
          </cell>
          <cell r="AE544" t="str">
            <v>Pick</v>
          </cell>
          <cell r="AF544" t="str">
            <v>Thursday</v>
          </cell>
          <cell r="AG544" t="str">
            <v>Friday</v>
          </cell>
          <cell r="AH544">
            <v>13</v>
          </cell>
          <cell r="AJ544">
            <v>45683</v>
          </cell>
          <cell r="AM544" t="str">
            <v>TEMP</v>
          </cell>
          <cell r="AN544" t="str">
            <v>3P Onsite Worker</v>
          </cell>
          <cell r="AO544" t="str">
            <v>A</v>
          </cell>
          <cell r="AP544">
            <v>9</v>
          </cell>
          <cell r="AQ544">
            <v>0</v>
          </cell>
          <cell r="AR544">
            <v>1</v>
          </cell>
          <cell r="AS544">
            <v>1</v>
          </cell>
          <cell r="AT544">
            <v>0</v>
          </cell>
          <cell r="AU544">
            <v>0</v>
          </cell>
        </row>
        <row r="545">
          <cell r="D545" t="str">
            <v>kigsamso</v>
          </cell>
          <cell r="E545">
            <v>203800479</v>
          </cell>
          <cell r="F545" t="str">
            <v>A</v>
          </cell>
          <cell r="G545" t="str">
            <v>GREEN</v>
          </cell>
          <cell r="H545" t="str">
            <v>FULL_TIME</v>
          </cell>
          <cell r="I545">
            <v>900234</v>
          </cell>
          <cell r="J545" t="str">
            <v>Dulsco L.L.C.</v>
          </cell>
          <cell r="K545" t="str">
            <v>SAMSON KIGULI</v>
          </cell>
          <cell r="L545" t="str">
            <v>Warehouse Associate (TEMP)</v>
          </cell>
          <cell r="M545" t="str">
            <v>Warehouse Associate 24M</v>
          </cell>
          <cell r="N545" t="str">
            <v>mnarshad</v>
          </cell>
          <cell r="O545">
            <v>1299</v>
          </cell>
          <cell r="P545" t="str">
            <v>AUH1</v>
          </cell>
          <cell r="Q545" t="str">
            <v>ARE</v>
          </cell>
          <cell r="R545" t="str">
            <v>FC034</v>
          </cell>
          <cell r="S545" t="str">
            <v>Day Shift</v>
          </cell>
          <cell r="T545">
            <v>99</v>
          </cell>
          <cell r="U545" t="str">
            <v>MENA_UAE_FC</v>
          </cell>
          <cell r="X545">
            <v>46257.333333333336</v>
          </cell>
          <cell r="Y545">
            <v>46257.75</v>
          </cell>
          <cell r="Z545" t="str">
            <v>Rest Day</v>
          </cell>
          <cell r="AA545" t="str">
            <v>Not Scheduled</v>
          </cell>
          <cell r="AB545" t="str">
            <v>Not Present</v>
          </cell>
          <cell r="AC545" t="str">
            <v>Outbound</v>
          </cell>
          <cell r="AD545" t="str">
            <v>Picking</v>
          </cell>
          <cell r="AE545" t="str">
            <v>Pick</v>
          </cell>
          <cell r="AF545" t="str">
            <v>Saturday</v>
          </cell>
          <cell r="AG545" t="str">
            <v>Sunday</v>
          </cell>
          <cell r="AH545">
            <v>13</v>
          </cell>
          <cell r="AJ545">
            <v>45515</v>
          </cell>
          <cell r="AM545" t="str">
            <v>TEMP</v>
          </cell>
          <cell r="AN545" t="str">
            <v>3P Onsite Worker</v>
          </cell>
          <cell r="AO545" t="str">
            <v>A</v>
          </cell>
          <cell r="AP545">
            <v>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</row>
        <row r="546">
          <cell r="D546" t="str">
            <v>kiifiank</v>
          </cell>
          <cell r="E546">
            <v>203965179</v>
          </cell>
          <cell r="F546" t="str">
            <v>A</v>
          </cell>
          <cell r="G546" t="str">
            <v>GREEN</v>
          </cell>
          <cell r="H546" t="str">
            <v>FULL_TIME</v>
          </cell>
          <cell r="I546">
            <v>900234</v>
          </cell>
          <cell r="J546" t="str">
            <v>EFS Facilities Services</v>
          </cell>
          <cell r="K546" t="str">
            <v>Kingsley Ohene Fianko</v>
          </cell>
          <cell r="L546" t="str">
            <v>Warehouse Associate (TEMP)</v>
          </cell>
          <cell r="M546" t="str">
            <v>Warehouse Associate 12M</v>
          </cell>
          <cell r="N546" t="str">
            <v>lraghava</v>
          </cell>
          <cell r="O546">
            <v>1299</v>
          </cell>
          <cell r="P546" t="str">
            <v>AUH1</v>
          </cell>
          <cell r="Q546" t="str">
            <v>ARE</v>
          </cell>
          <cell r="R546" t="str">
            <v>LK011</v>
          </cell>
          <cell r="S546" t="str">
            <v>Night Shift</v>
          </cell>
          <cell r="T546">
            <v>99</v>
          </cell>
          <cell r="U546" t="str">
            <v>MENA_UAE_FC</v>
          </cell>
          <cell r="V546">
            <v>46257.754861111112</v>
          </cell>
          <cell r="X546">
            <v>46257.756944444445</v>
          </cell>
          <cell r="Y546">
            <v>46258.173611111109</v>
          </cell>
          <cell r="AA546" t="str">
            <v>Scheduled</v>
          </cell>
          <cell r="AB546" t="str">
            <v>Present</v>
          </cell>
          <cell r="AC546" t="str">
            <v>Outbound</v>
          </cell>
          <cell r="AD546" t="str">
            <v>Picking</v>
          </cell>
          <cell r="AE546" t="str">
            <v>Pick</v>
          </cell>
          <cell r="AF546" t="str">
            <v>Friday</v>
          </cell>
          <cell r="AG546" t="str">
            <v>Saturday</v>
          </cell>
          <cell r="AH546">
            <v>13</v>
          </cell>
          <cell r="AJ546">
            <v>45543</v>
          </cell>
          <cell r="AM546" t="str">
            <v>TEMP</v>
          </cell>
          <cell r="AN546" t="str">
            <v>3P Onsite Worker</v>
          </cell>
          <cell r="AO546" t="str">
            <v>A</v>
          </cell>
          <cell r="AP546">
            <v>9</v>
          </cell>
          <cell r="AQ546">
            <v>0</v>
          </cell>
          <cell r="AR546">
            <v>1</v>
          </cell>
          <cell r="AS546">
            <v>1</v>
          </cell>
          <cell r="AT546">
            <v>0</v>
          </cell>
          <cell r="AU546">
            <v>0</v>
          </cell>
        </row>
        <row r="547">
          <cell r="D547" t="str">
            <v>kimufrid</v>
          </cell>
          <cell r="E547">
            <v>205852638</v>
          </cell>
          <cell r="F547" t="str">
            <v>A</v>
          </cell>
          <cell r="G547" t="str">
            <v>GREEN</v>
          </cell>
          <cell r="H547" t="str">
            <v>FULL_TIME</v>
          </cell>
          <cell r="I547">
            <v>900234</v>
          </cell>
          <cell r="J547" t="str">
            <v>EFS Facilities Services</v>
          </cell>
          <cell r="K547" t="str">
            <v>FRIDAH KIMUNJOS</v>
          </cell>
          <cell r="L547" t="str">
            <v>Warehouse Associate (TEMP)</v>
          </cell>
          <cell r="M547" t="str">
            <v>Warehouse Associate 8W</v>
          </cell>
          <cell r="N547" t="str">
            <v>scariav</v>
          </cell>
          <cell r="O547">
            <v>1299</v>
          </cell>
          <cell r="P547" t="str">
            <v>AUH1</v>
          </cell>
          <cell r="Q547" t="str">
            <v>ARE</v>
          </cell>
          <cell r="R547" t="str">
            <v>LK014</v>
          </cell>
          <cell r="S547" t="str">
            <v>Night Shift</v>
          </cell>
          <cell r="T547">
            <v>99</v>
          </cell>
          <cell r="U547" t="str">
            <v>MENA_UAE_FC</v>
          </cell>
          <cell r="V547">
            <v>46257.754861111112</v>
          </cell>
          <cell r="X547">
            <v>46257.756944444445</v>
          </cell>
          <cell r="Y547">
            <v>46258.173611111109</v>
          </cell>
          <cell r="AA547" t="str">
            <v>Scheduled</v>
          </cell>
          <cell r="AB547" t="str">
            <v>Present</v>
          </cell>
          <cell r="AC547" t="str">
            <v>Outbound</v>
          </cell>
          <cell r="AD547" t="str">
            <v>Picking</v>
          </cell>
          <cell r="AE547" t="str">
            <v>Pick</v>
          </cell>
          <cell r="AF547" t="str">
            <v>Monday</v>
          </cell>
          <cell r="AG547" t="str">
            <v>Tuesday</v>
          </cell>
          <cell r="AH547">
            <v>13</v>
          </cell>
          <cell r="AJ547">
            <v>45893</v>
          </cell>
          <cell r="AM547" t="str">
            <v>TEMP</v>
          </cell>
          <cell r="AN547" t="str">
            <v>3P Onsite Worker</v>
          </cell>
          <cell r="AO547" t="str">
            <v>A</v>
          </cell>
          <cell r="AP547">
            <v>9</v>
          </cell>
          <cell r="AQ547">
            <v>0</v>
          </cell>
          <cell r="AR547">
            <v>1</v>
          </cell>
          <cell r="AS547">
            <v>1</v>
          </cell>
          <cell r="AT547">
            <v>0</v>
          </cell>
          <cell r="AU547">
            <v>0</v>
          </cell>
        </row>
        <row r="548">
          <cell r="D548" t="str">
            <v>kimutcol</v>
          </cell>
          <cell r="E548">
            <v>205257390</v>
          </cell>
          <cell r="F548" t="str">
            <v>A</v>
          </cell>
          <cell r="G548" t="str">
            <v>GREEN</v>
          </cell>
          <cell r="H548" t="str">
            <v>FULL_TIME</v>
          </cell>
          <cell r="I548">
            <v>900234</v>
          </cell>
          <cell r="J548" t="str">
            <v>EFS Facilities Services</v>
          </cell>
          <cell r="K548" t="str">
            <v>Collins Kimutai</v>
          </cell>
          <cell r="L548" t="str">
            <v>Warehouse Associate (TEMP)</v>
          </cell>
          <cell r="M548" t="str">
            <v>Warehouse Associate 8W</v>
          </cell>
          <cell r="N548" t="str">
            <v>lraghava</v>
          </cell>
          <cell r="O548">
            <v>1299</v>
          </cell>
          <cell r="P548" t="str">
            <v>AUH1</v>
          </cell>
          <cell r="Q548" t="str">
            <v>ARE</v>
          </cell>
          <cell r="R548" t="str">
            <v>LK012</v>
          </cell>
          <cell r="S548" t="str">
            <v>Night Shift</v>
          </cell>
          <cell r="T548">
            <v>99</v>
          </cell>
          <cell r="U548" t="str">
            <v>MENA_UAE_FC</v>
          </cell>
          <cell r="X548">
            <v>46257.756944444445</v>
          </cell>
          <cell r="Y548">
            <v>46258.173611111109</v>
          </cell>
          <cell r="Z548" t="str">
            <v>Rest Day</v>
          </cell>
          <cell r="AA548" t="str">
            <v>Not Scheduled</v>
          </cell>
          <cell r="AB548" t="str">
            <v>Not Present</v>
          </cell>
          <cell r="AC548" t="str">
            <v>Outbound</v>
          </cell>
          <cell r="AD548" t="str">
            <v>Picking</v>
          </cell>
          <cell r="AE548" t="str">
            <v>Pick</v>
          </cell>
          <cell r="AF548" t="str">
            <v>Saturday</v>
          </cell>
          <cell r="AG548" t="str">
            <v>Sunday</v>
          </cell>
          <cell r="AH548">
            <v>13</v>
          </cell>
          <cell r="AJ548">
            <v>45788</v>
          </cell>
          <cell r="AM548" t="str">
            <v>TEMP</v>
          </cell>
          <cell r="AN548" t="str">
            <v>3P Onsite Worker</v>
          </cell>
          <cell r="AO548" t="str">
            <v>A</v>
          </cell>
          <cell r="AP548">
            <v>9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</row>
        <row r="549">
          <cell r="D549" t="str">
            <v>kinenray</v>
          </cell>
          <cell r="E549">
            <v>206073367</v>
          </cell>
          <cell r="F549" t="str">
            <v>A</v>
          </cell>
          <cell r="G549" t="str">
            <v>GREEN</v>
          </cell>
          <cell r="H549" t="str">
            <v>FULL_TIME</v>
          </cell>
          <cell r="I549">
            <v>900234</v>
          </cell>
          <cell r="J549" t="str">
            <v>Fastlink Outsourcing</v>
          </cell>
          <cell r="K549" t="str">
            <v>Raymond Kinene</v>
          </cell>
          <cell r="L549" t="str">
            <v>Warehouse Associate (TEMP)</v>
          </cell>
          <cell r="M549" t="str">
            <v>Warehouse Associate 12M</v>
          </cell>
          <cell r="N549" t="str">
            <v>vkkatyal</v>
          </cell>
          <cell r="O549">
            <v>1299</v>
          </cell>
          <cell r="P549" t="str">
            <v>AUH1</v>
          </cell>
          <cell r="Q549" t="str">
            <v>ARE</v>
          </cell>
          <cell r="R549" t="str">
            <v>FC059</v>
          </cell>
          <cell r="S549" t="str">
            <v>Day Shift</v>
          </cell>
          <cell r="T549">
            <v>99</v>
          </cell>
          <cell r="U549" t="str">
            <v>MENA_UAE_FC</v>
          </cell>
          <cell r="X549">
            <v>46257.333333333336</v>
          </cell>
          <cell r="Y549">
            <v>46257.75</v>
          </cell>
          <cell r="Z549" t="str">
            <v>Rest Day</v>
          </cell>
          <cell r="AA549" t="str">
            <v>Not Scheduled</v>
          </cell>
          <cell r="AB549" t="str">
            <v>Not Present</v>
          </cell>
          <cell r="AC549" t="str">
            <v>Inbound</v>
          </cell>
          <cell r="AD549" t="str">
            <v>Inbound Stow</v>
          </cell>
          <cell r="AE549" t="str">
            <v>Stow</v>
          </cell>
          <cell r="AF549" t="str">
            <v>Sunday</v>
          </cell>
          <cell r="AG549" t="str">
            <v>Monday</v>
          </cell>
          <cell r="AH549">
            <v>3</v>
          </cell>
          <cell r="AJ549">
            <v>45921</v>
          </cell>
          <cell r="AM549" t="str">
            <v>TEMP</v>
          </cell>
          <cell r="AN549" t="str">
            <v>3P Onsite Worker</v>
          </cell>
          <cell r="AO549" t="str">
            <v>A</v>
          </cell>
          <cell r="AP549">
            <v>9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</row>
        <row r="550">
          <cell r="D550" t="str">
            <v>kingklik</v>
          </cell>
          <cell r="E550">
            <v>202436104</v>
          </cell>
          <cell r="F550" t="str">
            <v>A</v>
          </cell>
          <cell r="G550" t="str">
            <v>GREEN</v>
          </cell>
          <cell r="H550" t="str">
            <v>FULL_TIME</v>
          </cell>
          <cell r="I550">
            <v>900234</v>
          </cell>
          <cell r="J550" t="str">
            <v>Quesscorp</v>
          </cell>
          <cell r="K550" t="str">
            <v>Kingsford Kliko</v>
          </cell>
          <cell r="L550" t="str">
            <v>Warehouse Associate (TEMP)</v>
          </cell>
          <cell r="M550" t="str">
            <v>Warehouse Associate 24M</v>
          </cell>
          <cell r="N550" t="str">
            <v>bizthoma</v>
          </cell>
          <cell r="O550">
            <v>1299</v>
          </cell>
          <cell r="P550" t="str">
            <v>AUH1</v>
          </cell>
          <cell r="Q550" t="str">
            <v>ARE</v>
          </cell>
          <cell r="R550" t="str">
            <v>LK014</v>
          </cell>
          <cell r="S550" t="str">
            <v>Night Shift</v>
          </cell>
          <cell r="T550">
            <v>99</v>
          </cell>
          <cell r="U550" t="str">
            <v>MENA_UAE_FC</v>
          </cell>
          <cell r="V550">
            <v>46257.334027777775</v>
          </cell>
          <cell r="W550">
            <v>46257.749305555553</v>
          </cell>
          <cell r="X550">
            <v>46257.333333333336</v>
          </cell>
          <cell r="Y550">
            <v>46257.75</v>
          </cell>
          <cell r="AA550" t="str">
            <v>Scheduled</v>
          </cell>
          <cell r="AB550" t="str">
            <v>Present</v>
          </cell>
          <cell r="AC550" t="str">
            <v>Outbound</v>
          </cell>
          <cell r="AD550" t="str">
            <v>Sort - Batch</v>
          </cell>
          <cell r="AE550" t="str">
            <v>Sort</v>
          </cell>
          <cell r="AF550" t="str">
            <v>Monday</v>
          </cell>
          <cell r="AG550" t="str">
            <v>Tuesday</v>
          </cell>
          <cell r="AH550">
            <v>15</v>
          </cell>
          <cell r="AJ550">
            <v>45585</v>
          </cell>
          <cell r="AM550" t="str">
            <v>TEMP</v>
          </cell>
          <cell r="AN550" t="str">
            <v>3P Onsite Worker</v>
          </cell>
          <cell r="AO550" t="str">
            <v>A</v>
          </cell>
          <cell r="AP550">
            <v>9</v>
          </cell>
          <cell r="AQ550">
            <v>0</v>
          </cell>
          <cell r="AR550">
            <v>1</v>
          </cell>
          <cell r="AS550">
            <v>1</v>
          </cell>
          <cell r="AT550">
            <v>0</v>
          </cell>
          <cell r="AU550">
            <v>0</v>
          </cell>
        </row>
        <row r="551">
          <cell r="D551" t="str">
            <v>kingwaym</v>
          </cell>
          <cell r="E551">
            <v>203965410</v>
          </cell>
          <cell r="F551" t="str">
            <v>A</v>
          </cell>
          <cell r="G551" t="str">
            <v>GREEN</v>
          </cell>
          <cell r="H551" t="str">
            <v>FULL_TIME</v>
          </cell>
          <cell r="I551">
            <v>900234</v>
          </cell>
          <cell r="J551" t="str">
            <v>Fastlink Outsourcing</v>
          </cell>
          <cell r="K551" t="str">
            <v>Mohamed Kingway Barrie</v>
          </cell>
          <cell r="L551" t="str">
            <v>Warehouse Associate (TEMP)</v>
          </cell>
          <cell r="M551" t="str">
            <v>Warehouse Associate 12M</v>
          </cell>
          <cell r="N551" t="str">
            <v>lraghava</v>
          </cell>
          <cell r="O551">
            <v>1299</v>
          </cell>
          <cell r="P551" t="str">
            <v>AUH1</v>
          </cell>
          <cell r="Q551" t="str">
            <v>ARE</v>
          </cell>
          <cell r="R551" t="str">
            <v>LK011</v>
          </cell>
          <cell r="S551" t="str">
            <v>Night Shift</v>
          </cell>
          <cell r="T551">
            <v>99</v>
          </cell>
          <cell r="U551" t="str">
            <v>MENA_UAE_FC</v>
          </cell>
          <cell r="V551">
            <v>46257.756944444445</v>
          </cell>
          <cell r="X551">
            <v>46257.756944444445</v>
          </cell>
          <cell r="Y551">
            <v>46258.173611111109</v>
          </cell>
          <cell r="AA551" t="str">
            <v>Scheduled</v>
          </cell>
          <cell r="AB551" t="str">
            <v>Present</v>
          </cell>
          <cell r="AC551" t="str">
            <v>Outbound</v>
          </cell>
          <cell r="AD551" t="str">
            <v>Picking</v>
          </cell>
          <cell r="AE551" t="str">
            <v>Pick</v>
          </cell>
          <cell r="AF551" t="str">
            <v>Friday</v>
          </cell>
          <cell r="AG551" t="str">
            <v>Saturday</v>
          </cell>
          <cell r="AH551">
            <v>13</v>
          </cell>
          <cell r="AJ551">
            <v>45543</v>
          </cell>
          <cell r="AM551" t="str">
            <v>TEMP</v>
          </cell>
          <cell r="AN551" t="str">
            <v>3P Onsite Worker</v>
          </cell>
          <cell r="AO551" t="str">
            <v>A</v>
          </cell>
          <cell r="AP551">
            <v>9</v>
          </cell>
          <cell r="AQ551">
            <v>0</v>
          </cell>
          <cell r="AR551">
            <v>1</v>
          </cell>
          <cell r="AS551">
            <v>1</v>
          </cell>
          <cell r="AT551">
            <v>0</v>
          </cell>
          <cell r="AU551">
            <v>0</v>
          </cell>
        </row>
        <row r="552">
          <cell r="D552" t="str">
            <v>kintuyac</v>
          </cell>
          <cell r="E552">
            <v>203908342</v>
          </cell>
          <cell r="F552" t="str">
            <v>A</v>
          </cell>
          <cell r="G552" t="str">
            <v>GREEN</v>
          </cell>
          <cell r="H552" t="str">
            <v>FULL_TIME</v>
          </cell>
          <cell r="I552">
            <v>900234</v>
          </cell>
          <cell r="J552" t="str">
            <v>Dulsco L.L.C.</v>
          </cell>
          <cell r="K552" t="str">
            <v>YAHAYA KINTU</v>
          </cell>
          <cell r="L552" t="str">
            <v>Warehouse Associate (TEMP)</v>
          </cell>
          <cell r="M552" t="str">
            <v>Warehouse Associate 24M</v>
          </cell>
          <cell r="N552" t="str">
            <v>mnarshad</v>
          </cell>
          <cell r="O552">
            <v>1299</v>
          </cell>
          <cell r="P552" t="str">
            <v>AUH1</v>
          </cell>
          <cell r="Q552" t="str">
            <v>ARE</v>
          </cell>
          <cell r="R552" t="str">
            <v>LK012</v>
          </cell>
          <cell r="S552" t="str">
            <v>Night Shift</v>
          </cell>
          <cell r="T552">
            <v>99</v>
          </cell>
          <cell r="U552" t="str">
            <v>MENA_UAE_FC</v>
          </cell>
          <cell r="X552">
            <v>46257.756944444445</v>
          </cell>
          <cell r="Y552">
            <v>46258.173611111109</v>
          </cell>
          <cell r="Z552" t="str">
            <v>Rest Day</v>
          </cell>
          <cell r="AA552" t="str">
            <v>Not Scheduled</v>
          </cell>
          <cell r="AB552" t="str">
            <v>Not Present</v>
          </cell>
          <cell r="AC552" t="str">
            <v>Outbound</v>
          </cell>
          <cell r="AD552" t="str">
            <v>Picking</v>
          </cell>
          <cell r="AE552" t="str">
            <v>Pick</v>
          </cell>
          <cell r="AF552" t="str">
            <v>Saturday</v>
          </cell>
          <cell r="AG552" t="str">
            <v>Sunday</v>
          </cell>
          <cell r="AH552">
            <v>13</v>
          </cell>
          <cell r="AJ552">
            <v>45536</v>
          </cell>
          <cell r="AM552" t="str">
            <v>TEMP</v>
          </cell>
          <cell r="AN552" t="str">
            <v>3P Onsite Worker</v>
          </cell>
          <cell r="AO552" t="str">
            <v>A</v>
          </cell>
          <cell r="AP552">
            <v>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</row>
        <row r="553">
          <cell r="D553" t="str">
            <v>kinyawen</v>
          </cell>
          <cell r="E553">
            <v>206962049</v>
          </cell>
          <cell r="F553" t="str">
            <v>A</v>
          </cell>
          <cell r="G553" t="str">
            <v>GREEN</v>
          </cell>
          <cell r="H553" t="str">
            <v>FULL_TIME</v>
          </cell>
          <cell r="I553">
            <v>900234</v>
          </cell>
          <cell r="J553" t="str">
            <v>EFS Facilities Services</v>
          </cell>
          <cell r="K553" t="str">
            <v>Wendy Wanja KINYAGA</v>
          </cell>
          <cell r="L553" t="str">
            <v>Warehouse Associate (TEMP)</v>
          </cell>
          <cell r="M553" t="str">
            <v>Warehouse Associate 8W</v>
          </cell>
          <cell r="N553" t="str">
            <v>pparsin</v>
          </cell>
          <cell r="O553">
            <v>1299</v>
          </cell>
          <cell r="P553" t="str">
            <v>AUH1</v>
          </cell>
          <cell r="Q553" t="str">
            <v>ARE</v>
          </cell>
          <cell r="R553" t="str">
            <v>FC059</v>
          </cell>
          <cell r="S553" t="str">
            <v>Day Shift</v>
          </cell>
          <cell r="T553">
            <v>99</v>
          </cell>
          <cell r="U553" t="str">
            <v>MENA_UAE_FC</v>
          </cell>
          <cell r="X553">
            <v>46257.333333333336</v>
          </cell>
          <cell r="Y553">
            <v>46257.75</v>
          </cell>
          <cell r="Z553" t="str">
            <v>Rest Day</v>
          </cell>
          <cell r="AA553" t="str">
            <v>Not Scheduled</v>
          </cell>
          <cell r="AB553" t="str">
            <v>Not Present</v>
          </cell>
          <cell r="AC553" t="str">
            <v>Inbound</v>
          </cell>
          <cell r="AD553" t="str">
            <v>Inbound Stow</v>
          </cell>
          <cell r="AE553" t="str">
            <v>Stow</v>
          </cell>
          <cell r="AF553" t="str">
            <v>Sunday</v>
          </cell>
          <cell r="AG553" t="str">
            <v>Monday</v>
          </cell>
          <cell r="AH553">
            <v>3</v>
          </cell>
          <cell r="AJ553">
            <v>46047</v>
          </cell>
          <cell r="AM553" t="str">
            <v>TEMP</v>
          </cell>
          <cell r="AN553" t="str">
            <v>3P Onsite Worker</v>
          </cell>
          <cell r="AO553" t="str">
            <v>A</v>
          </cell>
          <cell r="AP553">
            <v>9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</row>
        <row r="554">
          <cell r="D554" t="str">
            <v>kipchumn</v>
          </cell>
          <cell r="E554">
            <v>206890213</v>
          </cell>
          <cell r="F554" t="str">
            <v>A</v>
          </cell>
          <cell r="G554" t="str">
            <v>GREEN</v>
          </cell>
          <cell r="H554" t="str">
            <v>FULL_TIME</v>
          </cell>
          <cell r="I554">
            <v>900234</v>
          </cell>
          <cell r="J554" t="str">
            <v>EFS Facilities Services</v>
          </cell>
          <cell r="K554" t="str">
            <v>BRIAN KIPCHUMBA</v>
          </cell>
          <cell r="L554" t="str">
            <v>Warehouse Associate (TEMP)</v>
          </cell>
          <cell r="M554" t="str">
            <v>Warehouse Associate 8W</v>
          </cell>
          <cell r="N554" t="str">
            <v>ansammar</v>
          </cell>
          <cell r="O554">
            <v>1299</v>
          </cell>
          <cell r="P554" t="str">
            <v>AUH1</v>
          </cell>
          <cell r="Q554" t="str">
            <v>ARE</v>
          </cell>
          <cell r="R554" t="str">
            <v>FC159</v>
          </cell>
          <cell r="S554" t="str">
            <v>Day Shift</v>
          </cell>
          <cell r="T554">
            <v>99</v>
          </cell>
          <cell r="U554" t="str">
            <v>MENA_UAE_FC</v>
          </cell>
          <cell r="V554">
            <v>46257.333333333336</v>
          </cell>
          <cell r="W554">
            <v>46257.748611111114</v>
          </cell>
          <cell r="X554">
            <v>46257.333333333336</v>
          </cell>
          <cell r="Y554">
            <v>46257.75</v>
          </cell>
          <cell r="AA554" t="str">
            <v>Scheduled</v>
          </cell>
          <cell r="AB554" t="str">
            <v>Present</v>
          </cell>
          <cell r="AC554" t="str">
            <v>Outbound</v>
          </cell>
          <cell r="AD554" t="str">
            <v>Picking</v>
          </cell>
          <cell r="AE554" t="str">
            <v>Pick</v>
          </cell>
          <cell r="AF554" t="str">
            <v>Thursday</v>
          </cell>
          <cell r="AG554" t="str">
            <v>Friday</v>
          </cell>
          <cell r="AH554">
            <v>13</v>
          </cell>
          <cell r="AJ554">
            <v>46026</v>
          </cell>
          <cell r="AM554" t="str">
            <v>TEMP</v>
          </cell>
          <cell r="AN554" t="str">
            <v>3P Onsite Worker</v>
          </cell>
          <cell r="AO554" t="str">
            <v>A</v>
          </cell>
          <cell r="AP554">
            <v>9</v>
          </cell>
          <cell r="AQ554">
            <v>0</v>
          </cell>
          <cell r="AR554">
            <v>1</v>
          </cell>
          <cell r="AS554">
            <v>1</v>
          </cell>
          <cell r="AT554">
            <v>0</v>
          </cell>
          <cell r="AU554">
            <v>0</v>
          </cell>
        </row>
        <row r="555">
          <cell r="D555" t="str">
            <v>kipkosgj</v>
          </cell>
          <cell r="E555">
            <v>206604501</v>
          </cell>
          <cell r="F555" t="str">
            <v>A</v>
          </cell>
          <cell r="G555" t="str">
            <v>GREEN</v>
          </cell>
          <cell r="H555" t="str">
            <v>FULL_TIME</v>
          </cell>
          <cell r="I555">
            <v>900234</v>
          </cell>
          <cell r="J555" t="str">
            <v>EFS Facilities Services</v>
          </cell>
          <cell r="K555" t="str">
            <v>MATHEW KIMELI KIPKOSGEI</v>
          </cell>
          <cell r="L555" t="str">
            <v>Warehouse Associate (TEMP)</v>
          </cell>
          <cell r="M555" t="str">
            <v>Warehouse Associate 8W</v>
          </cell>
          <cell r="N555" t="str">
            <v>helrashd</v>
          </cell>
          <cell r="O555">
            <v>1299</v>
          </cell>
          <cell r="P555" t="str">
            <v>AUH1</v>
          </cell>
          <cell r="Q555" t="str">
            <v>ARE</v>
          </cell>
          <cell r="R555" t="str">
            <v>LK014</v>
          </cell>
          <cell r="S555" t="str">
            <v>Night Shift</v>
          </cell>
          <cell r="T555">
            <v>99</v>
          </cell>
          <cell r="U555" t="str">
            <v>MENA_UAE_FC</v>
          </cell>
          <cell r="V555">
            <v>46257.756249999999</v>
          </cell>
          <cell r="X555">
            <v>46257.756944444445</v>
          </cell>
          <cell r="Y555">
            <v>46258.173611111109</v>
          </cell>
          <cell r="AA555" t="str">
            <v>Scheduled</v>
          </cell>
          <cell r="AB555" t="str">
            <v>Present</v>
          </cell>
          <cell r="AC555" t="str">
            <v>Outbound</v>
          </cell>
          <cell r="AD555" t="str">
            <v>Picking</v>
          </cell>
          <cell r="AE555" t="str">
            <v>Pick</v>
          </cell>
          <cell r="AF555" t="str">
            <v>Monday</v>
          </cell>
          <cell r="AG555" t="str">
            <v>Tuesday</v>
          </cell>
          <cell r="AH555">
            <v>13</v>
          </cell>
          <cell r="AJ555">
            <v>45977</v>
          </cell>
          <cell r="AM555" t="str">
            <v>TEMP</v>
          </cell>
          <cell r="AN555" t="str">
            <v>3P Onsite Worker</v>
          </cell>
          <cell r="AO555" t="str">
            <v>A</v>
          </cell>
          <cell r="AP555">
            <v>9</v>
          </cell>
          <cell r="AQ555">
            <v>0</v>
          </cell>
          <cell r="AR555">
            <v>1</v>
          </cell>
          <cell r="AS555">
            <v>1</v>
          </cell>
          <cell r="AT555">
            <v>0</v>
          </cell>
          <cell r="AU555">
            <v>0</v>
          </cell>
        </row>
        <row r="556">
          <cell r="D556" t="str">
            <v>kipngehi</v>
          </cell>
          <cell r="E556">
            <v>206192253</v>
          </cell>
          <cell r="F556" t="str">
            <v>A</v>
          </cell>
          <cell r="G556" t="str">
            <v>GREEN</v>
          </cell>
          <cell r="H556" t="str">
            <v>FULL_TIME</v>
          </cell>
          <cell r="I556">
            <v>900234</v>
          </cell>
          <cell r="J556" t="str">
            <v>EFS Facilities Services</v>
          </cell>
          <cell r="K556" t="str">
            <v>Hillary kiprop kipngetich</v>
          </cell>
          <cell r="L556" t="str">
            <v>Warehouse Associate (TEMP)</v>
          </cell>
          <cell r="M556" t="str">
            <v>Warehouse Associate 12M</v>
          </cell>
          <cell r="N556" t="str">
            <v>aanso</v>
          </cell>
          <cell r="O556">
            <v>1299</v>
          </cell>
          <cell r="P556" t="str">
            <v>AUH1</v>
          </cell>
          <cell r="Q556" t="str">
            <v>ARE</v>
          </cell>
          <cell r="R556" t="str">
            <v>LK015</v>
          </cell>
          <cell r="S556" t="str">
            <v>Night Shift</v>
          </cell>
          <cell r="T556">
            <v>99</v>
          </cell>
          <cell r="U556" t="str">
            <v>MENA_UAE_FC</v>
          </cell>
          <cell r="V556">
            <v>46257.754861111112</v>
          </cell>
          <cell r="X556">
            <v>46257.756944444445</v>
          </cell>
          <cell r="Y556">
            <v>46258.173611111109</v>
          </cell>
          <cell r="AA556" t="str">
            <v>Scheduled</v>
          </cell>
          <cell r="AB556" t="str">
            <v>Present</v>
          </cell>
          <cell r="AC556" t="str">
            <v>Customer returns</v>
          </cell>
          <cell r="AD556" t="str">
            <v>Customer Returns</v>
          </cell>
          <cell r="AE556" t="str">
            <v>Customer returns</v>
          </cell>
          <cell r="AF556" t="str">
            <v>Tuesday</v>
          </cell>
          <cell r="AG556" t="str">
            <v>Wednesday</v>
          </cell>
          <cell r="AH556">
            <v>22</v>
          </cell>
          <cell r="AJ556">
            <v>45935</v>
          </cell>
          <cell r="AM556" t="str">
            <v>TEMP</v>
          </cell>
          <cell r="AN556" t="str">
            <v>3P Onsite Worker</v>
          </cell>
          <cell r="AO556" t="str">
            <v>A</v>
          </cell>
          <cell r="AP556">
            <v>9</v>
          </cell>
          <cell r="AQ556">
            <v>0</v>
          </cell>
          <cell r="AR556">
            <v>1</v>
          </cell>
          <cell r="AS556">
            <v>1</v>
          </cell>
          <cell r="AT556">
            <v>0</v>
          </cell>
          <cell r="AU556">
            <v>0</v>
          </cell>
        </row>
        <row r="557">
          <cell r="D557" t="str">
            <v>kipruthc</v>
          </cell>
          <cell r="E557">
            <v>205252750</v>
          </cell>
          <cell r="F557" t="str">
            <v>A</v>
          </cell>
          <cell r="G557" t="str">
            <v>GREEN</v>
          </cell>
          <cell r="H557" t="str">
            <v>FULL_TIME</v>
          </cell>
          <cell r="I557">
            <v>900234</v>
          </cell>
          <cell r="J557" t="str">
            <v>EFS Facilities Services</v>
          </cell>
          <cell r="K557" t="str">
            <v>Ruth Chepkemboi Kipchirchir</v>
          </cell>
          <cell r="L557" t="str">
            <v>Warehouse Associate (TEMP)</v>
          </cell>
          <cell r="M557" t="str">
            <v>Warehouse Associate 12M</v>
          </cell>
          <cell r="N557" t="str">
            <v>mnarshad</v>
          </cell>
          <cell r="O557">
            <v>1299</v>
          </cell>
          <cell r="P557" t="str">
            <v>AUH1</v>
          </cell>
          <cell r="Q557" t="str">
            <v>ARE</v>
          </cell>
          <cell r="R557" t="str">
            <v>FC109</v>
          </cell>
          <cell r="S557" t="str">
            <v>Day Shift</v>
          </cell>
          <cell r="T557">
            <v>99</v>
          </cell>
          <cell r="U557" t="str">
            <v>MENA_UAE_FC</v>
          </cell>
          <cell r="V557">
            <v>46257.332638888889</v>
          </cell>
          <cell r="W557">
            <v>46257.749305555553</v>
          </cell>
          <cell r="X557">
            <v>46257.333333333336</v>
          </cell>
          <cell r="Y557">
            <v>46257.75</v>
          </cell>
          <cell r="AA557" t="str">
            <v>Scheduled</v>
          </cell>
          <cell r="AB557" t="str">
            <v>Present</v>
          </cell>
          <cell r="AC557" t="str">
            <v>Outbound</v>
          </cell>
          <cell r="AD557" t="str">
            <v>Picking</v>
          </cell>
          <cell r="AE557" t="str">
            <v>Pick</v>
          </cell>
          <cell r="AF557" t="str">
            <v>Tuesday</v>
          </cell>
          <cell r="AG557" t="str">
            <v>Wednesday</v>
          </cell>
          <cell r="AH557">
            <v>13</v>
          </cell>
          <cell r="AJ557">
            <v>45788</v>
          </cell>
          <cell r="AM557" t="str">
            <v>TEMP</v>
          </cell>
          <cell r="AN557" t="str">
            <v>3P Onsite Worker</v>
          </cell>
          <cell r="AO557" t="str">
            <v>A</v>
          </cell>
          <cell r="AP557">
            <v>9</v>
          </cell>
          <cell r="AQ557">
            <v>0</v>
          </cell>
          <cell r="AR557">
            <v>1</v>
          </cell>
          <cell r="AS557">
            <v>1</v>
          </cell>
          <cell r="AT557">
            <v>0</v>
          </cell>
          <cell r="AU557">
            <v>0</v>
          </cell>
        </row>
        <row r="558">
          <cell r="D558" t="str">
            <v>kiremkel</v>
          </cell>
          <cell r="E558">
            <v>205257125</v>
          </cell>
          <cell r="F558" t="str">
            <v>A</v>
          </cell>
          <cell r="G558" t="str">
            <v>GREEN</v>
          </cell>
          <cell r="H558" t="str">
            <v>FULL_TIME</v>
          </cell>
          <cell r="I558">
            <v>900234</v>
          </cell>
          <cell r="J558" t="str">
            <v>EFS Facilities Services</v>
          </cell>
          <cell r="K558" t="str">
            <v>Kelvin Munene Kirema</v>
          </cell>
          <cell r="L558" t="str">
            <v>Warehouse Associate (TEMP)</v>
          </cell>
          <cell r="M558" t="str">
            <v>Warehouse Associate 8W</v>
          </cell>
          <cell r="N558" t="str">
            <v>scariav</v>
          </cell>
          <cell r="O558">
            <v>1299</v>
          </cell>
          <cell r="P558" t="str">
            <v>AUH1</v>
          </cell>
          <cell r="Q558" t="str">
            <v>ARE</v>
          </cell>
          <cell r="R558" t="str">
            <v>LK013</v>
          </cell>
          <cell r="S558" t="str">
            <v>Night Shift</v>
          </cell>
          <cell r="T558">
            <v>99</v>
          </cell>
          <cell r="U558" t="str">
            <v>MENA_UAE_FC</v>
          </cell>
          <cell r="X558">
            <v>46257.756944444445</v>
          </cell>
          <cell r="Y558">
            <v>46258.173611111109</v>
          </cell>
          <cell r="Z558" t="str">
            <v>Rest Day</v>
          </cell>
          <cell r="AA558" t="str">
            <v>Not Scheduled</v>
          </cell>
          <cell r="AB558" t="str">
            <v>Not Present</v>
          </cell>
          <cell r="AC558" t="str">
            <v>Outbound</v>
          </cell>
          <cell r="AD558" t="str">
            <v>Picking</v>
          </cell>
          <cell r="AE558" t="str">
            <v>Pick</v>
          </cell>
          <cell r="AF558" t="str">
            <v>Sunday</v>
          </cell>
          <cell r="AG558" t="str">
            <v>Monday</v>
          </cell>
          <cell r="AH558">
            <v>13</v>
          </cell>
          <cell r="AJ558">
            <v>45792</v>
          </cell>
          <cell r="AM558" t="str">
            <v>TEMP</v>
          </cell>
          <cell r="AN558" t="str">
            <v>3P Onsite Worker</v>
          </cell>
          <cell r="AO558" t="str">
            <v>A</v>
          </cell>
          <cell r="AP558">
            <v>9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</row>
        <row r="559">
          <cell r="D559" t="str">
            <v>kisssylv</v>
          </cell>
          <cell r="E559">
            <v>204967149</v>
          </cell>
          <cell r="F559" t="str">
            <v>A</v>
          </cell>
          <cell r="G559" t="str">
            <v>GREEN</v>
          </cell>
          <cell r="H559" t="str">
            <v>FULL_TIME</v>
          </cell>
          <cell r="I559">
            <v>900234</v>
          </cell>
          <cell r="J559" t="str">
            <v>Dulsco L.L.C.</v>
          </cell>
          <cell r="K559" t="str">
            <v>SYLVESTER KISSEIH</v>
          </cell>
          <cell r="L559" t="str">
            <v>Warehouse Associate (TEMP)</v>
          </cell>
          <cell r="M559" t="str">
            <v>Warehouse Associate 24M</v>
          </cell>
          <cell r="N559" t="str">
            <v>nnahla</v>
          </cell>
          <cell r="O559">
            <v>1299</v>
          </cell>
          <cell r="P559" t="str">
            <v>AUH1</v>
          </cell>
          <cell r="Q559" t="str">
            <v>ARE</v>
          </cell>
          <cell r="R559" t="str">
            <v>LK013</v>
          </cell>
          <cell r="S559" t="str">
            <v>Night Shift</v>
          </cell>
          <cell r="T559">
            <v>99</v>
          </cell>
          <cell r="U559" t="str">
            <v>MENA_UAE_FC</v>
          </cell>
          <cell r="X559">
            <v>46257.756944444445</v>
          </cell>
          <cell r="Y559">
            <v>46258.173611111109</v>
          </cell>
          <cell r="Z559" t="str">
            <v>Rest Day</v>
          </cell>
          <cell r="AA559" t="str">
            <v>Not Scheduled</v>
          </cell>
          <cell r="AB559" t="str">
            <v>Not Present</v>
          </cell>
          <cell r="AC559" t="str">
            <v>Inbound</v>
          </cell>
          <cell r="AD559" t="str">
            <v>Inbound Stow</v>
          </cell>
          <cell r="AE559" t="str">
            <v>Stow</v>
          </cell>
          <cell r="AF559" t="str">
            <v>Sunday</v>
          </cell>
          <cell r="AG559" t="str">
            <v>Monday</v>
          </cell>
          <cell r="AH559">
            <v>3</v>
          </cell>
          <cell r="AJ559">
            <v>45825</v>
          </cell>
          <cell r="AM559" t="str">
            <v>TEMP</v>
          </cell>
          <cell r="AN559" t="str">
            <v>3P Onsite Worker</v>
          </cell>
          <cell r="AO559" t="str">
            <v>A</v>
          </cell>
          <cell r="AP559">
            <v>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</row>
        <row r="560">
          <cell r="D560" t="str">
            <v>kivuanto</v>
          </cell>
          <cell r="E560">
            <v>206873782</v>
          </cell>
          <cell r="F560" t="str">
            <v>A</v>
          </cell>
          <cell r="G560" t="str">
            <v>GREEN</v>
          </cell>
          <cell r="H560" t="str">
            <v>FULL_TIME</v>
          </cell>
          <cell r="I560">
            <v>900234</v>
          </cell>
          <cell r="J560" t="str">
            <v>Dulsco L.L.C.</v>
          </cell>
          <cell r="K560" t="str">
            <v>KIVUNBI ANTONY LUTAAYA</v>
          </cell>
          <cell r="L560" t="str">
            <v>Warehouse Associate (TEMP)</v>
          </cell>
          <cell r="M560" t="str">
            <v>Warehouse Associate 8W</v>
          </cell>
          <cell r="N560" t="str">
            <v>lraghava</v>
          </cell>
          <cell r="O560">
            <v>1299</v>
          </cell>
          <cell r="P560" t="str">
            <v>AUH1</v>
          </cell>
          <cell r="Q560" t="str">
            <v>ARE</v>
          </cell>
          <cell r="R560" t="str">
            <v>LK015</v>
          </cell>
          <cell r="S560" t="str">
            <v>Night Shift</v>
          </cell>
          <cell r="T560">
            <v>99</v>
          </cell>
          <cell r="U560" t="str">
            <v>MENA_UAE_FC</v>
          </cell>
          <cell r="V560">
            <v>46257.755555555559</v>
          </cell>
          <cell r="X560">
            <v>46257.756944444445</v>
          </cell>
          <cell r="Y560">
            <v>46258.173611111109</v>
          </cell>
          <cell r="AA560" t="str">
            <v>Scheduled</v>
          </cell>
          <cell r="AB560" t="str">
            <v>Present</v>
          </cell>
          <cell r="AC560" t="str">
            <v>Outbound</v>
          </cell>
          <cell r="AD560" t="str">
            <v>Picking</v>
          </cell>
          <cell r="AE560" t="str">
            <v>Pick</v>
          </cell>
          <cell r="AF560" t="str">
            <v>Tuesday</v>
          </cell>
          <cell r="AG560" t="str">
            <v>Wednesday</v>
          </cell>
          <cell r="AH560">
            <v>13</v>
          </cell>
          <cell r="AJ560">
            <v>46029</v>
          </cell>
          <cell r="AM560" t="str">
            <v>TEMP</v>
          </cell>
          <cell r="AN560" t="str">
            <v>3P Onsite Worker</v>
          </cell>
          <cell r="AO560" t="str">
            <v>A</v>
          </cell>
          <cell r="AP560">
            <v>9</v>
          </cell>
          <cell r="AQ560">
            <v>0</v>
          </cell>
          <cell r="AR560">
            <v>1</v>
          </cell>
          <cell r="AS560">
            <v>1</v>
          </cell>
          <cell r="AT560">
            <v>0</v>
          </cell>
          <cell r="AU560">
            <v>0</v>
          </cell>
        </row>
        <row r="561">
          <cell r="D561" t="str">
            <v>kiwanuab</v>
          </cell>
          <cell r="E561">
            <v>203800376</v>
          </cell>
          <cell r="F561" t="str">
            <v>A</v>
          </cell>
          <cell r="G561" t="str">
            <v>GREEN</v>
          </cell>
          <cell r="H561" t="str">
            <v>FULL_TIME</v>
          </cell>
          <cell r="I561">
            <v>900234</v>
          </cell>
          <cell r="J561" t="str">
            <v>Dulsco L.L.C.</v>
          </cell>
          <cell r="K561" t="str">
            <v>ABDU KIWANUKA</v>
          </cell>
          <cell r="L561" t="str">
            <v>Warehouse Associate (TEMP)</v>
          </cell>
          <cell r="M561" t="str">
            <v>Warehouse Associate 8W</v>
          </cell>
          <cell r="N561" t="str">
            <v>aanso</v>
          </cell>
          <cell r="O561">
            <v>1299</v>
          </cell>
          <cell r="P561" t="str">
            <v>AUH1</v>
          </cell>
          <cell r="Q561" t="str">
            <v>ARE</v>
          </cell>
          <cell r="R561" t="str">
            <v>FC134</v>
          </cell>
          <cell r="S561" t="str">
            <v>Day Shift</v>
          </cell>
          <cell r="T561">
            <v>99</v>
          </cell>
          <cell r="U561" t="str">
            <v>MENA_UAE_FC</v>
          </cell>
          <cell r="V561">
            <v>46257.331944444442</v>
          </cell>
          <cell r="W561">
            <v>46257.748611111114</v>
          </cell>
          <cell r="X561">
            <v>46257.333333333336</v>
          </cell>
          <cell r="Y561">
            <v>46257.75</v>
          </cell>
          <cell r="AA561" t="str">
            <v>Scheduled</v>
          </cell>
          <cell r="AB561" t="str">
            <v>Present</v>
          </cell>
          <cell r="AC561" t="str">
            <v>Customer returns</v>
          </cell>
          <cell r="AD561" t="str">
            <v>Customer Returns</v>
          </cell>
          <cell r="AE561" t="str">
            <v>Customer returns</v>
          </cell>
          <cell r="AF561" t="str">
            <v>Wednesday</v>
          </cell>
          <cell r="AG561" t="str">
            <v>Thursday</v>
          </cell>
          <cell r="AH561">
            <v>22</v>
          </cell>
          <cell r="AJ561">
            <v>45515</v>
          </cell>
          <cell r="AM561" t="str">
            <v>TEMP</v>
          </cell>
          <cell r="AN561" t="str">
            <v>3P Onsite Worker</v>
          </cell>
          <cell r="AO561" t="str">
            <v>A</v>
          </cell>
          <cell r="AP561">
            <v>9</v>
          </cell>
          <cell r="AQ561">
            <v>0</v>
          </cell>
          <cell r="AR561">
            <v>1</v>
          </cell>
          <cell r="AS561">
            <v>1</v>
          </cell>
          <cell r="AT561">
            <v>0</v>
          </cell>
          <cell r="AU561">
            <v>0</v>
          </cell>
        </row>
        <row r="562">
          <cell r="D562" t="str">
            <v>kiyimash</v>
          </cell>
          <cell r="E562">
            <v>206875148</v>
          </cell>
          <cell r="F562" t="str">
            <v>A</v>
          </cell>
          <cell r="G562" t="str">
            <v>GREEN</v>
          </cell>
          <cell r="H562" t="str">
            <v>FULL_TIME</v>
          </cell>
          <cell r="I562">
            <v>900234</v>
          </cell>
          <cell r="J562" t="str">
            <v>Dulsco L.L.C.</v>
          </cell>
          <cell r="K562" t="str">
            <v>ASHIRAF KIYIMBA</v>
          </cell>
          <cell r="L562" t="str">
            <v>Warehouse Associate (TEMP)</v>
          </cell>
          <cell r="M562" t="str">
            <v>Warehouse Associate 8W</v>
          </cell>
          <cell r="N562" t="str">
            <v>aanso</v>
          </cell>
          <cell r="O562">
            <v>1299</v>
          </cell>
          <cell r="P562" t="str">
            <v>AUH1</v>
          </cell>
          <cell r="Q562" t="str">
            <v>ARE</v>
          </cell>
          <cell r="R562" t="str">
            <v>LK017</v>
          </cell>
          <cell r="S562" t="str">
            <v>Night Shift</v>
          </cell>
          <cell r="T562">
            <v>99</v>
          </cell>
          <cell r="U562" t="str">
            <v>MENA_UAE_FC</v>
          </cell>
          <cell r="V562">
            <v>46257.755555555559</v>
          </cell>
          <cell r="X562">
            <v>46257.756944444445</v>
          </cell>
          <cell r="Y562">
            <v>46258.173611111109</v>
          </cell>
          <cell r="AA562" t="str">
            <v>Scheduled</v>
          </cell>
          <cell r="AB562" t="str">
            <v>Present</v>
          </cell>
          <cell r="AC562" t="str">
            <v>Customer returns</v>
          </cell>
          <cell r="AD562" t="str">
            <v>Customer Returns</v>
          </cell>
          <cell r="AE562" t="str">
            <v>Customer returns</v>
          </cell>
          <cell r="AF562" t="str">
            <v>Thursday</v>
          </cell>
          <cell r="AG562" t="str">
            <v>Friday</v>
          </cell>
          <cell r="AH562">
            <v>22</v>
          </cell>
          <cell r="AJ562">
            <v>46019</v>
          </cell>
          <cell r="AM562" t="str">
            <v>TEMP</v>
          </cell>
          <cell r="AN562" t="str">
            <v>3P Onsite Worker</v>
          </cell>
          <cell r="AO562" t="str">
            <v>A</v>
          </cell>
          <cell r="AP562">
            <v>9</v>
          </cell>
          <cell r="AQ562">
            <v>0</v>
          </cell>
          <cell r="AR562">
            <v>1</v>
          </cell>
          <cell r="AS562">
            <v>1</v>
          </cell>
          <cell r="AT562">
            <v>0</v>
          </cell>
          <cell r="AU562">
            <v>0</v>
          </cell>
        </row>
        <row r="563">
          <cell r="D563" t="str">
            <v>kjoseabi</v>
          </cell>
          <cell r="E563">
            <v>204373723</v>
          </cell>
          <cell r="F563" t="str">
            <v>A</v>
          </cell>
          <cell r="G563" t="str">
            <v>GREEN</v>
          </cell>
          <cell r="H563" t="str">
            <v>FULL_TIME</v>
          </cell>
          <cell r="I563">
            <v>900234</v>
          </cell>
          <cell r="J563" t="str">
            <v>Adecco</v>
          </cell>
          <cell r="K563" t="str">
            <v>ABIN JOSE</v>
          </cell>
          <cell r="L563" t="str">
            <v>Warehouse Associate (TEMP)</v>
          </cell>
          <cell r="M563" t="str">
            <v>Warehouse Associate 24M</v>
          </cell>
          <cell r="N563" t="str">
            <v>lraghava</v>
          </cell>
          <cell r="O563">
            <v>1299</v>
          </cell>
          <cell r="P563" t="str">
            <v>AUH1</v>
          </cell>
          <cell r="Q563" t="str">
            <v>ARE</v>
          </cell>
          <cell r="R563" t="str">
            <v>LK017</v>
          </cell>
          <cell r="S563" t="str">
            <v>Night Shift</v>
          </cell>
          <cell r="T563">
            <v>99</v>
          </cell>
          <cell r="U563" t="str">
            <v>MENA_UAE_FC</v>
          </cell>
          <cell r="V563">
            <v>46257.756944444445</v>
          </cell>
          <cell r="X563">
            <v>46257.756944444445</v>
          </cell>
          <cell r="Y563">
            <v>46258.173611111109</v>
          </cell>
          <cell r="AA563" t="str">
            <v>Scheduled</v>
          </cell>
          <cell r="AB563" t="str">
            <v>Present</v>
          </cell>
          <cell r="AC563" t="str">
            <v>Outbound</v>
          </cell>
          <cell r="AD563" t="str">
            <v>Picking</v>
          </cell>
          <cell r="AE563" t="str">
            <v>Pick</v>
          </cell>
          <cell r="AF563" t="str">
            <v>Thursday</v>
          </cell>
          <cell r="AG563" t="str">
            <v>Friday</v>
          </cell>
          <cell r="AH563">
            <v>13</v>
          </cell>
          <cell r="AJ563">
            <v>45592</v>
          </cell>
          <cell r="AM563" t="str">
            <v>TEMP</v>
          </cell>
          <cell r="AN563" t="str">
            <v>3P Onsite Worker</v>
          </cell>
          <cell r="AO563" t="str">
            <v>A</v>
          </cell>
          <cell r="AP563">
            <v>9</v>
          </cell>
          <cell r="AQ563">
            <v>0</v>
          </cell>
          <cell r="AR563">
            <v>1</v>
          </cell>
          <cell r="AS563">
            <v>1</v>
          </cell>
          <cell r="AT563">
            <v>0</v>
          </cell>
          <cell r="AU563">
            <v>0</v>
          </cell>
        </row>
        <row r="564">
          <cell r="D564" t="str">
            <v>kkecarls</v>
          </cell>
          <cell r="E564">
            <v>204868850</v>
          </cell>
          <cell r="F564" t="str">
            <v>A</v>
          </cell>
          <cell r="G564" t="str">
            <v>GREEN</v>
          </cell>
          <cell r="H564" t="str">
            <v>FULL_TIME</v>
          </cell>
          <cell r="I564">
            <v>900234</v>
          </cell>
          <cell r="J564" t="str">
            <v>Quesscorp</v>
          </cell>
          <cell r="K564" t="str">
            <v>Carlson Esah Kendang</v>
          </cell>
          <cell r="L564" t="str">
            <v>Warehouse Associate (TEMP)</v>
          </cell>
          <cell r="M564" t="str">
            <v>Warehouse Associate 24M</v>
          </cell>
          <cell r="N564" t="str">
            <v>abbaszoo</v>
          </cell>
          <cell r="O564">
            <v>1299</v>
          </cell>
          <cell r="P564" t="str">
            <v>AUH1</v>
          </cell>
          <cell r="Q564" t="str">
            <v>ARE</v>
          </cell>
          <cell r="R564" t="str">
            <v>FC134</v>
          </cell>
          <cell r="S564" t="str">
            <v>Day Shift</v>
          </cell>
          <cell r="T564">
            <v>99</v>
          </cell>
          <cell r="U564" t="str">
            <v>MENA_UAE_FC</v>
          </cell>
          <cell r="V564">
            <v>46257.331944444442</v>
          </cell>
          <cell r="W564">
            <v>46257.751388888886</v>
          </cell>
          <cell r="X564">
            <v>46257.333333333336</v>
          </cell>
          <cell r="Y564">
            <v>46257.75</v>
          </cell>
          <cell r="AA564" t="str">
            <v>Scheduled</v>
          </cell>
          <cell r="AB564" t="str">
            <v>Present</v>
          </cell>
          <cell r="AC564" t="str">
            <v>Inbound</v>
          </cell>
          <cell r="AD564" t="str">
            <v>Vendor Receive</v>
          </cell>
          <cell r="AE564" t="str">
            <v>Receive</v>
          </cell>
          <cell r="AF564" t="str">
            <v>Wednesday</v>
          </cell>
          <cell r="AG564" t="str">
            <v>Thursday</v>
          </cell>
          <cell r="AH564">
            <v>1</v>
          </cell>
          <cell r="AJ564">
            <v>45690</v>
          </cell>
          <cell r="AM564" t="str">
            <v>TEMP</v>
          </cell>
          <cell r="AN564" t="str">
            <v>3P Onsite Worker</v>
          </cell>
          <cell r="AO564" t="str">
            <v>A</v>
          </cell>
          <cell r="AP564">
            <v>9</v>
          </cell>
          <cell r="AQ564">
            <v>0</v>
          </cell>
          <cell r="AR564">
            <v>1</v>
          </cell>
          <cell r="AS564">
            <v>1</v>
          </cell>
          <cell r="AT564">
            <v>0</v>
          </cell>
          <cell r="AU564">
            <v>0</v>
          </cell>
        </row>
        <row r="565">
          <cell r="D565" t="str">
            <v>kkengtis</v>
          </cell>
          <cell r="E565">
            <v>206015636</v>
          </cell>
          <cell r="F565" t="str">
            <v>A</v>
          </cell>
          <cell r="G565" t="str">
            <v>GREEN</v>
          </cell>
          <cell r="H565" t="str">
            <v>FULL_TIME</v>
          </cell>
          <cell r="I565">
            <v>900234</v>
          </cell>
          <cell r="J565" t="str">
            <v>Fastlink Outsourcing</v>
          </cell>
          <cell r="K565" t="str">
            <v>SCOLITITH KENG TIBA</v>
          </cell>
          <cell r="L565" t="str">
            <v>Warehouse Associate (TEMP)</v>
          </cell>
          <cell r="M565" t="str">
            <v>Warehouse Associate 12M</v>
          </cell>
          <cell r="N565" t="str">
            <v>pparsin</v>
          </cell>
          <cell r="O565">
            <v>1299</v>
          </cell>
          <cell r="P565" t="str">
            <v>AUH1</v>
          </cell>
          <cell r="Q565" t="str">
            <v>ARE</v>
          </cell>
          <cell r="R565" t="str">
            <v>FC059</v>
          </cell>
          <cell r="S565" t="str">
            <v>Day Shift</v>
          </cell>
          <cell r="T565">
            <v>99</v>
          </cell>
          <cell r="U565" t="str">
            <v>MENA_UAE_FC</v>
          </cell>
          <cell r="X565">
            <v>46257.333333333336</v>
          </cell>
          <cell r="Y565">
            <v>46257.75</v>
          </cell>
          <cell r="Z565" t="str">
            <v>Rest Day</v>
          </cell>
          <cell r="AA565" t="str">
            <v>Not Scheduled</v>
          </cell>
          <cell r="AB565" t="str">
            <v>Not Present</v>
          </cell>
          <cell r="AC565" t="str">
            <v>Inbound</v>
          </cell>
          <cell r="AD565" t="str">
            <v>Inbound Stow</v>
          </cell>
          <cell r="AE565" t="str">
            <v>Stow</v>
          </cell>
          <cell r="AF565" t="str">
            <v>Sunday</v>
          </cell>
          <cell r="AG565" t="str">
            <v>Monday</v>
          </cell>
          <cell r="AH565">
            <v>3</v>
          </cell>
          <cell r="AJ565">
            <v>45914</v>
          </cell>
          <cell r="AM565" t="str">
            <v>TEMP</v>
          </cell>
          <cell r="AN565" t="str">
            <v>3P Onsite Worker</v>
          </cell>
          <cell r="AO565" t="str">
            <v>A</v>
          </cell>
          <cell r="AP565">
            <v>9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</row>
        <row r="566">
          <cell r="D566" t="str">
            <v>kkibehar</v>
          </cell>
          <cell r="E566">
            <v>204072302</v>
          </cell>
          <cell r="F566" t="str">
            <v>A</v>
          </cell>
          <cell r="G566" t="str">
            <v>GREEN</v>
          </cell>
          <cell r="H566" t="str">
            <v>FULL_TIME</v>
          </cell>
          <cell r="I566">
            <v>900234</v>
          </cell>
          <cell r="J566" t="str">
            <v>Dulsco L.L.C.</v>
          </cell>
          <cell r="K566" t="str">
            <v>HARUNAH KIBENGO</v>
          </cell>
          <cell r="L566" t="str">
            <v>Warehouse Associate (TEMP)</v>
          </cell>
          <cell r="M566" t="str">
            <v>Warehouse Associate 24M</v>
          </cell>
          <cell r="N566" t="str">
            <v>lraghava</v>
          </cell>
          <cell r="O566">
            <v>1299</v>
          </cell>
          <cell r="P566" t="str">
            <v>AUH1</v>
          </cell>
          <cell r="Q566" t="str">
            <v>ARE</v>
          </cell>
          <cell r="R566" t="str">
            <v>FC134</v>
          </cell>
          <cell r="S566" t="str">
            <v>Day Shift</v>
          </cell>
          <cell r="T566">
            <v>99</v>
          </cell>
          <cell r="U566" t="str">
            <v>MENA_UAE_FC</v>
          </cell>
          <cell r="V566">
            <v>46257.331944444442</v>
          </cell>
          <cell r="W566">
            <v>46257.747916666667</v>
          </cell>
          <cell r="X566">
            <v>46257.333333333336</v>
          </cell>
          <cell r="Y566">
            <v>46257.75</v>
          </cell>
          <cell r="AA566" t="str">
            <v>Scheduled</v>
          </cell>
          <cell r="AB566" t="str">
            <v>Present</v>
          </cell>
          <cell r="AC566" t="str">
            <v>Outbound</v>
          </cell>
          <cell r="AD566" t="str">
            <v>Picking</v>
          </cell>
          <cell r="AE566" t="str">
            <v>Pick</v>
          </cell>
          <cell r="AF566" t="str">
            <v>Wednesday</v>
          </cell>
          <cell r="AG566" t="str">
            <v>Thursday</v>
          </cell>
          <cell r="AH566">
            <v>13</v>
          </cell>
          <cell r="AJ566">
            <v>45683</v>
          </cell>
          <cell r="AM566" t="str">
            <v>TEMP</v>
          </cell>
          <cell r="AN566" t="str">
            <v>3P Onsite Worker</v>
          </cell>
          <cell r="AO566" t="str">
            <v>A</v>
          </cell>
          <cell r="AP566">
            <v>9</v>
          </cell>
          <cell r="AQ566">
            <v>0</v>
          </cell>
          <cell r="AR566">
            <v>1</v>
          </cell>
          <cell r="AS566">
            <v>1</v>
          </cell>
          <cell r="AT566">
            <v>0</v>
          </cell>
          <cell r="AU566">
            <v>0</v>
          </cell>
        </row>
        <row r="567">
          <cell r="D567" t="str">
            <v>kmadhusr</v>
          </cell>
          <cell r="E567">
            <v>102434104</v>
          </cell>
          <cell r="F567" t="str">
            <v>A</v>
          </cell>
          <cell r="G567" t="str">
            <v>BLUE</v>
          </cell>
          <cell r="H567" t="str">
            <v>FULL_TIME</v>
          </cell>
          <cell r="I567" t="str">
            <v>P03231</v>
          </cell>
          <cell r="K567" t="str">
            <v>Kandala Madhusudhan Rao</v>
          </cell>
          <cell r="L567" t="str">
            <v>FC Associate III</v>
          </cell>
          <cell r="M567" t="str">
            <v>Operations Supervisor</v>
          </cell>
          <cell r="N567" t="str">
            <v>nnahla</v>
          </cell>
          <cell r="O567">
            <v>1299</v>
          </cell>
          <cell r="P567" t="str">
            <v>AUH1</v>
          </cell>
          <cell r="Q567" t="str">
            <v>ARE</v>
          </cell>
          <cell r="R567" t="str">
            <v>FC159</v>
          </cell>
          <cell r="S567" t="str">
            <v>Day Shift</v>
          </cell>
          <cell r="T567">
            <v>3</v>
          </cell>
          <cell r="U567" t="str">
            <v>MENA_UAE_FC</v>
          </cell>
          <cell r="V567">
            <v>46257.324305555558</v>
          </cell>
          <cell r="W567">
            <v>46257.752083333333</v>
          </cell>
          <cell r="X567">
            <v>46257.333333333336</v>
          </cell>
          <cell r="Y567">
            <v>46257.75</v>
          </cell>
          <cell r="AA567" t="str">
            <v>Scheduled</v>
          </cell>
          <cell r="AB567" t="str">
            <v>Present</v>
          </cell>
          <cell r="AC567" t="str">
            <v>Inbound</v>
          </cell>
          <cell r="AD567" t="str">
            <v>IB Lead/PA</v>
          </cell>
          <cell r="AE567" t="str">
            <v>Receive</v>
          </cell>
          <cell r="AF567" t="str">
            <v>Thursday</v>
          </cell>
          <cell r="AG567" t="str">
            <v>Friday</v>
          </cell>
          <cell r="AH567">
            <v>5</v>
          </cell>
          <cell r="AJ567">
            <v>42882</v>
          </cell>
          <cell r="AM567" t="str">
            <v>FC</v>
          </cell>
          <cell r="AN567" t="str">
            <v>Regular Full Time</v>
          </cell>
          <cell r="AO567" t="str">
            <v>A</v>
          </cell>
          <cell r="AP567">
            <v>9</v>
          </cell>
          <cell r="AQ567">
            <v>0</v>
          </cell>
          <cell r="AR567">
            <v>1</v>
          </cell>
          <cell r="AS567">
            <v>1</v>
          </cell>
          <cell r="AT567">
            <v>0</v>
          </cell>
          <cell r="AU567">
            <v>0</v>
          </cell>
        </row>
        <row r="568">
          <cell r="D568" t="str">
            <v>knkumbuj</v>
          </cell>
          <cell r="E568">
            <v>206868006</v>
          </cell>
          <cell r="F568" t="str">
            <v>A</v>
          </cell>
          <cell r="G568" t="str">
            <v>GREEN</v>
          </cell>
          <cell r="H568" t="str">
            <v>REDUCED</v>
          </cell>
          <cell r="I568">
            <v>900234</v>
          </cell>
          <cell r="J568" t="str">
            <v>Fastlink Outsourcing</v>
          </cell>
          <cell r="K568" t="str">
            <v>JOSEPHINE NKUMBU CHI</v>
          </cell>
          <cell r="L568" t="str">
            <v>Warehouse Associate (TEMP)</v>
          </cell>
          <cell r="M568" t="str">
            <v>Warehouse Associate 8W</v>
          </cell>
          <cell r="N568" t="str">
            <v>bizthoma</v>
          </cell>
          <cell r="O568">
            <v>1299</v>
          </cell>
          <cell r="P568" t="str">
            <v>AUH1</v>
          </cell>
          <cell r="Q568" t="str">
            <v>ARE</v>
          </cell>
          <cell r="R568" t="str">
            <v>FC555</v>
          </cell>
          <cell r="S568" t="str">
            <v>Night Shift</v>
          </cell>
          <cell r="T568">
            <v>99</v>
          </cell>
          <cell r="U568" t="str">
            <v>MENA_UAE_FC</v>
          </cell>
          <cell r="V568">
            <v>46257.756944444445</v>
          </cell>
          <cell r="X568">
            <v>46257.756944444445</v>
          </cell>
          <cell r="Y568">
            <v>46258.090277777781</v>
          </cell>
          <cell r="AA568" t="str">
            <v>Scheduled</v>
          </cell>
          <cell r="AB568" t="str">
            <v>Present</v>
          </cell>
          <cell r="AC568" t="str">
            <v>Outbound</v>
          </cell>
          <cell r="AD568" t="str">
            <v>Pack - Batch</v>
          </cell>
          <cell r="AE568" t="str">
            <v>Pack</v>
          </cell>
          <cell r="AF568" t="str">
            <v>Monday</v>
          </cell>
          <cell r="AG568" t="str">
            <v>Tuesday</v>
          </cell>
          <cell r="AH568">
            <v>17</v>
          </cell>
          <cell r="AJ568">
            <v>46251</v>
          </cell>
          <cell r="AM568" t="str">
            <v>TEMP</v>
          </cell>
          <cell r="AN568" t="str">
            <v>3P Onsite Worker</v>
          </cell>
          <cell r="AO568" t="str">
            <v>A</v>
          </cell>
          <cell r="AP568">
            <v>7</v>
          </cell>
          <cell r="AQ568">
            <v>0</v>
          </cell>
          <cell r="AR568">
            <v>1</v>
          </cell>
          <cell r="AS568">
            <v>1</v>
          </cell>
          <cell r="AT568">
            <v>0</v>
          </cell>
          <cell r="AU568">
            <v>0</v>
          </cell>
        </row>
        <row r="569">
          <cell r="D569" t="str">
            <v>kntalekr</v>
          </cell>
          <cell r="E569">
            <v>204890370</v>
          </cell>
          <cell r="F569" t="str">
            <v>A</v>
          </cell>
          <cell r="G569" t="str">
            <v>GREEN</v>
          </cell>
          <cell r="H569" t="str">
            <v>FULL_TIME</v>
          </cell>
          <cell r="I569">
            <v>900234</v>
          </cell>
          <cell r="J569" t="str">
            <v>Dulsco L.L.C.</v>
          </cell>
          <cell r="K569" t="str">
            <v>KIM NTALE KIMBUGWE</v>
          </cell>
          <cell r="L569" t="str">
            <v>Warehouse Associate (TEMP)</v>
          </cell>
          <cell r="M569" t="str">
            <v>Warehouse Associate 8W</v>
          </cell>
          <cell r="N569" t="str">
            <v>mnarshad</v>
          </cell>
          <cell r="O569">
            <v>1299</v>
          </cell>
          <cell r="P569" t="str">
            <v>AUH1</v>
          </cell>
          <cell r="Q569" t="str">
            <v>ARE</v>
          </cell>
          <cell r="R569" t="str">
            <v>LK014</v>
          </cell>
          <cell r="S569" t="str">
            <v>Night Shift</v>
          </cell>
          <cell r="T569">
            <v>99</v>
          </cell>
          <cell r="U569" t="str">
            <v>MENA_UAE_FC</v>
          </cell>
          <cell r="V569">
            <v>46257.756249999999</v>
          </cell>
          <cell r="X569">
            <v>46257.756944444445</v>
          </cell>
          <cell r="Y569">
            <v>46258.173611111109</v>
          </cell>
          <cell r="AA569" t="str">
            <v>Scheduled</v>
          </cell>
          <cell r="AB569" t="str">
            <v>Present</v>
          </cell>
          <cell r="AC569" t="str">
            <v>Outbound</v>
          </cell>
          <cell r="AD569" t="str">
            <v>Picking</v>
          </cell>
          <cell r="AE569" t="str">
            <v>Pick</v>
          </cell>
          <cell r="AF569" t="str">
            <v>Monday</v>
          </cell>
          <cell r="AG569" t="str">
            <v>Tuesday</v>
          </cell>
          <cell r="AH569">
            <v>13</v>
          </cell>
          <cell r="AJ569">
            <v>45690</v>
          </cell>
          <cell r="AM569" t="str">
            <v>TEMP</v>
          </cell>
          <cell r="AN569" t="str">
            <v>3P Onsite Worker</v>
          </cell>
          <cell r="AO569" t="str">
            <v>A</v>
          </cell>
          <cell r="AP569">
            <v>9</v>
          </cell>
          <cell r="AQ569">
            <v>0</v>
          </cell>
          <cell r="AR569">
            <v>1</v>
          </cell>
          <cell r="AS569">
            <v>1</v>
          </cell>
          <cell r="AT569">
            <v>0</v>
          </cell>
          <cell r="AU569">
            <v>0</v>
          </cell>
        </row>
        <row r="570">
          <cell r="D570" t="str">
            <v>kodataks</v>
          </cell>
          <cell r="E570">
            <v>203813038</v>
          </cell>
          <cell r="F570" t="str">
            <v>A</v>
          </cell>
          <cell r="G570" t="str">
            <v>GREEN</v>
          </cell>
          <cell r="H570" t="str">
            <v>FULL_TIME</v>
          </cell>
          <cell r="I570">
            <v>900234</v>
          </cell>
          <cell r="J570" t="str">
            <v>Adecco</v>
          </cell>
          <cell r="K570" t="str">
            <v>AKSHAY KODATHAMVALLY</v>
          </cell>
          <cell r="L570" t="str">
            <v>Warehouse Associate (TEMP)</v>
          </cell>
          <cell r="M570" t="str">
            <v>Warehouse Associate 24M</v>
          </cell>
          <cell r="N570" t="str">
            <v>abbaszoo</v>
          </cell>
          <cell r="O570">
            <v>1299</v>
          </cell>
          <cell r="P570" t="str">
            <v>AUH1</v>
          </cell>
          <cell r="Q570" t="str">
            <v>ARE</v>
          </cell>
          <cell r="R570" t="str">
            <v>FC109</v>
          </cell>
          <cell r="S570" t="str">
            <v>Day Shift</v>
          </cell>
          <cell r="T570">
            <v>99</v>
          </cell>
          <cell r="U570" t="str">
            <v>MENA_UAE_FC</v>
          </cell>
          <cell r="V570">
            <v>46257.331944444442</v>
          </cell>
          <cell r="W570">
            <v>46257.75</v>
          </cell>
          <cell r="X570">
            <v>46257.333333333336</v>
          </cell>
          <cell r="Y570">
            <v>46257.75</v>
          </cell>
          <cell r="AA570" t="str">
            <v>Scheduled</v>
          </cell>
          <cell r="AB570" t="str">
            <v>Present</v>
          </cell>
          <cell r="AC570" t="str">
            <v>Inbound</v>
          </cell>
          <cell r="AD570" t="str">
            <v>Inbound Stow</v>
          </cell>
          <cell r="AE570" t="str">
            <v>Stow</v>
          </cell>
          <cell r="AF570" t="str">
            <v>Tuesday</v>
          </cell>
          <cell r="AG570" t="str">
            <v>Wednesday</v>
          </cell>
          <cell r="AH570">
            <v>3</v>
          </cell>
          <cell r="AJ570">
            <v>45516</v>
          </cell>
          <cell r="AM570" t="str">
            <v>TEMP</v>
          </cell>
          <cell r="AN570" t="str">
            <v>3P Onsite Worker</v>
          </cell>
          <cell r="AO570" t="str">
            <v>A</v>
          </cell>
          <cell r="AP570">
            <v>9</v>
          </cell>
          <cell r="AQ570">
            <v>0</v>
          </cell>
          <cell r="AR570">
            <v>1</v>
          </cell>
          <cell r="AS570">
            <v>1</v>
          </cell>
          <cell r="AT570">
            <v>0</v>
          </cell>
          <cell r="AU570">
            <v>0</v>
          </cell>
        </row>
        <row r="571">
          <cell r="D571" t="str">
            <v>kodjolaw</v>
          </cell>
          <cell r="E571">
            <v>206074988</v>
          </cell>
          <cell r="F571" t="str">
            <v>A</v>
          </cell>
          <cell r="G571" t="str">
            <v>GREEN</v>
          </cell>
          <cell r="H571" t="str">
            <v>FULL_TIME</v>
          </cell>
          <cell r="I571">
            <v>900234</v>
          </cell>
          <cell r="J571" t="str">
            <v>Fastlink Outsourcing</v>
          </cell>
          <cell r="K571" t="str">
            <v>Lawson Kodjo Osabutey</v>
          </cell>
          <cell r="L571" t="str">
            <v>Warehouse Associate (TEMP)</v>
          </cell>
          <cell r="M571" t="str">
            <v>Warehouse Associate 12M</v>
          </cell>
          <cell r="N571" t="str">
            <v>scariav</v>
          </cell>
          <cell r="O571">
            <v>1299</v>
          </cell>
          <cell r="P571" t="str">
            <v>AUH1</v>
          </cell>
          <cell r="Q571" t="str">
            <v>ARE</v>
          </cell>
          <cell r="R571" t="str">
            <v>LK012</v>
          </cell>
          <cell r="S571" t="str">
            <v>Night Shift</v>
          </cell>
          <cell r="T571">
            <v>99</v>
          </cell>
          <cell r="U571" t="str">
            <v>MENA_UAE_FC</v>
          </cell>
          <cell r="X571">
            <v>46257.756944444445</v>
          </cell>
          <cell r="Y571">
            <v>46258.173611111109</v>
          </cell>
          <cell r="Z571" t="str">
            <v>Rest Day</v>
          </cell>
          <cell r="AA571" t="str">
            <v>Not Scheduled</v>
          </cell>
          <cell r="AB571" t="str">
            <v>Not Present</v>
          </cell>
          <cell r="AC571" t="str">
            <v>Outbound</v>
          </cell>
          <cell r="AD571" t="str">
            <v>Picking</v>
          </cell>
          <cell r="AE571" t="str">
            <v>Pick</v>
          </cell>
          <cell r="AF571" t="str">
            <v>Saturday</v>
          </cell>
          <cell r="AG571" t="str">
            <v>Sunday</v>
          </cell>
          <cell r="AH571">
            <v>13</v>
          </cell>
          <cell r="AJ571">
            <v>45921</v>
          </cell>
          <cell r="AM571" t="str">
            <v>TEMP</v>
          </cell>
          <cell r="AN571" t="str">
            <v>3P Onsite Worker</v>
          </cell>
          <cell r="AO571" t="str">
            <v>A</v>
          </cell>
          <cell r="AP571">
            <v>9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</row>
        <row r="572">
          <cell r="D572" t="str">
            <v>kodugraf</v>
          </cell>
          <cell r="E572">
            <v>204138503</v>
          </cell>
          <cell r="F572" t="str">
            <v>A</v>
          </cell>
          <cell r="G572" t="str">
            <v>GREEN</v>
          </cell>
          <cell r="H572" t="str">
            <v>FULL_TIME</v>
          </cell>
          <cell r="I572">
            <v>900234</v>
          </cell>
          <cell r="J572" t="str">
            <v>Fastlink Outsourcing</v>
          </cell>
          <cell r="K572" t="str">
            <v>grace kodua</v>
          </cell>
          <cell r="L572" t="str">
            <v>Warehouse Associate (TEMP)</v>
          </cell>
          <cell r="M572" t="str">
            <v>Warehouse Associate 12M</v>
          </cell>
          <cell r="N572" t="str">
            <v>ansammar</v>
          </cell>
          <cell r="O572">
            <v>1299</v>
          </cell>
          <cell r="P572" t="str">
            <v>AUH1</v>
          </cell>
          <cell r="Q572" t="str">
            <v>ARE</v>
          </cell>
          <cell r="R572" t="str">
            <v>LK013</v>
          </cell>
          <cell r="S572" t="str">
            <v>Night Shift</v>
          </cell>
          <cell r="T572">
            <v>99</v>
          </cell>
          <cell r="U572" t="str">
            <v>MENA_UAE_FC</v>
          </cell>
          <cell r="V572">
            <v>46257.756944444445</v>
          </cell>
          <cell r="X572">
            <v>46257.756944444445</v>
          </cell>
          <cell r="Y572">
            <v>46258.173611111109</v>
          </cell>
          <cell r="Z572" t="str">
            <v>Rest Day</v>
          </cell>
          <cell r="AA572" t="str">
            <v>Not Scheduled</v>
          </cell>
          <cell r="AB572" t="str">
            <v>Present</v>
          </cell>
          <cell r="AC572" t="str">
            <v>Outbound</v>
          </cell>
          <cell r="AD572" t="str">
            <v>Picking</v>
          </cell>
          <cell r="AE572" t="str">
            <v>Pick</v>
          </cell>
          <cell r="AF572" t="str">
            <v>Sunday</v>
          </cell>
          <cell r="AG572" t="str">
            <v>Monday</v>
          </cell>
          <cell r="AH572">
            <v>13</v>
          </cell>
          <cell r="AJ572">
            <v>45564</v>
          </cell>
          <cell r="AM572" t="str">
            <v>TEMP</v>
          </cell>
          <cell r="AN572" t="str">
            <v>3P Onsite Worker</v>
          </cell>
          <cell r="AO572" t="str">
            <v>A</v>
          </cell>
          <cell r="AP572">
            <v>9</v>
          </cell>
          <cell r="AQ572">
            <v>1</v>
          </cell>
          <cell r="AR572">
            <v>1</v>
          </cell>
          <cell r="AS572">
            <v>0</v>
          </cell>
          <cell r="AT572">
            <v>0</v>
          </cell>
          <cell r="AU572">
            <v>0</v>
          </cell>
        </row>
        <row r="573">
          <cell r="D573" t="str">
            <v>kojoache</v>
          </cell>
          <cell r="E573">
            <v>204890369</v>
          </cell>
          <cell r="F573" t="str">
            <v>A</v>
          </cell>
          <cell r="G573" t="str">
            <v>GREEN</v>
          </cell>
          <cell r="H573" t="str">
            <v>FULL_TIME</v>
          </cell>
          <cell r="I573">
            <v>900234</v>
          </cell>
          <cell r="J573" t="str">
            <v>Dulsco L.L.C.</v>
          </cell>
          <cell r="K573" t="str">
            <v>FRANCIS KOJO ACHEAMPONG</v>
          </cell>
          <cell r="L573" t="str">
            <v>Warehouse Associate (TEMP)</v>
          </cell>
          <cell r="M573" t="str">
            <v>Warehouse Associate 24M</v>
          </cell>
          <cell r="N573" t="str">
            <v>lraghava</v>
          </cell>
          <cell r="O573">
            <v>1299</v>
          </cell>
          <cell r="P573" t="str">
            <v>AUH1</v>
          </cell>
          <cell r="Q573" t="str">
            <v>ARE</v>
          </cell>
          <cell r="R573" t="str">
            <v>LK013</v>
          </cell>
          <cell r="S573" t="str">
            <v>Night Shift</v>
          </cell>
          <cell r="T573">
            <v>99</v>
          </cell>
          <cell r="U573" t="str">
            <v>MENA_UAE_FC</v>
          </cell>
          <cell r="V573">
            <v>46257.753472222219</v>
          </cell>
          <cell r="X573">
            <v>46257.756944444445</v>
          </cell>
          <cell r="Y573">
            <v>46258.173611111109</v>
          </cell>
          <cell r="Z573" t="str">
            <v>Rest Day</v>
          </cell>
          <cell r="AA573" t="str">
            <v>Not Scheduled</v>
          </cell>
          <cell r="AB573" t="str">
            <v>Present</v>
          </cell>
          <cell r="AC573" t="str">
            <v>Outbound</v>
          </cell>
          <cell r="AD573" t="str">
            <v>Picking</v>
          </cell>
          <cell r="AE573" t="str">
            <v>Pick</v>
          </cell>
          <cell r="AF573" t="str">
            <v>Sunday</v>
          </cell>
          <cell r="AG573" t="str">
            <v>Monday</v>
          </cell>
          <cell r="AH573">
            <v>13</v>
          </cell>
          <cell r="AJ573">
            <v>45690</v>
          </cell>
          <cell r="AM573" t="str">
            <v>TEMP</v>
          </cell>
          <cell r="AN573" t="str">
            <v>3P Onsite Worker</v>
          </cell>
          <cell r="AO573" t="str">
            <v>A</v>
          </cell>
          <cell r="AP573">
            <v>9</v>
          </cell>
          <cell r="AQ573">
            <v>1</v>
          </cell>
          <cell r="AR573">
            <v>1</v>
          </cell>
          <cell r="AS573">
            <v>0</v>
          </cell>
          <cell r="AT573">
            <v>0</v>
          </cell>
          <cell r="AU573">
            <v>0</v>
          </cell>
        </row>
        <row r="574">
          <cell r="D574" t="str">
            <v>kombabep</v>
          </cell>
          <cell r="E574">
            <v>203468510</v>
          </cell>
          <cell r="F574" t="str">
            <v>A</v>
          </cell>
          <cell r="G574" t="str">
            <v>GREEN</v>
          </cell>
          <cell r="H574" t="str">
            <v>FULL_TIME</v>
          </cell>
          <cell r="I574">
            <v>900234</v>
          </cell>
          <cell r="J574" t="str">
            <v>Fastlink Outsourcing</v>
          </cell>
          <cell r="K574" t="str">
            <v>Abel Kombat</v>
          </cell>
          <cell r="L574" t="str">
            <v>Warehouse Associate (TEMP)</v>
          </cell>
          <cell r="M574" t="str">
            <v>Warehouse Associate 12M</v>
          </cell>
          <cell r="N574" t="str">
            <v>kebedeed</v>
          </cell>
          <cell r="O574">
            <v>1299</v>
          </cell>
          <cell r="P574" t="str">
            <v>AUH1</v>
          </cell>
          <cell r="Q574" t="str">
            <v>ARE</v>
          </cell>
          <cell r="R574" t="str">
            <v>LK011</v>
          </cell>
          <cell r="S574" t="str">
            <v>Night Shift</v>
          </cell>
          <cell r="T574">
            <v>99</v>
          </cell>
          <cell r="U574" t="str">
            <v>MENA_UAE_FC</v>
          </cell>
          <cell r="V574">
            <v>46257.755555555559</v>
          </cell>
          <cell r="X574">
            <v>46257.75</v>
          </cell>
          <cell r="Y574">
            <v>46258.166666666664</v>
          </cell>
          <cell r="AA574" t="str">
            <v>Scheduled</v>
          </cell>
          <cell r="AB574" t="str">
            <v>Present</v>
          </cell>
          <cell r="AC574" t="str">
            <v>ICQA</v>
          </cell>
          <cell r="AD574" t="str">
            <v>IC/QA/CS</v>
          </cell>
          <cell r="AE574" t="str">
            <v>Support</v>
          </cell>
          <cell r="AF574" t="str">
            <v>Friday</v>
          </cell>
          <cell r="AG574" t="str">
            <v>Saturday</v>
          </cell>
          <cell r="AH574">
            <v>27</v>
          </cell>
          <cell r="AJ574">
            <v>45455</v>
          </cell>
          <cell r="AM574" t="str">
            <v>TEMP</v>
          </cell>
          <cell r="AN574" t="str">
            <v>3P Onsite Worker</v>
          </cell>
          <cell r="AO574" t="str">
            <v>A</v>
          </cell>
          <cell r="AP574">
            <v>9</v>
          </cell>
          <cell r="AQ574">
            <v>0</v>
          </cell>
          <cell r="AR574">
            <v>1</v>
          </cell>
          <cell r="AS574">
            <v>1</v>
          </cell>
          <cell r="AT574">
            <v>0</v>
          </cell>
          <cell r="AU574">
            <v>0</v>
          </cell>
        </row>
        <row r="575">
          <cell r="D575" t="str">
            <v>koomsoer</v>
          </cell>
          <cell r="E575">
            <v>204967151</v>
          </cell>
          <cell r="F575" t="str">
            <v>A</v>
          </cell>
          <cell r="G575" t="str">
            <v>GREEN</v>
          </cell>
          <cell r="H575" t="str">
            <v>FULL_TIME</v>
          </cell>
          <cell r="I575">
            <v>900234</v>
          </cell>
          <cell r="J575" t="str">
            <v>Dulsco L.L.C.</v>
          </cell>
          <cell r="K575" t="str">
            <v>ERIC KUM KOOMSON</v>
          </cell>
          <cell r="L575" t="str">
            <v>Warehouse Associate (TEMP)</v>
          </cell>
          <cell r="M575" t="str">
            <v>Warehouse Associate 24M</v>
          </cell>
          <cell r="N575" t="str">
            <v>pparsin</v>
          </cell>
          <cell r="O575">
            <v>1299</v>
          </cell>
          <cell r="P575" t="str">
            <v>AUH1</v>
          </cell>
          <cell r="Q575" t="str">
            <v>ARE</v>
          </cell>
          <cell r="R575" t="str">
            <v>FC134</v>
          </cell>
          <cell r="S575" t="str">
            <v>Day Shift</v>
          </cell>
          <cell r="T575">
            <v>99</v>
          </cell>
          <cell r="U575" t="str">
            <v>MENA_UAE_FC</v>
          </cell>
          <cell r="V575">
            <v>46257.330555555556</v>
          </cell>
          <cell r="W575">
            <v>46257.748611111114</v>
          </cell>
          <cell r="X575">
            <v>46257.333333333336</v>
          </cell>
          <cell r="Y575">
            <v>46257.75</v>
          </cell>
          <cell r="AA575" t="str">
            <v>Scheduled</v>
          </cell>
          <cell r="AB575" t="str">
            <v>Present</v>
          </cell>
          <cell r="AC575" t="str">
            <v>Inbound</v>
          </cell>
          <cell r="AD575" t="str">
            <v>Inbound Stow</v>
          </cell>
          <cell r="AE575" t="str">
            <v>Stow</v>
          </cell>
          <cell r="AF575" t="str">
            <v>Wednesday</v>
          </cell>
          <cell r="AG575" t="str">
            <v>Thursday</v>
          </cell>
          <cell r="AH575">
            <v>3</v>
          </cell>
          <cell r="AJ575">
            <v>45825</v>
          </cell>
          <cell r="AM575" t="str">
            <v>TEMP</v>
          </cell>
          <cell r="AN575" t="str">
            <v>3P Onsite Worker</v>
          </cell>
          <cell r="AO575" t="str">
            <v>A</v>
          </cell>
          <cell r="AP575">
            <v>9</v>
          </cell>
          <cell r="AQ575">
            <v>0</v>
          </cell>
          <cell r="AR575">
            <v>1</v>
          </cell>
          <cell r="AS575">
            <v>1</v>
          </cell>
          <cell r="AT575">
            <v>0</v>
          </cell>
          <cell r="AU575">
            <v>0</v>
          </cell>
        </row>
        <row r="576">
          <cell r="D576" t="str">
            <v>korkwaku</v>
          </cell>
          <cell r="E576">
            <v>203522217</v>
          </cell>
          <cell r="F576" t="str">
            <v>A</v>
          </cell>
          <cell r="G576" t="str">
            <v>GREEN</v>
          </cell>
          <cell r="H576" t="str">
            <v>FULL_TIME</v>
          </cell>
          <cell r="I576">
            <v>900234</v>
          </cell>
          <cell r="J576" t="str">
            <v>Adecco</v>
          </cell>
          <cell r="K576" t="str">
            <v>Koranteng Kwaku</v>
          </cell>
          <cell r="L576" t="str">
            <v>Warehouse Associate (TEMP)</v>
          </cell>
          <cell r="M576" t="str">
            <v>Warehouse Associate 24M</v>
          </cell>
          <cell r="N576" t="str">
            <v>bizthoma</v>
          </cell>
          <cell r="O576">
            <v>1299</v>
          </cell>
          <cell r="P576" t="str">
            <v>AUH1</v>
          </cell>
          <cell r="Q576" t="str">
            <v>ARE</v>
          </cell>
          <cell r="R576" t="str">
            <v>LK014</v>
          </cell>
          <cell r="S576" t="str">
            <v>Night Shift</v>
          </cell>
          <cell r="T576">
            <v>99</v>
          </cell>
          <cell r="U576" t="str">
            <v>MENA_UAE_FC</v>
          </cell>
          <cell r="V576">
            <v>46257.758333333331</v>
          </cell>
          <cell r="X576">
            <v>46257.756944444445</v>
          </cell>
          <cell r="Y576">
            <v>46258.173611111109</v>
          </cell>
          <cell r="AA576" t="str">
            <v>Scheduled</v>
          </cell>
          <cell r="AB576" t="str">
            <v>Present</v>
          </cell>
          <cell r="AC576" t="str">
            <v>Outbound</v>
          </cell>
          <cell r="AD576" t="str">
            <v>Pack - Single</v>
          </cell>
          <cell r="AE576" t="str">
            <v>Pack</v>
          </cell>
          <cell r="AF576" t="str">
            <v>Monday</v>
          </cell>
          <cell r="AG576" t="str">
            <v>Tuesday</v>
          </cell>
          <cell r="AH576">
            <v>18</v>
          </cell>
          <cell r="AJ576">
            <v>45462</v>
          </cell>
          <cell r="AM576" t="str">
            <v>TEMP</v>
          </cell>
          <cell r="AN576" t="str">
            <v>3P Onsite Worker</v>
          </cell>
          <cell r="AO576" t="str">
            <v>A</v>
          </cell>
          <cell r="AP576">
            <v>9</v>
          </cell>
          <cell r="AQ576">
            <v>0</v>
          </cell>
          <cell r="AR576">
            <v>1</v>
          </cell>
          <cell r="AS576">
            <v>1</v>
          </cell>
          <cell r="AT576">
            <v>0</v>
          </cell>
          <cell r="AU576">
            <v>0</v>
          </cell>
        </row>
        <row r="577">
          <cell r="D577" t="str">
            <v>koseihen</v>
          </cell>
          <cell r="E577">
            <v>204013684</v>
          </cell>
          <cell r="F577" t="str">
            <v>A</v>
          </cell>
          <cell r="G577" t="str">
            <v>GREEN</v>
          </cell>
          <cell r="H577" t="str">
            <v>FULL_TIME</v>
          </cell>
          <cell r="I577">
            <v>900234</v>
          </cell>
          <cell r="J577" t="str">
            <v>Fastlink Outsourcing</v>
          </cell>
          <cell r="K577" t="str">
            <v>Henry Osei</v>
          </cell>
          <cell r="L577" t="str">
            <v>Warehouse Associate (TEMP)</v>
          </cell>
          <cell r="M577" t="str">
            <v>Warehouse Associate 12M</v>
          </cell>
          <cell r="N577" t="str">
            <v>mnarshad</v>
          </cell>
          <cell r="O577">
            <v>1299</v>
          </cell>
          <cell r="P577" t="str">
            <v>AUH1</v>
          </cell>
          <cell r="Q577" t="str">
            <v>ARE</v>
          </cell>
          <cell r="R577" t="str">
            <v>LK011</v>
          </cell>
          <cell r="S577" t="str">
            <v>Night Shift</v>
          </cell>
          <cell r="T577">
            <v>99</v>
          </cell>
          <cell r="U577" t="str">
            <v>MENA_UAE_FC</v>
          </cell>
          <cell r="V577">
            <v>46257.758333333331</v>
          </cell>
          <cell r="X577">
            <v>46257.756944444445</v>
          </cell>
          <cell r="Y577">
            <v>46258.173611111109</v>
          </cell>
          <cell r="AA577" t="str">
            <v>Scheduled</v>
          </cell>
          <cell r="AB577" t="str">
            <v>Present</v>
          </cell>
          <cell r="AC577" t="str">
            <v>Outbound</v>
          </cell>
          <cell r="AD577" t="str">
            <v>Pack - Batch</v>
          </cell>
          <cell r="AE577" t="str">
            <v>Pack</v>
          </cell>
          <cell r="AF577" t="str">
            <v>Friday</v>
          </cell>
          <cell r="AG577" t="str">
            <v>Saturday</v>
          </cell>
          <cell r="AH577">
            <v>17</v>
          </cell>
          <cell r="AJ577">
            <v>45550</v>
          </cell>
          <cell r="AM577" t="str">
            <v>TEMP</v>
          </cell>
          <cell r="AN577" t="str">
            <v>3P Onsite Worker</v>
          </cell>
          <cell r="AO577" t="str">
            <v>A</v>
          </cell>
          <cell r="AP577">
            <v>9</v>
          </cell>
          <cell r="AQ577">
            <v>0</v>
          </cell>
          <cell r="AR577">
            <v>1</v>
          </cell>
          <cell r="AS577">
            <v>1</v>
          </cell>
          <cell r="AT577">
            <v>0</v>
          </cell>
          <cell r="AU577">
            <v>0</v>
          </cell>
        </row>
        <row r="578">
          <cell r="D578" t="str">
            <v>kourever</v>
          </cell>
          <cell r="E578">
            <v>205252530</v>
          </cell>
          <cell r="F578" t="str">
            <v>A</v>
          </cell>
          <cell r="G578" t="str">
            <v>GREEN</v>
          </cell>
          <cell r="H578" t="str">
            <v>REDUCED</v>
          </cell>
          <cell r="I578">
            <v>900234</v>
          </cell>
          <cell r="J578" t="str">
            <v>EFS Facilities Services</v>
          </cell>
          <cell r="K578" t="str">
            <v>Everline Nyamoita Ouru</v>
          </cell>
          <cell r="L578" t="str">
            <v>Warehouse Associate (TEMP)</v>
          </cell>
          <cell r="M578" t="str">
            <v>Warehouse Associate 8W</v>
          </cell>
          <cell r="N578" t="str">
            <v>scariav</v>
          </cell>
          <cell r="O578">
            <v>1299</v>
          </cell>
          <cell r="P578" t="str">
            <v>AUH1</v>
          </cell>
          <cell r="Q578" t="str">
            <v>ARE</v>
          </cell>
          <cell r="R578" t="str">
            <v>FC556</v>
          </cell>
          <cell r="S578" t="str">
            <v>Night Shift</v>
          </cell>
          <cell r="T578">
            <v>99</v>
          </cell>
          <cell r="U578" t="str">
            <v>MENA_UAE_FC</v>
          </cell>
          <cell r="V578">
            <v>46257.756249999999</v>
          </cell>
          <cell r="X578">
            <v>46257.756944444445</v>
          </cell>
          <cell r="Y578">
            <v>46258.090277777781</v>
          </cell>
          <cell r="AA578" t="str">
            <v>Scheduled</v>
          </cell>
          <cell r="AB578" t="str">
            <v>Present</v>
          </cell>
          <cell r="AC578" t="str">
            <v>Outbound</v>
          </cell>
          <cell r="AD578" t="str">
            <v>Picking</v>
          </cell>
          <cell r="AE578" t="str">
            <v>Pick</v>
          </cell>
          <cell r="AF578" t="str">
            <v>Tuesday</v>
          </cell>
          <cell r="AG578" t="str">
            <v>Wednesday</v>
          </cell>
          <cell r="AH578">
            <v>13</v>
          </cell>
          <cell r="AJ578">
            <v>46251</v>
          </cell>
          <cell r="AM578" t="str">
            <v>TEMP</v>
          </cell>
          <cell r="AN578" t="str">
            <v>3P Onsite Worker</v>
          </cell>
          <cell r="AO578" t="str">
            <v>A</v>
          </cell>
          <cell r="AP578">
            <v>7</v>
          </cell>
          <cell r="AQ578">
            <v>0</v>
          </cell>
          <cell r="AR578">
            <v>1</v>
          </cell>
          <cell r="AS578">
            <v>1</v>
          </cell>
          <cell r="AT578">
            <v>0</v>
          </cell>
          <cell r="AU578">
            <v>0</v>
          </cell>
        </row>
        <row r="579">
          <cell r="D579" t="str">
            <v>kouwilfr</v>
          </cell>
          <cell r="E579">
            <v>203741319</v>
          </cell>
          <cell r="F579" t="str">
            <v>A</v>
          </cell>
          <cell r="G579" t="str">
            <v>GREEN</v>
          </cell>
          <cell r="H579" t="str">
            <v>FULL_TIME</v>
          </cell>
          <cell r="I579">
            <v>900234</v>
          </cell>
          <cell r="J579" t="str">
            <v>Fastlink Outsourcing</v>
          </cell>
          <cell r="K579" t="str">
            <v>WILFRIED KOUNGOU</v>
          </cell>
          <cell r="L579" t="str">
            <v>Warehouse Associate (TEMP)</v>
          </cell>
          <cell r="M579" t="str">
            <v>Warehouse Associate 12M</v>
          </cell>
          <cell r="N579" t="str">
            <v>nnahla</v>
          </cell>
          <cell r="O579">
            <v>1299</v>
          </cell>
          <cell r="P579" t="str">
            <v>AUH1</v>
          </cell>
          <cell r="Q579" t="str">
            <v>ARE</v>
          </cell>
          <cell r="R579" t="str">
            <v>LK016</v>
          </cell>
          <cell r="S579" t="str">
            <v>Night Shift</v>
          </cell>
          <cell r="T579">
            <v>99</v>
          </cell>
          <cell r="U579" t="str">
            <v>MENA_UAE_FC</v>
          </cell>
          <cell r="V579">
            <v>46257.744444444441</v>
          </cell>
          <cell r="X579">
            <v>46257.756944444445</v>
          </cell>
          <cell r="Y579">
            <v>46258.173611111109</v>
          </cell>
          <cell r="AA579" t="str">
            <v>Scheduled</v>
          </cell>
          <cell r="AB579" t="str">
            <v>Present</v>
          </cell>
          <cell r="AC579" t="str">
            <v>Inbound</v>
          </cell>
          <cell r="AD579" t="str">
            <v>Inbound Stow</v>
          </cell>
          <cell r="AE579" t="str">
            <v>Stow</v>
          </cell>
          <cell r="AF579" t="str">
            <v>Wednesday</v>
          </cell>
          <cell r="AG579" t="str">
            <v>Thursday</v>
          </cell>
          <cell r="AH579">
            <v>3</v>
          </cell>
          <cell r="AJ579">
            <v>45501</v>
          </cell>
          <cell r="AM579" t="str">
            <v>TEMP</v>
          </cell>
          <cell r="AN579" t="str">
            <v>3P Onsite Worker</v>
          </cell>
          <cell r="AO579" t="str">
            <v>A</v>
          </cell>
          <cell r="AP579">
            <v>9</v>
          </cell>
          <cell r="AQ579">
            <v>0</v>
          </cell>
          <cell r="AR579">
            <v>1</v>
          </cell>
          <cell r="AS579">
            <v>1</v>
          </cell>
          <cell r="AT579">
            <v>0</v>
          </cell>
          <cell r="AU579">
            <v>0</v>
          </cell>
        </row>
        <row r="580">
          <cell r="D580" t="str">
            <v>krafanth</v>
          </cell>
          <cell r="E580">
            <v>104033275</v>
          </cell>
          <cell r="F580" t="str">
            <v>A</v>
          </cell>
          <cell r="G580" t="str">
            <v>BLUE</v>
          </cell>
          <cell r="H580" t="str">
            <v>FULL_TIME</v>
          </cell>
          <cell r="I580" t="str">
            <v>P03251</v>
          </cell>
          <cell r="K580" t="str">
            <v>Anthony Kraft</v>
          </cell>
          <cell r="L580" t="str">
            <v>FC Associate I</v>
          </cell>
          <cell r="M580" t="str">
            <v>FC Associate I</v>
          </cell>
          <cell r="N580" t="str">
            <v>lraghava</v>
          </cell>
          <cell r="O580">
            <v>1299</v>
          </cell>
          <cell r="P580" t="str">
            <v>AUH1</v>
          </cell>
          <cell r="Q580" t="str">
            <v>ARE</v>
          </cell>
          <cell r="R580" t="str">
            <v>FC059</v>
          </cell>
          <cell r="S580" t="str">
            <v>Day Shift</v>
          </cell>
          <cell r="T580">
            <v>1</v>
          </cell>
          <cell r="U580" t="str">
            <v>MENA_UAE_FC</v>
          </cell>
          <cell r="V580">
            <v>46257.322916666664</v>
          </cell>
          <cell r="W580">
            <v>46257.74722222222</v>
          </cell>
          <cell r="X580">
            <v>46257.333333333336</v>
          </cell>
          <cell r="Y580">
            <v>46257.75</v>
          </cell>
          <cell r="Z580" t="str">
            <v>Rest Day</v>
          </cell>
          <cell r="AA580" t="str">
            <v>Not Scheduled</v>
          </cell>
          <cell r="AB580" t="str">
            <v>Present</v>
          </cell>
          <cell r="AC580" t="str">
            <v>Outbound</v>
          </cell>
          <cell r="AD580" t="str">
            <v>Pack - Single</v>
          </cell>
          <cell r="AE580" t="str">
            <v>Pack</v>
          </cell>
          <cell r="AF580" t="str">
            <v>Sunday</v>
          </cell>
          <cell r="AG580" t="str">
            <v>Monday</v>
          </cell>
          <cell r="AH580">
            <v>18</v>
          </cell>
          <cell r="AJ580">
            <v>44066</v>
          </cell>
          <cell r="AM580" t="str">
            <v>FC</v>
          </cell>
          <cell r="AN580" t="str">
            <v>Regular Full Time</v>
          </cell>
          <cell r="AO580" t="str">
            <v>A</v>
          </cell>
          <cell r="AP580">
            <v>9</v>
          </cell>
          <cell r="AQ580">
            <v>1</v>
          </cell>
          <cell r="AR580">
            <v>1</v>
          </cell>
          <cell r="AS580">
            <v>0</v>
          </cell>
          <cell r="AT580">
            <v>0</v>
          </cell>
          <cell r="AU580">
            <v>0</v>
          </cell>
        </row>
        <row r="581">
          <cell r="D581" t="str">
            <v>ksesteph</v>
          </cell>
          <cell r="E581">
            <v>203908354</v>
          </cell>
          <cell r="F581" t="str">
            <v>A</v>
          </cell>
          <cell r="G581" t="str">
            <v>GREEN</v>
          </cell>
          <cell r="H581" t="str">
            <v>FULL_TIME</v>
          </cell>
          <cell r="I581">
            <v>900234</v>
          </cell>
          <cell r="J581" t="str">
            <v>Dulsco L.L.C.</v>
          </cell>
          <cell r="K581" t="str">
            <v>STEPHEN SEETA</v>
          </cell>
          <cell r="L581" t="str">
            <v>Warehouse Associate (TEMP)</v>
          </cell>
          <cell r="M581" t="str">
            <v>Warehouse Associate 8W</v>
          </cell>
          <cell r="N581" t="str">
            <v>bavameer</v>
          </cell>
          <cell r="O581">
            <v>1299</v>
          </cell>
          <cell r="P581" t="str">
            <v>AUH1</v>
          </cell>
          <cell r="Q581" t="str">
            <v>ARE</v>
          </cell>
          <cell r="R581" t="str">
            <v>LK011</v>
          </cell>
          <cell r="S581" t="str">
            <v>Night Shift</v>
          </cell>
          <cell r="T581">
            <v>99</v>
          </cell>
          <cell r="U581" t="str">
            <v>MENA_UAE_FC</v>
          </cell>
          <cell r="V581">
            <v>46257.755555555559</v>
          </cell>
          <cell r="X581">
            <v>46257.756944444445</v>
          </cell>
          <cell r="Y581">
            <v>46258.173611111109</v>
          </cell>
          <cell r="AA581" t="str">
            <v>Scheduled</v>
          </cell>
          <cell r="AB581" t="str">
            <v>Present</v>
          </cell>
          <cell r="AC581" t="str">
            <v>Customer returns</v>
          </cell>
          <cell r="AD581" t="str">
            <v>Customer Returns</v>
          </cell>
          <cell r="AE581" t="str">
            <v>Customer returns</v>
          </cell>
          <cell r="AF581" t="str">
            <v>Friday</v>
          </cell>
          <cell r="AG581" t="str">
            <v>Saturday</v>
          </cell>
          <cell r="AH581">
            <v>22</v>
          </cell>
          <cell r="AJ581">
            <v>45683</v>
          </cell>
          <cell r="AM581" t="str">
            <v>TEMP</v>
          </cell>
          <cell r="AN581" t="str">
            <v>3P Onsite Worker</v>
          </cell>
          <cell r="AO581" t="str">
            <v>A</v>
          </cell>
          <cell r="AP581">
            <v>9</v>
          </cell>
          <cell r="AQ581">
            <v>0</v>
          </cell>
          <cell r="AR581">
            <v>1</v>
          </cell>
          <cell r="AS581">
            <v>1</v>
          </cell>
          <cell r="AT581">
            <v>0</v>
          </cell>
          <cell r="AU581">
            <v>0</v>
          </cell>
        </row>
        <row r="582">
          <cell r="D582" t="str">
            <v>kssekale</v>
          </cell>
          <cell r="E582">
            <v>204010440</v>
          </cell>
          <cell r="F582" t="str">
            <v>A</v>
          </cell>
          <cell r="G582" t="str">
            <v>GREEN</v>
          </cell>
          <cell r="H582" t="str">
            <v>FULL_TIME</v>
          </cell>
          <cell r="I582">
            <v>900234</v>
          </cell>
          <cell r="J582" t="str">
            <v>Dulsco L.L.C.</v>
          </cell>
          <cell r="K582" t="str">
            <v>KEVIN SSEKALEGGA</v>
          </cell>
          <cell r="L582" t="str">
            <v>Warehouse Associate (TEMP)</v>
          </cell>
          <cell r="M582" t="str">
            <v>Warehouse Associate 8W</v>
          </cell>
          <cell r="N582" t="str">
            <v>lraghava</v>
          </cell>
          <cell r="O582">
            <v>1299</v>
          </cell>
          <cell r="P582" t="str">
            <v>AUH1</v>
          </cell>
          <cell r="Q582" t="str">
            <v>ARE</v>
          </cell>
          <cell r="R582" t="str">
            <v>LK011</v>
          </cell>
          <cell r="S582" t="str">
            <v>Night Shift</v>
          </cell>
          <cell r="T582">
            <v>99</v>
          </cell>
          <cell r="U582" t="str">
            <v>MENA_UAE_FC</v>
          </cell>
          <cell r="V582">
            <v>46257.756944444445</v>
          </cell>
          <cell r="X582">
            <v>46257.756944444445</v>
          </cell>
          <cell r="Y582">
            <v>46258.173611111109</v>
          </cell>
          <cell r="AA582" t="str">
            <v>Scheduled</v>
          </cell>
          <cell r="AB582" t="str">
            <v>Present</v>
          </cell>
          <cell r="AC582" t="str">
            <v>Outbound</v>
          </cell>
          <cell r="AD582" t="str">
            <v>Picking</v>
          </cell>
          <cell r="AE582" t="str">
            <v>Pick</v>
          </cell>
          <cell r="AF582" t="str">
            <v>Friday</v>
          </cell>
          <cell r="AG582" t="str">
            <v>Saturday</v>
          </cell>
          <cell r="AH582">
            <v>13</v>
          </cell>
          <cell r="AJ582">
            <v>45893</v>
          </cell>
          <cell r="AM582" t="str">
            <v>TEMP</v>
          </cell>
          <cell r="AN582" t="str">
            <v>3P Onsite Worker</v>
          </cell>
          <cell r="AO582" t="str">
            <v>A</v>
          </cell>
          <cell r="AP582">
            <v>9</v>
          </cell>
          <cell r="AQ582">
            <v>0</v>
          </cell>
          <cell r="AR582">
            <v>1</v>
          </cell>
          <cell r="AS582">
            <v>1</v>
          </cell>
          <cell r="AT582">
            <v>0</v>
          </cell>
          <cell r="AU582">
            <v>0</v>
          </cell>
        </row>
        <row r="583">
          <cell r="D583" t="str">
            <v>kswamadu</v>
          </cell>
          <cell r="E583">
            <v>203908343</v>
          </cell>
          <cell r="F583" t="str">
            <v>A</v>
          </cell>
          <cell r="G583" t="str">
            <v>GREEN</v>
          </cell>
          <cell r="H583" t="str">
            <v>FULL_TIME</v>
          </cell>
          <cell r="I583">
            <v>900234</v>
          </cell>
          <cell r="J583" t="str">
            <v>Dulsco L.L.C.</v>
          </cell>
          <cell r="K583" t="str">
            <v>SWAMADU KIRYA</v>
          </cell>
          <cell r="L583" t="str">
            <v>Warehouse Associate (TEMP)</v>
          </cell>
          <cell r="M583" t="str">
            <v>Warehouse Associate 24M</v>
          </cell>
          <cell r="N583" t="str">
            <v>scariav</v>
          </cell>
          <cell r="O583">
            <v>1299</v>
          </cell>
          <cell r="P583" t="str">
            <v>AUH1</v>
          </cell>
          <cell r="Q583" t="str">
            <v>ARE</v>
          </cell>
          <cell r="R583" t="str">
            <v>LK016</v>
          </cell>
          <cell r="S583" t="str">
            <v>Night Shift</v>
          </cell>
          <cell r="T583">
            <v>99</v>
          </cell>
          <cell r="U583" t="str">
            <v>MENA_UAE_FC</v>
          </cell>
          <cell r="V583">
            <v>46257.756249999999</v>
          </cell>
          <cell r="X583">
            <v>46257.756944444445</v>
          </cell>
          <cell r="Y583">
            <v>46258.173611111109</v>
          </cell>
          <cell r="AA583" t="str">
            <v>Scheduled</v>
          </cell>
          <cell r="AB583" t="str">
            <v>Present</v>
          </cell>
          <cell r="AC583" t="str">
            <v>Outbound</v>
          </cell>
          <cell r="AD583" t="str">
            <v>Picking</v>
          </cell>
          <cell r="AE583" t="str">
            <v>Pick</v>
          </cell>
          <cell r="AF583" t="str">
            <v>Wednesday</v>
          </cell>
          <cell r="AG583" t="str">
            <v>Thursday</v>
          </cell>
          <cell r="AH583">
            <v>13</v>
          </cell>
          <cell r="AJ583">
            <v>45536</v>
          </cell>
          <cell r="AM583" t="str">
            <v>TEMP</v>
          </cell>
          <cell r="AN583" t="str">
            <v>3P Onsite Worker</v>
          </cell>
          <cell r="AO583" t="str">
            <v>A</v>
          </cell>
          <cell r="AP583">
            <v>9</v>
          </cell>
          <cell r="AQ583">
            <v>0</v>
          </cell>
          <cell r="AR583">
            <v>1</v>
          </cell>
          <cell r="AS583">
            <v>1</v>
          </cell>
          <cell r="AT583">
            <v>0</v>
          </cell>
          <cell r="AU583">
            <v>0</v>
          </cell>
        </row>
        <row r="584">
          <cell r="D584" t="str">
            <v>kubiandr</v>
          </cell>
          <cell r="E584">
            <v>204864410</v>
          </cell>
          <cell r="F584" t="str">
            <v>A</v>
          </cell>
          <cell r="G584" t="str">
            <v>GREEN</v>
          </cell>
          <cell r="H584" t="str">
            <v>FULL_TIME</v>
          </cell>
          <cell r="I584">
            <v>900234</v>
          </cell>
          <cell r="J584" t="str">
            <v>Dulsco L.L.C.</v>
          </cell>
          <cell r="K584" t="str">
            <v>ANDREWS APPIAH KUBI</v>
          </cell>
          <cell r="L584" t="str">
            <v>Warehouse Associate (TEMP)</v>
          </cell>
          <cell r="M584" t="str">
            <v>Warehouse Associate 24M</v>
          </cell>
          <cell r="N584" t="str">
            <v>amanmish</v>
          </cell>
          <cell r="O584">
            <v>1299</v>
          </cell>
          <cell r="P584" t="str">
            <v>AUH1</v>
          </cell>
          <cell r="Q584" t="str">
            <v>ARE</v>
          </cell>
          <cell r="R584" t="str">
            <v>FC059</v>
          </cell>
          <cell r="S584" t="str">
            <v>Day Shift</v>
          </cell>
          <cell r="T584">
            <v>99</v>
          </cell>
          <cell r="U584" t="str">
            <v>MENA_UAE_FC</v>
          </cell>
          <cell r="X584">
            <v>46257.333333333336</v>
          </cell>
          <cell r="Y584">
            <v>46257.75</v>
          </cell>
          <cell r="Z584" t="str">
            <v>Rest Day</v>
          </cell>
          <cell r="AA584" t="str">
            <v>Not Scheduled</v>
          </cell>
          <cell r="AB584" t="str">
            <v>Not Present</v>
          </cell>
          <cell r="AC584" t="str">
            <v>Outbound</v>
          </cell>
          <cell r="AD584" t="str">
            <v>Picking</v>
          </cell>
          <cell r="AE584" t="str">
            <v>Pick</v>
          </cell>
          <cell r="AF584" t="str">
            <v>Sunday</v>
          </cell>
          <cell r="AG584" t="str">
            <v>Monday</v>
          </cell>
          <cell r="AH584">
            <v>13</v>
          </cell>
          <cell r="AJ584">
            <v>45683</v>
          </cell>
          <cell r="AM584" t="str">
            <v>TEMP</v>
          </cell>
          <cell r="AN584" t="str">
            <v>3P Onsite Worker</v>
          </cell>
          <cell r="AO584" t="str">
            <v>A</v>
          </cell>
          <cell r="AP584">
            <v>9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</row>
        <row r="585">
          <cell r="D585" t="str">
            <v>kufkamid</v>
          </cell>
          <cell r="E585">
            <v>205986151</v>
          </cell>
          <cell r="F585" t="str">
            <v>A</v>
          </cell>
          <cell r="G585" t="str">
            <v>GREEN</v>
          </cell>
          <cell r="H585" t="str">
            <v>FULL_TIME</v>
          </cell>
          <cell r="I585">
            <v>900234</v>
          </cell>
          <cell r="J585" t="str">
            <v>Dulsco L.L.C.</v>
          </cell>
          <cell r="K585" t="str">
            <v>KUFAM AMIDU</v>
          </cell>
          <cell r="L585" t="str">
            <v>Warehouse Associate (TEMP)</v>
          </cell>
          <cell r="M585" t="str">
            <v>Warehouse Associate 24M</v>
          </cell>
          <cell r="N585" t="str">
            <v>nnahla</v>
          </cell>
          <cell r="O585">
            <v>1299</v>
          </cell>
          <cell r="P585" t="str">
            <v>AUH1</v>
          </cell>
          <cell r="Q585" t="str">
            <v>ARE</v>
          </cell>
          <cell r="R585" t="str">
            <v>LK017</v>
          </cell>
          <cell r="S585" t="str">
            <v>Night Shift</v>
          </cell>
          <cell r="T585">
            <v>99</v>
          </cell>
          <cell r="U585" t="str">
            <v>MENA_UAE_FC</v>
          </cell>
          <cell r="V585">
            <v>46257.754861111112</v>
          </cell>
          <cell r="X585">
            <v>46257.756944444445</v>
          </cell>
          <cell r="Y585">
            <v>46258.173611111109</v>
          </cell>
          <cell r="AA585" t="str">
            <v>Scheduled</v>
          </cell>
          <cell r="AB585" t="str">
            <v>Present</v>
          </cell>
          <cell r="AC585" t="str">
            <v>Inbound</v>
          </cell>
          <cell r="AD585" t="str">
            <v>Inbound Stow</v>
          </cell>
          <cell r="AE585" t="str">
            <v>Stow</v>
          </cell>
          <cell r="AF585" t="str">
            <v>Thursday</v>
          </cell>
          <cell r="AG585" t="str">
            <v>Friday</v>
          </cell>
          <cell r="AH585">
            <v>3</v>
          </cell>
          <cell r="AJ585">
            <v>45914</v>
          </cell>
          <cell r="AM585" t="str">
            <v>TEMP</v>
          </cell>
          <cell r="AN585" t="str">
            <v>3P Onsite Worker</v>
          </cell>
          <cell r="AO585" t="str">
            <v>A</v>
          </cell>
          <cell r="AP585">
            <v>9</v>
          </cell>
          <cell r="AQ585">
            <v>0</v>
          </cell>
          <cell r="AR585">
            <v>1</v>
          </cell>
          <cell r="AS585">
            <v>1</v>
          </cell>
          <cell r="AT585">
            <v>0</v>
          </cell>
          <cell r="AU585">
            <v>0</v>
          </cell>
        </row>
        <row r="586">
          <cell r="D586" t="str">
            <v>kufranc</v>
          </cell>
          <cell r="E586">
            <v>204137705</v>
          </cell>
          <cell r="F586" t="str">
            <v>A</v>
          </cell>
          <cell r="G586" t="str">
            <v>GREEN</v>
          </cell>
          <cell r="H586" t="str">
            <v>FULL_TIME</v>
          </cell>
          <cell r="I586">
            <v>900234</v>
          </cell>
          <cell r="J586" t="str">
            <v>Quesscorp</v>
          </cell>
          <cell r="K586" t="str">
            <v>Francis Kuma</v>
          </cell>
          <cell r="L586" t="str">
            <v>Warehouse Associate (TEMP)</v>
          </cell>
          <cell r="M586" t="str">
            <v>Warehouse Associate 24M</v>
          </cell>
          <cell r="N586" t="str">
            <v>scariav</v>
          </cell>
          <cell r="O586">
            <v>1299</v>
          </cell>
          <cell r="P586" t="str">
            <v>AUH1</v>
          </cell>
          <cell r="Q586" t="str">
            <v>ARE</v>
          </cell>
          <cell r="R586" t="str">
            <v>LK014</v>
          </cell>
          <cell r="S586" t="str">
            <v>Night Shift</v>
          </cell>
          <cell r="T586">
            <v>99</v>
          </cell>
          <cell r="U586" t="str">
            <v>MENA_UAE_FC</v>
          </cell>
          <cell r="V586">
            <v>46257.755555555559</v>
          </cell>
          <cell r="X586">
            <v>46257.756944444445</v>
          </cell>
          <cell r="Y586">
            <v>46258.173611111109</v>
          </cell>
          <cell r="AA586" t="str">
            <v>Scheduled</v>
          </cell>
          <cell r="AB586" t="str">
            <v>Present</v>
          </cell>
          <cell r="AC586" t="str">
            <v>Outbound</v>
          </cell>
          <cell r="AD586" t="str">
            <v>Picking</v>
          </cell>
          <cell r="AE586" t="str">
            <v>Pick</v>
          </cell>
          <cell r="AF586" t="str">
            <v>Monday</v>
          </cell>
          <cell r="AG586" t="str">
            <v>Tuesday</v>
          </cell>
          <cell r="AH586">
            <v>13</v>
          </cell>
          <cell r="AJ586">
            <v>45564</v>
          </cell>
          <cell r="AM586" t="str">
            <v>TEMP</v>
          </cell>
          <cell r="AN586" t="str">
            <v>3P Onsite Worker</v>
          </cell>
          <cell r="AO586" t="str">
            <v>A</v>
          </cell>
          <cell r="AP586">
            <v>9</v>
          </cell>
          <cell r="AQ586">
            <v>0</v>
          </cell>
          <cell r="AR586">
            <v>1</v>
          </cell>
          <cell r="AS586">
            <v>1</v>
          </cell>
          <cell r="AT586">
            <v>0</v>
          </cell>
          <cell r="AU586">
            <v>0</v>
          </cell>
        </row>
        <row r="587">
          <cell r="D587" t="str">
            <v>kukulago</v>
          </cell>
          <cell r="E587">
            <v>203737145</v>
          </cell>
          <cell r="F587" t="str">
            <v>A</v>
          </cell>
          <cell r="G587" t="str">
            <v>GREEN</v>
          </cell>
          <cell r="H587" t="str">
            <v>FULL_TIME</v>
          </cell>
          <cell r="I587">
            <v>900234</v>
          </cell>
          <cell r="J587" t="str">
            <v>Fastlink Outsourcing</v>
          </cell>
          <cell r="K587" t="str">
            <v>Anusha Kukulagoda Ullege</v>
          </cell>
          <cell r="L587" t="str">
            <v>Warehouse Associate (TEMP)</v>
          </cell>
          <cell r="M587" t="str">
            <v>Warehouse Associate 12M</v>
          </cell>
          <cell r="N587" t="str">
            <v>pparsin</v>
          </cell>
          <cell r="O587">
            <v>1299</v>
          </cell>
          <cell r="P587" t="str">
            <v>AUH1</v>
          </cell>
          <cell r="Q587" t="str">
            <v>ARE</v>
          </cell>
          <cell r="R587" t="str">
            <v>LK013</v>
          </cell>
          <cell r="S587" t="str">
            <v>Night Shift</v>
          </cell>
          <cell r="T587">
            <v>99</v>
          </cell>
          <cell r="U587" t="str">
            <v>MENA_UAE_FC</v>
          </cell>
          <cell r="X587">
            <v>46257.756944444445</v>
          </cell>
          <cell r="Y587">
            <v>46258.173611111109</v>
          </cell>
          <cell r="Z587" t="str">
            <v>Rest Day</v>
          </cell>
          <cell r="AA587" t="str">
            <v>Not Scheduled</v>
          </cell>
          <cell r="AB587" t="str">
            <v>Not Present</v>
          </cell>
          <cell r="AC587" t="str">
            <v>Inbound</v>
          </cell>
          <cell r="AD587" t="str">
            <v>Inbound Stow</v>
          </cell>
          <cell r="AE587" t="str">
            <v>Stow</v>
          </cell>
          <cell r="AF587" t="str">
            <v>Sunday</v>
          </cell>
          <cell r="AG587" t="str">
            <v>Monday</v>
          </cell>
          <cell r="AH587">
            <v>3</v>
          </cell>
          <cell r="AJ587">
            <v>45501</v>
          </cell>
          <cell r="AM587" t="str">
            <v>TEMP</v>
          </cell>
          <cell r="AN587" t="str">
            <v>3P Onsite Worker</v>
          </cell>
          <cell r="AO587" t="str">
            <v>A</v>
          </cell>
          <cell r="AP587">
            <v>9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</row>
        <row r="588">
          <cell r="D588" t="str">
            <v>kulmika</v>
          </cell>
          <cell r="E588">
            <v>203908896</v>
          </cell>
          <cell r="F588" t="str">
            <v>A</v>
          </cell>
          <cell r="G588" t="str">
            <v>GREEN</v>
          </cell>
          <cell r="H588" t="str">
            <v>FULL_TIME</v>
          </cell>
          <cell r="I588">
            <v>900234</v>
          </cell>
          <cell r="J588" t="str">
            <v>Dulsco L.L.C.</v>
          </cell>
          <cell r="K588" t="str">
            <v>MIKA KULE</v>
          </cell>
          <cell r="L588" t="str">
            <v>Warehouse Associate (TEMP)</v>
          </cell>
          <cell r="M588" t="str">
            <v>Warehouse Associate 24M</v>
          </cell>
          <cell r="N588" t="str">
            <v>mnarshad</v>
          </cell>
          <cell r="O588">
            <v>1299</v>
          </cell>
          <cell r="P588" t="str">
            <v>AUH1</v>
          </cell>
          <cell r="Q588" t="str">
            <v>ARE</v>
          </cell>
          <cell r="R588" t="str">
            <v>LK011</v>
          </cell>
          <cell r="S588" t="str">
            <v>Night Shift</v>
          </cell>
          <cell r="T588">
            <v>99</v>
          </cell>
          <cell r="U588" t="str">
            <v>MENA_UAE_FC</v>
          </cell>
          <cell r="V588">
            <v>46257.756249999999</v>
          </cell>
          <cell r="X588">
            <v>46257.756944444445</v>
          </cell>
          <cell r="Y588">
            <v>46258.173611111109</v>
          </cell>
          <cell r="AA588" t="str">
            <v>Scheduled</v>
          </cell>
          <cell r="AB588" t="str">
            <v>Present</v>
          </cell>
          <cell r="AC588" t="str">
            <v>Outbound</v>
          </cell>
          <cell r="AD588" t="str">
            <v>Picking</v>
          </cell>
          <cell r="AE588" t="str">
            <v>Pick</v>
          </cell>
          <cell r="AF588" t="str">
            <v>Friday</v>
          </cell>
          <cell r="AG588" t="str">
            <v>Saturday</v>
          </cell>
          <cell r="AH588">
            <v>13</v>
          </cell>
          <cell r="AJ588">
            <v>45788</v>
          </cell>
          <cell r="AM588" t="str">
            <v>TEMP</v>
          </cell>
          <cell r="AN588" t="str">
            <v>3P Onsite Worker</v>
          </cell>
          <cell r="AO588" t="str">
            <v>A</v>
          </cell>
          <cell r="AP588">
            <v>9</v>
          </cell>
          <cell r="AQ588">
            <v>0</v>
          </cell>
          <cell r="AR588">
            <v>1</v>
          </cell>
          <cell r="AS588">
            <v>1</v>
          </cell>
          <cell r="AT588">
            <v>0</v>
          </cell>
          <cell r="AU588">
            <v>0</v>
          </cell>
        </row>
        <row r="589">
          <cell r="D589" t="str">
            <v>kuncarol</v>
          </cell>
          <cell r="E589">
            <v>206128580</v>
          </cell>
          <cell r="F589" t="str">
            <v>A</v>
          </cell>
          <cell r="G589" t="str">
            <v>GREEN</v>
          </cell>
          <cell r="H589" t="str">
            <v>REDUCED</v>
          </cell>
          <cell r="I589">
            <v>900234</v>
          </cell>
          <cell r="J589" t="str">
            <v>EFS Facilities Services</v>
          </cell>
          <cell r="K589" t="str">
            <v>Caroline Wanja Kungu</v>
          </cell>
          <cell r="L589" t="str">
            <v>Warehouse Associate (TEMP)</v>
          </cell>
          <cell r="M589" t="str">
            <v>Warehouse Associate 8W</v>
          </cell>
          <cell r="N589" t="str">
            <v>scariav</v>
          </cell>
          <cell r="O589">
            <v>1299</v>
          </cell>
          <cell r="P589" t="str">
            <v>AUH1</v>
          </cell>
          <cell r="Q589" t="str">
            <v>ARE</v>
          </cell>
          <cell r="R589" t="str">
            <v>FC555</v>
          </cell>
          <cell r="S589" t="str">
            <v>Night Shift</v>
          </cell>
          <cell r="T589">
            <v>99</v>
          </cell>
          <cell r="U589" t="str">
            <v>MENA_UAE_FC</v>
          </cell>
          <cell r="V589">
            <v>46257.756249999999</v>
          </cell>
          <cell r="X589">
            <v>46257.756944444445</v>
          </cell>
          <cell r="Y589">
            <v>46258.090277777781</v>
          </cell>
          <cell r="AA589" t="str">
            <v>Scheduled</v>
          </cell>
          <cell r="AB589" t="str">
            <v>Present</v>
          </cell>
          <cell r="AC589" t="str">
            <v>Outbound</v>
          </cell>
          <cell r="AD589" t="str">
            <v>Pack - Batch</v>
          </cell>
          <cell r="AE589" t="str">
            <v>Pack</v>
          </cell>
          <cell r="AF589" t="str">
            <v>Monday</v>
          </cell>
          <cell r="AG589" t="str">
            <v>Tuesday</v>
          </cell>
          <cell r="AH589">
            <v>17</v>
          </cell>
          <cell r="AJ589">
            <v>46251</v>
          </cell>
          <cell r="AM589" t="str">
            <v>TEMP</v>
          </cell>
          <cell r="AN589" t="str">
            <v>3P Onsite Worker</v>
          </cell>
          <cell r="AO589" t="str">
            <v>A</v>
          </cell>
          <cell r="AP589">
            <v>7</v>
          </cell>
          <cell r="AQ589">
            <v>0</v>
          </cell>
          <cell r="AR589">
            <v>1</v>
          </cell>
          <cell r="AS589">
            <v>1</v>
          </cell>
          <cell r="AT589">
            <v>0</v>
          </cell>
          <cell r="AU589">
            <v>0</v>
          </cell>
        </row>
        <row r="590">
          <cell r="D590" t="str">
            <v>kunopatr</v>
          </cell>
          <cell r="E590">
            <v>204117683</v>
          </cell>
          <cell r="F590" t="str">
            <v>A</v>
          </cell>
          <cell r="G590" t="str">
            <v>GREEN</v>
          </cell>
          <cell r="H590" t="str">
            <v>FULL_TIME</v>
          </cell>
          <cell r="I590">
            <v>900234</v>
          </cell>
          <cell r="J590" t="str">
            <v>Quesscorp</v>
          </cell>
          <cell r="K590" t="str">
            <v>Patricia Kundu</v>
          </cell>
          <cell r="L590" t="str">
            <v>Warehouse Associate (TEMP)</v>
          </cell>
          <cell r="M590" t="str">
            <v>Warehouse Associate 24M</v>
          </cell>
          <cell r="N590" t="str">
            <v>scariav</v>
          </cell>
          <cell r="O590">
            <v>1299</v>
          </cell>
          <cell r="P590" t="str">
            <v>AUH1</v>
          </cell>
          <cell r="Q590" t="str">
            <v>ARE</v>
          </cell>
          <cell r="R590" t="str">
            <v>LK016</v>
          </cell>
          <cell r="S590" t="str">
            <v>Night Shift</v>
          </cell>
          <cell r="T590">
            <v>99</v>
          </cell>
          <cell r="U590" t="str">
            <v>MENA_UAE_FC</v>
          </cell>
          <cell r="V590">
            <v>46257.755555555559</v>
          </cell>
          <cell r="X590">
            <v>46257.756944444445</v>
          </cell>
          <cell r="Y590">
            <v>46258.173611111109</v>
          </cell>
          <cell r="AA590" t="str">
            <v>Scheduled</v>
          </cell>
          <cell r="AB590" t="str">
            <v>Present</v>
          </cell>
          <cell r="AC590" t="str">
            <v>Outbound</v>
          </cell>
          <cell r="AD590" t="str">
            <v>Picking</v>
          </cell>
          <cell r="AE590" t="str">
            <v>Pick</v>
          </cell>
          <cell r="AF590" t="str">
            <v>Wednesday</v>
          </cell>
          <cell r="AG590" t="str">
            <v>Thursday</v>
          </cell>
          <cell r="AH590">
            <v>13</v>
          </cell>
          <cell r="AJ590">
            <v>45560</v>
          </cell>
          <cell r="AM590" t="str">
            <v>TEMP</v>
          </cell>
          <cell r="AN590" t="str">
            <v>3P Onsite Worker</v>
          </cell>
          <cell r="AO590" t="str">
            <v>A</v>
          </cell>
          <cell r="AP590">
            <v>9</v>
          </cell>
          <cell r="AQ590">
            <v>0</v>
          </cell>
          <cell r="AR590">
            <v>1</v>
          </cell>
          <cell r="AS590">
            <v>1</v>
          </cell>
          <cell r="AT590">
            <v>0</v>
          </cell>
          <cell r="AU590">
            <v>0</v>
          </cell>
        </row>
        <row r="591">
          <cell r="D591" t="str">
            <v>kunorahk</v>
          </cell>
          <cell r="E591">
            <v>206348053</v>
          </cell>
          <cell r="F591" t="str">
            <v>A</v>
          </cell>
          <cell r="G591" t="str">
            <v>GREEN</v>
          </cell>
          <cell r="H591" t="str">
            <v>FULL_TIME</v>
          </cell>
          <cell r="I591">
            <v>900234</v>
          </cell>
          <cell r="J591" t="str">
            <v>Fastlink Outsourcing</v>
          </cell>
          <cell r="K591" t="str">
            <v>NORAH KULUDHI</v>
          </cell>
          <cell r="L591" t="str">
            <v>Warehouse Associate (TEMP)</v>
          </cell>
          <cell r="M591" t="str">
            <v>Warehouse Associate 12M</v>
          </cell>
          <cell r="N591" t="str">
            <v>bavameer</v>
          </cell>
          <cell r="O591">
            <v>1299</v>
          </cell>
          <cell r="P591" t="str">
            <v>AUH1</v>
          </cell>
          <cell r="Q591" t="str">
            <v>ARE</v>
          </cell>
          <cell r="R591" t="str">
            <v>LK015</v>
          </cell>
          <cell r="S591" t="str">
            <v>Night Shift</v>
          </cell>
          <cell r="T591">
            <v>99</v>
          </cell>
          <cell r="U591" t="str">
            <v>MENA_UAE_FC</v>
          </cell>
          <cell r="V591">
            <v>46257.755555555559</v>
          </cell>
          <cell r="X591">
            <v>46257.756944444445</v>
          </cell>
          <cell r="Y591">
            <v>46258.173611111109</v>
          </cell>
          <cell r="AA591" t="str">
            <v>Scheduled</v>
          </cell>
          <cell r="AB591" t="str">
            <v>Present</v>
          </cell>
          <cell r="AC591" t="str">
            <v>Customer returns</v>
          </cell>
          <cell r="AD591" t="str">
            <v>Customer Returns</v>
          </cell>
          <cell r="AE591" t="str">
            <v>Customer returns</v>
          </cell>
          <cell r="AF591" t="str">
            <v>Tuesday</v>
          </cell>
          <cell r="AG591" t="str">
            <v>Wednesday</v>
          </cell>
          <cell r="AH591">
            <v>22</v>
          </cell>
          <cell r="AJ591">
            <v>45956</v>
          </cell>
          <cell r="AM591" t="str">
            <v>TEMP</v>
          </cell>
          <cell r="AN591" t="str">
            <v>3P Onsite Worker</v>
          </cell>
          <cell r="AO591" t="str">
            <v>A</v>
          </cell>
          <cell r="AP591">
            <v>9</v>
          </cell>
          <cell r="AQ591">
            <v>0</v>
          </cell>
          <cell r="AR591">
            <v>1</v>
          </cell>
          <cell r="AS591">
            <v>1</v>
          </cell>
          <cell r="AT591">
            <v>0</v>
          </cell>
          <cell r="AU591">
            <v>0</v>
          </cell>
        </row>
        <row r="592">
          <cell r="D592" t="str">
            <v>kusiisa</v>
          </cell>
          <cell r="E592">
            <v>205996133</v>
          </cell>
          <cell r="F592" t="str">
            <v>A</v>
          </cell>
          <cell r="G592" t="str">
            <v>GREEN</v>
          </cell>
          <cell r="H592" t="str">
            <v>REDUCED</v>
          </cell>
          <cell r="I592">
            <v>900234</v>
          </cell>
          <cell r="J592" t="str">
            <v>Fastlink Outsourcing</v>
          </cell>
          <cell r="K592" t="str">
            <v>ISAAC KUSI MENSAH</v>
          </cell>
          <cell r="L592" t="str">
            <v>Warehouse Associate (TEMP)</v>
          </cell>
          <cell r="M592" t="str">
            <v>Warehouse Associate 8W</v>
          </cell>
          <cell r="N592" t="str">
            <v>bizthoma</v>
          </cell>
          <cell r="O592">
            <v>1299</v>
          </cell>
          <cell r="P592" t="str">
            <v>AUH1</v>
          </cell>
          <cell r="Q592" t="str">
            <v>ARE</v>
          </cell>
          <cell r="R592" t="str">
            <v>FC552</v>
          </cell>
          <cell r="S592" t="str">
            <v>Night Shift</v>
          </cell>
          <cell r="T592">
            <v>99</v>
          </cell>
          <cell r="U592" t="str">
            <v>MENA_UAE_FC</v>
          </cell>
          <cell r="V592">
            <v>46257.756249999999</v>
          </cell>
          <cell r="X592">
            <v>46257.756944444445</v>
          </cell>
          <cell r="Y592">
            <v>46258.090277777781</v>
          </cell>
          <cell r="AA592" t="str">
            <v>Scheduled</v>
          </cell>
          <cell r="AB592" t="str">
            <v>Present</v>
          </cell>
          <cell r="AC592" t="str">
            <v>Outbound</v>
          </cell>
          <cell r="AD592" t="str">
            <v>Picking</v>
          </cell>
          <cell r="AE592" t="str">
            <v>Pick</v>
          </cell>
          <cell r="AF592" t="str">
            <v>Friday</v>
          </cell>
          <cell r="AG592" t="str">
            <v>Saturday</v>
          </cell>
          <cell r="AH592">
            <v>13</v>
          </cell>
          <cell r="AJ592">
            <v>46251</v>
          </cell>
          <cell r="AM592" t="str">
            <v>TEMP</v>
          </cell>
          <cell r="AN592" t="str">
            <v>3P Onsite Worker</v>
          </cell>
          <cell r="AO592" t="str">
            <v>A</v>
          </cell>
          <cell r="AP592">
            <v>7</v>
          </cell>
          <cell r="AQ592">
            <v>0</v>
          </cell>
          <cell r="AR592">
            <v>1</v>
          </cell>
          <cell r="AS592">
            <v>1</v>
          </cell>
          <cell r="AT592">
            <v>0</v>
          </cell>
          <cell r="AU592">
            <v>0</v>
          </cell>
        </row>
        <row r="593">
          <cell r="D593" t="str">
            <v>kwaaboag</v>
          </cell>
          <cell r="E593">
            <v>204246607</v>
          </cell>
          <cell r="F593" t="str">
            <v>A</v>
          </cell>
          <cell r="G593" t="str">
            <v>GREEN</v>
          </cell>
          <cell r="H593" t="str">
            <v>FULL_TIME</v>
          </cell>
          <cell r="I593">
            <v>900234</v>
          </cell>
          <cell r="J593" t="str">
            <v>Quesscorp</v>
          </cell>
          <cell r="K593" t="str">
            <v>Kwabena Aboagye-Acheampong</v>
          </cell>
          <cell r="L593" t="str">
            <v>Warehouse Associate (TEMP)</v>
          </cell>
          <cell r="M593" t="str">
            <v>Warehouse Associate 24M</v>
          </cell>
          <cell r="N593" t="str">
            <v>vkkatyal</v>
          </cell>
          <cell r="O593">
            <v>1299</v>
          </cell>
          <cell r="P593" t="str">
            <v>AUH1</v>
          </cell>
          <cell r="Q593" t="str">
            <v>ARE</v>
          </cell>
          <cell r="R593" t="str">
            <v>LK016</v>
          </cell>
          <cell r="S593" t="str">
            <v>Night Shift</v>
          </cell>
          <cell r="T593">
            <v>99</v>
          </cell>
          <cell r="U593" t="str">
            <v>MENA_UAE_FC</v>
          </cell>
          <cell r="V593">
            <v>46257.754166666666</v>
          </cell>
          <cell r="X593">
            <v>46257.756944444445</v>
          </cell>
          <cell r="Y593">
            <v>46258.173611111109</v>
          </cell>
          <cell r="AA593" t="str">
            <v>Scheduled</v>
          </cell>
          <cell r="AB593" t="str">
            <v>Present</v>
          </cell>
          <cell r="AC593" t="str">
            <v>Inbound</v>
          </cell>
          <cell r="AD593" t="str">
            <v>Inbound Stow</v>
          </cell>
          <cell r="AE593" t="str">
            <v>Stow</v>
          </cell>
          <cell r="AF593" t="str">
            <v>Wednesday</v>
          </cell>
          <cell r="AG593" t="str">
            <v>Thursday</v>
          </cell>
          <cell r="AH593">
            <v>3</v>
          </cell>
          <cell r="AJ593">
            <v>45578</v>
          </cell>
          <cell r="AM593" t="str">
            <v>TEMP</v>
          </cell>
          <cell r="AN593" t="str">
            <v>3P Onsite Worker</v>
          </cell>
          <cell r="AO593" t="str">
            <v>A</v>
          </cell>
          <cell r="AP593">
            <v>9</v>
          </cell>
          <cell r="AQ593">
            <v>0</v>
          </cell>
          <cell r="AR593">
            <v>1</v>
          </cell>
          <cell r="AS593">
            <v>1</v>
          </cell>
          <cell r="AT593">
            <v>0</v>
          </cell>
          <cell r="AU593">
            <v>0</v>
          </cell>
        </row>
        <row r="594">
          <cell r="D594" t="str">
            <v>kwaasipe</v>
          </cell>
          <cell r="E594">
            <v>203965406</v>
          </cell>
          <cell r="F594" t="str">
            <v>A</v>
          </cell>
          <cell r="G594" t="str">
            <v>GREEN</v>
          </cell>
          <cell r="H594" t="str">
            <v>FULL_TIME</v>
          </cell>
          <cell r="I594">
            <v>900234</v>
          </cell>
          <cell r="J594" t="str">
            <v>Fastlink Outsourcing</v>
          </cell>
          <cell r="K594" t="str">
            <v>Peter Kwaasi Aswireng</v>
          </cell>
          <cell r="L594" t="str">
            <v>Warehouse Associate (TEMP)</v>
          </cell>
          <cell r="M594" t="str">
            <v>Warehouse Associate 12M</v>
          </cell>
          <cell r="N594" t="str">
            <v>mnarshad</v>
          </cell>
          <cell r="O594">
            <v>1299</v>
          </cell>
          <cell r="P594" t="str">
            <v>AUH1</v>
          </cell>
          <cell r="Q594" t="str">
            <v>ARE</v>
          </cell>
          <cell r="R594" t="str">
            <v>FC109</v>
          </cell>
          <cell r="S594" t="str">
            <v>Day Shift</v>
          </cell>
          <cell r="T594">
            <v>99</v>
          </cell>
          <cell r="U594" t="str">
            <v>MENA_UAE_FC</v>
          </cell>
          <cell r="V594">
            <v>46257.333333333336</v>
          </cell>
          <cell r="W594">
            <v>46257.748611111114</v>
          </cell>
          <cell r="X594">
            <v>46257.333333333336</v>
          </cell>
          <cell r="Y594">
            <v>46257.75</v>
          </cell>
          <cell r="AA594" t="str">
            <v>Scheduled</v>
          </cell>
          <cell r="AB594" t="str">
            <v>Present</v>
          </cell>
          <cell r="AC594" t="str">
            <v>Outbound</v>
          </cell>
          <cell r="AD594" t="str">
            <v>Picking</v>
          </cell>
          <cell r="AE594" t="str">
            <v>Pick</v>
          </cell>
          <cell r="AF594" t="str">
            <v>Tuesday</v>
          </cell>
          <cell r="AG594" t="str">
            <v>Wednesday</v>
          </cell>
          <cell r="AH594">
            <v>13</v>
          </cell>
          <cell r="AJ594">
            <v>45543</v>
          </cell>
          <cell r="AM594" t="str">
            <v>TEMP</v>
          </cell>
          <cell r="AN594" t="str">
            <v>3P Onsite Worker</v>
          </cell>
          <cell r="AO594" t="str">
            <v>A</v>
          </cell>
          <cell r="AP594">
            <v>9</v>
          </cell>
          <cell r="AQ594">
            <v>0</v>
          </cell>
          <cell r="AR594">
            <v>1</v>
          </cell>
          <cell r="AS594">
            <v>1</v>
          </cell>
          <cell r="AT594">
            <v>0</v>
          </cell>
          <cell r="AU594">
            <v>0</v>
          </cell>
        </row>
        <row r="595">
          <cell r="D595" t="str">
            <v>kwailaga</v>
          </cell>
          <cell r="E595">
            <v>206926473</v>
          </cell>
          <cell r="F595" t="str">
            <v>A</v>
          </cell>
          <cell r="G595" t="str">
            <v>GREEN</v>
          </cell>
          <cell r="H595" t="str">
            <v>FULL_TIME</v>
          </cell>
          <cell r="I595">
            <v>900234</v>
          </cell>
          <cell r="J595" t="str">
            <v>Dulsco L.L.C.</v>
          </cell>
          <cell r="K595" t="str">
            <v>ALI WAILAGALA</v>
          </cell>
          <cell r="L595" t="str">
            <v>Warehouse Associate (TEMP)</v>
          </cell>
          <cell r="M595" t="str">
            <v>Warehouse Associate 8W</v>
          </cell>
          <cell r="N595" t="str">
            <v>aanso</v>
          </cell>
          <cell r="O595">
            <v>1299</v>
          </cell>
          <cell r="P595" t="str">
            <v>AUH1</v>
          </cell>
          <cell r="Q595" t="str">
            <v>ARE</v>
          </cell>
          <cell r="R595" t="str">
            <v>FC109</v>
          </cell>
          <cell r="S595" t="str">
            <v>Day Shift</v>
          </cell>
          <cell r="T595">
            <v>99</v>
          </cell>
          <cell r="U595" t="str">
            <v>MENA_UAE_FC</v>
          </cell>
          <cell r="V595">
            <v>46257.332638888889</v>
          </cell>
          <cell r="W595">
            <v>46257.750694444447</v>
          </cell>
          <cell r="X595">
            <v>46257.333333333336</v>
          </cell>
          <cell r="Y595">
            <v>46257.75</v>
          </cell>
          <cell r="AA595" t="str">
            <v>Scheduled</v>
          </cell>
          <cell r="AB595" t="str">
            <v>Present</v>
          </cell>
          <cell r="AC595" t="str">
            <v>Customer returns</v>
          </cell>
          <cell r="AD595" t="str">
            <v>Customer Returns</v>
          </cell>
          <cell r="AE595" t="str">
            <v>Customer returns</v>
          </cell>
          <cell r="AF595" t="str">
            <v>Tuesday</v>
          </cell>
          <cell r="AG595" t="str">
            <v>Wednesday</v>
          </cell>
          <cell r="AH595">
            <v>22</v>
          </cell>
          <cell r="AJ595">
            <v>46047</v>
          </cell>
          <cell r="AM595" t="str">
            <v>TEMP</v>
          </cell>
          <cell r="AN595" t="str">
            <v>3P Onsite Worker</v>
          </cell>
          <cell r="AO595" t="str">
            <v>A</v>
          </cell>
          <cell r="AP595">
            <v>9</v>
          </cell>
          <cell r="AQ595">
            <v>0</v>
          </cell>
          <cell r="AR595">
            <v>1</v>
          </cell>
          <cell r="AS595">
            <v>1</v>
          </cell>
          <cell r="AT595">
            <v>0</v>
          </cell>
          <cell r="AU595">
            <v>0</v>
          </cell>
        </row>
        <row r="596">
          <cell r="D596" t="str">
            <v>kwartnao</v>
          </cell>
          <cell r="E596">
            <v>205853892</v>
          </cell>
          <cell r="F596" t="str">
            <v>A</v>
          </cell>
          <cell r="G596" t="str">
            <v>GREEN</v>
          </cell>
          <cell r="H596" t="str">
            <v>FULL_TIME</v>
          </cell>
          <cell r="I596">
            <v>900234</v>
          </cell>
          <cell r="J596" t="str">
            <v>EFS Facilities Services</v>
          </cell>
          <cell r="K596" t="str">
            <v>NAOMI KWARTENG</v>
          </cell>
          <cell r="L596" t="str">
            <v>Warehouse Associate (TEMP)</v>
          </cell>
          <cell r="M596" t="str">
            <v>Warehouse Associate 8W</v>
          </cell>
          <cell r="N596" t="str">
            <v>bizthoma</v>
          </cell>
          <cell r="O596">
            <v>1299</v>
          </cell>
          <cell r="P596" t="str">
            <v>AUH1</v>
          </cell>
          <cell r="Q596" t="str">
            <v>ARE</v>
          </cell>
          <cell r="R596" t="str">
            <v>FC554</v>
          </cell>
          <cell r="S596" t="str">
            <v>Night Shift</v>
          </cell>
          <cell r="T596">
            <v>99</v>
          </cell>
          <cell r="U596" t="str">
            <v>MENA_UAE_FC</v>
          </cell>
          <cell r="X596">
            <v>46257.756944444445</v>
          </cell>
          <cell r="Y596">
            <v>46258.090277777781</v>
          </cell>
          <cell r="Z596" t="str">
            <v>Rest Day</v>
          </cell>
          <cell r="AA596" t="str">
            <v>Not Scheduled</v>
          </cell>
          <cell r="AB596" t="str">
            <v>Not Present</v>
          </cell>
          <cell r="AC596" t="str">
            <v>Outbound</v>
          </cell>
          <cell r="AD596" t="str">
            <v>Picking</v>
          </cell>
          <cell r="AE596" t="str">
            <v>Pick</v>
          </cell>
          <cell r="AF596" t="str">
            <v>Sunday</v>
          </cell>
          <cell r="AG596" t="str">
            <v>Monday</v>
          </cell>
          <cell r="AH596">
            <v>13</v>
          </cell>
          <cell r="AJ596">
            <v>46225</v>
          </cell>
          <cell r="AM596" t="str">
            <v>TEMP</v>
          </cell>
          <cell r="AN596" t="str">
            <v>3P Onsite Worker</v>
          </cell>
          <cell r="AO596" t="str">
            <v>A</v>
          </cell>
          <cell r="AP596">
            <v>7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</row>
        <row r="597">
          <cell r="D597" t="str">
            <v>kwlsimon</v>
          </cell>
          <cell r="E597">
            <v>204967558</v>
          </cell>
          <cell r="F597" t="str">
            <v>A</v>
          </cell>
          <cell r="G597" t="str">
            <v>GREEN</v>
          </cell>
          <cell r="H597" t="str">
            <v>FULL_TIME</v>
          </cell>
          <cell r="I597">
            <v>900234</v>
          </cell>
          <cell r="J597" t="str">
            <v>Dulsco L.L.C.</v>
          </cell>
          <cell r="K597" t="str">
            <v>SIMON KWAO</v>
          </cell>
          <cell r="L597" t="str">
            <v>Warehouse Associate (TEMP)</v>
          </cell>
          <cell r="M597" t="str">
            <v>Warehouse Associate 24M</v>
          </cell>
          <cell r="N597" t="str">
            <v>nnahla</v>
          </cell>
          <cell r="O597">
            <v>1299</v>
          </cell>
          <cell r="P597" t="str">
            <v>AUH1</v>
          </cell>
          <cell r="Q597" t="str">
            <v>ARE</v>
          </cell>
          <cell r="R597" t="str">
            <v>LK013</v>
          </cell>
          <cell r="S597" t="str">
            <v>Night Shift</v>
          </cell>
          <cell r="T597">
            <v>99</v>
          </cell>
          <cell r="U597" t="str">
            <v>MENA_UAE_FC</v>
          </cell>
          <cell r="X597">
            <v>46257.756944444445</v>
          </cell>
          <cell r="Y597">
            <v>46258.173611111109</v>
          </cell>
          <cell r="Z597" t="str">
            <v>Rest Day</v>
          </cell>
          <cell r="AA597" t="str">
            <v>Not Scheduled</v>
          </cell>
          <cell r="AB597" t="str">
            <v>Not Present</v>
          </cell>
          <cell r="AC597" t="str">
            <v>Inbound</v>
          </cell>
          <cell r="AD597" t="str">
            <v>Inbound Stow</v>
          </cell>
          <cell r="AE597" t="str">
            <v>Stow</v>
          </cell>
          <cell r="AF597" t="str">
            <v>Sunday</v>
          </cell>
          <cell r="AG597" t="str">
            <v>Monday</v>
          </cell>
          <cell r="AH597">
            <v>3</v>
          </cell>
          <cell r="AJ597">
            <v>45825</v>
          </cell>
          <cell r="AM597" t="str">
            <v>TEMP</v>
          </cell>
          <cell r="AN597" t="str">
            <v>3P Onsite Worker</v>
          </cell>
          <cell r="AO597" t="str">
            <v>A</v>
          </cell>
          <cell r="AP597">
            <v>9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</row>
        <row r="598">
          <cell r="D598" t="str">
            <v>kyawqmin</v>
          </cell>
          <cell r="E598">
            <v>203709886</v>
          </cell>
          <cell r="F598" t="str">
            <v>A</v>
          </cell>
          <cell r="G598" t="str">
            <v>GREEN</v>
          </cell>
          <cell r="H598" t="str">
            <v>FULL_TIME</v>
          </cell>
          <cell r="I598">
            <v>900234</v>
          </cell>
          <cell r="J598" t="str">
            <v>Adecco</v>
          </cell>
          <cell r="K598" t="str">
            <v>Min Khant</v>
          </cell>
          <cell r="L598" t="str">
            <v>Warehouse Associate (TEMP)</v>
          </cell>
          <cell r="M598" t="str">
            <v>Warehouse Associate 24M</v>
          </cell>
          <cell r="N598" t="str">
            <v>kebedeed</v>
          </cell>
          <cell r="O598">
            <v>1299</v>
          </cell>
          <cell r="P598" t="str">
            <v>AUH1</v>
          </cell>
          <cell r="Q598" t="str">
            <v>ARE</v>
          </cell>
          <cell r="R598" t="str">
            <v>LK011</v>
          </cell>
          <cell r="S598" t="str">
            <v>Night Shift</v>
          </cell>
          <cell r="T598">
            <v>99</v>
          </cell>
          <cell r="U598" t="str">
            <v>MENA_UAE_FC</v>
          </cell>
          <cell r="V598">
            <v>46257.754166666666</v>
          </cell>
          <cell r="X598">
            <v>46257.75</v>
          </cell>
          <cell r="Y598">
            <v>46258.166666666664</v>
          </cell>
          <cell r="AA598" t="str">
            <v>Scheduled</v>
          </cell>
          <cell r="AB598" t="str">
            <v>Present</v>
          </cell>
          <cell r="AC598" t="str">
            <v>ICQA</v>
          </cell>
          <cell r="AD598" t="str">
            <v>IC/QA/CS</v>
          </cell>
          <cell r="AE598" t="str">
            <v>Support</v>
          </cell>
          <cell r="AF598" t="str">
            <v>Friday</v>
          </cell>
          <cell r="AG598" t="str">
            <v>Saturday</v>
          </cell>
          <cell r="AH598">
            <v>27</v>
          </cell>
          <cell r="AJ598">
            <v>45494</v>
          </cell>
          <cell r="AM598" t="str">
            <v>TEMP</v>
          </cell>
          <cell r="AN598" t="str">
            <v>3P Onsite Worker</v>
          </cell>
          <cell r="AO598" t="str">
            <v>A</v>
          </cell>
          <cell r="AP598">
            <v>9</v>
          </cell>
          <cell r="AQ598">
            <v>0</v>
          </cell>
          <cell r="AR598">
            <v>1</v>
          </cell>
          <cell r="AS598">
            <v>1</v>
          </cell>
          <cell r="AT598">
            <v>0</v>
          </cell>
          <cell r="AU598">
            <v>0</v>
          </cell>
        </row>
        <row r="599">
          <cell r="D599" t="str">
            <v>kyeicynt</v>
          </cell>
          <cell r="E599">
            <v>205854274</v>
          </cell>
          <cell r="F599" t="str">
            <v>A</v>
          </cell>
          <cell r="G599" t="str">
            <v>GREEN</v>
          </cell>
          <cell r="H599" t="str">
            <v>FULL_TIME</v>
          </cell>
          <cell r="I599">
            <v>900234</v>
          </cell>
          <cell r="J599" t="str">
            <v>EFS Facilities Services</v>
          </cell>
          <cell r="K599" t="str">
            <v>CYNTHIA KYEI BAFFOUR</v>
          </cell>
          <cell r="L599" t="str">
            <v>Warehouse Associate (TEMP)</v>
          </cell>
          <cell r="M599" t="str">
            <v>Warehouse Associate 8W</v>
          </cell>
          <cell r="N599" t="str">
            <v>scariav</v>
          </cell>
          <cell r="O599">
            <v>1299</v>
          </cell>
          <cell r="P599" t="str">
            <v>AUH1</v>
          </cell>
          <cell r="Q599" t="str">
            <v>ARE</v>
          </cell>
          <cell r="R599" t="str">
            <v>FC555</v>
          </cell>
          <cell r="S599" t="str">
            <v>Night Shift</v>
          </cell>
          <cell r="T599">
            <v>99</v>
          </cell>
          <cell r="U599" t="str">
            <v>MENA_UAE_FC</v>
          </cell>
          <cell r="V599">
            <v>46257.754861111112</v>
          </cell>
          <cell r="X599">
            <v>46257.756944444445</v>
          </cell>
          <cell r="Y599">
            <v>46258.090277777781</v>
          </cell>
          <cell r="AA599" t="str">
            <v>Scheduled</v>
          </cell>
          <cell r="AB599" t="str">
            <v>Present</v>
          </cell>
          <cell r="AC599" t="str">
            <v>Outbound</v>
          </cell>
          <cell r="AD599" t="str">
            <v>Picking</v>
          </cell>
          <cell r="AE599" t="str">
            <v>Pick</v>
          </cell>
          <cell r="AF599" t="str">
            <v>Monday</v>
          </cell>
          <cell r="AG599" t="str">
            <v>Tuesday</v>
          </cell>
          <cell r="AH599">
            <v>13</v>
          </cell>
          <cell r="AJ599">
            <v>46225</v>
          </cell>
          <cell r="AM599" t="str">
            <v>TEMP</v>
          </cell>
          <cell r="AN599" t="str">
            <v>3P Onsite Worker</v>
          </cell>
          <cell r="AO599" t="str">
            <v>A</v>
          </cell>
          <cell r="AP599">
            <v>7</v>
          </cell>
          <cell r="AQ599">
            <v>0</v>
          </cell>
          <cell r="AR599">
            <v>1</v>
          </cell>
          <cell r="AS599">
            <v>1</v>
          </cell>
          <cell r="AT599">
            <v>0</v>
          </cell>
          <cell r="AU599">
            <v>0</v>
          </cell>
        </row>
        <row r="600">
          <cell r="D600" t="str">
            <v>kyeisolo</v>
          </cell>
          <cell r="E600">
            <v>112648320</v>
          </cell>
          <cell r="F600" t="str">
            <v>A</v>
          </cell>
          <cell r="G600" t="str">
            <v>BLUE</v>
          </cell>
          <cell r="H600" t="str">
            <v>FULL_TIME</v>
          </cell>
          <cell r="I600" t="str">
            <v>P03231</v>
          </cell>
          <cell r="K600" t="str">
            <v>Solomon Kyei</v>
          </cell>
          <cell r="L600" t="str">
            <v>FC Associate III</v>
          </cell>
          <cell r="M600" t="str">
            <v>Operations Supervisor</v>
          </cell>
          <cell r="N600" t="str">
            <v>abbaszoo</v>
          </cell>
          <cell r="O600">
            <v>1299</v>
          </cell>
          <cell r="P600" t="str">
            <v>AUH1</v>
          </cell>
          <cell r="Q600" t="str">
            <v>ARE</v>
          </cell>
          <cell r="R600" t="str">
            <v>FC009</v>
          </cell>
          <cell r="S600" t="str">
            <v>Day Shift</v>
          </cell>
          <cell r="T600">
            <v>3</v>
          </cell>
          <cell r="U600" t="str">
            <v>MENA_UAE_FC</v>
          </cell>
          <cell r="V600">
            <v>46257.331250000003</v>
          </cell>
          <cell r="W600">
            <v>46257.533333333333</v>
          </cell>
          <cell r="X600">
            <v>46257.333333333336</v>
          </cell>
          <cell r="Y600">
            <v>46257.75</v>
          </cell>
          <cell r="AA600" t="str">
            <v>Scheduled</v>
          </cell>
          <cell r="AB600" t="str">
            <v>Present</v>
          </cell>
          <cell r="AC600" t="str">
            <v>Inbound</v>
          </cell>
          <cell r="AD600" t="str">
            <v>IB Lead/PA</v>
          </cell>
          <cell r="AE600" t="str">
            <v>Receive</v>
          </cell>
          <cell r="AF600" t="str">
            <v>Friday</v>
          </cell>
          <cell r="AG600" t="str">
            <v>Saturday</v>
          </cell>
          <cell r="AH600">
            <v>5</v>
          </cell>
          <cell r="AJ600">
            <v>46131</v>
          </cell>
          <cell r="AM600" t="str">
            <v>FC</v>
          </cell>
          <cell r="AN600" t="str">
            <v>Regular Full Time</v>
          </cell>
          <cell r="AO600" t="str">
            <v>A</v>
          </cell>
          <cell r="AP600">
            <v>9</v>
          </cell>
          <cell r="AQ600">
            <v>0</v>
          </cell>
          <cell r="AR600">
            <v>1</v>
          </cell>
          <cell r="AS600">
            <v>1</v>
          </cell>
          <cell r="AT600">
            <v>0</v>
          </cell>
          <cell r="AU600">
            <v>0</v>
          </cell>
        </row>
        <row r="601">
          <cell r="D601" t="str">
            <v>kyeqeben</v>
          </cell>
          <cell r="E601">
            <v>205608624</v>
          </cell>
          <cell r="F601" t="str">
            <v>A</v>
          </cell>
          <cell r="G601" t="str">
            <v>GREEN</v>
          </cell>
          <cell r="H601" t="str">
            <v>FULL_TIME</v>
          </cell>
          <cell r="I601">
            <v>900234</v>
          </cell>
          <cell r="J601" t="str">
            <v>Dulsco L.L.C.</v>
          </cell>
          <cell r="K601" t="str">
            <v>KYEM STEPHEN EBENEZER</v>
          </cell>
          <cell r="L601" t="str">
            <v>Warehouse Associate (TEMP)</v>
          </cell>
          <cell r="M601" t="str">
            <v>Warehouse Associate 8W</v>
          </cell>
          <cell r="N601" t="str">
            <v>bavameer</v>
          </cell>
          <cell r="O601">
            <v>1299</v>
          </cell>
          <cell r="P601" t="str">
            <v>AUH1</v>
          </cell>
          <cell r="Q601" t="str">
            <v>ARE</v>
          </cell>
          <cell r="R601" t="str">
            <v>LK016</v>
          </cell>
          <cell r="S601" t="str">
            <v>Night Shift</v>
          </cell>
          <cell r="T601">
            <v>99</v>
          </cell>
          <cell r="U601" t="str">
            <v>MENA_UAE_FC</v>
          </cell>
          <cell r="V601">
            <v>46257.754861111112</v>
          </cell>
          <cell r="X601">
            <v>46257.756944444445</v>
          </cell>
          <cell r="Y601">
            <v>46258.173611111109</v>
          </cell>
          <cell r="AA601" t="str">
            <v>Scheduled</v>
          </cell>
          <cell r="AB601" t="str">
            <v>Present</v>
          </cell>
          <cell r="AC601" t="str">
            <v>Customer returns</v>
          </cell>
          <cell r="AD601" t="str">
            <v>Customer Returns</v>
          </cell>
          <cell r="AE601" t="str">
            <v>Customer returns</v>
          </cell>
          <cell r="AF601" t="str">
            <v>Wednesday</v>
          </cell>
          <cell r="AG601" t="str">
            <v>Thursday</v>
          </cell>
          <cell r="AH601">
            <v>22</v>
          </cell>
          <cell r="AJ601">
            <v>45844</v>
          </cell>
          <cell r="AM601" t="str">
            <v>TEMP</v>
          </cell>
          <cell r="AN601" t="str">
            <v>3P Onsite Worker</v>
          </cell>
          <cell r="AO601" t="str">
            <v>A</v>
          </cell>
          <cell r="AP601">
            <v>9</v>
          </cell>
          <cell r="AQ601">
            <v>0</v>
          </cell>
          <cell r="AR601">
            <v>1</v>
          </cell>
          <cell r="AS601">
            <v>1</v>
          </cell>
          <cell r="AT601">
            <v>0</v>
          </cell>
          <cell r="AU601">
            <v>0</v>
          </cell>
        </row>
        <row r="602">
          <cell r="D602" t="str">
            <v>lajlawso</v>
          </cell>
          <cell r="E602">
            <v>203881600</v>
          </cell>
          <cell r="F602" t="str">
            <v>A</v>
          </cell>
          <cell r="G602" t="str">
            <v>GREEN</v>
          </cell>
          <cell r="H602" t="str">
            <v>FULL_TIME</v>
          </cell>
          <cell r="I602">
            <v>900234</v>
          </cell>
          <cell r="J602" t="str">
            <v>Fastlink Outsourcing</v>
          </cell>
          <cell r="K602" t="str">
            <v>Late Lawson</v>
          </cell>
          <cell r="L602" t="str">
            <v>Warehouse Associate (TEMP)</v>
          </cell>
          <cell r="M602" t="str">
            <v>Warehouse Associate 12M</v>
          </cell>
          <cell r="N602" t="str">
            <v>vkkatyal</v>
          </cell>
          <cell r="O602">
            <v>1299</v>
          </cell>
          <cell r="P602" t="str">
            <v>AUH1</v>
          </cell>
          <cell r="Q602" t="str">
            <v>ARE</v>
          </cell>
          <cell r="R602" t="str">
            <v>LK015</v>
          </cell>
          <cell r="S602" t="str">
            <v>Night Shift</v>
          </cell>
          <cell r="T602">
            <v>99</v>
          </cell>
          <cell r="U602" t="str">
            <v>MENA_UAE_FC</v>
          </cell>
          <cell r="V602">
            <v>46257.754861111112</v>
          </cell>
          <cell r="X602">
            <v>46257.756944444445</v>
          </cell>
          <cell r="Y602">
            <v>46258.173611111109</v>
          </cell>
          <cell r="AA602" t="str">
            <v>Scheduled</v>
          </cell>
          <cell r="AB602" t="str">
            <v>Present</v>
          </cell>
          <cell r="AC602" t="str">
            <v>Inbound</v>
          </cell>
          <cell r="AD602" t="str">
            <v>Inbound Stow</v>
          </cell>
          <cell r="AE602" t="str">
            <v>Stow</v>
          </cell>
          <cell r="AF602" t="str">
            <v>Tuesday</v>
          </cell>
          <cell r="AG602" t="str">
            <v>Wednesday</v>
          </cell>
          <cell r="AH602">
            <v>3</v>
          </cell>
          <cell r="AJ602">
            <v>45529</v>
          </cell>
          <cell r="AM602" t="str">
            <v>TEMP</v>
          </cell>
          <cell r="AN602" t="str">
            <v>3P Onsite Worker</v>
          </cell>
          <cell r="AO602" t="str">
            <v>A</v>
          </cell>
          <cell r="AP602">
            <v>9</v>
          </cell>
          <cell r="AQ602">
            <v>0</v>
          </cell>
          <cell r="AR602">
            <v>1</v>
          </cell>
          <cell r="AS602">
            <v>1</v>
          </cell>
          <cell r="AT602">
            <v>0</v>
          </cell>
          <cell r="AU602">
            <v>0</v>
          </cell>
        </row>
        <row r="603">
          <cell r="D603" t="str">
            <v>lalaxbab</v>
          </cell>
          <cell r="E603">
            <v>106301305</v>
          </cell>
          <cell r="F603" t="str">
            <v>A</v>
          </cell>
          <cell r="G603" t="str">
            <v>BLUE</v>
          </cell>
          <cell r="H603" t="str">
            <v>FULL_TIME</v>
          </cell>
          <cell r="I603" t="str">
            <v>P03251</v>
          </cell>
          <cell r="K603" t="str">
            <v>Lalaine Zabala Babas</v>
          </cell>
          <cell r="L603" t="str">
            <v>FC Associate I</v>
          </cell>
          <cell r="M603" t="str">
            <v>FC Associate I</v>
          </cell>
          <cell r="N603" t="str">
            <v>lraghava</v>
          </cell>
          <cell r="O603">
            <v>1299</v>
          </cell>
          <cell r="P603" t="str">
            <v>AUH1</v>
          </cell>
          <cell r="Q603" t="str">
            <v>ARE</v>
          </cell>
          <cell r="R603" t="str">
            <v>LK011</v>
          </cell>
          <cell r="S603" t="str">
            <v>Night Shift</v>
          </cell>
          <cell r="T603">
            <v>1</v>
          </cell>
          <cell r="U603" t="str">
            <v>MENA_UAE_FC</v>
          </cell>
          <cell r="V603">
            <v>46257.751388888886</v>
          </cell>
          <cell r="X603">
            <v>46257.756944444445</v>
          </cell>
          <cell r="Y603">
            <v>46258.173611111109</v>
          </cell>
          <cell r="AA603" t="str">
            <v>Scheduled</v>
          </cell>
          <cell r="AB603" t="str">
            <v>Present</v>
          </cell>
          <cell r="AC603" t="str">
            <v>Outbound</v>
          </cell>
          <cell r="AD603" t="str">
            <v>Picking</v>
          </cell>
          <cell r="AE603" t="str">
            <v>Pick</v>
          </cell>
          <cell r="AF603" t="str">
            <v>Friday</v>
          </cell>
          <cell r="AG603" t="str">
            <v>Saturday</v>
          </cell>
          <cell r="AH603">
            <v>13</v>
          </cell>
          <cell r="AJ603">
            <v>44838</v>
          </cell>
          <cell r="AM603" t="str">
            <v>FC</v>
          </cell>
          <cell r="AN603" t="str">
            <v>Regular Full Time</v>
          </cell>
          <cell r="AO603" t="str">
            <v>A</v>
          </cell>
          <cell r="AP603">
            <v>9</v>
          </cell>
          <cell r="AQ603">
            <v>0</v>
          </cell>
          <cell r="AR603">
            <v>1</v>
          </cell>
          <cell r="AS603">
            <v>1</v>
          </cell>
          <cell r="AT603">
            <v>0</v>
          </cell>
          <cell r="AU603">
            <v>0</v>
          </cell>
        </row>
        <row r="604">
          <cell r="D604" t="str">
            <v>lameckoe</v>
          </cell>
          <cell r="E604">
            <v>205506107</v>
          </cell>
          <cell r="F604" t="str">
            <v>A</v>
          </cell>
          <cell r="G604" t="str">
            <v>GREEN</v>
          </cell>
          <cell r="H604" t="str">
            <v>FULL_TIME</v>
          </cell>
          <cell r="I604">
            <v>900234</v>
          </cell>
          <cell r="J604" t="str">
            <v>EFS Facilities Services</v>
          </cell>
          <cell r="K604" t="str">
            <v>LAMECK KIPKURGAT KOECH</v>
          </cell>
          <cell r="L604" t="str">
            <v>Warehouse Associate (TEMP)</v>
          </cell>
          <cell r="M604" t="str">
            <v>Warehouse Associate 8W</v>
          </cell>
          <cell r="N604" t="str">
            <v>pparsin</v>
          </cell>
          <cell r="O604">
            <v>1299</v>
          </cell>
          <cell r="P604" t="str">
            <v>AUH1</v>
          </cell>
          <cell r="Q604" t="str">
            <v>ARE</v>
          </cell>
          <cell r="R604" t="str">
            <v>FC059</v>
          </cell>
          <cell r="S604" t="str">
            <v>Day Shift</v>
          </cell>
          <cell r="T604">
            <v>99</v>
          </cell>
          <cell r="U604" t="str">
            <v>MENA_UAE_FC</v>
          </cell>
          <cell r="X604">
            <v>46257.333333333336</v>
          </cell>
          <cell r="Y604">
            <v>46257.75</v>
          </cell>
          <cell r="Z604" t="str">
            <v>Rest Day</v>
          </cell>
          <cell r="AA604" t="str">
            <v>Not Scheduled</v>
          </cell>
          <cell r="AB604" t="str">
            <v>Not Present</v>
          </cell>
          <cell r="AC604" t="str">
            <v>Inbound</v>
          </cell>
          <cell r="AD604" t="str">
            <v>Inbound Stow</v>
          </cell>
          <cell r="AE604" t="str">
            <v>Stow</v>
          </cell>
          <cell r="AF604" t="str">
            <v>Sunday</v>
          </cell>
          <cell r="AG604" t="str">
            <v>Monday</v>
          </cell>
          <cell r="AH604">
            <v>3</v>
          </cell>
          <cell r="AJ604">
            <v>45830</v>
          </cell>
          <cell r="AM604" t="str">
            <v>TEMP</v>
          </cell>
          <cell r="AN604" t="str">
            <v>3P Onsite Worker</v>
          </cell>
          <cell r="AO604" t="str">
            <v>A</v>
          </cell>
          <cell r="AP604">
            <v>9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</row>
        <row r="605">
          <cell r="D605" t="str">
            <v>lamissia</v>
          </cell>
          <cell r="E605">
            <v>203850779</v>
          </cell>
          <cell r="F605" t="str">
            <v>A</v>
          </cell>
          <cell r="G605" t="str">
            <v>GREEN</v>
          </cell>
          <cell r="H605" t="str">
            <v>FULL_TIME</v>
          </cell>
          <cell r="I605">
            <v>900234</v>
          </cell>
          <cell r="J605" t="str">
            <v>Fastlink Outsourcing</v>
          </cell>
          <cell r="K605" t="str">
            <v>Lamissi Abatala</v>
          </cell>
          <cell r="L605" t="str">
            <v>Warehouse Associate (TEMP)</v>
          </cell>
          <cell r="M605" t="str">
            <v>Warehouse Associate 12M</v>
          </cell>
          <cell r="N605" t="str">
            <v>bavameer</v>
          </cell>
          <cell r="O605">
            <v>1299</v>
          </cell>
          <cell r="P605" t="str">
            <v>AUH1</v>
          </cell>
          <cell r="Q605" t="str">
            <v>ARE</v>
          </cell>
          <cell r="R605" t="str">
            <v>LK016</v>
          </cell>
          <cell r="S605" t="str">
            <v>Night Shift</v>
          </cell>
          <cell r="T605">
            <v>99</v>
          </cell>
          <cell r="U605" t="str">
            <v>MENA_UAE_FC</v>
          </cell>
          <cell r="V605">
            <v>46257.754861111112</v>
          </cell>
          <cell r="X605">
            <v>46257.756944444445</v>
          </cell>
          <cell r="Y605">
            <v>46258.173611111109</v>
          </cell>
          <cell r="AA605" t="str">
            <v>Scheduled</v>
          </cell>
          <cell r="AB605" t="str">
            <v>Present</v>
          </cell>
          <cell r="AC605" t="str">
            <v>Customer returns</v>
          </cell>
          <cell r="AD605" t="str">
            <v>Customer Returns</v>
          </cell>
          <cell r="AE605" t="str">
            <v>Customer returns</v>
          </cell>
          <cell r="AF605" t="str">
            <v>Wednesday</v>
          </cell>
          <cell r="AG605" t="str">
            <v>Thursday</v>
          </cell>
          <cell r="AH605">
            <v>22</v>
          </cell>
          <cell r="AJ605">
            <v>45523</v>
          </cell>
          <cell r="AM605" t="str">
            <v>TEMP</v>
          </cell>
          <cell r="AN605" t="str">
            <v>3P Onsite Worker</v>
          </cell>
          <cell r="AO605" t="str">
            <v>A</v>
          </cell>
          <cell r="AP605">
            <v>9</v>
          </cell>
          <cell r="AQ605">
            <v>0</v>
          </cell>
          <cell r="AR605">
            <v>1</v>
          </cell>
          <cell r="AS605">
            <v>1</v>
          </cell>
          <cell r="AT605">
            <v>0</v>
          </cell>
          <cell r="AU605">
            <v>0</v>
          </cell>
        </row>
        <row r="606">
          <cell r="D606" t="str">
            <v>lanshapa</v>
          </cell>
          <cell r="E606">
            <v>203341966</v>
          </cell>
          <cell r="F606" t="str">
            <v>A</v>
          </cell>
          <cell r="G606" t="str">
            <v>GREEN</v>
          </cell>
          <cell r="H606" t="str">
            <v>FULL_TIME</v>
          </cell>
          <cell r="I606">
            <v>900234</v>
          </cell>
          <cell r="J606" t="str">
            <v>Adecco</v>
          </cell>
          <cell r="K606" t="str">
            <v>PAUL LANSHA</v>
          </cell>
          <cell r="L606" t="str">
            <v>Warehouse Associate (TEMP)</v>
          </cell>
          <cell r="M606" t="str">
            <v>Warehouse Associate 24M</v>
          </cell>
          <cell r="N606" t="str">
            <v>ansammar</v>
          </cell>
          <cell r="O606">
            <v>1299</v>
          </cell>
          <cell r="P606" t="str">
            <v>AUH1</v>
          </cell>
          <cell r="Q606" t="str">
            <v>ARE</v>
          </cell>
          <cell r="R606" t="str">
            <v>FC059</v>
          </cell>
          <cell r="S606" t="str">
            <v>Day Shift</v>
          </cell>
          <cell r="T606">
            <v>99</v>
          </cell>
          <cell r="U606" t="str">
            <v>MENA_UAE_FC</v>
          </cell>
          <cell r="X606">
            <v>46257.333333333336</v>
          </cell>
          <cell r="Y606">
            <v>46257.75</v>
          </cell>
          <cell r="Z606" t="str">
            <v>Rest Day</v>
          </cell>
          <cell r="AA606" t="str">
            <v>Not Scheduled</v>
          </cell>
          <cell r="AB606" t="str">
            <v>Not Present</v>
          </cell>
          <cell r="AC606" t="str">
            <v>Outbound</v>
          </cell>
          <cell r="AD606" t="str">
            <v>Picking</v>
          </cell>
          <cell r="AE606" t="str">
            <v>Pick</v>
          </cell>
          <cell r="AF606" t="str">
            <v>Sunday</v>
          </cell>
          <cell r="AG606" t="str">
            <v>Monday</v>
          </cell>
          <cell r="AH606">
            <v>13</v>
          </cell>
          <cell r="AJ606">
            <v>45431</v>
          </cell>
          <cell r="AM606" t="str">
            <v>TEMP</v>
          </cell>
          <cell r="AN606" t="str">
            <v>3P Onsite Worker</v>
          </cell>
          <cell r="AO606" t="str">
            <v>A</v>
          </cell>
          <cell r="AP606">
            <v>9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</row>
        <row r="607">
          <cell r="D607" t="str">
            <v>larbiygl</v>
          </cell>
          <cell r="E607">
            <v>206074973</v>
          </cell>
          <cell r="F607" t="str">
            <v>A</v>
          </cell>
          <cell r="G607" t="str">
            <v>GREEN</v>
          </cell>
          <cell r="H607" t="str">
            <v>FULL_TIME</v>
          </cell>
          <cell r="I607">
            <v>900234</v>
          </cell>
          <cell r="J607" t="str">
            <v>Fastlink Outsourcing</v>
          </cell>
          <cell r="K607" t="str">
            <v>Gloria Larbi Yeboah</v>
          </cell>
          <cell r="L607" t="str">
            <v>Warehouse Associate (TEMP)</v>
          </cell>
          <cell r="M607" t="str">
            <v>Warehouse Associate 12M</v>
          </cell>
          <cell r="N607" t="str">
            <v>lraghava</v>
          </cell>
          <cell r="O607">
            <v>1299</v>
          </cell>
          <cell r="P607" t="str">
            <v>AUH1</v>
          </cell>
          <cell r="Q607" t="str">
            <v>ARE</v>
          </cell>
          <cell r="R607" t="str">
            <v>FC134</v>
          </cell>
          <cell r="S607" t="str">
            <v>Day Shift</v>
          </cell>
          <cell r="T607">
            <v>99</v>
          </cell>
          <cell r="U607" t="str">
            <v>MENA_UAE_FC</v>
          </cell>
          <cell r="V607">
            <v>46257.331944444442</v>
          </cell>
          <cell r="W607">
            <v>46257.75</v>
          </cell>
          <cell r="X607">
            <v>46257.333333333336</v>
          </cell>
          <cell r="Y607">
            <v>46257.75</v>
          </cell>
          <cell r="AA607" t="str">
            <v>Scheduled</v>
          </cell>
          <cell r="AB607" t="str">
            <v>Present</v>
          </cell>
          <cell r="AC607" t="str">
            <v>Outbound</v>
          </cell>
          <cell r="AD607" t="str">
            <v>Picking</v>
          </cell>
          <cell r="AE607" t="str">
            <v>Pick</v>
          </cell>
          <cell r="AF607" t="str">
            <v>Wednesday</v>
          </cell>
          <cell r="AG607" t="str">
            <v>Thursday</v>
          </cell>
          <cell r="AH607">
            <v>13</v>
          </cell>
          <cell r="AJ607">
            <v>45921</v>
          </cell>
          <cell r="AM607" t="str">
            <v>TEMP</v>
          </cell>
          <cell r="AN607" t="str">
            <v>3P Onsite Worker</v>
          </cell>
          <cell r="AO607" t="str">
            <v>A</v>
          </cell>
          <cell r="AP607">
            <v>9</v>
          </cell>
          <cell r="AQ607">
            <v>0</v>
          </cell>
          <cell r="AR607">
            <v>1</v>
          </cell>
          <cell r="AS607">
            <v>1</v>
          </cell>
          <cell r="AT607">
            <v>0</v>
          </cell>
          <cell r="AU607">
            <v>0</v>
          </cell>
        </row>
        <row r="608">
          <cell r="D608" t="str">
            <v>larteydo</v>
          </cell>
          <cell r="E608">
            <v>204095444</v>
          </cell>
          <cell r="F608" t="str">
            <v>A</v>
          </cell>
          <cell r="G608" t="str">
            <v>GREEN</v>
          </cell>
          <cell r="H608" t="str">
            <v>FULL_TIME</v>
          </cell>
          <cell r="I608">
            <v>900234</v>
          </cell>
          <cell r="J608" t="str">
            <v>Quesscorp</v>
          </cell>
          <cell r="K608" t="str">
            <v>Dorcas Larteley Lartey</v>
          </cell>
          <cell r="L608" t="str">
            <v>Warehouse Associate (TEMP)</v>
          </cell>
          <cell r="M608" t="str">
            <v>Warehouse Associate 24M</v>
          </cell>
          <cell r="N608" t="str">
            <v>aanso</v>
          </cell>
          <cell r="O608">
            <v>1299</v>
          </cell>
          <cell r="P608" t="str">
            <v>AUH1</v>
          </cell>
          <cell r="Q608" t="str">
            <v>ARE</v>
          </cell>
          <cell r="R608" t="str">
            <v>LK017</v>
          </cell>
          <cell r="S608" t="str">
            <v>Night Shift</v>
          </cell>
          <cell r="T608">
            <v>99</v>
          </cell>
          <cell r="U608" t="str">
            <v>MENA_UAE_FC</v>
          </cell>
          <cell r="V608">
            <v>46257.754166666666</v>
          </cell>
          <cell r="X608">
            <v>46257.756944444445</v>
          </cell>
          <cell r="Y608">
            <v>46258.173611111109</v>
          </cell>
          <cell r="AA608" t="str">
            <v>Scheduled</v>
          </cell>
          <cell r="AB608" t="str">
            <v>Present</v>
          </cell>
          <cell r="AC608" t="str">
            <v>Customer returns</v>
          </cell>
          <cell r="AD608" t="str">
            <v>Customer Returns</v>
          </cell>
          <cell r="AE608" t="str">
            <v>Customer returns</v>
          </cell>
          <cell r="AF608" t="str">
            <v>Thursday</v>
          </cell>
          <cell r="AG608" t="str">
            <v>Friday</v>
          </cell>
          <cell r="AH608">
            <v>22</v>
          </cell>
          <cell r="AJ608">
            <v>45560</v>
          </cell>
          <cell r="AM608" t="str">
            <v>TEMP</v>
          </cell>
          <cell r="AN608" t="str">
            <v>3P Onsite Worker</v>
          </cell>
          <cell r="AO608" t="str">
            <v>A</v>
          </cell>
          <cell r="AP608">
            <v>9</v>
          </cell>
          <cell r="AQ608">
            <v>0</v>
          </cell>
          <cell r="AR608">
            <v>1</v>
          </cell>
          <cell r="AS608">
            <v>1</v>
          </cell>
          <cell r="AT608">
            <v>0</v>
          </cell>
          <cell r="AU608">
            <v>0</v>
          </cell>
        </row>
        <row r="609">
          <cell r="D609" t="str">
            <v>leeyntem</v>
          </cell>
          <cell r="E609">
            <v>203555407</v>
          </cell>
          <cell r="F609" t="str">
            <v>A</v>
          </cell>
          <cell r="G609" t="str">
            <v>GREEN</v>
          </cell>
          <cell r="H609" t="str">
            <v>FULL_TIME</v>
          </cell>
          <cell r="I609">
            <v>900234</v>
          </cell>
          <cell r="J609" t="str">
            <v>Fastlink Outsourcing</v>
          </cell>
          <cell r="K609" t="str">
            <v>Leeynteng Marienette</v>
          </cell>
          <cell r="L609" t="str">
            <v>Warehouse Associate (TEMP)</v>
          </cell>
          <cell r="M609" t="str">
            <v>Warehouse Associate 12M</v>
          </cell>
          <cell r="N609" t="str">
            <v>bavameer</v>
          </cell>
          <cell r="O609">
            <v>1299</v>
          </cell>
          <cell r="P609" t="str">
            <v>AUH1</v>
          </cell>
          <cell r="Q609" t="str">
            <v>ARE</v>
          </cell>
          <cell r="R609" t="str">
            <v>FC059</v>
          </cell>
          <cell r="S609" t="str">
            <v>Day Shift</v>
          </cell>
          <cell r="T609">
            <v>99</v>
          </cell>
          <cell r="U609" t="str">
            <v>MENA_UAE_FC</v>
          </cell>
          <cell r="X609">
            <v>46257.333333333336</v>
          </cell>
          <cell r="Y609">
            <v>46257.75</v>
          </cell>
          <cell r="Z609" t="str">
            <v>Rest Day</v>
          </cell>
          <cell r="AA609" t="str">
            <v>Not Scheduled</v>
          </cell>
          <cell r="AB609" t="str">
            <v>Not Present</v>
          </cell>
          <cell r="AC609" t="str">
            <v>Customer returns</v>
          </cell>
          <cell r="AD609" t="str">
            <v>Customer Returns</v>
          </cell>
          <cell r="AE609" t="str">
            <v>Customer returns</v>
          </cell>
          <cell r="AF609" t="str">
            <v>Sunday</v>
          </cell>
          <cell r="AG609" t="str">
            <v>Monday</v>
          </cell>
          <cell r="AH609">
            <v>22</v>
          </cell>
          <cell r="AJ609">
            <v>45469</v>
          </cell>
          <cell r="AM609" t="str">
            <v>TEMP</v>
          </cell>
          <cell r="AN609" t="str">
            <v>3P Onsite Worker</v>
          </cell>
          <cell r="AO609" t="str">
            <v>A</v>
          </cell>
          <cell r="AP609">
            <v>9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</row>
        <row r="610">
          <cell r="D610" t="str">
            <v>lestanak</v>
          </cell>
          <cell r="E610">
            <v>206348214</v>
          </cell>
          <cell r="F610" t="str">
            <v>A</v>
          </cell>
          <cell r="G610" t="str">
            <v>GREEN</v>
          </cell>
          <cell r="H610" t="str">
            <v>FULL_TIME</v>
          </cell>
          <cell r="I610">
            <v>900234</v>
          </cell>
          <cell r="J610" t="str">
            <v>Fastlink Outsourcing</v>
          </cell>
          <cell r="K610" t="str">
            <v>TANAKA LESLIE NYAMVURA</v>
          </cell>
          <cell r="L610" t="str">
            <v>Warehouse Associate (TEMP)</v>
          </cell>
          <cell r="M610" t="str">
            <v>Warehouse Associate 8W</v>
          </cell>
          <cell r="N610" t="str">
            <v>kebedeed</v>
          </cell>
          <cell r="O610">
            <v>1299</v>
          </cell>
          <cell r="P610" t="str">
            <v>AUH1</v>
          </cell>
          <cell r="Q610" t="str">
            <v>ARE</v>
          </cell>
          <cell r="R610" t="str">
            <v>FC034</v>
          </cell>
          <cell r="S610" t="str">
            <v>Day Shift</v>
          </cell>
          <cell r="T610">
            <v>99</v>
          </cell>
          <cell r="U610" t="str">
            <v>MENA_UAE_FC</v>
          </cell>
          <cell r="X610">
            <v>46257.333333333336</v>
          </cell>
          <cell r="Y610">
            <v>46257.75</v>
          </cell>
          <cell r="Z610" t="str">
            <v>Rest Day</v>
          </cell>
          <cell r="AA610" t="str">
            <v>Not Scheduled</v>
          </cell>
          <cell r="AB610" t="str">
            <v>Not Present</v>
          </cell>
          <cell r="AC610" t="str">
            <v>Support</v>
          </cell>
          <cell r="AD610" t="str">
            <v>Facilities</v>
          </cell>
          <cell r="AE610" t="str">
            <v>Support</v>
          </cell>
          <cell r="AF610" t="str">
            <v>Saturday</v>
          </cell>
          <cell r="AG610" t="str">
            <v>Sunday</v>
          </cell>
          <cell r="AH610">
            <v>28</v>
          </cell>
          <cell r="AJ610">
            <v>45956</v>
          </cell>
          <cell r="AM610" t="str">
            <v>TEMP</v>
          </cell>
          <cell r="AN610" t="str">
            <v>3P Onsite Worker</v>
          </cell>
          <cell r="AO610" t="str">
            <v>A</v>
          </cell>
          <cell r="AP610">
            <v>9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</row>
        <row r="611">
          <cell r="D611" t="str">
            <v>letiowus</v>
          </cell>
          <cell r="E611">
            <v>206073365</v>
          </cell>
          <cell r="F611" t="str">
            <v>A</v>
          </cell>
          <cell r="G611" t="str">
            <v>GREEN</v>
          </cell>
          <cell r="H611" t="str">
            <v>FULL_TIME</v>
          </cell>
          <cell r="I611">
            <v>900234</v>
          </cell>
          <cell r="J611" t="str">
            <v>Fastlink Outsourcing</v>
          </cell>
          <cell r="K611" t="str">
            <v>Leticia Owusu</v>
          </cell>
          <cell r="L611" t="str">
            <v>Warehouse Associate (TEMP)</v>
          </cell>
          <cell r="M611" t="str">
            <v>Warehouse Associate 12M</v>
          </cell>
          <cell r="N611" t="str">
            <v>abbaszoo</v>
          </cell>
          <cell r="O611">
            <v>1299</v>
          </cell>
          <cell r="P611" t="str">
            <v>AUH1</v>
          </cell>
          <cell r="Q611" t="str">
            <v>ARE</v>
          </cell>
          <cell r="R611" t="str">
            <v>FC109</v>
          </cell>
          <cell r="S611" t="str">
            <v>Day Shift</v>
          </cell>
          <cell r="T611">
            <v>99</v>
          </cell>
          <cell r="U611" t="str">
            <v>MENA_UAE_FC</v>
          </cell>
          <cell r="V611">
            <v>46257.331944444442</v>
          </cell>
          <cell r="W611">
            <v>46257.750694444447</v>
          </cell>
          <cell r="X611">
            <v>46257.333333333336</v>
          </cell>
          <cell r="Y611">
            <v>46257.75</v>
          </cell>
          <cell r="AA611" t="str">
            <v>Scheduled</v>
          </cell>
          <cell r="AB611" t="str">
            <v>Present</v>
          </cell>
          <cell r="AC611" t="str">
            <v>Inbound</v>
          </cell>
          <cell r="AD611" t="str">
            <v>Vendor Receive</v>
          </cell>
          <cell r="AE611" t="str">
            <v>Receive</v>
          </cell>
          <cell r="AF611" t="str">
            <v>Tuesday</v>
          </cell>
          <cell r="AG611" t="str">
            <v>Wednesday</v>
          </cell>
          <cell r="AH611">
            <v>1</v>
          </cell>
          <cell r="AJ611">
            <v>45921</v>
          </cell>
          <cell r="AM611" t="str">
            <v>TEMP</v>
          </cell>
          <cell r="AN611" t="str">
            <v>3P Onsite Worker</v>
          </cell>
          <cell r="AO611" t="str">
            <v>A</v>
          </cell>
          <cell r="AP611">
            <v>9</v>
          </cell>
          <cell r="AQ611">
            <v>0</v>
          </cell>
          <cell r="AR611">
            <v>1</v>
          </cell>
          <cell r="AS611">
            <v>1</v>
          </cell>
          <cell r="AT611">
            <v>0</v>
          </cell>
          <cell r="AU611">
            <v>0</v>
          </cell>
        </row>
        <row r="612">
          <cell r="D612" t="str">
            <v>lhuzesay</v>
          </cell>
          <cell r="E612">
            <v>108019714</v>
          </cell>
          <cell r="F612" t="str">
            <v>A</v>
          </cell>
          <cell r="G612" t="str">
            <v>BLUE</v>
          </cell>
          <cell r="H612" t="str">
            <v>FULL_TIME</v>
          </cell>
          <cell r="I612" t="str">
            <v>P03231</v>
          </cell>
          <cell r="K612" t="str">
            <v>Huzefa Yusuf Sayed</v>
          </cell>
          <cell r="L612" t="str">
            <v>FC Associate III</v>
          </cell>
          <cell r="M612" t="str">
            <v>FC Lead</v>
          </cell>
          <cell r="N612" t="str">
            <v>bizthoma</v>
          </cell>
          <cell r="O612">
            <v>1299</v>
          </cell>
          <cell r="P612" t="str">
            <v>AUH1</v>
          </cell>
          <cell r="Q612" t="str">
            <v>ARE</v>
          </cell>
          <cell r="R612" t="str">
            <v>FC009</v>
          </cell>
          <cell r="S612" t="str">
            <v>Day Shift</v>
          </cell>
          <cell r="T612">
            <v>3</v>
          </cell>
          <cell r="U612" t="str">
            <v>MENA_UAE_FC</v>
          </cell>
          <cell r="V612">
            <v>46257.322916666664</v>
          </cell>
          <cell r="W612">
            <v>46257.750694444447</v>
          </cell>
          <cell r="X612">
            <v>46257.333333333336</v>
          </cell>
          <cell r="Y612">
            <v>46257.75</v>
          </cell>
          <cell r="AA612" t="str">
            <v>Scheduled</v>
          </cell>
          <cell r="AB612" t="str">
            <v>Present</v>
          </cell>
          <cell r="AC612" t="str">
            <v>Outbound</v>
          </cell>
          <cell r="AD612" t="str">
            <v>OB Lead/PA</v>
          </cell>
          <cell r="AE612" t="str">
            <v>Pack</v>
          </cell>
          <cell r="AF612" t="str">
            <v>Friday</v>
          </cell>
          <cell r="AG612" t="str">
            <v>Saturday</v>
          </cell>
          <cell r="AH612">
            <v>19</v>
          </cell>
          <cell r="AJ612">
            <v>44756</v>
          </cell>
          <cell r="AM612" t="str">
            <v>FC</v>
          </cell>
          <cell r="AN612" t="str">
            <v>Regular Full Time</v>
          </cell>
          <cell r="AO612" t="str">
            <v>A</v>
          </cell>
          <cell r="AP612">
            <v>9</v>
          </cell>
          <cell r="AQ612">
            <v>0</v>
          </cell>
          <cell r="AR612">
            <v>1</v>
          </cell>
          <cell r="AS612">
            <v>1</v>
          </cell>
          <cell r="AT612">
            <v>0</v>
          </cell>
          <cell r="AU612">
            <v>0</v>
          </cell>
        </row>
        <row r="613">
          <cell r="D613" t="str">
            <v>livinbes</v>
          </cell>
          <cell r="E613">
            <v>204072311</v>
          </cell>
          <cell r="F613" t="str">
            <v>A</v>
          </cell>
          <cell r="G613" t="str">
            <v>GREEN</v>
          </cell>
          <cell r="H613" t="str">
            <v>FULL_TIME</v>
          </cell>
          <cell r="I613">
            <v>900234</v>
          </cell>
          <cell r="J613" t="str">
            <v>Dulsco L.L.C.</v>
          </cell>
          <cell r="K613" t="str">
            <v>LIVING BESIGYE</v>
          </cell>
          <cell r="L613" t="str">
            <v>Warehouse Associate (TEMP)</v>
          </cell>
          <cell r="M613" t="str">
            <v>Warehouse Associate 24M</v>
          </cell>
          <cell r="N613" t="str">
            <v>scariav</v>
          </cell>
          <cell r="O613">
            <v>1299</v>
          </cell>
          <cell r="P613" t="str">
            <v>AUH1</v>
          </cell>
          <cell r="Q613" t="str">
            <v>ARE</v>
          </cell>
          <cell r="R613" t="str">
            <v>LK014</v>
          </cell>
          <cell r="S613" t="str">
            <v>Night Shift</v>
          </cell>
          <cell r="T613">
            <v>99</v>
          </cell>
          <cell r="U613" t="str">
            <v>MENA_UAE_FC</v>
          </cell>
          <cell r="V613">
            <v>46257.754861111112</v>
          </cell>
          <cell r="X613">
            <v>46257.756944444445</v>
          </cell>
          <cell r="Y613">
            <v>46258.173611111109</v>
          </cell>
          <cell r="AA613" t="str">
            <v>Scheduled</v>
          </cell>
          <cell r="AB613" t="str">
            <v>Present</v>
          </cell>
          <cell r="AC613" t="str">
            <v>Outbound</v>
          </cell>
          <cell r="AD613" t="str">
            <v>Picking</v>
          </cell>
          <cell r="AE613" t="str">
            <v>Pick</v>
          </cell>
          <cell r="AF613" t="str">
            <v>Monday</v>
          </cell>
          <cell r="AG613" t="str">
            <v>Tuesday</v>
          </cell>
          <cell r="AH613">
            <v>13</v>
          </cell>
          <cell r="AJ613">
            <v>45557</v>
          </cell>
          <cell r="AM613" t="str">
            <v>TEMP</v>
          </cell>
          <cell r="AN613" t="str">
            <v>3P Onsite Worker</v>
          </cell>
          <cell r="AO613" t="str">
            <v>A</v>
          </cell>
          <cell r="AP613">
            <v>9</v>
          </cell>
          <cell r="AQ613">
            <v>0</v>
          </cell>
          <cell r="AR613">
            <v>1</v>
          </cell>
          <cell r="AS613">
            <v>1</v>
          </cell>
          <cell r="AT613">
            <v>0</v>
          </cell>
          <cell r="AU613">
            <v>0</v>
          </cell>
        </row>
        <row r="614">
          <cell r="D614" t="str">
            <v>lkofhenr</v>
          </cell>
          <cell r="E614">
            <v>206873567</v>
          </cell>
          <cell r="F614" t="str">
            <v>A</v>
          </cell>
          <cell r="G614" t="str">
            <v>GREEN</v>
          </cell>
          <cell r="H614" t="str">
            <v>FULL_TIME</v>
          </cell>
          <cell r="I614">
            <v>900234</v>
          </cell>
          <cell r="J614" t="str">
            <v>Fastlink Outsourcing</v>
          </cell>
          <cell r="K614" t="str">
            <v>HENRY KOFI</v>
          </cell>
          <cell r="L614" t="str">
            <v>Warehouse Associate (TEMP)</v>
          </cell>
          <cell r="M614" t="str">
            <v>Warehouse Associate 8W</v>
          </cell>
          <cell r="N614" t="str">
            <v>vkkatyal</v>
          </cell>
          <cell r="O614">
            <v>1299</v>
          </cell>
          <cell r="P614" t="str">
            <v>AUH1</v>
          </cell>
          <cell r="Q614" t="str">
            <v>ARE</v>
          </cell>
          <cell r="R614" t="str">
            <v>FC059</v>
          </cell>
          <cell r="S614" t="str">
            <v>Day Shift</v>
          </cell>
          <cell r="T614">
            <v>99</v>
          </cell>
          <cell r="U614" t="str">
            <v>MENA_UAE_FC</v>
          </cell>
          <cell r="X614">
            <v>46257.333333333336</v>
          </cell>
          <cell r="Y614">
            <v>46257.75</v>
          </cell>
          <cell r="Z614" t="str">
            <v>Rest Day</v>
          </cell>
          <cell r="AA614" t="str">
            <v>Not Scheduled</v>
          </cell>
          <cell r="AB614" t="str">
            <v>Not Present</v>
          </cell>
          <cell r="AC614" t="str">
            <v>Inbound</v>
          </cell>
          <cell r="AD614" t="str">
            <v>IB Problem Solve</v>
          </cell>
          <cell r="AE614" t="str">
            <v>Receive</v>
          </cell>
          <cell r="AF614" t="str">
            <v>Sunday</v>
          </cell>
          <cell r="AG614" t="str">
            <v>Monday</v>
          </cell>
          <cell r="AH614">
            <v>6</v>
          </cell>
          <cell r="AJ614">
            <v>46019</v>
          </cell>
          <cell r="AM614" t="str">
            <v>TEMP</v>
          </cell>
          <cell r="AN614" t="str">
            <v>3P Onsite Worker</v>
          </cell>
          <cell r="AO614" t="str">
            <v>A</v>
          </cell>
          <cell r="AP614">
            <v>9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</row>
        <row r="615">
          <cell r="D615" t="str">
            <v>lleonakw</v>
          </cell>
          <cell r="E615">
            <v>203342033</v>
          </cell>
          <cell r="F615" t="str">
            <v>A</v>
          </cell>
          <cell r="G615" t="str">
            <v>GREEN</v>
          </cell>
          <cell r="H615" t="str">
            <v>FULL_TIME</v>
          </cell>
          <cell r="I615">
            <v>900234</v>
          </cell>
          <cell r="J615" t="str">
            <v>Adecco</v>
          </cell>
          <cell r="K615" t="str">
            <v>LEONARD KWAMOGHA</v>
          </cell>
          <cell r="L615" t="str">
            <v>Warehouse Associate (TEMP)</v>
          </cell>
          <cell r="M615" t="str">
            <v>Warehouse Associate 24M</v>
          </cell>
          <cell r="N615" t="str">
            <v>amanmish</v>
          </cell>
          <cell r="O615">
            <v>1299</v>
          </cell>
          <cell r="P615" t="str">
            <v>AUH1</v>
          </cell>
          <cell r="Q615" t="str">
            <v>ARE</v>
          </cell>
          <cell r="R615" t="str">
            <v>FC059</v>
          </cell>
          <cell r="S615" t="str">
            <v>Day Shift</v>
          </cell>
          <cell r="T615">
            <v>99</v>
          </cell>
          <cell r="U615" t="str">
            <v>MENA_UAE_FC</v>
          </cell>
          <cell r="X615">
            <v>46257.333333333336</v>
          </cell>
          <cell r="Y615">
            <v>46257.75</v>
          </cell>
          <cell r="Z615" t="str">
            <v>Rest Day</v>
          </cell>
          <cell r="AA615" t="str">
            <v>Not Scheduled</v>
          </cell>
          <cell r="AB615" t="str">
            <v>Not Present</v>
          </cell>
          <cell r="AC615" t="str">
            <v>Outbound</v>
          </cell>
          <cell r="AD615" t="str">
            <v>Pack - Single</v>
          </cell>
          <cell r="AE615" t="str">
            <v>Pack</v>
          </cell>
          <cell r="AF615" t="str">
            <v>Sunday</v>
          </cell>
          <cell r="AG615" t="str">
            <v>Monday</v>
          </cell>
          <cell r="AH615">
            <v>18</v>
          </cell>
          <cell r="AJ615">
            <v>45431</v>
          </cell>
          <cell r="AM615" t="str">
            <v>TEMP</v>
          </cell>
          <cell r="AN615" t="str">
            <v>3P Onsite Worker</v>
          </cell>
          <cell r="AO615" t="str">
            <v>A</v>
          </cell>
          <cell r="AP615">
            <v>9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</row>
        <row r="616">
          <cell r="D616" t="str">
            <v>lmbeneka</v>
          </cell>
          <cell r="E616">
            <v>206958279</v>
          </cell>
          <cell r="F616" t="str">
            <v>A</v>
          </cell>
          <cell r="G616" t="str">
            <v>GREEN</v>
          </cell>
          <cell r="H616" t="str">
            <v>FULL_TIME</v>
          </cell>
          <cell r="I616">
            <v>900234</v>
          </cell>
          <cell r="J616" t="str">
            <v>EFS Facilities Services</v>
          </cell>
          <cell r="K616" t="str">
            <v>Lawrencious Mutindi Mbeneka</v>
          </cell>
          <cell r="L616" t="str">
            <v>Warehouse Associate (TEMP)</v>
          </cell>
          <cell r="M616" t="str">
            <v>Warehouse Associate 8W</v>
          </cell>
          <cell r="N616" t="str">
            <v>bavameer</v>
          </cell>
          <cell r="O616">
            <v>1299</v>
          </cell>
          <cell r="P616" t="str">
            <v>AUH1</v>
          </cell>
          <cell r="Q616" t="str">
            <v>ARE</v>
          </cell>
          <cell r="R616" t="str">
            <v>FC084</v>
          </cell>
          <cell r="S616" t="str">
            <v>Day Shift</v>
          </cell>
          <cell r="T616">
            <v>99</v>
          </cell>
          <cell r="U616" t="str">
            <v>MENA_UAE_FC</v>
          </cell>
          <cell r="V616">
            <v>46257.331944444442</v>
          </cell>
          <cell r="W616">
            <v>46257.748611111114</v>
          </cell>
          <cell r="X616">
            <v>46257.333333333336</v>
          </cell>
          <cell r="Y616">
            <v>46257.75</v>
          </cell>
          <cell r="AA616" t="str">
            <v>Scheduled</v>
          </cell>
          <cell r="AB616" t="str">
            <v>Present</v>
          </cell>
          <cell r="AC616" t="str">
            <v>Customer returns</v>
          </cell>
          <cell r="AD616" t="str">
            <v>Customer Returns</v>
          </cell>
          <cell r="AE616" t="str">
            <v>Customer returns</v>
          </cell>
          <cell r="AF616" t="str">
            <v>Monday</v>
          </cell>
          <cell r="AG616" t="str">
            <v>Tuesday</v>
          </cell>
          <cell r="AH616">
            <v>22</v>
          </cell>
          <cell r="AJ616">
            <v>46047</v>
          </cell>
          <cell r="AM616" t="str">
            <v>TEMP</v>
          </cell>
          <cell r="AN616" t="str">
            <v>3P Onsite Worker</v>
          </cell>
          <cell r="AO616" t="str">
            <v>A</v>
          </cell>
          <cell r="AP616">
            <v>9</v>
          </cell>
          <cell r="AQ616">
            <v>0</v>
          </cell>
          <cell r="AR616">
            <v>1</v>
          </cell>
          <cell r="AS616">
            <v>1</v>
          </cell>
          <cell r="AT616">
            <v>0</v>
          </cell>
          <cell r="AU616">
            <v>0</v>
          </cell>
        </row>
        <row r="617">
          <cell r="D617" t="str">
            <v>lngongch</v>
          </cell>
          <cell r="E617">
            <v>206897646</v>
          </cell>
          <cell r="F617" t="str">
            <v>A</v>
          </cell>
          <cell r="G617" t="str">
            <v>GREEN</v>
          </cell>
          <cell r="H617" t="str">
            <v>FULL_TIME</v>
          </cell>
          <cell r="I617">
            <v>900234</v>
          </cell>
          <cell r="J617" t="str">
            <v>Fastlink Outsourcing</v>
          </cell>
          <cell r="K617" t="str">
            <v>LEONARD NGONG CHACK</v>
          </cell>
          <cell r="L617" t="str">
            <v>Warehouse Associate (TEMP)</v>
          </cell>
          <cell r="M617" t="str">
            <v>Warehouse Associate 12M</v>
          </cell>
          <cell r="N617" t="str">
            <v>mnarshad</v>
          </cell>
          <cell r="O617">
            <v>1299</v>
          </cell>
          <cell r="P617" t="str">
            <v>AUH1</v>
          </cell>
          <cell r="Q617" t="str">
            <v>ARE</v>
          </cell>
          <cell r="R617" t="str">
            <v>LK012</v>
          </cell>
          <cell r="S617" t="str">
            <v>Night Shift</v>
          </cell>
          <cell r="T617">
            <v>99</v>
          </cell>
          <cell r="U617" t="str">
            <v>MENA_UAE_FC</v>
          </cell>
          <cell r="X617">
            <v>46257.756944444445</v>
          </cell>
          <cell r="Y617">
            <v>46258.173611111109</v>
          </cell>
          <cell r="Z617" t="str">
            <v>Rest Day</v>
          </cell>
          <cell r="AA617" t="str">
            <v>Not Scheduled</v>
          </cell>
          <cell r="AB617" t="str">
            <v>Not Present</v>
          </cell>
          <cell r="AC617" t="str">
            <v>Outbound</v>
          </cell>
          <cell r="AD617" t="str">
            <v>Picking</v>
          </cell>
          <cell r="AE617" t="str">
            <v>Pick</v>
          </cell>
          <cell r="AF617" t="str">
            <v>Saturday</v>
          </cell>
          <cell r="AG617" t="str">
            <v>Sunday</v>
          </cell>
          <cell r="AH617">
            <v>13</v>
          </cell>
          <cell r="AJ617">
            <v>46029</v>
          </cell>
          <cell r="AM617" t="str">
            <v>TEMP</v>
          </cell>
          <cell r="AN617" t="str">
            <v>3P Onsite Worker</v>
          </cell>
          <cell r="AO617" t="str">
            <v>A</v>
          </cell>
          <cell r="AP617">
            <v>9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</row>
        <row r="618">
          <cell r="D618" t="str">
            <v>lprinced</v>
          </cell>
          <cell r="E618">
            <v>203881662</v>
          </cell>
          <cell r="F618" t="str">
            <v>A</v>
          </cell>
          <cell r="G618" t="str">
            <v>GREEN</v>
          </cell>
          <cell r="H618" t="str">
            <v>FULL_TIME</v>
          </cell>
          <cell r="I618">
            <v>900234</v>
          </cell>
          <cell r="J618" t="str">
            <v>Fastlink Outsourcing</v>
          </cell>
          <cell r="K618" t="str">
            <v>Prince Dramani</v>
          </cell>
          <cell r="L618" t="str">
            <v>Warehouse Associate (TEMP)</v>
          </cell>
          <cell r="M618" t="str">
            <v>Warehouse Associate 12M</v>
          </cell>
          <cell r="N618" t="str">
            <v>ansammar</v>
          </cell>
          <cell r="O618">
            <v>1299</v>
          </cell>
          <cell r="P618" t="str">
            <v>AUH1</v>
          </cell>
          <cell r="Q618" t="str">
            <v>ARE</v>
          </cell>
          <cell r="R618" t="str">
            <v>FC034</v>
          </cell>
          <cell r="S618" t="str">
            <v>Day Shift</v>
          </cell>
          <cell r="T618">
            <v>99</v>
          </cell>
          <cell r="U618" t="str">
            <v>MENA_UAE_FC</v>
          </cell>
          <cell r="X618">
            <v>46257.333333333336</v>
          </cell>
          <cell r="Y618">
            <v>46257.75</v>
          </cell>
          <cell r="Z618" t="str">
            <v>Rest Day</v>
          </cell>
          <cell r="AA618" t="str">
            <v>Not Scheduled</v>
          </cell>
          <cell r="AB618" t="str">
            <v>Not Present</v>
          </cell>
          <cell r="AC618" t="str">
            <v>Outbound</v>
          </cell>
          <cell r="AD618" t="str">
            <v>Picking</v>
          </cell>
          <cell r="AE618" t="str">
            <v>Pick</v>
          </cell>
          <cell r="AF618" t="str">
            <v>Saturday</v>
          </cell>
          <cell r="AG618" t="str">
            <v>Sunday</v>
          </cell>
          <cell r="AH618">
            <v>13</v>
          </cell>
          <cell r="AJ618">
            <v>45529</v>
          </cell>
          <cell r="AM618" t="str">
            <v>TEMP</v>
          </cell>
          <cell r="AN618" t="str">
            <v>3P Onsite Worker</v>
          </cell>
          <cell r="AO618" t="str">
            <v>A</v>
          </cell>
          <cell r="AP618">
            <v>9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</row>
        <row r="619">
          <cell r="D619" t="str">
            <v>lubsulah</v>
          </cell>
          <cell r="E619">
            <v>206873878</v>
          </cell>
          <cell r="F619" t="str">
            <v>A</v>
          </cell>
          <cell r="G619" t="str">
            <v>GREEN</v>
          </cell>
          <cell r="H619" t="str">
            <v>FULL_TIME</v>
          </cell>
          <cell r="I619">
            <v>900234</v>
          </cell>
          <cell r="J619" t="str">
            <v>Dulsco L.L.C.</v>
          </cell>
          <cell r="K619" t="str">
            <v>SULAH LUBWAMA</v>
          </cell>
          <cell r="L619" t="str">
            <v>Warehouse Associate (TEMP)</v>
          </cell>
          <cell r="M619" t="str">
            <v>Warehouse Associate 8W</v>
          </cell>
          <cell r="N619" t="str">
            <v>nnahla</v>
          </cell>
          <cell r="O619">
            <v>1299</v>
          </cell>
          <cell r="P619" t="str">
            <v>AUH1</v>
          </cell>
          <cell r="Q619" t="str">
            <v>ARE</v>
          </cell>
          <cell r="R619" t="str">
            <v>FC059</v>
          </cell>
          <cell r="S619" t="str">
            <v>Day Shift</v>
          </cell>
          <cell r="T619">
            <v>99</v>
          </cell>
          <cell r="U619" t="str">
            <v>MENA_UAE_FC</v>
          </cell>
          <cell r="X619">
            <v>46257.333333333336</v>
          </cell>
          <cell r="Y619">
            <v>46257.75</v>
          </cell>
          <cell r="Z619" t="str">
            <v>Rest Day</v>
          </cell>
          <cell r="AA619" t="str">
            <v>Not Scheduled</v>
          </cell>
          <cell r="AB619" t="str">
            <v>Not Present</v>
          </cell>
          <cell r="AC619" t="str">
            <v>Inbound</v>
          </cell>
          <cell r="AD619" t="str">
            <v>Inbound Stow</v>
          </cell>
          <cell r="AE619" t="str">
            <v>Stow</v>
          </cell>
          <cell r="AF619" t="str">
            <v>Sunday</v>
          </cell>
          <cell r="AG619" t="str">
            <v>Monday</v>
          </cell>
          <cell r="AH619">
            <v>3</v>
          </cell>
          <cell r="AJ619">
            <v>46019</v>
          </cell>
          <cell r="AM619" t="str">
            <v>TEMP</v>
          </cell>
          <cell r="AN619" t="str">
            <v>3P Onsite Worker</v>
          </cell>
          <cell r="AO619" t="str">
            <v>A</v>
          </cell>
          <cell r="AP619">
            <v>9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</row>
        <row r="620">
          <cell r="D620" t="str">
            <v>lwangazm</v>
          </cell>
          <cell r="E620">
            <v>206953971</v>
          </cell>
          <cell r="F620" t="str">
            <v>A</v>
          </cell>
          <cell r="G620" t="str">
            <v>GREEN</v>
          </cell>
          <cell r="H620" t="str">
            <v>FULL_TIME</v>
          </cell>
          <cell r="I620">
            <v>900234</v>
          </cell>
          <cell r="J620" t="str">
            <v>Dulsco L.L.C.</v>
          </cell>
          <cell r="K620" t="str">
            <v>MARTIN GOSHEN LWANGA</v>
          </cell>
          <cell r="L620" t="str">
            <v>Warehouse Associate (TEMP)</v>
          </cell>
          <cell r="M620" t="str">
            <v>Warehouse Associate 8W</v>
          </cell>
          <cell r="N620" t="str">
            <v>bavameer</v>
          </cell>
          <cell r="O620">
            <v>1299</v>
          </cell>
          <cell r="P620" t="str">
            <v>AUH1</v>
          </cell>
          <cell r="Q620" t="str">
            <v>ARE</v>
          </cell>
          <cell r="R620" t="str">
            <v>FC159</v>
          </cell>
          <cell r="S620" t="str">
            <v>Day Shift</v>
          </cell>
          <cell r="T620">
            <v>99</v>
          </cell>
          <cell r="U620" t="str">
            <v>MENA_UAE_FC</v>
          </cell>
          <cell r="V620">
            <v>46257.331250000003</v>
          </cell>
          <cell r="W620">
            <v>46257.75</v>
          </cell>
          <cell r="X620">
            <v>46257.333333333336</v>
          </cell>
          <cell r="Y620">
            <v>46257.75</v>
          </cell>
          <cell r="AA620" t="str">
            <v>Scheduled</v>
          </cell>
          <cell r="AB620" t="str">
            <v>Present</v>
          </cell>
          <cell r="AC620" t="str">
            <v>Customer returns</v>
          </cell>
          <cell r="AD620" t="str">
            <v>Customer Returns</v>
          </cell>
          <cell r="AE620" t="str">
            <v>Customer returns</v>
          </cell>
          <cell r="AF620" t="str">
            <v>Thursday</v>
          </cell>
          <cell r="AG620" t="str">
            <v>Friday</v>
          </cell>
          <cell r="AH620">
            <v>22</v>
          </cell>
          <cell r="AJ620">
            <v>46047</v>
          </cell>
          <cell r="AM620" t="str">
            <v>TEMP</v>
          </cell>
          <cell r="AN620" t="str">
            <v>3P Onsite Worker</v>
          </cell>
          <cell r="AO620" t="str">
            <v>A</v>
          </cell>
          <cell r="AP620">
            <v>9</v>
          </cell>
          <cell r="AQ620">
            <v>0</v>
          </cell>
          <cell r="AR620">
            <v>1</v>
          </cell>
          <cell r="AS620">
            <v>1</v>
          </cell>
          <cell r="AT620">
            <v>0</v>
          </cell>
          <cell r="AU620">
            <v>0</v>
          </cell>
        </row>
        <row r="621">
          <cell r="D621" t="str">
            <v>lydiawwa</v>
          </cell>
          <cell r="E621">
            <v>205502952</v>
          </cell>
          <cell r="F621" t="str">
            <v>A</v>
          </cell>
          <cell r="G621" t="str">
            <v>GREEN</v>
          </cell>
          <cell r="H621" t="str">
            <v>FULL_TIME</v>
          </cell>
          <cell r="I621">
            <v>900234</v>
          </cell>
          <cell r="J621" t="str">
            <v>EFS Facilities Services</v>
          </cell>
          <cell r="K621" t="str">
            <v>LYDIA WANGARI WANJIKU</v>
          </cell>
          <cell r="L621" t="str">
            <v>Warehouse Associate (TEMP)</v>
          </cell>
          <cell r="M621" t="str">
            <v>Warehouse Associate 8W</v>
          </cell>
          <cell r="N621" t="str">
            <v>bavameer</v>
          </cell>
          <cell r="O621">
            <v>1299</v>
          </cell>
          <cell r="P621" t="str">
            <v>AUH1</v>
          </cell>
          <cell r="Q621" t="str">
            <v>ARE</v>
          </cell>
          <cell r="R621" t="str">
            <v>FC134</v>
          </cell>
          <cell r="S621" t="str">
            <v>Day Shift</v>
          </cell>
          <cell r="T621">
            <v>99</v>
          </cell>
          <cell r="U621" t="str">
            <v>MENA_UAE_FC</v>
          </cell>
          <cell r="V621">
            <v>46257.332638888889</v>
          </cell>
          <cell r="W621">
            <v>46257.749305555553</v>
          </cell>
          <cell r="X621">
            <v>46257.333333333336</v>
          </cell>
          <cell r="Y621">
            <v>46257.75</v>
          </cell>
          <cell r="AA621" t="str">
            <v>Scheduled</v>
          </cell>
          <cell r="AB621" t="str">
            <v>Present</v>
          </cell>
          <cell r="AC621" t="str">
            <v>Customer returns</v>
          </cell>
          <cell r="AD621" t="str">
            <v>Customer Returns</v>
          </cell>
          <cell r="AE621" t="str">
            <v>Customer returns</v>
          </cell>
          <cell r="AF621" t="str">
            <v>Wednesday</v>
          </cell>
          <cell r="AG621" t="str">
            <v>Thursday</v>
          </cell>
          <cell r="AH621">
            <v>22</v>
          </cell>
          <cell r="AJ621">
            <v>45830</v>
          </cell>
          <cell r="AM621" t="str">
            <v>TEMP</v>
          </cell>
          <cell r="AN621" t="str">
            <v>3P Onsite Worker</v>
          </cell>
          <cell r="AO621" t="str">
            <v>A</v>
          </cell>
          <cell r="AP621">
            <v>9</v>
          </cell>
          <cell r="AQ621">
            <v>0</v>
          </cell>
          <cell r="AR621">
            <v>1</v>
          </cell>
          <cell r="AS621">
            <v>1</v>
          </cell>
          <cell r="AT621">
            <v>0</v>
          </cell>
          <cell r="AU621">
            <v>0</v>
          </cell>
        </row>
        <row r="622">
          <cell r="D622" t="str">
            <v>maapolot</v>
          </cell>
          <cell r="E622">
            <v>206250609</v>
          </cell>
          <cell r="F622" t="str">
            <v>A</v>
          </cell>
          <cell r="G622" t="str">
            <v>GREEN</v>
          </cell>
          <cell r="H622" t="str">
            <v>FULL_TIME</v>
          </cell>
          <cell r="I622">
            <v>900234</v>
          </cell>
          <cell r="J622" t="str">
            <v>Fastlink Outsourcing</v>
          </cell>
          <cell r="K622" t="str">
            <v>MARTHA APOLOT</v>
          </cell>
          <cell r="L622" t="str">
            <v>Warehouse Associate (TEMP)</v>
          </cell>
          <cell r="M622" t="str">
            <v>Warehouse Associate 12M</v>
          </cell>
          <cell r="N622" t="str">
            <v>helrashd</v>
          </cell>
          <cell r="O622">
            <v>1299</v>
          </cell>
          <cell r="P622" t="str">
            <v>AUH1</v>
          </cell>
          <cell r="Q622" t="str">
            <v>ARE</v>
          </cell>
          <cell r="R622" t="str">
            <v>FC034</v>
          </cell>
          <cell r="S622" t="str">
            <v>Day Shift</v>
          </cell>
          <cell r="T622">
            <v>99</v>
          </cell>
          <cell r="U622" t="str">
            <v>MENA_UAE_FC</v>
          </cell>
          <cell r="X622">
            <v>46257.333333333336</v>
          </cell>
          <cell r="Y622">
            <v>46257.75</v>
          </cell>
          <cell r="Z622" t="str">
            <v>Rest Day</v>
          </cell>
          <cell r="AA622" t="str">
            <v>Not Scheduled</v>
          </cell>
          <cell r="AB622" t="str">
            <v>Not Present</v>
          </cell>
          <cell r="AC622" t="str">
            <v>Outbound</v>
          </cell>
          <cell r="AD622" t="str">
            <v>Pack - Batch</v>
          </cell>
          <cell r="AE622" t="str">
            <v>Pack</v>
          </cell>
          <cell r="AF622" t="str">
            <v>Saturday</v>
          </cell>
          <cell r="AG622" t="str">
            <v>Sunday</v>
          </cell>
          <cell r="AH622">
            <v>17</v>
          </cell>
          <cell r="AJ622">
            <v>45942</v>
          </cell>
          <cell r="AM622" t="str">
            <v>TEMP</v>
          </cell>
          <cell r="AN622" t="str">
            <v>3P Onsite Worker</v>
          </cell>
          <cell r="AO622" t="str">
            <v>A</v>
          </cell>
          <cell r="AP622">
            <v>9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</row>
        <row r="623">
          <cell r="D623" t="str">
            <v>madhavau</v>
          </cell>
          <cell r="E623">
            <v>104147044</v>
          </cell>
          <cell r="F623" t="str">
            <v>A</v>
          </cell>
          <cell r="G623" t="str">
            <v>BLUE</v>
          </cell>
          <cell r="H623" t="str">
            <v>FULL_TIME</v>
          </cell>
          <cell r="I623" t="str">
            <v>P03251</v>
          </cell>
          <cell r="K623" t="str">
            <v>Unnikrishnan Valiyaparambil Madhavan</v>
          </cell>
          <cell r="L623" t="str">
            <v>FC Associate I</v>
          </cell>
          <cell r="M623" t="str">
            <v>FC Associate I</v>
          </cell>
          <cell r="N623" t="str">
            <v>nnahla</v>
          </cell>
          <cell r="O623">
            <v>1299</v>
          </cell>
          <cell r="P623" t="str">
            <v>AUH1</v>
          </cell>
          <cell r="Q623" t="str">
            <v>ARE</v>
          </cell>
          <cell r="R623" t="str">
            <v>LK011</v>
          </cell>
          <cell r="S623" t="str">
            <v>Night Shift</v>
          </cell>
          <cell r="T623">
            <v>1</v>
          </cell>
          <cell r="U623" t="str">
            <v>MENA_UAE_FC</v>
          </cell>
          <cell r="V623">
            <v>46257.756249999999</v>
          </cell>
          <cell r="X623">
            <v>46257.756944444445</v>
          </cell>
          <cell r="Y623">
            <v>46258.173611111109</v>
          </cell>
          <cell r="AA623" t="str">
            <v>Scheduled</v>
          </cell>
          <cell r="AB623" t="str">
            <v>Present</v>
          </cell>
          <cell r="AC623" t="str">
            <v>Inbound</v>
          </cell>
          <cell r="AD623" t="str">
            <v>Inbound Stow</v>
          </cell>
          <cell r="AE623" t="str">
            <v>Stow</v>
          </cell>
          <cell r="AF623" t="str">
            <v>Friday</v>
          </cell>
          <cell r="AG623" t="str">
            <v>Saturday</v>
          </cell>
          <cell r="AH623">
            <v>3</v>
          </cell>
          <cell r="AJ623">
            <v>44860</v>
          </cell>
          <cell r="AM623" t="str">
            <v>FC</v>
          </cell>
          <cell r="AN623" t="str">
            <v>Regular Full Time</v>
          </cell>
          <cell r="AO623" t="str">
            <v>A</v>
          </cell>
          <cell r="AP623">
            <v>9</v>
          </cell>
          <cell r="AQ623">
            <v>0</v>
          </cell>
          <cell r="AR623">
            <v>1</v>
          </cell>
          <cell r="AS623">
            <v>1</v>
          </cell>
          <cell r="AT623">
            <v>0</v>
          </cell>
          <cell r="AU623">
            <v>0</v>
          </cell>
        </row>
        <row r="624">
          <cell r="D624" t="str">
            <v>magdanya</v>
          </cell>
          <cell r="E624">
            <v>206873657</v>
          </cell>
          <cell r="F624" t="str">
            <v>A</v>
          </cell>
          <cell r="G624" t="str">
            <v>GREEN</v>
          </cell>
          <cell r="H624" t="str">
            <v>FULL_TIME</v>
          </cell>
          <cell r="I624">
            <v>900234</v>
          </cell>
          <cell r="J624" t="str">
            <v>Fastlink Outsourcing</v>
          </cell>
          <cell r="K624" t="str">
            <v>MAGDALENE NYARKOA ASANT</v>
          </cell>
          <cell r="L624" t="str">
            <v>Warehouse Associate (TEMP)</v>
          </cell>
          <cell r="M624" t="str">
            <v>Warehouse Associate 12M</v>
          </cell>
          <cell r="N624" t="str">
            <v>nnahla</v>
          </cell>
          <cell r="O624">
            <v>1299</v>
          </cell>
          <cell r="P624" t="str">
            <v>AUH1</v>
          </cell>
          <cell r="Q624" t="str">
            <v>ARE</v>
          </cell>
          <cell r="R624" t="str">
            <v>FC059</v>
          </cell>
          <cell r="S624" t="str">
            <v>Day Shift</v>
          </cell>
          <cell r="T624">
            <v>99</v>
          </cell>
          <cell r="U624" t="str">
            <v>MENA_UAE_FC</v>
          </cell>
          <cell r="X624">
            <v>46257.333333333336</v>
          </cell>
          <cell r="Y624">
            <v>46257.75</v>
          </cell>
          <cell r="Z624" t="str">
            <v>Rest Day</v>
          </cell>
          <cell r="AA624" t="str">
            <v>Not Scheduled</v>
          </cell>
          <cell r="AB624" t="str">
            <v>Not Present</v>
          </cell>
          <cell r="AC624" t="str">
            <v>Inbound</v>
          </cell>
          <cell r="AD624" t="str">
            <v>Vendor Receive</v>
          </cell>
          <cell r="AE624" t="str">
            <v>Receive</v>
          </cell>
          <cell r="AF624" t="str">
            <v>Sunday</v>
          </cell>
          <cell r="AG624" t="str">
            <v>Monday</v>
          </cell>
          <cell r="AH624">
            <v>1</v>
          </cell>
          <cell r="AJ624">
            <v>46019</v>
          </cell>
          <cell r="AM624" t="str">
            <v>TEMP</v>
          </cell>
          <cell r="AN624" t="str">
            <v>3P Onsite Worker</v>
          </cell>
          <cell r="AO624" t="str">
            <v>A</v>
          </cell>
          <cell r="AP624">
            <v>9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</row>
        <row r="625">
          <cell r="D625" t="str">
            <v>magepaul</v>
          </cell>
          <cell r="E625">
            <v>206953812</v>
          </cell>
          <cell r="F625" t="str">
            <v>A</v>
          </cell>
          <cell r="G625" t="str">
            <v>GREEN</v>
          </cell>
          <cell r="H625" t="str">
            <v>FULL_TIME</v>
          </cell>
          <cell r="I625">
            <v>900234</v>
          </cell>
          <cell r="J625" t="str">
            <v>Dulsco L.L.C.</v>
          </cell>
          <cell r="K625" t="str">
            <v>PAUL MAGEMBE</v>
          </cell>
          <cell r="L625" t="str">
            <v>Warehouse Associate (TEMP)</v>
          </cell>
          <cell r="M625" t="str">
            <v>Warehouse Associate 8W</v>
          </cell>
          <cell r="N625" t="str">
            <v>bavameer</v>
          </cell>
          <cell r="O625">
            <v>1299</v>
          </cell>
          <cell r="P625" t="str">
            <v>AUH1</v>
          </cell>
          <cell r="Q625" t="str">
            <v>ARE</v>
          </cell>
          <cell r="R625" t="str">
            <v>FC159</v>
          </cell>
          <cell r="S625" t="str">
            <v>Day Shift</v>
          </cell>
          <cell r="T625">
            <v>99</v>
          </cell>
          <cell r="U625" t="str">
            <v>MENA_UAE_FC</v>
          </cell>
          <cell r="V625">
            <v>46257.333333333336</v>
          </cell>
          <cell r="W625">
            <v>46257.75</v>
          </cell>
          <cell r="X625">
            <v>46257.333333333336</v>
          </cell>
          <cell r="Y625">
            <v>46257.75</v>
          </cell>
          <cell r="AA625" t="str">
            <v>Scheduled</v>
          </cell>
          <cell r="AB625" t="str">
            <v>Present</v>
          </cell>
          <cell r="AC625" t="str">
            <v>Customer returns</v>
          </cell>
          <cell r="AD625" t="str">
            <v>Customer Returns</v>
          </cell>
          <cell r="AE625" t="str">
            <v>Customer returns</v>
          </cell>
          <cell r="AF625" t="str">
            <v>Thursday</v>
          </cell>
          <cell r="AG625" t="str">
            <v>Friday</v>
          </cell>
          <cell r="AH625">
            <v>22</v>
          </cell>
          <cell r="AJ625">
            <v>46047</v>
          </cell>
          <cell r="AM625" t="str">
            <v>TEMP</v>
          </cell>
          <cell r="AN625" t="str">
            <v>3P Onsite Worker</v>
          </cell>
          <cell r="AO625" t="str">
            <v>A</v>
          </cell>
          <cell r="AP625">
            <v>9</v>
          </cell>
          <cell r="AQ625">
            <v>0</v>
          </cell>
          <cell r="AR625">
            <v>1</v>
          </cell>
          <cell r="AS625">
            <v>1</v>
          </cell>
          <cell r="AT625">
            <v>0</v>
          </cell>
          <cell r="AU625">
            <v>0</v>
          </cell>
        </row>
        <row r="626">
          <cell r="D626" t="str">
            <v>maijanew</v>
          </cell>
          <cell r="E626">
            <v>206953803</v>
          </cell>
          <cell r="F626" t="str">
            <v>A</v>
          </cell>
          <cell r="G626" t="str">
            <v>GREEN</v>
          </cell>
          <cell r="H626" t="str">
            <v>FULL_TIME</v>
          </cell>
          <cell r="I626">
            <v>900234</v>
          </cell>
          <cell r="J626" t="str">
            <v>EFS Facilities Services</v>
          </cell>
          <cell r="K626" t="str">
            <v>Jane Wangari Maina</v>
          </cell>
          <cell r="L626" t="str">
            <v>Warehouse Associate (TEMP)</v>
          </cell>
          <cell r="M626" t="str">
            <v>Warehouse Associate 12M</v>
          </cell>
          <cell r="N626" t="str">
            <v>aanso</v>
          </cell>
          <cell r="O626">
            <v>1299</v>
          </cell>
          <cell r="P626" t="str">
            <v>AUH1</v>
          </cell>
          <cell r="Q626" t="str">
            <v>ARE</v>
          </cell>
          <cell r="R626" t="str">
            <v>FC159</v>
          </cell>
          <cell r="S626" t="str">
            <v>Day Shift</v>
          </cell>
          <cell r="T626">
            <v>99</v>
          </cell>
          <cell r="U626" t="str">
            <v>MENA_UAE_FC</v>
          </cell>
          <cell r="V626">
            <v>46257.336111111108</v>
          </cell>
          <cell r="W626">
            <v>46257.748611111114</v>
          </cell>
          <cell r="X626">
            <v>46257.333333333336</v>
          </cell>
          <cell r="Y626">
            <v>46257.75</v>
          </cell>
          <cell r="AA626" t="str">
            <v>Scheduled</v>
          </cell>
          <cell r="AB626" t="str">
            <v>Present</v>
          </cell>
          <cell r="AC626" t="str">
            <v>Customer returns</v>
          </cell>
          <cell r="AD626" t="str">
            <v>Customer Returns</v>
          </cell>
          <cell r="AE626" t="str">
            <v>Customer returns</v>
          </cell>
          <cell r="AF626" t="str">
            <v>Thursday</v>
          </cell>
          <cell r="AG626" t="str">
            <v>Friday</v>
          </cell>
          <cell r="AH626">
            <v>22</v>
          </cell>
          <cell r="AJ626">
            <v>46047</v>
          </cell>
          <cell r="AM626" t="str">
            <v>TEMP</v>
          </cell>
          <cell r="AN626" t="str">
            <v>3P Onsite Worker</v>
          </cell>
          <cell r="AO626" t="str">
            <v>A</v>
          </cell>
          <cell r="AP626">
            <v>9</v>
          </cell>
          <cell r="AQ626">
            <v>0</v>
          </cell>
          <cell r="AR626">
            <v>1</v>
          </cell>
          <cell r="AS626">
            <v>1</v>
          </cell>
          <cell r="AT626">
            <v>0</v>
          </cell>
          <cell r="AU626">
            <v>0</v>
          </cell>
        </row>
        <row r="627">
          <cell r="D627" t="str">
            <v>mainaoso</v>
          </cell>
          <cell r="E627">
            <v>205506017</v>
          </cell>
          <cell r="F627" t="str">
            <v>A</v>
          </cell>
          <cell r="G627" t="str">
            <v>GREEN</v>
          </cell>
          <cell r="H627" t="str">
            <v>FULL_TIME</v>
          </cell>
          <cell r="I627">
            <v>900234</v>
          </cell>
          <cell r="J627" t="str">
            <v>EFS Facilities Services</v>
          </cell>
          <cell r="K627" t="str">
            <v>Charles Maina Osora</v>
          </cell>
          <cell r="L627" t="str">
            <v>Warehouse Associate (TEMP)</v>
          </cell>
          <cell r="M627" t="str">
            <v>Warehouse Associate 8W</v>
          </cell>
          <cell r="N627" t="str">
            <v>pparsin</v>
          </cell>
          <cell r="O627">
            <v>1299</v>
          </cell>
          <cell r="P627" t="str">
            <v>AUH1</v>
          </cell>
          <cell r="Q627" t="str">
            <v>ARE</v>
          </cell>
          <cell r="R627" t="str">
            <v>FC034</v>
          </cell>
          <cell r="S627" t="str">
            <v>Day Shift</v>
          </cell>
          <cell r="T627">
            <v>99</v>
          </cell>
          <cell r="U627" t="str">
            <v>MENA_UAE_FC</v>
          </cell>
          <cell r="X627">
            <v>46257.333333333336</v>
          </cell>
          <cell r="Y627">
            <v>46257.75</v>
          </cell>
          <cell r="Z627" t="str">
            <v>Rest Day</v>
          </cell>
          <cell r="AA627" t="str">
            <v>Not Scheduled</v>
          </cell>
          <cell r="AB627" t="str">
            <v>Not Present</v>
          </cell>
          <cell r="AC627" t="str">
            <v>Inbound</v>
          </cell>
          <cell r="AD627" t="str">
            <v>Inbound Stow</v>
          </cell>
          <cell r="AE627" t="str">
            <v>Stow</v>
          </cell>
          <cell r="AF627" t="str">
            <v>Saturday</v>
          </cell>
          <cell r="AG627" t="str">
            <v>Sunday</v>
          </cell>
          <cell r="AH627">
            <v>3</v>
          </cell>
          <cell r="AJ627">
            <v>45830</v>
          </cell>
          <cell r="AM627" t="str">
            <v>TEMP</v>
          </cell>
          <cell r="AN627" t="str">
            <v>3P Onsite Worker</v>
          </cell>
          <cell r="AO627" t="str">
            <v>A</v>
          </cell>
          <cell r="AP627">
            <v>9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</row>
        <row r="628">
          <cell r="D628" t="str">
            <v>makaflor</v>
          </cell>
          <cell r="E628">
            <v>204883236</v>
          </cell>
          <cell r="F628" t="str">
            <v>A</v>
          </cell>
          <cell r="G628" t="str">
            <v>GREEN</v>
          </cell>
          <cell r="H628" t="str">
            <v>FULL_TIME</v>
          </cell>
          <cell r="I628">
            <v>900234</v>
          </cell>
          <cell r="J628" t="str">
            <v>Quesscorp</v>
          </cell>
          <cell r="K628" t="str">
            <v>Florence Ottilia Tsitsi Makamure</v>
          </cell>
          <cell r="L628" t="str">
            <v>Warehouse Associate (TEMP)</v>
          </cell>
          <cell r="M628" t="str">
            <v>Warehouse Associate 8W</v>
          </cell>
          <cell r="N628" t="str">
            <v>abbaszoo</v>
          </cell>
          <cell r="O628">
            <v>1299</v>
          </cell>
          <cell r="P628" t="str">
            <v>AUH1</v>
          </cell>
          <cell r="Q628" t="str">
            <v>ARE</v>
          </cell>
          <cell r="R628" t="str">
            <v>LK011</v>
          </cell>
          <cell r="S628" t="str">
            <v>Night Shift</v>
          </cell>
          <cell r="T628">
            <v>99</v>
          </cell>
          <cell r="U628" t="str">
            <v>MENA_UAE_FC</v>
          </cell>
          <cell r="V628">
            <v>46257.756249999999</v>
          </cell>
          <cell r="X628">
            <v>46257.756944444445</v>
          </cell>
          <cell r="Y628">
            <v>46258.173611111109</v>
          </cell>
          <cell r="AA628" t="str">
            <v>Scheduled</v>
          </cell>
          <cell r="AB628" t="str">
            <v>Present</v>
          </cell>
          <cell r="AC628" t="str">
            <v>Inbound</v>
          </cell>
          <cell r="AD628" t="str">
            <v>Vendor Receive</v>
          </cell>
          <cell r="AE628" t="str">
            <v>Receive</v>
          </cell>
          <cell r="AF628" t="str">
            <v>Friday</v>
          </cell>
          <cell r="AG628" t="str">
            <v>Saturday</v>
          </cell>
          <cell r="AH628">
            <v>1</v>
          </cell>
          <cell r="AJ628">
            <v>45690</v>
          </cell>
          <cell r="AM628" t="str">
            <v>TEMP</v>
          </cell>
          <cell r="AN628" t="str">
            <v>3P Onsite Worker</v>
          </cell>
          <cell r="AO628" t="str">
            <v>A</v>
          </cell>
          <cell r="AP628">
            <v>9</v>
          </cell>
          <cell r="AQ628">
            <v>0</v>
          </cell>
          <cell r="AR628">
            <v>1</v>
          </cell>
          <cell r="AS628">
            <v>1</v>
          </cell>
          <cell r="AT628">
            <v>0</v>
          </cell>
          <cell r="AU628">
            <v>0</v>
          </cell>
        </row>
        <row r="629">
          <cell r="D629" t="str">
            <v>malemuhg</v>
          </cell>
          <cell r="E629">
            <v>203816296</v>
          </cell>
          <cell r="F629" t="str">
            <v>A</v>
          </cell>
          <cell r="G629" t="str">
            <v>GREEN</v>
          </cell>
          <cell r="H629" t="str">
            <v>FULL_TIME</v>
          </cell>
          <cell r="I629">
            <v>900234</v>
          </cell>
          <cell r="J629" t="str">
            <v>Dulsco L.L.C.</v>
          </cell>
          <cell r="K629" t="str">
            <v>Muhammed Male</v>
          </cell>
          <cell r="L629" t="str">
            <v>Warehouse Associate (TEMP)</v>
          </cell>
          <cell r="M629" t="str">
            <v>Warehouse Associate 8W</v>
          </cell>
          <cell r="N629" t="str">
            <v>bavameer</v>
          </cell>
          <cell r="O629">
            <v>1299</v>
          </cell>
          <cell r="P629" t="str">
            <v>AUH1</v>
          </cell>
          <cell r="Q629" t="str">
            <v>ARE</v>
          </cell>
          <cell r="R629" t="str">
            <v>FC134</v>
          </cell>
          <cell r="S629" t="str">
            <v>Day Shift</v>
          </cell>
          <cell r="T629">
            <v>99</v>
          </cell>
          <cell r="U629" t="str">
            <v>MENA_UAE_FC</v>
          </cell>
          <cell r="V629">
            <v>46257.331250000003</v>
          </cell>
          <cell r="W629">
            <v>46257.748611111114</v>
          </cell>
          <cell r="X629">
            <v>46257.333333333336</v>
          </cell>
          <cell r="Y629">
            <v>46257.75</v>
          </cell>
          <cell r="AA629" t="str">
            <v>Scheduled</v>
          </cell>
          <cell r="AB629" t="str">
            <v>Present</v>
          </cell>
          <cell r="AC629" t="str">
            <v>Customer returns</v>
          </cell>
          <cell r="AD629" t="str">
            <v>Customer Returns</v>
          </cell>
          <cell r="AE629" t="str">
            <v>Customer returns</v>
          </cell>
          <cell r="AF629" t="str">
            <v>Wednesday</v>
          </cell>
          <cell r="AG629" t="str">
            <v>Thursday</v>
          </cell>
          <cell r="AH629">
            <v>22</v>
          </cell>
          <cell r="AJ629">
            <v>45517</v>
          </cell>
          <cell r="AM629" t="str">
            <v>TEMP</v>
          </cell>
          <cell r="AN629" t="str">
            <v>3P Onsite Worker</v>
          </cell>
          <cell r="AO629" t="str">
            <v>A</v>
          </cell>
          <cell r="AP629">
            <v>9</v>
          </cell>
          <cell r="AQ629">
            <v>0</v>
          </cell>
          <cell r="AR629">
            <v>1</v>
          </cell>
          <cell r="AS629">
            <v>1</v>
          </cell>
          <cell r="AT629">
            <v>0</v>
          </cell>
          <cell r="AU629">
            <v>0</v>
          </cell>
        </row>
        <row r="630">
          <cell r="D630" t="str">
            <v>malingum</v>
          </cell>
          <cell r="E630">
            <v>206915008</v>
          </cell>
          <cell r="F630" t="str">
            <v>A</v>
          </cell>
          <cell r="G630" t="str">
            <v>GREEN</v>
          </cell>
          <cell r="H630" t="str">
            <v>FULL_TIME</v>
          </cell>
          <cell r="I630">
            <v>900234</v>
          </cell>
          <cell r="J630" t="str">
            <v>Dulsco L.L.C.</v>
          </cell>
          <cell r="K630" t="str">
            <v>MALINGUMU JACKSON</v>
          </cell>
          <cell r="L630" t="str">
            <v>Warehouse Associate (TEMP)</v>
          </cell>
          <cell r="M630" t="str">
            <v>Warehouse Associate 8W</v>
          </cell>
          <cell r="N630" t="str">
            <v>nnahla</v>
          </cell>
          <cell r="O630">
            <v>1299</v>
          </cell>
          <cell r="P630" t="str">
            <v>AUH1</v>
          </cell>
          <cell r="Q630" t="str">
            <v>ARE</v>
          </cell>
          <cell r="R630" t="str">
            <v>FC059</v>
          </cell>
          <cell r="S630" t="str">
            <v>Day Shift</v>
          </cell>
          <cell r="T630">
            <v>99</v>
          </cell>
          <cell r="U630" t="str">
            <v>MENA_UAE_FC</v>
          </cell>
          <cell r="X630">
            <v>46257.333333333336</v>
          </cell>
          <cell r="Y630">
            <v>46257.75</v>
          </cell>
          <cell r="Z630" t="str">
            <v>Rest Day</v>
          </cell>
          <cell r="AA630" t="str">
            <v>Not Scheduled</v>
          </cell>
          <cell r="AB630" t="str">
            <v>Not Present</v>
          </cell>
          <cell r="AC630" t="str">
            <v>Inbound</v>
          </cell>
          <cell r="AD630" t="str">
            <v>Vendor Receive</v>
          </cell>
          <cell r="AE630" t="str">
            <v>Receive</v>
          </cell>
          <cell r="AF630" t="str">
            <v>Sunday</v>
          </cell>
          <cell r="AG630" t="str">
            <v>Monday</v>
          </cell>
          <cell r="AH630">
            <v>1</v>
          </cell>
          <cell r="AJ630">
            <v>46033</v>
          </cell>
          <cell r="AM630" t="str">
            <v>TEMP</v>
          </cell>
          <cell r="AN630" t="str">
            <v>3P Onsite Worker</v>
          </cell>
          <cell r="AO630" t="str">
            <v>A</v>
          </cell>
          <cell r="AP630">
            <v>9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</row>
        <row r="631">
          <cell r="D631" t="str">
            <v>malkmaha</v>
          </cell>
          <cell r="E631">
            <v>204967052</v>
          </cell>
          <cell r="F631" t="str">
            <v>A</v>
          </cell>
          <cell r="G631" t="str">
            <v>GREEN</v>
          </cell>
          <cell r="H631" t="str">
            <v>FULL_TIME</v>
          </cell>
          <cell r="I631">
            <v>900234</v>
          </cell>
          <cell r="J631" t="str">
            <v>Dulsco L.L.C.</v>
          </cell>
          <cell r="K631" t="str">
            <v>MALIK MAHAMA</v>
          </cell>
          <cell r="L631" t="str">
            <v>Warehouse Associate (TEMP)</v>
          </cell>
          <cell r="M631" t="str">
            <v>Warehouse Associate 24M</v>
          </cell>
          <cell r="N631" t="str">
            <v>lraghava</v>
          </cell>
          <cell r="O631">
            <v>1299</v>
          </cell>
          <cell r="P631" t="str">
            <v>AUH1</v>
          </cell>
          <cell r="Q631" t="str">
            <v>ARE</v>
          </cell>
          <cell r="R631" t="str">
            <v>LK015</v>
          </cell>
          <cell r="S631" t="str">
            <v>Night Shift</v>
          </cell>
          <cell r="T631">
            <v>99</v>
          </cell>
          <cell r="U631" t="str">
            <v>MENA_UAE_FC</v>
          </cell>
          <cell r="V631">
            <v>46257.754861111112</v>
          </cell>
          <cell r="X631">
            <v>46257.756944444445</v>
          </cell>
          <cell r="Y631">
            <v>46258.173611111109</v>
          </cell>
          <cell r="AA631" t="str">
            <v>Scheduled</v>
          </cell>
          <cell r="AB631" t="str">
            <v>Present</v>
          </cell>
          <cell r="AC631" t="str">
            <v>Outbound</v>
          </cell>
          <cell r="AD631" t="str">
            <v>Picking</v>
          </cell>
          <cell r="AE631" t="str">
            <v>Pick</v>
          </cell>
          <cell r="AF631" t="str">
            <v>Tuesday</v>
          </cell>
          <cell r="AG631" t="str">
            <v>Wednesday</v>
          </cell>
          <cell r="AH631">
            <v>13</v>
          </cell>
          <cell r="AJ631">
            <v>45718</v>
          </cell>
          <cell r="AM631" t="str">
            <v>TEMP</v>
          </cell>
          <cell r="AN631" t="str">
            <v>3P Onsite Worker</v>
          </cell>
          <cell r="AO631" t="str">
            <v>A</v>
          </cell>
          <cell r="AP631">
            <v>9</v>
          </cell>
          <cell r="AQ631">
            <v>0</v>
          </cell>
          <cell r="AR631">
            <v>1</v>
          </cell>
          <cell r="AS631">
            <v>1</v>
          </cell>
          <cell r="AT631">
            <v>0</v>
          </cell>
          <cell r="AU631">
            <v>0</v>
          </cell>
        </row>
        <row r="632">
          <cell r="D632" t="str">
            <v>mambbfra</v>
          </cell>
          <cell r="E632">
            <v>206296189</v>
          </cell>
          <cell r="F632" t="str">
            <v>A</v>
          </cell>
          <cell r="G632" t="str">
            <v>GREEN</v>
          </cell>
          <cell r="H632" t="str">
            <v>FULL_TIME</v>
          </cell>
          <cell r="I632">
            <v>900234</v>
          </cell>
          <cell r="J632" t="str">
            <v>EFS Facilities Services</v>
          </cell>
          <cell r="K632" t="str">
            <v>FRANCIS MAMBWE</v>
          </cell>
          <cell r="L632" t="str">
            <v>Warehouse Associate (TEMP)</v>
          </cell>
          <cell r="M632" t="str">
            <v>Warehouse Associate 8W</v>
          </cell>
          <cell r="N632" t="str">
            <v>aanso</v>
          </cell>
          <cell r="O632">
            <v>1299</v>
          </cell>
          <cell r="P632" t="str">
            <v>AUH1</v>
          </cell>
          <cell r="Q632" t="str">
            <v>ARE</v>
          </cell>
          <cell r="R632" t="str">
            <v>FC109</v>
          </cell>
          <cell r="S632" t="str">
            <v>Day Shift</v>
          </cell>
          <cell r="T632">
            <v>99</v>
          </cell>
          <cell r="U632" t="str">
            <v>MENA_UAE_FC</v>
          </cell>
          <cell r="V632">
            <v>46257.331250000003</v>
          </cell>
          <cell r="W632">
            <v>46257.749305555553</v>
          </cell>
          <cell r="X632">
            <v>46257.333333333336</v>
          </cell>
          <cell r="Y632">
            <v>46257.75</v>
          </cell>
          <cell r="AA632" t="str">
            <v>Scheduled</v>
          </cell>
          <cell r="AB632" t="str">
            <v>Present</v>
          </cell>
          <cell r="AC632" t="str">
            <v>Customer returns</v>
          </cell>
          <cell r="AD632" t="str">
            <v>Customer Returns</v>
          </cell>
          <cell r="AE632" t="str">
            <v>Customer returns</v>
          </cell>
          <cell r="AF632" t="str">
            <v>Tuesday</v>
          </cell>
          <cell r="AG632" t="str">
            <v>Wednesday</v>
          </cell>
          <cell r="AH632">
            <v>22</v>
          </cell>
          <cell r="AJ632">
            <v>45949</v>
          </cell>
          <cell r="AM632" t="str">
            <v>TEMP</v>
          </cell>
          <cell r="AN632" t="str">
            <v>3P Onsite Worker</v>
          </cell>
          <cell r="AO632" t="str">
            <v>A</v>
          </cell>
          <cell r="AP632">
            <v>9</v>
          </cell>
          <cell r="AQ632">
            <v>0</v>
          </cell>
          <cell r="AR632">
            <v>1</v>
          </cell>
          <cell r="AS632">
            <v>1</v>
          </cell>
          <cell r="AT632">
            <v>0</v>
          </cell>
          <cell r="AU632">
            <v>0</v>
          </cell>
        </row>
        <row r="633">
          <cell r="D633" t="str">
            <v>mambflor</v>
          </cell>
          <cell r="E633">
            <v>204883085</v>
          </cell>
          <cell r="F633" t="str">
            <v>A</v>
          </cell>
          <cell r="G633" t="str">
            <v>GREEN</v>
          </cell>
          <cell r="H633" t="str">
            <v>FULL_TIME</v>
          </cell>
          <cell r="I633">
            <v>900234</v>
          </cell>
          <cell r="J633" t="str">
            <v>Quesscorp</v>
          </cell>
          <cell r="K633" t="str">
            <v>Flora Nde Mambo</v>
          </cell>
          <cell r="L633" t="str">
            <v>Warehouse Associate (TEMP)</v>
          </cell>
          <cell r="M633" t="str">
            <v>Warehouse Associate 24M</v>
          </cell>
          <cell r="N633" t="str">
            <v>vkkatyal</v>
          </cell>
          <cell r="O633">
            <v>1299</v>
          </cell>
          <cell r="P633" t="str">
            <v>AUH1</v>
          </cell>
          <cell r="Q633" t="str">
            <v>ARE</v>
          </cell>
          <cell r="R633" t="str">
            <v>FC034</v>
          </cell>
          <cell r="S633" t="str">
            <v>Day Shift</v>
          </cell>
          <cell r="T633">
            <v>99</v>
          </cell>
          <cell r="U633" t="str">
            <v>MENA_UAE_FC</v>
          </cell>
          <cell r="X633">
            <v>46257.333333333336</v>
          </cell>
          <cell r="Y633">
            <v>46257.75</v>
          </cell>
          <cell r="Z633" t="str">
            <v>Rest Day</v>
          </cell>
          <cell r="AA633" t="str">
            <v>Not Scheduled</v>
          </cell>
          <cell r="AB633" t="str">
            <v>Not Present</v>
          </cell>
          <cell r="AC633" t="str">
            <v>Inbound</v>
          </cell>
          <cell r="AD633" t="str">
            <v>Inbound Stow</v>
          </cell>
          <cell r="AE633" t="str">
            <v>Stow</v>
          </cell>
          <cell r="AF633" t="str">
            <v>Saturday</v>
          </cell>
          <cell r="AG633" t="str">
            <v>Sunday</v>
          </cell>
          <cell r="AH633">
            <v>3</v>
          </cell>
          <cell r="AJ633">
            <v>45690</v>
          </cell>
          <cell r="AM633" t="str">
            <v>TEMP</v>
          </cell>
          <cell r="AN633" t="str">
            <v>3P Onsite Worker</v>
          </cell>
          <cell r="AO633" t="str">
            <v>A</v>
          </cell>
          <cell r="AP633">
            <v>9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</row>
        <row r="634">
          <cell r="D634" t="str">
            <v>mangondi</v>
          </cell>
          <cell r="E634">
            <v>102207617</v>
          </cell>
          <cell r="F634" t="str">
            <v>A</v>
          </cell>
          <cell r="G634" t="str">
            <v>BLUE</v>
          </cell>
          <cell r="H634" t="str">
            <v>FULL_TIME</v>
          </cell>
          <cell r="I634" t="str">
            <v>P03231</v>
          </cell>
          <cell r="K634" t="str">
            <v>Lilac Mangondili</v>
          </cell>
          <cell r="L634" t="str">
            <v>FC Associate III</v>
          </cell>
          <cell r="M634" t="str">
            <v>Operations Supervisor</v>
          </cell>
          <cell r="N634" t="str">
            <v>nnahla</v>
          </cell>
          <cell r="O634">
            <v>1299</v>
          </cell>
          <cell r="P634" t="str">
            <v>AUH1</v>
          </cell>
          <cell r="Q634" t="str">
            <v>ARE</v>
          </cell>
          <cell r="R634" t="str">
            <v>FC059</v>
          </cell>
          <cell r="S634" t="str">
            <v>Day Shift</v>
          </cell>
          <cell r="T634">
            <v>3</v>
          </cell>
          <cell r="U634" t="str">
            <v>MENA_UAE_FC</v>
          </cell>
          <cell r="X634">
            <v>46257.333333333336</v>
          </cell>
          <cell r="Y634">
            <v>46257.75</v>
          </cell>
          <cell r="Z634" t="str">
            <v>Rest Day</v>
          </cell>
          <cell r="AA634" t="str">
            <v>Not Scheduled</v>
          </cell>
          <cell r="AB634" t="str">
            <v>Not Present</v>
          </cell>
          <cell r="AC634" t="str">
            <v>Inbound</v>
          </cell>
          <cell r="AD634" t="str">
            <v>IB Lead/PA</v>
          </cell>
          <cell r="AE634" t="str">
            <v>Receive</v>
          </cell>
          <cell r="AF634" t="str">
            <v>Sunday</v>
          </cell>
          <cell r="AG634" t="str">
            <v>Monday</v>
          </cell>
          <cell r="AH634">
            <v>5</v>
          </cell>
          <cell r="AJ634">
            <v>42867</v>
          </cell>
          <cell r="AM634" t="str">
            <v>FC</v>
          </cell>
          <cell r="AN634" t="str">
            <v>Regular Full Time</v>
          </cell>
          <cell r="AO634" t="str">
            <v>A</v>
          </cell>
          <cell r="AP634">
            <v>9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</row>
        <row r="635">
          <cell r="D635" t="str">
            <v>manjegra</v>
          </cell>
          <cell r="E635">
            <v>203469060</v>
          </cell>
          <cell r="F635" t="str">
            <v>A</v>
          </cell>
          <cell r="G635" t="str">
            <v>GREEN</v>
          </cell>
          <cell r="H635" t="str">
            <v>FULL_TIME</v>
          </cell>
          <cell r="I635">
            <v>900234</v>
          </cell>
          <cell r="J635" t="str">
            <v>Fastlink Outsourcing</v>
          </cell>
          <cell r="K635" t="str">
            <v>Grace manjengwa</v>
          </cell>
          <cell r="L635" t="str">
            <v>Warehouse Associate (TEMP)</v>
          </cell>
          <cell r="M635" t="str">
            <v>Warehouse Associate 12M</v>
          </cell>
          <cell r="N635" t="str">
            <v>aanso</v>
          </cell>
          <cell r="O635">
            <v>1299</v>
          </cell>
          <cell r="P635" t="str">
            <v>AUH1</v>
          </cell>
          <cell r="Q635" t="str">
            <v>ARE</v>
          </cell>
          <cell r="R635" t="str">
            <v>FC109</v>
          </cell>
          <cell r="S635" t="str">
            <v>Day Shift</v>
          </cell>
          <cell r="T635">
            <v>99</v>
          </cell>
          <cell r="U635" t="str">
            <v>MENA_UAE_FC</v>
          </cell>
          <cell r="V635">
            <v>46257.331250000003</v>
          </cell>
          <cell r="W635">
            <v>46257.75</v>
          </cell>
          <cell r="X635">
            <v>46257.333333333336</v>
          </cell>
          <cell r="Y635">
            <v>46257.75</v>
          </cell>
          <cell r="AA635" t="str">
            <v>Scheduled</v>
          </cell>
          <cell r="AB635" t="str">
            <v>Present</v>
          </cell>
          <cell r="AC635" t="str">
            <v>Customer returns</v>
          </cell>
          <cell r="AD635" t="str">
            <v>Customer Returns</v>
          </cell>
          <cell r="AE635" t="str">
            <v>Customer returns</v>
          </cell>
          <cell r="AF635" t="str">
            <v>Tuesday</v>
          </cell>
          <cell r="AG635" t="str">
            <v>Wednesday</v>
          </cell>
          <cell r="AH635">
            <v>22</v>
          </cell>
          <cell r="AJ635">
            <v>45455</v>
          </cell>
          <cell r="AM635" t="str">
            <v>TEMP</v>
          </cell>
          <cell r="AN635" t="str">
            <v>3P Onsite Worker</v>
          </cell>
          <cell r="AO635" t="str">
            <v>A</v>
          </cell>
          <cell r="AP635">
            <v>9</v>
          </cell>
          <cell r="AQ635">
            <v>0</v>
          </cell>
          <cell r="AR635">
            <v>1</v>
          </cell>
          <cell r="AS635">
            <v>1</v>
          </cell>
          <cell r="AT635">
            <v>0</v>
          </cell>
          <cell r="AU635">
            <v>0</v>
          </cell>
        </row>
        <row r="636">
          <cell r="D636" t="str">
            <v>manoajay</v>
          </cell>
          <cell r="E636">
            <v>203813034</v>
          </cell>
          <cell r="F636" t="str">
            <v>A</v>
          </cell>
          <cell r="G636" t="str">
            <v>GREEN</v>
          </cell>
          <cell r="H636" t="str">
            <v>FULL_TIME</v>
          </cell>
          <cell r="I636">
            <v>900234</v>
          </cell>
          <cell r="J636" t="str">
            <v>Adecco</v>
          </cell>
          <cell r="K636" t="str">
            <v>AJAY MANOHAR</v>
          </cell>
          <cell r="L636" t="str">
            <v>Warehouse Associate (TEMP)</v>
          </cell>
          <cell r="M636" t="str">
            <v>Warehouse Associate 24M</v>
          </cell>
          <cell r="N636" t="str">
            <v>nnahla</v>
          </cell>
          <cell r="O636">
            <v>1299</v>
          </cell>
          <cell r="P636" t="str">
            <v>AUH1</v>
          </cell>
          <cell r="Q636" t="str">
            <v>ARE</v>
          </cell>
          <cell r="R636" t="str">
            <v>FC034</v>
          </cell>
          <cell r="S636" t="str">
            <v>Day Shift</v>
          </cell>
          <cell r="T636">
            <v>99</v>
          </cell>
          <cell r="U636" t="str">
            <v>MENA_UAE_FC</v>
          </cell>
          <cell r="X636">
            <v>46257.333333333336</v>
          </cell>
          <cell r="Y636">
            <v>46257.75</v>
          </cell>
          <cell r="Z636" t="str">
            <v>Rest Day</v>
          </cell>
          <cell r="AA636" t="str">
            <v>Not Scheduled</v>
          </cell>
          <cell r="AB636" t="str">
            <v>Not Present</v>
          </cell>
          <cell r="AC636" t="str">
            <v>Inbound</v>
          </cell>
          <cell r="AD636" t="str">
            <v>Vendor Receive</v>
          </cell>
          <cell r="AE636" t="str">
            <v>Receive</v>
          </cell>
          <cell r="AF636" t="str">
            <v>Saturday</v>
          </cell>
          <cell r="AG636" t="str">
            <v>Sunday</v>
          </cell>
          <cell r="AH636">
            <v>1</v>
          </cell>
          <cell r="AJ636">
            <v>45516</v>
          </cell>
          <cell r="AM636" t="str">
            <v>TEMP</v>
          </cell>
          <cell r="AN636" t="str">
            <v>3P Onsite Worker</v>
          </cell>
          <cell r="AO636" t="str">
            <v>A</v>
          </cell>
          <cell r="AP636">
            <v>9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</row>
        <row r="637">
          <cell r="D637" t="str">
            <v>maragbev</v>
          </cell>
          <cell r="E637">
            <v>203851001</v>
          </cell>
          <cell r="F637" t="str">
            <v>A</v>
          </cell>
          <cell r="G637" t="str">
            <v>GREEN</v>
          </cell>
          <cell r="H637" t="str">
            <v>FULL_TIME</v>
          </cell>
          <cell r="I637">
            <v>900234</v>
          </cell>
          <cell r="J637" t="str">
            <v>Fastlink Outsourcing</v>
          </cell>
          <cell r="K637" t="str">
            <v>Mary Agbeviade</v>
          </cell>
          <cell r="L637" t="str">
            <v>Warehouse Associate (TEMP)</v>
          </cell>
          <cell r="M637" t="str">
            <v>Warehouse Associate 12M</v>
          </cell>
          <cell r="N637" t="str">
            <v>ansammar</v>
          </cell>
          <cell r="O637">
            <v>1299</v>
          </cell>
          <cell r="P637" t="str">
            <v>AUH1</v>
          </cell>
          <cell r="Q637" t="str">
            <v>ARE</v>
          </cell>
          <cell r="R637" t="str">
            <v>FC034</v>
          </cell>
          <cell r="S637" t="str">
            <v>Day Shift</v>
          </cell>
          <cell r="T637">
            <v>99</v>
          </cell>
          <cell r="U637" t="str">
            <v>MENA_UAE_FC</v>
          </cell>
          <cell r="X637">
            <v>46257.333333333336</v>
          </cell>
          <cell r="Y637">
            <v>46257.75</v>
          </cell>
          <cell r="Z637" t="str">
            <v>Rest Day</v>
          </cell>
          <cell r="AA637" t="str">
            <v>Not Scheduled</v>
          </cell>
          <cell r="AB637" t="str">
            <v>Not Present</v>
          </cell>
          <cell r="AC637" t="str">
            <v>Outbound</v>
          </cell>
          <cell r="AD637" t="str">
            <v>Picking</v>
          </cell>
          <cell r="AE637" t="str">
            <v>Pick</v>
          </cell>
          <cell r="AF637" t="str">
            <v>Saturday</v>
          </cell>
          <cell r="AG637" t="str">
            <v>Sunday</v>
          </cell>
          <cell r="AH637">
            <v>13</v>
          </cell>
          <cell r="AJ637">
            <v>45543</v>
          </cell>
          <cell r="AM637" t="str">
            <v>TEMP</v>
          </cell>
          <cell r="AN637" t="str">
            <v>3P Onsite Worker</v>
          </cell>
          <cell r="AO637" t="str">
            <v>A</v>
          </cell>
          <cell r="AP637">
            <v>9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</row>
        <row r="638">
          <cell r="D638" t="str">
            <v>marahkel</v>
          </cell>
          <cell r="E638">
            <v>203331877</v>
          </cell>
          <cell r="F638" t="str">
            <v>A</v>
          </cell>
          <cell r="G638" t="str">
            <v>GREEN</v>
          </cell>
          <cell r="H638" t="str">
            <v>FULL_TIME</v>
          </cell>
          <cell r="I638">
            <v>900234</v>
          </cell>
          <cell r="J638" t="str">
            <v>Fastlink Outsourcing</v>
          </cell>
          <cell r="K638" t="str">
            <v>Kelly Marah</v>
          </cell>
          <cell r="L638" t="str">
            <v>Warehouse Associate (TEMP)</v>
          </cell>
          <cell r="M638" t="str">
            <v>Warehouse Associate 12M</v>
          </cell>
          <cell r="N638" t="str">
            <v>scariav</v>
          </cell>
          <cell r="O638">
            <v>1299</v>
          </cell>
          <cell r="P638" t="str">
            <v>AUH1</v>
          </cell>
          <cell r="Q638" t="str">
            <v>ARE</v>
          </cell>
          <cell r="R638" t="str">
            <v>LK013</v>
          </cell>
          <cell r="S638" t="str">
            <v>Night Shift</v>
          </cell>
          <cell r="T638">
            <v>99</v>
          </cell>
          <cell r="U638" t="str">
            <v>MENA_UAE_FC</v>
          </cell>
          <cell r="X638">
            <v>46257.756944444445</v>
          </cell>
          <cell r="Y638">
            <v>46258.173611111109</v>
          </cell>
          <cell r="Z638" t="str">
            <v>Rest Day</v>
          </cell>
          <cell r="AA638" t="str">
            <v>Not Scheduled</v>
          </cell>
          <cell r="AB638" t="str">
            <v>Not Present</v>
          </cell>
          <cell r="AC638" t="str">
            <v>Outbound</v>
          </cell>
          <cell r="AD638" t="str">
            <v>Sort - Batch</v>
          </cell>
          <cell r="AE638" t="str">
            <v>Sort</v>
          </cell>
          <cell r="AF638" t="str">
            <v>Sunday</v>
          </cell>
          <cell r="AG638" t="str">
            <v>Monday</v>
          </cell>
          <cell r="AH638">
            <v>15</v>
          </cell>
          <cell r="AJ638">
            <v>45536</v>
          </cell>
          <cell r="AM638" t="str">
            <v>TEMP</v>
          </cell>
          <cell r="AN638" t="str">
            <v>3P Onsite Worker</v>
          </cell>
          <cell r="AO638" t="str">
            <v>A</v>
          </cell>
          <cell r="AP638">
            <v>9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</row>
        <row r="639">
          <cell r="D639" t="str">
            <v>margdufi</v>
          </cell>
          <cell r="E639">
            <v>206868288</v>
          </cell>
          <cell r="F639" t="str">
            <v>A</v>
          </cell>
          <cell r="G639" t="str">
            <v>GREEN</v>
          </cell>
          <cell r="H639" t="str">
            <v>FULL_TIME</v>
          </cell>
          <cell r="I639">
            <v>900234</v>
          </cell>
          <cell r="J639" t="str">
            <v>Fastlink Outsourcing</v>
          </cell>
          <cell r="K639" t="str">
            <v>DUFIE MARY</v>
          </cell>
          <cell r="L639" t="str">
            <v>Warehouse Associate (TEMP)</v>
          </cell>
          <cell r="M639" t="str">
            <v>Warehouse Associate 8W</v>
          </cell>
          <cell r="N639" t="str">
            <v>scariav</v>
          </cell>
          <cell r="O639">
            <v>1299</v>
          </cell>
          <cell r="P639" t="str">
            <v>AUH1</v>
          </cell>
          <cell r="Q639" t="str">
            <v>ARE</v>
          </cell>
          <cell r="R639" t="str">
            <v>FC556</v>
          </cell>
          <cell r="S639" t="str">
            <v>Night Shift</v>
          </cell>
          <cell r="T639">
            <v>99</v>
          </cell>
          <cell r="U639" t="str">
            <v>MENA_UAE_FC</v>
          </cell>
          <cell r="V639">
            <v>46257.756249999999</v>
          </cell>
          <cell r="X639">
            <v>46257.756944444445</v>
          </cell>
          <cell r="Y639">
            <v>46258.090277777781</v>
          </cell>
          <cell r="AA639" t="str">
            <v>Scheduled</v>
          </cell>
          <cell r="AB639" t="str">
            <v>Present</v>
          </cell>
          <cell r="AC639" t="str">
            <v>Outbound</v>
          </cell>
          <cell r="AD639" t="str">
            <v>Pack - Single</v>
          </cell>
          <cell r="AE639" t="str">
            <v>Pack</v>
          </cell>
          <cell r="AF639" t="str">
            <v>Tuesday</v>
          </cell>
          <cell r="AG639" t="str">
            <v>Wednesday</v>
          </cell>
          <cell r="AH639">
            <v>18</v>
          </cell>
          <cell r="AJ639">
            <v>46237</v>
          </cell>
          <cell r="AM639" t="str">
            <v>TEMP</v>
          </cell>
          <cell r="AN639" t="str">
            <v>3P Onsite Worker</v>
          </cell>
          <cell r="AO639" t="str">
            <v>A</v>
          </cell>
          <cell r="AP639">
            <v>7</v>
          </cell>
          <cell r="AQ639">
            <v>0</v>
          </cell>
          <cell r="AR639">
            <v>1</v>
          </cell>
          <cell r="AS639">
            <v>1</v>
          </cell>
          <cell r="AT639">
            <v>0</v>
          </cell>
          <cell r="AU639">
            <v>0</v>
          </cell>
        </row>
        <row r="640">
          <cell r="D640" t="str">
            <v>marietch</v>
          </cell>
          <cell r="E640">
            <v>113167122</v>
          </cell>
          <cell r="F640" t="str">
            <v>A</v>
          </cell>
          <cell r="G640" t="str">
            <v>GREEN</v>
          </cell>
          <cell r="H640" t="str">
            <v>FULL_TIME</v>
          </cell>
          <cell r="I640">
            <v>900234</v>
          </cell>
          <cell r="J640" t="str">
            <v>Quesscorp</v>
          </cell>
          <cell r="K640" t="str">
            <v>Mariette Gran</v>
          </cell>
          <cell r="L640" t="str">
            <v>Warehouse Associate (TEMP)</v>
          </cell>
          <cell r="M640" t="str">
            <v>Warehouse Associate 24M</v>
          </cell>
          <cell r="N640" t="str">
            <v>mnarshad</v>
          </cell>
          <cell r="O640">
            <v>1299</v>
          </cell>
          <cell r="P640" t="str">
            <v>AUH1</v>
          </cell>
          <cell r="Q640" t="str">
            <v>ARE</v>
          </cell>
          <cell r="R640" t="str">
            <v>LK015</v>
          </cell>
          <cell r="S640" t="str">
            <v>Night Shift</v>
          </cell>
          <cell r="T640">
            <v>99</v>
          </cell>
          <cell r="U640" t="str">
            <v>MENA_UAE_FC</v>
          </cell>
          <cell r="V640">
            <v>46257.756249999999</v>
          </cell>
          <cell r="X640">
            <v>46257.756944444445</v>
          </cell>
          <cell r="Y640">
            <v>46258.173611111109</v>
          </cell>
          <cell r="AA640" t="str">
            <v>Scheduled</v>
          </cell>
          <cell r="AB640" t="str">
            <v>Present</v>
          </cell>
          <cell r="AC640" t="str">
            <v>Outbound</v>
          </cell>
          <cell r="AD640" t="str">
            <v>Pack - Batch</v>
          </cell>
          <cell r="AE640" t="str">
            <v>Pack</v>
          </cell>
          <cell r="AF640" t="str">
            <v>Tuesday</v>
          </cell>
          <cell r="AG640" t="str">
            <v>Wednesday</v>
          </cell>
          <cell r="AH640">
            <v>17</v>
          </cell>
          <cell r="AJ640">
            <v>45585</v>
          </cell>
          <cell r="AM640" t="str">
            <v>TEMP</v>
          </cell>
          <cell r="AN640" t="str">
            <v>3P Onsite Worker</v>
          </cell>
          <cell r="AO640" t="str">
            <v>A</v>
          </cell>
          <cell r="AP640">
            <v>9</v>
          </cell>
          <cell r="AQ640">
            <v>0</v>
          </cell>
          <cell r="AR640">
            <v>1</v>
          </cell>
          <cell r="AS640">
            <v>1</v>
          </cell>
          <cell r="AT640">
            <v>0</v>
          </cell>
          <cell r="AU640">
            <v>0</v>
          </cell>
        </row>
        <row r="641">
          <cell r="D641" t="str">
            <v>marimudi</v>
          </cell>
          <cell r="E641">
            <v>206348034</v>
          </cell>
          <cell r="F641" t="str">
            <v>A</v>
          </cell>
          <cell r="G641" t="str">
            <v>GREEN</v>
          </cell>
          <cell r="H641" t="str">
            <v>FULL_TIME</v>
          </cell>
          <cell r="I641">
            <v>900234</v>
          </cell>
          <cell r="J641" t="str">
            <v>Fastlink Outsourcing</v>
          </cell>
          <cell r="K641" t="str">
            <v>MARTINE MUDIMI WONIALA</v>
          </cell>
          <cell r="L641" t="str">
            <v>Warehouse Associate (TEMP)</v>
          </cell>
          <cell r="M641" t="str">
            <v>Warehouse Associate 8W</v>
          </cell>
          <cell r="N641" t="str">
            <v>kebedeed</v>
          </cell>
          <cell r="O641">
            <v>1299</v>
          </cell>
          <cell r="P641" t="str">
            <v>AUH1</v>
          </cell>
          <cell r="Q641" t="str">
            <v>ARE</v>
          </cell>
          <cell r="R641" t="str">
            <v>FC109</v>
          </cell>
          <cell r="S641" t="str">
            <v>Day Shift</v>
          </cell>
          <cell r="T641">
            <v>99</v>
          </cell>
          <cell r="U641" t="str">
            <v>MENA_UAE_FC</v>
          </cell>
          <cell r="V641">
            <v>46257.332638888889</v>
          </cell>
          <cell r="W641">
            <v>46257.748611111114</v>
          </cell>
          <cell r="X641">
            <v>46257.333333333336</v>
          </cell>
          <cell r="Y641">
            <v>46257.75</v>
          </cell>
          <cell r="AA641" t="str">
            <v>Scheduled</v>
          </cell>
          <cell r="AB641" t="str">
            <v>Present</v>
          </cell>
          <cell r="AC641" t="str">
            <v>ICQA</v>
          </cell>
          <cell r="AD641" t="str">
            <v>IC/QA/CS</v>
          </cell>
          <cell r="AE641" t="str">
            <v>Support</v>
          </cell>
          <cell r="AF641" t="str">
            <v>Tuesday</v>
          </cell>
          <cell r="AG641" t="str">
            <v>Wednesday</v>
          </cell>
          <cell r="AH641">
            <v>27</v>
          </cell>
          <cell r="AJ641">
            <v>45956</v>
          </cell>
          <cell r="AM641" t="str">
            <v>TEMP</v>
          </cell>
          <cell r="AN641" t="str">
            <v>3P Onsite Worker</v>
          </cell>
          <cell r="AO641" t="str">
            <v>A</v>
          </cell>
          <cell r="AP641">
            <v>9</v>
          </cell>
          <cell r="AQ641">
            <v>0</v>
          </cell>
          <cell r="AR641">
            <v>1</v>
          </cell>
          <cell r="AS641">
            <v>1</v>
          </cell>
          <cell r="AT641">
            <v>0</v>
          </cell>
          <cell r="AU641">
            <v>0</v>
          </cell>
        </row>
        <row r="642">
          <cell r="D642" t="str">
            <v>markumek</v>
          </cell>
          <cell r="E642">
            <v>204967049</v>
          </cell>
          <cell r="F642" t="str">
            <v>A</v>
          </cell>
          <cell r="G642" t="str">
            <v>GREEN</v>
          </cell>
          <cell r="H642" t="str">
            <v>FULL_TIME</v>
          </cell>
          <cell r="I642">
            <v>900234</v>
          </cell>
          <cell r="J642" t="str">
            <v>Dulsco L.L.C.</v>
          </cell>
          <cell r="K642" t="str">
            <v>MARTIN KUMEKPE</v>
          </cell>
          <cell r="L642" t="str">
            <v>Warehouse Associate (TEMP)</v>
          </cell>
          <cell r="M642" t="str">
            <v>Warehouse Associate 24M</v>
          </cell>
          <cell r="N642" t="str">
            <v>vkkatyal</v>
          </cell>
          <cell r="O642">
            <v>1299</v>
          </cell>
          <cell r="P642" t="str">
            <v>AUH1</v>
          </cell>
          <cell r="Q642" t="str">
            <v>ARE</v>
          </cell>
          <cell r="R642" t="str">
            <v>FC159</v>
          </cell>
          <cell r="S642" t="str">
            <v>Day Shift</v>
          </cell>
          <cell r="T642">
            <v>99</v>
          </cell>
          <cell r="U642" t="str">
            <v>MENA_UAE_FC</v>
          </cell>
          <cell r="V642">
            <v>46257.331944444442</v>
          </cell>
          <cell r="W642">
            <v>46257.750694444447</v>
          </cell>
          <cell r="X642">
            <v>46257.333333333336</v>
          </cell>
          <cell r="Y642">
            <v>46257.75</v>
          </cell>
          <cell r="AA642" t="str">
            <v>Scheduled</v>
          </cell>
          <cell r="AB642" t="str">
            <v>Present</v>
          </cell>
          <cell r="AC642" t="str">
            <v>Inbound</v>
          </cell>
          <cell r="AD642" t="str">
            <v>Inbound Stow</v>
          </cell>
          <cell r="AE642" t="str">
            <v>Stow</v>
          </cell>
          <cell r="AF642" t="str">
            <v>Thursday</v>
          </cell>
          <cell r="AG642" t="str">
            <v>Friday</v>
          </cell>
          <cell r="AH642">
            <v>3</v>
          </cell>
          <cell r="AJ642">
            <v>45825</v>
          </cell>
          <cell r="AM642" t="str">
            <v>TEMP</v>
          </cell>
          <cell r="AN642" t="str">
            <v>3P Onsite Worker</v>
          </cell>
          <cell r="AO642" t="str">
            <v>A</v>
          </cell>
          <cell r="AP642">
            <v>9</v>
          </cell>
          <cell r="AQ642">
            <v>0</v>
          </cell>
          <cell r="AR642">
            <v>1</v>
          </cell>
          <cell r="AS642">
            <v>1</v>
          </cell>
          <cell r="AT642">
            <v>0</v>
          </cell>
          <cell r="AU642">
            <v>0</v>
          </cell>
        </row>
        <row r="643">
          <cell r="D643" t="str">
            <v>marvingx</v>
          </cell>
          <cell r="E643">
            <v>203881597</v>
          </cell>
          <cell r="F643" t="str">
            <v>A</v>
          </cell>
          <cell r="G643" t="str">
            <v>GREEN</v>
          </cell>
          <cell r="H643" t="str">
            <v>FULL_TIME</v>
          </cell>
          <cell r="I643">
            <v>900234</v>
          </cell>
          <cell r="J643" t="str">
            <v>Fastlink Outsourcing</v>
          </cell>
          <cell r="K643" t="str">
            <v>Marvinge Akanang</v>
          </cell>
          <cell r="L643" t="str">
            <v>Warehouse Associate (TEMP)</v>
          </cell>
          <cell r="M643" t="str">
            <v>Warehouse Associate 12M</v>
          </cell>
          <cell r="N643" t="str">
            <v>nnahla</v>
          </cell>
          <cell r="O643">
            <v>1299</v>
          </cell>
          <cell r="P643" t="str">
            <v>AUH1</v>
          </cell>
          <cell r="Q643" t="str">
            <v>ARE</v>
          </cell>
          <cell r="R643" t="str">
            <v>LK015</v>
          </cell>
          <cell r="S643" t="str">
            <v>Night Shift</v>
          </cell>
          <cell r="T643">
            <v>99</v>
          </cell>
          <cell r="U643" t="str">
            <v>MENA_UAE_FC</v>
          </cell>
          <cell r="V643">
            <v>46257.756249999999</v>
          </cell>
          <cell r="X643">
            <v>46257.756944444445</v>
          </cell>
          <cell r="Y643">
            <v>46258.173611111109</v>
          </cell>
          <cell r="AA643" t="str">
            <v>Scheduled</v>
          </cell>
          <cell r="AB643" t="str">
            <v>Present</v>
          </cell>
          <cell r="AC643" t="str">
            <v>Inbound</v>
          </cell>
          <cell r="AD643" t="str">
            <v>Inbound Stow</v>
          </cell>
          <cell r="AE643" t="str">
            <v>Stow</v>
          </cell>
          <cell r="AF643" t="str">
            <v>Tuesday</v>
          </cell>
          <cell r="AG643" t="str">
            <v>Wednesday</v>
          </cell>
          <cell r="AH643">
            <v>3</v>
          </cell>
          <cell r="AJ643">
            <v>45529</v>
          </cell>
          <cell r="AM643" t="str">
            <v>TEMP</v>
          </cell>
          <cell r="AN643" t="str">
            <v>3P Onsite Worker</v>
          </cell>
          <cell r="AO643" t="str">
            <v>A</v>
          </cell>
          <cell r="AP643">
            <v>9</v>
          </cell>
          <cell r="AQ643">
            <v>0</v>
          </cell>
          <cell r="AR643">
            <v>1</v>
          </cell>
          <cell r="AS643">
            <v>1</v>
          </cell>
          <cell r="AT643">
            <v>0</v>
          </cell>
          <cell r="AU643">
            <v>0</v>
          </cell>
        </row>
        <row r="644">
          <cell r="D644" t="str">
            <v>maryabua</v>
          </cell>
          <cell r="E644">
            <v>203850938</v>
          </cell>
          <cell r="F644" t="str">
            <v>A</v>
          </cell>
          <cell r="G644" t="str">
            <v>GREEN</v>
          </cell>
          <cell r="H644" t="str">
            <v>FULL_TIME</v>
          </cell>
          <cell r="I644">
            <v>900234</v>
          </cell>
          <cell r="J644" t="str">
            <v>Fastlink Outsourcing</v>
          </cell>
          <cell r="K644" t="str">
            <v>Mary Abudu</v>
          </cell>
          <cell r="L644" t="str">
            <v>Warehouse Associate (TEMP)</v>
          </cell>
          <cell r="M644" t="str">
            <v>Warehouse Associate 12M</v>
          </cell>
          <cell r="N644" t="str">
            <v>kebedeed</v>
          </cell>
          <cell r="O644">
            <v>1299</v>
          </cell>
          <cell r="P644" t="str">
            <v>AUH1</v>
          </cell>
          <cell r="Q644" t="str">
            <v>ARE</v>
          </cell>
          <cell r="R644" t="str">
            <v>FC109</v>
          </cell>
          <cell r="S644" t="str">
            <v>Day Shift</v>
          </cell>
          <cell r="T644">
            <v>99</v>
          </cell>
          <cell r="U644" t="str">
            <v>MENA_UAE_FC</v>
          </cell>
          <cell r="V644">
            <v>46257.329861111109</v>
          </cell>
          <cell r="W644">
            <v>46257.746527777781</v>
          </cell>
          <cell r="X644">
            <v>46257.333333333336</v>
          </cell>
          <cell r="Y644">
            <v>46257.75</v>
          </cell>
          <cell r="AA644" t="str">
            <v>Scheduled</v>
          </cell>
          <cell r="AB644" t="str">
            <v>Present</v>
          </cell>
          <cell r="AC644" t="str">
            <v>ICQA</v>
          </cell>
          <cell r="AD644" t="str">
            <v>IC/QA/CS</v>
          </cell>
          <cell r="AE644" t="str">
            <v>Support</v>
          </cell>
          <cell r="AF644" t="str">
            <v>Tuesday</v>
          </cell>
          <cell r="AG644" t="str">
            <v>Wednesday</v>
          </cell>
          <cell r="AH644">
            <v>27</v>
          </cell>
          <cell r="AJ644">
            <v>45523</v>
          </cell>
          <cell r="AM644" t="str">
            <v>TEMP</v>
          </cell>
          <cell r="AN644" t="str">
            <v>3P Onsite Worker</v>
          </cell>
          <cell r="AO644" t="str">
            <v>A</v>
          </cell>
          <cell r="AP644">
            <v>9</v>
          </cell>
          <cell r="AQ644">
            <v>0</v>
          </cell>
          <cell r="AR644">
            <v>1</v>
          </cell>
          <cell r="AS644">
            <v>1</v>
          </cell>
          <cell r="AT644">
            <v>0</v>
          </cell>
          <cell r="AU644">
            <v>0</v>
          </cell>
        </row>
        <row r="645">
          <cell r="D645" t="str">
            <v>marymubw</v>
          </cell>
          <cell r="E645">
            <v>206136722</v>
          </cell>
          <cell r="F645" t="str">
            <v>A</v>
          </cell>
          <cell r="G645" t="str">
            <v>GREEN</v>
          </cell>
          <cell r="H645" t="str">
            <v>FULL_TIME</v>
          </cell>
          <cell r="I645">
            <v>900234</v>
          </cell>
          <cell r="J645" t="str">
            <v>EFS Facilities Services</v>
          </cell>
          <cell r="K645" t="str">
            <v>MARY MUTIO WAUSI</v>
          </cell>
          <cell r="L645" t="str">
            <v>Warehouse Associate (TEMP)</v>
          </cell>
          <cell r="M645" t="str">
            <v>Warehouse Associate 8W</v>
          </cell>
          <cell r="N645" t="str">
            <v>mnarshad</v>
          </cell>
          <cell r="O645">
            <v>1299</v>
          </cell>
          <cell r="P645" t="str">
            <v>AUH1</v>
          </cell>
          <cell r="Q645" t="str">
            <v>ARE</v>
          </cell>
          <cell r="R645" t="str">
            <v>FC557</v>
          </cell>
          <cell r="S645" t="str">
            <v>Night Shift</v>
          </cell>
          <cell r="T645">
            <v>99</v>
          </cell>
          <cell r="U645" t="str">
            <v>MENA_UAE_FC</v>
          </cell>
          <cell r="V645">
            <v>46257.759027777778</v>
          </cell>
          <cell r="X645">
            <v>46257.756944444445</v>
          </cell>
          <cell r="Y645">
            <v>46258.090277777781</v>
          </cell>
          <cell r="AA645" t="str">
            <v>Scheduled</v>
          </cell>
          <cell r="AB645" t="str">
            <v>Present</v>
          </cell>
          <cell r="AC645" t="str">
            <v>Outbound</v>
          </cell>
          <cell r="AD645" t="str">
            <v>Sort - Batch</v>
          </cell>
          <cell r="AE645" t="str">
            <v>Sort</v>
          </cell>
          <cell r="AF645" t="str">
            <v>Wednesday</v>
          </cell>
          <cell r="AG645" t="str">
            <v>Thursday</v>
          </cell>
          <cell r="AH645">
            <v>15</v>
          </cell>
          <cell r="AJ645">
            <v>46237</v>
          </cell>
          <cell r="AM645" t="str">
            <v>TEMP</v>
          </cell>
          <cell r="AN645" t="str">
            <v>3P Onsite Worker</v>
          </cell>
          <cell r="AO645" t="str">
            <v>A</v>
          </cell>
          <cell r="AP645">
            <v>7</v>
          </cell>
          <cell r="AQ645">
            <v>0</v>
          </cell>
          <cell r="AR645">
            <v>1</v>
          </cell>
          <cell r="AS645">
            <v>1</v>
          </cell>
          <cell r="AT645">
            <v>0</v>
          </cell>
          <cell r="AU645">
            <v>0</v>
          </cell>
        </row>
        <row r="646">
          <cell r="D646" t="str">
            <v>masifkas</v>
          </cell>
          <cell r="E646">
            <v>106268190</v>
          </cell>
          <cell r="F646" t="str">
            <v>A</v>
          </cell>
          <cell r="G646" t="str">
            <v>BLUE</v>
          </cell>
          <cell r="H646" t="str">
            <v>FULL_TIME</v>
          </cell>
          <cell r="I646" t="str">
            <v>P03251</v>
          </cell>
          <cell r="K646" t="str">
            <v>Kashif Masih</v>
          </cell>
          <cell r="L646" t="str">
            <v>FC Associate I</v>
          </cell>
          <cell r="M646" t="str">
            <v>FC Associate I</v>
          </cell>
          <cell r="N646" t="str">
            <v>bizthoma</v>
          </cell>
          <cell r="O646">
            <v>1299</v>
          </cell>
          <cell r="P646" t="str">
            <v>AUH1</v>
          </cell>
          <cell r="Q646" t="str">
            <v>ARE</v>
          </cell>
          <cell r="R646" t="str">
            <v>FC059</v>
          </cell>
          <cell r="S646" t="str">
            <v>Day Shift</v>
          </cell>
          <cell r="T646">
            <v>1</v>
          </cell>
          <cell r="U646" t="str">
            <v>MENA_UAE_FC</v>
          </cell>
          <cell r="V646">
            <v>46257.322916666664</v>
          </cell>
          <cell r="W646">
            <v>46257.75</v>
          </cell>
          <cell r="X646">
            <v>46257.333333333336</v>
          </cell>
          <cell r="Y646">
            <v>46257.75</v>
          </cell>
          <cell r="Z646" t="str">
            <v>Rest Day</v>
          </cell>
          <cell r="AA646" t="str">
            <v>Not Scheduled</v>
          </cell>
          <cell r="AB646" t="str">
            <v>Present</v>
          </cell>
          <cell r="AC646" t="str">
            <v>Outbound</v>
          </cell>
          <cell r="AD646" t="str">
            <v>Pack - Single</v>
          </cell>
          <cell r="AE646" t="str">
            <v>Pack</v>
          </cell>
          <cell r="AF646" t="str">
            <v>Sunday</v>
          </cell>
          <cell r="AG646" t="str">
            <v>Monday</v>
          </cell>
          <cell r="AH646">
            <v>18</v>
          </cell>
          <cell r="AJ646">
            <v>44756</v>
          </cell>
          <cell r="AM646" t="str">
            <v>FC</v>
          </cell>
          <cell r="AN646" t="str">
            <v>Regular Full Time</v>
          </cell>
          <cell r="AO646" t="str">
            <v>A</v>
          </cell>
          <cell r="AP646">
            <v>9</v>
          </cell>
          <cell r="AQ646">
            <v>1</v>
          </cell>
          <cell r="AR646">
            <v>1</v>
          </cell>
          <cell r="AS646">
            <v>0</v>
          </cell>
          <cell r="AT646">
            <v>0</v>
          </cell>
          <cell r="AU646">
            <v>0</v>
          </cell>
        </row>
        <row r="647">
          <cell r="D647" t="str">
            <v>masinois</v>
          </cell>
          <cell r="E647">
            <v>205977115</v>
          </cell>
          <cell r="F647" t="str">
            <v>A</v>
          </cell>
          <cell r="G647" t="str">
            <v>GREEN</v>
          </cell>
          <cell r="H647" t="str">
            <v>FULL_TIME</v>
          </cell>
          <cell r="I647">
            <v>900234</v>
          </cell>
          <cell r="J647" t="str">
            <v>Dulsco L.L.C.</v>
          </cell>
          <cell r="K647" t="str">
            <v>ISAAC MASINDE</v>
          </cell>
          <cell r="L647" t="str">
            <v>Warehouse Associate (TEMP)</v>
          </cell>
          <cell r="M647" t="str">
            <v>Warehouse Associate 24M</v>
          </cell>
          <cell r="N647" t="str">
            <v>pparsin</v>
          </cell>
          <cell r="O647">
            <v>1299</v>
          </cell>
          <cell r="P647" t="str">
            <v>AUH1</v>
          </cell>
          <cell r="Q647" t="str">
            <v>ARE</v>
          </cell>
          <cell r="R647" t="str">
            <v>FC059</v>
          </cell>
          <cell r="S647" t="str">
            <v>Day Shift</v>
          </cell>
          <cell r="T647">
            <v>99</v>
          </cell>
          <cell r="U647" t="str">
            <v>MENA_UAE_FC</v>
          </cell>
          <cell r="X647">
            <v>46257.333333333336</v>
          </cell>
          <cell r="Y647">
            <v>46257.75</v>
          </cell>
          <cell r="Z647" t="str">
            <v>Rest Day</v>
          </cell>
          <cell r="AA647" t="str">
            <v>Not Scheduled</v>
          </cell>
          <cell r="AB647" t="str">
            <v>Not Present</v>
          </cell>
          <cell r="AC647" t="str">
            <v>Inbound</v>
          </cell>
          <cell r="AD647" t="str">
            <v>Inbound Stow</v>
          </cell>
          <cell r="AE647" t="str">
            <v>Stow</v>
          </cell>
          <cell r="AF647" t="str">
            <v>Sunday</v>
          </cell>
          <cell r="AG647" t="str">
            <v>Monday</v>
          </cell>
          <cell r="AH647">
            <v>3</v>
          </cell>
          <cell r="AJ647">
            <v>45914</v>
          </cell>
          <cell r="AM647" t="str">
            <v>TEMP</v>
          </cell>
          <cell r="AN647" t="str">
            <v>3P Onsite Worker</v>
          </cell>
          <cell r="AO647" t="str">
            <v>A</v>
          </cell>
          <cell r="AP647">
            <v>9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</row>
        <row r="648">
          <cell r="D648" t="str">
            <v>maththum</v>
          </cell>
          <cell r="E648">
            <v>204869088</v>
          </cell>
          <cell r="F648" t="str">
            <v>A</v>
          </cell>
          <cell r="G648" t="str">
            <v>GREEN</v>
          </cell>
          <cell r="H648" t="str">
            <v>FULL_TIME</v>
          </cell>
          <cell r="I648">
            <v>900234</v>
          </cell>
          <cell r="J648" t="str">
            <v>Quesscorp</v>
          </cell>
          <cell r="K648" t="str">
            <v>Thumelo Ethan Mathe</v>
          </cell>
          <cell r="L648" t="str">
            <v>Warehouse Associate (TEMP)</v>
          </cell>
          <cell r="M648" t="str">
            <v>Warehouse Associate 24M</v>
          </cell>
          <cell r="N648" t="str">
            <v>abbaszoo</v>
          </cell>
          <cell r="O648">
            <v>1299</v>
          </cell>
          <cell r="P648" t="str">
            <v>AUH1</v>
          </cell>
          <cell r="Q648" t="str">
            <v>ARE</v>
          </cell>
          <cell r="R648" t="str">
            <v>FC159</v>
          </cell>
          <cell r="S648" t="str">
            <v>Day Shift</v>
          </cell>
          <cell r="T648">
            <v>99</v>
          </cell>
          <cell r="U648" t="str">
            <v>MENA_UAE_FC</v>
          </cell>
          <cell r="V648">
            <v>46257.332638888889</v>
          </cell>
          <cell r="W648">
            <v>46257.751388888886</v>
          </cell>
          <cell r="X648">
            <v>46257.333333333336</v>
          </cell>
          <cell r="Y648">
            <v>46257.75</v>
          </cell>
          <cell r="AA648" t="str">
            <v>Scheduled</v>
          </cell>
          <cell r="AB648" t="str">
            <v>Present</v>
          </cell>
          <cell r="AC648" t="str">
            <v>Inbound</v>
          </cell>
          <cell r="AD648" t="str">
            <v>Vendor Receive</v>
          </cell>
          <cell r="AE648" t="str">
            <v>Receive</v>
          </cell>
          <cell r="AF648" t="str">
            <v>Thursday</v>
          </cell>
          <cell r="AG648" t="str">
            <v>Friday</v>
          </cell>
          <cell r="AH648">
            <v>1</v>
          </cell>
          <cell r="AJ648">
            <v>45690</v>
          </cell>
          <cell r="AM648" t="str">
            <v>TEMP</v>
          </cell>
          <cell r="AN648" t="str">
            <v>3P Onsite Worker</v>
          </cell>
          <cell r="AO648" t="str">
            <v>A</v>
          </cell>
          <cell r="AP648">
            <v>9</v>
          </cell>
          <cell r="AQ648">
            <v>0</v>
          </cell>
          <cell r="AR648">
            <v>1</v>
          </cell>
          <cell r="AS648">
            <v>1</v>
          </cell>
          <cell r="AT648">
            <v>0</v>
          </cell>
          <cell r="AU648">
            <v>0</v>
          </cell>
        </row>
        <row r="649">
          <cell r="D649" t="str">
            <v>maurrono</v>
          </cell>
          <cell r="E649">
            <v>206192232</v>
          </cell>
          <cell r="F649" t="str">
            <v>A</v>
          </cell>
          <cell r="G649" t="str">
            <v>GREEN</v>
          </cell>
          <cell r="H649" t="str">
            <v>FULL_TIME</v>
          </cell>
          <cell r="I649">
            <v>900234</v>
          </cell>
          <cell r="J649" t="str">
            <v>EFS Facilities Services</v>
          </cell>
          <cell r="K649" t="str">
            <v>Maureen Chebet Rono</v>
          </cell>
          <cell r="L649" t="str">
            <v>Warehouse Associate (TEMP)</v>
          </cell>
          <cell r="M649" t="str">
            <v>Warehouse Associate 8W</v>
          </cell>
          <cell r="N649" t="str">
            <v>mnarshad</v>
          </cell>
          <cell r="O649">
            <v>1299</v>
          </cell>
          <cell r="P649" t="str">
            <v>AUH1</v>
          </cell>
          <cell r="Q649" t="str">
            <v>ARE</v>
          </cell>
          <cell r="R649" t="str">
            <v>FC554</v>
          </cell>
          <cell r="S649" t="str">
            <v>Night Shift</v>
          </cell>
          <cell r="T649">
            <v>99</v>
          </cell>
          <cell r="U649" t="str">
            <v>MENA_UAE_FC</v>
          </cell>
          <cell r="X649">
            <v>46257.756944444445</v>
          </cell>
          <cell r="Y649">
            <v>46258.090277777781</v>
          </cell>
          <cell r="Z649" t="str">
            <v>Rest Day</v>
          </cell>
          <cell r="AA649" t="str">
            <v>Not Scheduled</v>
          </cell>
          <cell r="AB649" t="str">
            <v>Not Present</v>
          </cell>
          <cell r="AC649" t="str">
            <v>Outbound</v>
          </cell>
          <cell r="AD649" t="str">
            <v>Sort - Batch</v>
          </cell>
          <cell r="AE649" t="str">
            <v>Sort</v>
          </cell>
          <cell r="AF649" t="str">
            <v>Sunday</v>
          </cell>
          <cell r="AG649" t="str">
            <v>Monday</v>
          </cell>
          <cell r="AH649">
            <v>15</v>
          </cell>
          <cell r="AJ649">
            <v>46237</v>
          </cell>
          <cell r="AM649" t="str">
            <v>TEMP</v>
          </cell>
          <cell r="AN649" t="str">
            <v>3P Onsite Worker</v>
          </cell>
          <cell r="AO649" t="str">
            <v>A</v>
          </cell>
          <cell r="AP649">
            <v>7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</row>
        <row r="650">
          <cell r="D650" t="str">
            <v>mavconte</v>
          </cell>
          <cell r="E650">
            <v>202219229</v>
          </cell>
          <cell r="F650" t="str">
            <v>A</v>
          </cell>
          <cell r="G650" t="str">
            <v>GREEN</v>
          </cell>
          <cell r="H650" t="str">
            <v>FULL_TIME</v>
          </cell>
          <cell r="I650">
            <v>900234</v>
          </cell>
          <cell r="J650" t="str">
            <v>Fastlink Outsourcing</v>
          </cell>
          <cell r="K650" t="str">
            <v>MARION CONTEH</v>
          </cell>
          <cell r="L650" t="str">
            <v>Warehouse Associate (TEMP)</v>
          </cell>
          <cell r="M650" t="str">
            <v>Warehouse Associate 12M</v>
          </cell>
          <cell r="N650" t="str">
            <v>bavameer</v>
          </cell>
          <cell r="O650">
            <v>1299</v>
          </cell>
          <cell r="P650" t="str">
            <v>AUH1</v>
          </cell>
          <cell r="Q650" t="str">
            <v>ARE</v>
          </cell>
          <cell r="R650" t="str">
            <v>FC109</v>
          </cell>
          <cell r="S650" t="str">
            <v>Day Shift</v>
          </cell>
          <cell r="T650">
            <v>99</v>
          </cell>
          <cell r="U650" t="str">
            <v>MENA_UAE_FC</v>
          </cell>
          <cell r="V650">
            <v>46257.331250000003</v>
          </cell>
          <cell r="W650">
            <v>46257.748611111114</v>
          </cell>
          <cell r="X650">
            <v>46257.333333333336</v>
          </cell>
          <cell r="Y650">
            <v>46257.75</v>
          </cell>
          <cell r="AA650" t="str">
            <v>Scheduled</v>
          </cell>
          <cell r="AB650" t="str">
            <v>Present</v>
          </cell>
          <cell r="AC650" t="str">
            <v>Customer returns</v>
          </cell>
          <cell r="AD650" t="str">
            <v>Customer Returns</v>
          </cell>
          <cell r="AE650" t="str">
            <v>Customer returns</v>
          </cell>
          <cell r="AF650" t="str">
            <v>Tuesday</v>
          </cell>
          <cell r="AG650" t="str">
            <v>Wednesday</v>
          </cell>
          <cell r="AH650">
            <v>22</v>
          </cell>
          <cell r="AJ650">
            <v>45595</v>
          </cell>
          <cell r="AM650" t="str">
            <v>TEMP</v>
          </cell>
          <cell r="AN650" t="str">
            <v>3P Onsite Worker</v>
          </cell>
          <cell r="AO650" t="str">
            <v>A</v>
          </cell>
          <cell r="AP650">
            <v>9</v>
          </cell>
          <cell r="AQ650">
            <v>0</v>
          </cell>
          <cell r="AR650">
            <v>1</v>
          </cell>
          <cell r="AS650">
            <v>1</v>
          </cell>
          <cell r="AT650">
            <v>0</v>
          </cell>
          <cell r="AU650">
            <v>0</v>
          </cell>
        </row>
        <row r="651">
          <cell r="D651" t="str">
            <v>mavuzaid</v>
          </cell>
          <cell r="E651">
            <v>203800379</v>
          </cell>
          <cell r="F651" t="str">
            <v>A</v>
          </cell>
          <cell r="G651" t="str">
            <v>GREEN</v>
          </cell>
          <cell r="H651" t="str">
            <v>FULL_TIME</v>
          </cell>
          <cell r="I651">
            <v>900234</v>
          </cell>
          <cell r="J651" t="str">
            <v>Dulsco L.L.C.</v>
          </cell>
          <cell r="K651" t="str">
            <v>ZAIDI MAVUGA</v>
          </cell>
          <cell r="L651" t="str">
            <v>Warehouse Associate (TEMP)</v>
          </cell>
          <cell r="M651" t="str">
            <v>Warehouse Associate 24M</v>
          </cell>
          <cell r="N651" t="str">
            <v>nnahla</v>
          </cell>
          <cell r="O651">
            <v>1299</v>
          </cell>
          <cell r="P651" t="str">
            <v>AUH1</v>
          </cell>
          <cell r="Q651" t="str">
            <v>ARE</v>
          </cell>
          <cell r="R651" t="str">
            <v>FC009</v>
          </cell>
          <cell r="S651" t="str">
            <v>Day Shift</v>
          </cell>
          <cell r="T651">
            <v>99</v>
          </cell>
          <cell r="U651" t="str">
            <v>MENA_UAE_FC</v>
          </cell>
          <cell r="V651">
            <v>46257.331250000003</v>
          </cell>
          <cell r="W651">
            <v>46257.75</v>
          </cell>
          <cell r="X651">
            <v>46257.333333333336</v>
          </cell>
          <cell r="Y651">
            <v>46257.75</v>
          </cell>
          <cell r="AA651" t="str">
            <v>Scheduled</v>
          </cell>
          <cell r="AB651" t="str">
            <v>Present</v>
          </cell>
          <cell r="AC651" t="str">
            <v>Inbound</v>
          </cell>
          <cell r="AD651" t="str">
            <v>Inbound Stow</v>
          </cell>
          <cell r="AE651" t="str">
            <v>Stow</v>
          </cell>
          <cell r="AF651" t="str">
            <v>Friday</v>
          </cell>
          <cell r="AG651" t="str">
            <v>Saturday</v>
          </cell>
          <cell r="AH651">
            <v>3</v>
          </cell>
          <cell r="AJ651">
            <v>45515</v>
          </cell>
          <cell r="AM651" t="str">
            <v>TEMP</v>
          </cell>
          <cell r="AN651" t="str">
            <v>3P Onsite Worker</v>
          </cell>
          <cell r="AO651" t="str">
            <v>A</v>
          </cell>
          <cell r="AP651">
            <v>9</v>
          </cell>
          <cell r="AQ651">
            <v>0</v>
          </cell>
          <cell r="AR651">
            <v>1</v>
          </cell>
          <cell r="AS651">
            <v>1</v>
          </cell>
          <cell r="AT651">
            <v>0</v>
          </cell>
          <cell r="AU651">
            <v>0</v>
          </cell>
        </row>
        <row r="652">
          <cell r="D652" t="str">
            <v>maxmijer</v>
          </cell>
          <cell r="E652">
            <v>206934437</v>
          </cell>
          <cell r="F652" t="str">
            <v>A</v>
          </cell>
          <cell r="G652" t="str">
            <v>GREEN</v>
          </cell>
          <cell r="H652" t="str">
            <v>FULL_TIME</v>
          </cell>
          <cell r="I652">
            <v>900234</v>
          </cell>
          <cell r="J652" t="str">
            <v>EFS Facilities Services</v>
          </cell>
          <cell r="K652" t="str">
            <v>MAXMILLILA JERUTO</v>
          </cell>
          <cell r="L652" t="str">
            <v>Warehouse Associate (TEMP)</v>
          </cell>
          <cell r="M652" t="str">
            <v>Warehouse Associate 8W</v>
          </cell>
          <cell r="N652" t="str">
            <v>pparsin</v>
          </cell>
          <cell r="O652">
            <v>1299</v>
          </cell>
          <cell r="P652" t="str">
            <v>AUH1</v>
          </cell>
          <cell r="Q652" t="str">
            <v>ARE</v>
          </cell>
          <cell r="R652" t="str">
            <v>FC059</v>
          </cell>
          <cell r="S652" t="str">
            <v>Day Shift</v>
          </cell>
          <cell r="T652">
            <v>99</v>
          </cell>
          <cell r="U652" t="str">
            <v>MENA_UAE_FC</v>
          </cell>
          <cell r="X652">
            <v>46257.333333333336</v>
          </cell>
          <cell r="Y652">
            <v>46257.75</v>
          </cell>
          <cell r="Z652" t="str">
            <v>Rest Day</v>
          </cell>
          <cell r="AA652" t="str">
            <v>Not Scheduled</v>
          </cell>
          <cell r="AB652" t="str">
            <v>Not Present</v>
          </cell>
          <cell r="AC652" t="str">
            <v>Inbound</v>
          </cell>
          <cell r="AD652" t="str">
            <v>Inbound Stow</v>
          </cell>
          <cell r="AE652" t="str">
            <v>Stow</v>
          </cell>
          <cell r="AF652" t="str">
            <v>Sunday</v>
          </cell>
          <cell r="AG652" t="str">
            <v>Monday</v>
          </cell>
          <cell r="AH652">
            <v>3</v>
          </cell>
          <cell r="AJ652">
            <v>46040</v>
          </cell>
          <cell r="AM652" t="str">
            <v>TEMP</v>
          </cell>
          <cell r="AN652" t="str">
            <v>3P Onsite Worker</v>
          </cell>
          <cell r="AO652" t="str">
            <v>A</v>
          </cell>
          <cell r="AP652">
            <v>9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</row>
        <row r="653">
          <cell r="D653" t="str">
            <v>maxmrith</v>
          </cell>
          <cell r="E653">
            <v>203736755</v>
          </cell>
          <cell r="F653" t="str">
            <v>A</v>
          </cell>
          <cell r="G653" t="str">
            <v>GREEN</v>
          </cell>
          <cell r="H653" t="str">
            <v>FULL_TIME</v>
          </cell>
          <cell r="I653">
            <v>900234</v>
          </cell>
          <cell r="J653" t="str">
            <v>Adecco</v>
          </cell>
          <cell r="K653" t="str">
            <v>Mrithul Maxy</v>
          </cell>
          <cell r="L653" t="str">
            <v>Warehouse Associate (TEMP)</v>
          </cell>
          <cell r="M653" t="str">
            <v>Warehouse Associate 24M</v>
          </cell>
          <cell r="N653" t="str">
            <v>vkkatyal</v>
          </cell>
          <cell r="O653">
            <v>1299</v>
          </cell>
          <cell r="P653" t="str">
            <v>AUH1</v>
          </cell>
          <cell r="Q653" t="str">
            <v>ARE</v>
          </cell>
          <cell r="R653" t="str">
            <v>FC034</v>
          </cell>
          <cell r="S653" t="str">
            <v>Day Shift</v>
          </cell>
          <cell r="T653">
            <v>99</v>
          </cell>
          <cell r="U653" t="str">
            <v>MENA_UAE_FC</v>
          </cell>
          <cell r="X653">
            <v>46257.333333333336</v>
          </cell>
          <cell r="Y653">
            <v>46257.75</v>
          </cell>
          <cell r="Z653" t="str">
            <v>Rest Day</v>
          </cell>
          <cell r="AA653" t="str">
            <v>Not Scheduled</v>
          </cell>
          <cell r="AB653" t="str">
            <v>Not Present</v>
          </cell>
          <cell r="AC653" t="str">
            <v>Inbound</v>
          </cell>
          <cell r="AD653" t="str">
            <v>Inbound Stow</v>
          </cell>
          <cell r="AE653" t="str">
            <v>Stow</v>
          </cell>
          <cell r="AF653" t="str">
            <v>Saturday</v>
          </cell>
          <cell r="AG653" t="str">
            <v>Sunday</v>
          </cell>
          <cell r="AH653">
            <v>3</v>
          </cell>
          <cell r="AJ653">
            <v>45501</v>
          </cell>
          <cell r="AM653" t="str">
            <v>TEMP</v>
          </cell>
          <cell r="AN653" t="str">
            <v>3P Onsite Worker</v>
          </cell>
          <cell r="AO653" t="str">
            <v>A</v>
          </cell>
          <cell r="AP653">
            <v>9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</row>
        <row r="654">
          <cell r="D654" t="str">
            <v>maxtokpr</v>
          </cell>
          <cell r="E654">
            <v>203881596</v>
          </cell>
          <cell r="F654" t="str">
            <v>A</v>
          </cell>
          <cell r="G654" t="str">
            <v>GREEN</v>
          </cell>
          <cell r="H654" t="str">
            <v>FULL_TIME</v>
          </cell>
          <cell r="I654">
            <v>900234</v>
          </cell>
          <cell r="J654" t="str">
            <v>Fastlink Outsourcing</v>
          </cell>
          <cell r="K654" t="str">
            <v>Maxwell Tokpor</v>
          </cell>
          <cell r="L654" t="str">
            <v>Warehouse Associate (TEMP)</v>
          </cell>
          <cell r="M654" t="str">
            <v>Warehouse Associate 12M</v>
          </cell>
          <cell r="N654" t="str">
            <v>vkkatyal</v>
          </cell>
          <cell r="O654">
            <v>1299</v>
          </cell>
          <cell r="P654" t="str">
            <v>AUH1</v>
          </cell>
          <cell r="Q654" t="str">
            <v>ARE</v>
          </cell>
          <cell r="R654" t="str">
            <v>FC034</v>
          </cell>
          <cell r="S654" t="str">
            <v>Day Shift</v>
          </cell>
          <cell r="T654">
            <v>99</v>
          </cell>
          <cell r="U654" t="str">
            <v>MENA_UAE_FC</v>
          </cell>
          <cell r="X654">
            <v>46257.333333333336</v>
          </cell>
          <cell r="Y654">
            <v>46257.75</v>
          </cell>
          <cell r="Z654" t="str">
            <v>Rest Day</v>
          </cell>
          <cell r="AA654" t="str">
            <v>Not Scheduled</v>
          </cell>
          <cell r="AB654" t="str">
            <v>Not Present</v>
          </cell>
          <cell r="AC654" t="str">
            <v>Inbound</v>
          </cell>
          <cell r="AD654" t="str">
            <v>Inbound Stow</v>
          </cell>
          <cell r="AE654" t="str">
            <v>Stow</v>
          </cell>
          <cell r="AF654" t="str">
            <v>Saturday</v>
          </cell>
          <cell r="AG654" t="str">
            <v>Sunday</v>
          </cell>
          <cell r="AH654">
            <v>3</v>
          </cell>
          <cell r="AJ654">
            <v>45529</v>
          </cell>
          <cell r="AM654" t="str">
            <v>TEMP</v>
          </cell>
          <cell r="AN654" t="str">
            <v>3P Onsite Worker</v>
          </cell>
          <cell r="AO654" t="str">
            <v>A</v>
          </cell>
          <cell r="AP654">
            <v>9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</row>
        <row r="655">
          <cell r="D655" t="str">
            <v>mbatchar</v>
          </cell>
          <cell r="E655">
            <v>204138128</v>
          </cell>
          <cell r="F655" t="str">
            <v>A</v>
          </cell>
          <cell r="G655" t="str">
            <v>GREEN</v>
          </cell>
          <cell r="H655" t="str">
            <v>FULL_TIME</v>
          </cell>
          <cell r="I655">
            <v>900234</v>
          </cell>
          <cell r="J655" t="str">
            <v>Quesscorp</v>
          </cell>
          <cell r="K655" t="str">
            <v>Richard Blais Mbatcha</v>
          </cell>
          <cell r="L655" t="str">
            <v>Warehouse Associate (TEMP)</v>
          </cell>
          <cell r="M655" t="str">
            <v>Warehouse Associate 24M</v>
          </cell>
          <cell r="N655" t="str">
            <v>bizthoma</v>
          </cell>
          <cell r="O655">
            <v>1299</v>
          </cell>
          <cell r="P655" t="str">
            <v>AUH1</v>
          </cell>
          <cell r="Q655" t="str">
            <v>ARE</v>
          </cell>
          <cell r="R655" t="str">
            <v>LK012</v>
          </cell>
          <cell r="S655" t="str">
            <v>Night Shift</v>
          </cell>
          <cell r="T655">
            <v>99</v>
          </cell>
          <cell r="U655" t="str">
            <v>MENA_UAE_FC</v>
          </cell>
          <cell r="X655">
            <v>46257.756944444445</v>
          </cell>
          <cell r="Y655">
            <v>46258.173611111109</v>
          </cell>
          <cell r="Z655" t="str">
            <v>Rest Day</v>
          </cell>
          <cell r="AA655" t="str">
            <v>Not Scheduled</v>
          </cell>
          <cell r="AB655" t="str">
            <v>Not Present</v>
          </cell>
          <cell r="AC655" t="str">
            <v>Outbound</v>
          </cell>
          <cell r="AD655" t="str">
            <v>Pack - Single</v>
          </cell>
          <cell r="AE655" t="str">
            <v>Pack</v>
          </cell>
          <cell r="AF655" t="str">
            <v>Saturday</v>
          </cell>
          <cell r="AG655" t="str">
            <v>Sunday</v>
          </cell>
          <cell r="AH655">
            <v>18</v>
          </cell>
          <cell r="AJ655">
            <v>45564</v>
          </cell>
          <cell r="AM655" t="str">
            <v>TEMP</v>
          </cell>
          <cell r="AN655" t="str">
            <v>3P Onsite Worker</v>
          </cell>
          <cell r="AO655" t="str">
            <v>A</v>
          </cell>
          <cell r="AP655">
            <v>9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</row>
        <row r="656">
          <cell r="D656" t="str">
            <v>mbehclau</v>
          </cell>
          <cell r="E656">
            <v>203512671</v>
          </cell>
          <cell r="F656" t="str">
            <v>A</v>
          </cell>
          <cell r="G656" t="str">
            <v>GREEN</v>
          </cell>
          <cell r="H656" t="str">
            <v>FULL_TIME</v>
          </cell>
          <cell r="I656">
            <v>900234</v>
          </cell>
          <cell r="J656" t="str">
            <v>Fastlink Outsourcing</v>
          </cell>
          <cell r="K656" t="str">
            <v>Claudette Mbeh</v>
          </cell>
          <cell r="L656" t="str">
            <v>Warehouse Associate (TEMP)</v>
          </cell>
          <cell r="M656" t="str">
            <v>Warehouse Associate 12M</v>
          </cell>
          <cell r="N656" t="str">
            <v>helrashd</v>
          </cell>
          <cell r="O656">
            <v>1299</v>
          </cell>
          <cell r="P656" t="str">
            <v>AUH1</v>
          </cell>
          <cell r="Q656" t="str">
            <v>ARE</v>
          </cell>
          <cell r="R656" t="str">
            <v>FC134</v>
          </cell>
          <cell r="S656" t="str">
            <v>Day Shift</v>
          </cell>
          <cell r="T656">
            <v>99</v>
          </cell>
          <cell r="U656" t="str">
            <v>MENA_UAE_FC</v>
          </cell>
          <cell r="V656">
            <v>46257.332638888889</v>
          </cell>
          <cell r="W656">
            <v>46257.75</v>
          </cell>
          <cell r="X656">
            <v>46257.333333333336</v>
          </cell>
          <cell r="Y656">
            <v>46257.75</v>
          </cell>
          <cell r="AA656" t="str">
            <v>Scheduled</v>
          </cell>
          <cell r="AB656" t="str">
            <v>Present</v>
          </cell>
          <cell r="AC656" t="str">
            <v>Outbound</v>
          </cell>
          <cell r="AD656" t="str">
            <v>Sort - Batch</v>
          </cell>
          <cell r="AE656" t="str">
            <v>Sort</v>
          </cell>
          <cell r="AF656" t="str">
            <v>Wednesday</v>
          </cell>
          <cell r="AG656" t="str">
            <v>Thursday</v>
          </cell>
          <cell r="AH656">
            <v>15</v>
          </cell>
          <cell r="AJ656">
            <v>45462</v>
          </cell>
          <cell r="AM656" t="str">
            <v>TEMP</v>
          </cell>
          <cell r="AN656" t="str">
            <v>3P Onsite Worker</v>
          </cell>
          <cell r="AO656" t="str">
            <v>A</v>
          </cell>
          <cell r="AP656">
            <v>9</v>
          </cell>
          <cell r="AQ656">
            <v>0</v>
          </cell>
          <cell r="AR656">
            <v>1</v>
          </cell>
          <cell r="AS656">
            <v>1</v>
          </cell>
          <cell r="AT656">
            <v>0</v>
          </cell>
          <cell r="AU656">
            <v>0</v>
          </cell>
        </row>
        <row r="657">
          <cell r="D657" t="str">
            <v>mbockari</v>
          </cell>
          <cell r="E657">
            <v>203880400</v>
          </cell>
          <cell r="F657" t="str">
            <v>A</v>
          </cell>
          <cell r="G657" t="str">
            <v>GREEN</v>
          </cell>
          <cell r="H657" t="str">
            <v>FULL_TIME</v>
          </cell>
          <cell r="I657">
            <v>900234</v>
          </cell>
          <cell r="J657" t="str">
            <v>Fastlink Outsourcing</v>
          </cell>
          <cell r="K657" t="str">
            <v>Moniya Bockarie</v>
          </cell>
          <cell r="L657" t="str">
            <v>Warehouse Associate (TEMP)</v>
          </cell>
          <cell r="M657" t="str">
            <v>Warehouse Associate 12M</v>
          </cell>
          <cell r="N657" t="str">
            <v>lraghava</v>
          </cell>
          <cell r="O657">
            <v>1299</v>
          </cell>
          <cell r="P657" t="str">
            <v>AUH1</v>
          </cell>
          <cell r="Q657" t="str">
            <v>ARE</v>
          </cell>
          <cell r="R657" t="str">
            <v>LK014</v>
          </cell>
          <cell r="S657" t="str">
            <v>Night Shift</v>
          </cell>
          <cell r="T657">
            <v>99</v>
          </cell>
          <cell r="U657" t="str">
            <v>MENA_UAE_FC</v>
          </cell>
          <cell r="V657">
            <v>46257.754861111112</v>
          </cell>
          <cell r="X657">
            <v>46257.756944444445</v>
          </cell>
          <cell r="Y657">
            <v>46258.173611111109</v>
          </cell>
          <cell r="AA657" t="str">
            <v>Scheduled</v>
          </cell>
          <cell r="AB657" t="str">
            <v>Present</v>
          </cell>
          <cell r="AC657" t="str">
            <v>Outbound</v>
          </cell>
          <cell r="AD657" t="str">
            <v>Picking</v>
          </cell>
          <cell r="AE657" t="str">
            <v>Pick</v>
          </cell>
          <cell r="AF657" t="str">
            <v>Monday</v>
          </cell>
          <cell r="AG657" t="str">
            <v>Tuesday</v>
          </cell>
          <cell r="AH657">
            <v>13</v>
          </cell>
          <cell r="AJ657">
            <v>45529</v>
          </cell>
          <cell r="AM657" t="str">
            <v>TEMP</v>
          </cell>
          <cell r="AN657" t="str">
            <v>3P Onsite Worker</v>
          </cell>
          <cell r="AO657" t="str">
            <v>A</v>
          </cell>
          <cell r="AP657">
            <v>9</v>
          </cell>
          <cell r="AQ657">
            <v>0</v>
          </cell>
          <cell r="AR657">
            <v>1</v>
          </cell>
          <cell r="AS657">
            <v>1</v>
          </cell>
          <cell r="AT657">
            <v>0</v>
          </cell>
          <cell r="AU657">
            <v>0</v>
          </cell>
        </row>
        <row r="658">
          <cell r="D658" t="str">
            <v>mbvirapf</v>
          </cell>
          <cell r="E658">
            <v>203468402</v>
          </cell>
          <cell r="F658" t="str">
            <v>A</v>
          </cell>
          <cell r="G658" t="str">
            <v>GREEN</v>
          </cell>
          <cell r="H658" t="str">
            <v>FULL_TIME</v>
          </cell>
          <cell r="I658">
            <v>900234</v>
          </cell>
          <cell r="J658" t="str">
            <v>Fastlink Outsourcing</v>
          </cell>
          <cell r="K658" t="str">
            <v>Rogers Mbvira Pfouma</v>
          </cell>
          <cell r="L658" t="str">
            <v>Warehouse Associate (TEMP)</v>
          </cell>
          <cell r="M658" t="str">
            <v>Warehouse Associate 12M</v>
          </cell>
          <cell r="N658" t="str">
            <v>nnahla</v>
          </cell>
          <cell r="O658">
            <v>1299</v>
          </cell>
          <cell r="P658" t="str">
            <v>AUH1</v>
          </cell>
          <cell r="Q658" t="str">
            <v>ARE</v>
          </cell>
          <cell r="R658" t="str">
            <v>FC159</v>
          </cell>
          <cell r="S658" t="str">
            <v>Day Shift</v>
          </cell>
          <cell r="T658">
            <v>99</v>
          </cell>
          <cell r="U658" t="str">
            <v>MENA_UAE_FC</v>
          </cell>
          <cell r="V658">
            <v>46257.331944444442</v>
          </cell>
          <cell r="W658">
            <v>46257.747916666667</v>
          </cell>
          <cell r="X658">
            <v>46257.333333333336</v>
          </cell>
          <cell r="Y658">
            <v>46257.75</v>
          </cell>
          <cell r="AA658" t="str">
            <v>Scheduled</v>
          </cell>
          <cell r="AB658" t="str">
            <v>Present</v>
          </cell>
          <cell r="AC658" t="str">
            <v>Inbound</v>
          </cell>
          <cell r="AD658" t="str">
            <v>IB Problem Solve</v>
          </cell>
          <cell r="AE658" t="str">
            <v>Receive</v>
          </cell>
          <cell r="AF658" t="str">
            <v>Thursday</v>
          </cell>
          <cell r="AG658" t="str">
            <v>Friday</v>
          </cell>
          <cell r="AH658">
            <v>6</v>
          </cell>
          <cell r="AJ658">
            <v>45455</v>
          </cell>
          <cell r="AM658" t="str">
            <v>TEMP</v>
          </cell>
          <cell r="AN658" t="str">
            <v>3P Onsite Worker</v>
          </cell>
          <cell r="AO658" t="str">
            <v>A</v>
          </cell>
          <cell r="AP658">
            <v>9</v>
          </cell>
          <cell r="AQ658">
            <v>0</v>
          </cell>
          <cell r="AR658">
            <v>1</v>
          </cell>
          <cell r="AS658">
            <v>1</v>
          </cell>
          <cell r="AT658">
            <v>0</v>
          </cell>
          <cell r="AU658">
            <v>0</v>
          </cell>
        </row>
        <row r="659">
          <cell r="D659" t="str">
            <v>mdutygwe</v>
          </cell>
          <cell r="E659">
            <v>204883247</v>
          </cell>
          <cell r="F659" t="str">
            <v>A</v>
          </cell>
          <cell r="G659" t="str">
            <v>GREEN</v>
          </cell>
          <cell r="H659" t="str">
            <v>FULL_TIME</v>
          </cell>
          <cell r="I659">
            <v>900234</v>
          </cell>
          <cell r="J659" t="str">
            <v>Quesscorp</v>
          </cell>
          <cell r="K659" t="str">
            <v>Gwendoline Mdutshulwa</v>
          </cell>
          <cell r="L659" t="str">
            <v>Warehouse Associate (TEMP)</v>
          </cell>
          <cell r="M659" t="str">
            <v>Warehouse Associate 24M</v>
          </cell>
          <cell r="N659" t="str">
            <v>abbaszoo</v>
          </cell>
          <cell r="O659">
            <v>1299</v>
          </cell>
          <cell r="P659" t="str">
            <v>AUH1</v>
          </cell>
          <cell r="Q659" t="str">
            <v>ARE</v>
          </cell>
          <cell r="R659" t="str">
            <v>FC059</v>
          </cell>
          <cell r="S659" t="str">
            <v>Day Shift</v>
          </cell>
          <cell r="T659">
            <v>99</v>
          </cell>
          <cell r="U659" t="str">
            <v>MENA_UAE_FC</v>
          </cell>
          <cell r="X659">
            <v>46257.333333333336</v>
          </cell>
          <cell r="Y659">
            <v>46257.75</v>
          </cell>
          <cell r="Z659" t="str">
            <v>Rest Day</v>
          </cell>
          <cell r="AA659" t="str">
            <v>Not Scheduled</v>
          </cell>
          <cell r="AB659" t="str">
            <v>Not Present</v>
          </cell>
          <cell r="AC659" t="str">
            <v>Inbound</v>
          </cell>
          <cell r="AD659" t="str">
            <v>Vendor Receive</v>
          </cell>
          <cell r="AE659" t="str">
            <v>Receive</v>
          </cell>
          <cell r="AF659" t="str">
            <v>Sunday</v>
          </cell>
          <cell r="AG659" t="str">
            <v>Monday</v>
          </cell>
          <cell r="AH659">
            <v>1</v>
          </cell>
          <cell r="AJ659">
            <v>45690</v>
          </cell>
          <cell r="AM659" t="str">
            <v>TEMP</v>
          </cell>
          <cell r="AN659" t="str">
            <v>3P Onsite Worker</v>
          </cell>
          <cell r="AO659" t="str">
            <v>A</v>
          </cell>
          <cell r="AP659">
            <v>9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</row>
        <row r="660">
          <cell r="D660" t="str">
            <v>melvprin</v>
          </cell>
          <cell r="E660">
            <v>206873561</v>
          </cell>
          <cell r="F660" t="str">
            <v>A</v>
          </cell>
          <cell r="G660" t="str">
            <v>GREEN</v>
          </cell>
          <cell r="H660" t="str">
            <v>FULL_TIME</v>
          </cell>
          <cell r="I660">
            <v>900234</v>
          </cell>
          <cell r="J660" t="str">
            <v>Fastlink Outsourcing</v>
          </cell>
          <cell r="K660" t="str">
            <v>PRINCESS MELVINA YALLEY</v>
          </cell>
          <cell r="L660" t="str">
            <v>Warehouse Associate (TEMP)</v>
          </cell>
          <cell r="M660" t="str">
            <v>Warehouse Associate 8W</v>
          </cell>
          <cell r="N660" t="str">
            <v>nnahla</v>
          </cell>
          <cell r="O660">
            <v>1299</v>
          </cell>
          <cell r="P660" t="str">
            <v>AUH1</v>
          </cell>
          <cell r="Q660" t="str">
            <v>ARE</v>
          </cell>
          <cell r="R660" t="str">
            <v>FC059</v>
          </cell>
          <cell r="S660" t="str">
            <v>Day Shift</v>
          </cell>
          <cell r="T660">
            <v>99</v>
          </cell>
          <cell r="U660" t="str">
            <v>MENA_UAE_FC</v>
          </cell>
          <cell r="X660">
            <v>46257.333333333336</v>
          </cell>
          <cell r="Y660">
            <v>46257.75</v>
          </cell>
          <cell r="Z660" t="str">
            <v>Rest Day</v>
          </cell>
          <cell r="AA660" t="str">
            <v>Not Scheduled</v>
          </cell>
          <cell r="AB660" t="str">
            <v>Not Present</v>
          </cell>
          <cell r="AC660" t="str">
            <v>Inbound</v>
          </cell>
          <cell r="AD660" t="str">
            <v>Vendor Receive</v>
          </cell>
          <cell r="AE660" t="str">
            <v>Receive</v>
          </cell>
          <cell r="AF660" t="str">
            <v>Sunday</v>
          </cell>
          <cell r="AG660" t="str">
            <v>Monday</v>
          </cell>
          <cell r="AH660">
            <v>1</v>
          </cell>
          <cell r="AJ660">
            <v>46019</v>
          </cell>
          <cell r="AM660" t="str">
            <v>TEMP</v>
          </cell>
          <cell r="AN660" t="str">
            <v>3P Onsite Worker</v>
          </cell>
          <cell r="AO660" t="str">
            <v>A</v>
          </cell>
          <cell r="AP660">
            <v>9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</row>
        <row r="661">
          <cell r="D661" t="str">
            <v>memiheso</v>
          </cell>
          <cell r="E661">
            <v>206886636</v>
          </cell>
          <cell r="F661" t="str">
            <v>A</v>
          </cell>
          <cell r="G661" t="str">
            <v>GREEN</v>
          </cell>
          <cell r="H661" t="str">
            <v>FULL_TIME</v>
          </cell>
          <cell r="I661">
            <v>900234</v>
          </cell>
          <cell r="J661" t="str">
            <v>EFS Facilities Services</v>
          </cell>
          <cell r="K661" t="str">
            <v>MERCY JERUTO MIHESO</v>
          </cell>
          <cell r="L661" t="str">
            <v>Warehouse Associate (TEMP)</v>
          </cell>
          <cell r="M661" t="str">
            <v>Warehouse Associate 8W</v>
          </cell>
          <cell r="N661" t="str">
            <v>mnarshad</v>
          </cell>
          <cell r="O661">
            <v>1299</v>
          </cell>
          <cell r="P661" t="str">
            <v>AUH1</v>
          </cell>
          <cell r="Q661" t="str">
            <v>ARE</v>
          </cell>
          <cell r="R661" t="str">
            <v>LK013</v>
          </cell>
          <cell r="S661" t="str">
            <v>Night Shift</v>
          </cell>
          <cell r="T661">
            <v>99</v>
          </cell>
          <cell r="U661" t="str">
            <v>MENA_UAE_FC</v>
          </cell>
          <cell r="X661">
            <v>46257.756944444445</v>
          </cell>
          <cell r="Y661">
            <v>46258.173611111109</v>
          </cell>
          <cell r="Z661" t="str">
            <v>Rest Day</v>
          </cell>
          <cell r="AA661" t="str">
            <v>Not Scheduled</v>
          </cell>
          <cell r="AB661" t="str">
            <v>Not Present</v>
          </cell>
          <cell r="AC661" t="str">
            <v>Outbound</v>
          </cell>
          <cell r="AD661" t="str">
            <v>Picking</v>
          </cell>
          <cell r="AE661" t="str">
            <v>Pick</v>
          </cell>
          <cell r="AF661" t="str">
            <v>Sunday</v>
          </cell>
          <cell r="AG661" t="str">
            <v>Monday</v>
          </cell>
          <cell r="AH661">
            <v>13</v>
          </cell>
          <cell r="AJ661">
            <v>46026</v>
          </cell>
          <cell r="AM661" t="str">
            <v>TEMP</v>
          </cell>
          <cell r="AN661" t="str">
            <v>3P Onsite Worker</v>
          </cell>
          <cell r="AO661" t="str">
            <v>A</v>
          </cell>
          <cell r="AP661">
            <v>9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</row>
        <row r="662">
          <cell r="D662" t="str">
            <v>mensacon</v>
          </cell>
          <cell r="E662">
            <v>204868854</v>
          </cell>
          <cell r="F662" t="str">
            <v>A</v>
          </cell>
          <cell r="G662" t="str">
            <v>GREEN</v>
          </cell>
          <cell r="H662" t="str">
            <v>FULL_TIME</v>
          </cell>
          <cell r="I662">
            <v>900234</v>
          </cell>
          <cell r="J662" t="str">
            <v>Quesscorp</v>
          </cell>
          <cell r="K662" t="str">
            <v>Confidence Mensah</v>
          </cell>
          <cell r="L662" t="str">
            <v>Warehouse Associate (TEMP)</v>
          </cell>
          <cell r="M662" t="str">
            <v>Warehouse Associate 24M</v>
          </cell>
          <cell r="N662" t="str">
            <v>vkkatyal</v>
          </cell>
          <cell r="O662">
            <v>1299</v>
          </cell>
          <cell r="P662" t="str">
            <v>AUH1</v>
          </cell>
          <cell r="Q662" t="str">
            <v>ARE</v>
          </cell>
          <cell r="R662" t="str">
            <v>FC059</v>
          </cell>
          <cell r="S662" t="str">
            <v>Day Shift</v>
          </cell>
          <cell r="T662">
            <v>99</v>
          </cell>
          <cell r="U662" t="str">
            <v>MENA_UAE_FC</v>
          </cell>
          <cell r="X662">
            <v>46257.333333333336</v>
          </cell>
          <cell r="Y662">
            <v>46257.75</v>
          </cell>
          <cell r="Z662" t="str">
            <v>Rest Day</v>
          </cell>
          <cell r="AA662" t="str">
            <v>Not Scheduled</v>
          </cell>
          <cell r="AB662" t="str">
            <v>Not Present</v>
          </cell>
          <cell r="AC662" t="str">
            <v>Inbound</v>
          </cell>
          <cell r="AD662" t="str">
            <v>Inbound Stow</v>
          </cell>
          <cell r="AE662" t="str">
            <v>Stow</v>
          </cell>
          <cell r="AF662" t="str">
            <v>Sunday</v>
          </cell>
          <cell r="AG662" t="str">
            <v>Monday</v>
          </cell>
          <cell r="AH662">
            <v>3</v>
          </cell>
          <cell r="AJ662">
            <v>45690</v>
          </cell>
          <cell r="AM662" t="str">
            <v>TEMP</v>
          </cell>
          <cell r="AN662" t="str">
            <v>3P Onsite Worker</v>
          </cell>
          <cell r="AO662" t="str">
            <v>A</v>
          </cell>
          <cell r="AP662">
            <v>9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</row>
        <row r="663">
          <cell r="D663" t="str">
            <v>mensathe</v>
          </cell>
          <cell r="E663">
            <v>204116868</v>
          </cell>
          <cell r="F663" t="str">
            <v>A</v>
          </cell>
          <cell r="G663" t="str">
            <v>GREEN</v>
          </cell>
          <cell r="H663" t="str">
            <v>FULL_TIME</v>
          </cell>
          <cell r="I663">
            <v>900234</v>
          </cell>
          <cell r="J663" t="str">
            <v>Quesscorp</v>
          </cell>
          <cell r="K663" t="str">
            <v>Henry Mensah</v>
          </cell>
          <cell r="L663" t="str">
            <v>Warehouse Associate (TEMP)</v>
          </cell>
          <cell r="M663" t="str">
            <v>Warehouse Associate 24M</v>
          </cell>
          <cell r="N663" t="str">
            <v>bizthoma</v>
          </cell>
          <cell r="O663">
            <v>1299</v>
          </cell>
          <cell r="P663" t="str">
            <v>AUH1</v>
          </cell>
          <cell r="Q663" t="str">
            <v>ARE</v>
          </cell>
          <cell r="R663" t="str">
            <v>LK016</v>
          </cell>
          <cell r="S663" t="str">
            <v>Night Shift</v>
          </cell>
          <cell r="T663">
            <v>99</v>
          </cell>
          <cell r="U663" t="str">
            <v>MENA_UAE_FC</v>
          </cell>
          <cell r="V663">
            <v>46257.755555555559</v>
          </cell>
          <cell r="X663">
            <v>46257.756944444445</v>
          </cell>
          <cell r="Y663">
            <v>46258.173611111109</v>
          </cell>
          <cell r="AA663" t="str">
            <v>Scheduled</v>
          </cell>
          <cell r="AB663" t="str">
            <v>Present</v>
          </cell>
          <cell r="AC663" t="str">
            <v>Outbound</v>
          </cell>
          <cell r="AD663" t="str">
            <v>Picking</v>
          </cell>
          <cell r="AE663" t="str">
            <v>Pick</v>
          </cell>
          <cell r="AF663" t="str">
            <v>Wednesday</v>
          </cell>
          <cell r="AG663" t="str">
            <v>Thursday</v>
          </cell>
          <cell r="AH663">
            <v>13</v>
          </cell>
          <cell r="AJ663">
            <v>45560</v>
          </cell>
          <cell r="AM663" t="str">
            <v>TEMP</v>
          </cell>
          <cell r="AN663" t="str">
            <v>3P Onsite Worker</v>
          </cell>
          <cell r="AO663" t="str">
            <v>A</v>
          </cell>
          <cell r="AP663">
            <v>9</v>
          </cell>
          <cell r="AQ663">
            <v>0</v>
          </cell>
          <cell r="AR663">
            <v>1</v>
          </cell>
          <cell r="AS663">
            <v>1</v>
          </cell>
          <cell r="AT663">
            <v>0</v>
          </cell>
          <cell r="AU663">
            <v>0</v>
          </cell>
        </row>
        <row r="664">
          <cell r="D664" t="str">
            <v>mensdorc</v>
          </cell>
          <cell r="E664">
            <v>202516581</v>
          </cell>
          <cell r="F664" t="str">
            <v>A</v>
          </cell>
          <cell r="G664" t="str">
            <v>GREEN</v>
          </cell>
          <cell r="H664" t="str">
            <v>FULL_TIME</v>
          </cell>
          <cell r="I664">
            <v>900234</v>
          </cell>
          <cell r="J664" t="str">
            <v>Fastlink Outsourcing</v>
          </cell>
          <cell r="K664" t="str">
            <v>Dorcas Mensah</v>
          </cell>
          <cell r="L664" t="str">
            <v>Warehouse Associate (TEMP)</v>
          </cell>
          <cell r="M664" t="str">
            <v>Warehouse Associate 12M</v>
          </cell>
          <cell r="N664" t="str">
            <v>amanmish</v>
          </cell>
          <cell r="O664">
            <v>1299</v>
          </cell>
          <cell r="P664" t="str">
            <v>AUH1</v>
          </cell>
          <cell r="Q664" t="str">
            <v>ARE</v>
          </cell>
          <cell r="R664" t="str">
            <v>LK012</v>
          </cell>
          <cell r="S664" t="str">
            <v>Night Shift</v>
          </cell>
          <cell r="T664">
            <v>99</v>
          </cell>
          <cell r="U664" t="str">
            <v>MENA_UAE_FC</v>
          </cell>
          <cell r="X664">
            <v>46257.756944444445</v>
          </cell>
          <cell r="Y664">
            <v>46258.173611111109</v>
          </cell>
          <cell r="Z664" t="str">
            <v>Rest Day</v>
          </cell>
          <cell r="AA664" t="str">
            <v>Not Scheduled</v>
          </cell>
          <cell r="AB664" t="str">
            <v>Not Present</v>
          </cell>
          <cell r="AC664" t="str">
            <v>Outbound</v>
          </cell>
          <cell r="AD664" t="str">
            <v>Picking</v>
          </cell>
          <cell r="AE664" t="str">
            <v>Pick</v>
          </cell>
          <cell r="AF664" t="str">
            <v>Saturday</v>
          </cell>
          <cell r="AG664" t="str">
            <v>Sunday</v>
          </cell>
          <cell r="AH664">
            <v>13</v>
          </cell>
          <cell r="AJ664">
            <v>45529</v>
          </cell>
          <cell r="AM664" t="str">
            <v>TEMP</v>
          </cell>
          <cell r="AN664" t="str">
            <v>3P Onsite Worker</v>
          </cell>
          <cell r="AO664" t="str">
            <v>A</v>
          </cell>
          <cell r="AP664">
            <v>9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</row>
        <row r="665">
          <cell r="D665" t="str">
            <v>merabelf</v>
          </cell>
          <cell r="E665">
            <v>206886515</v>
          </cell>
          <cell r="F665" t="str">
            <v>A</v>
          </cell>
          <cell r="G665" t="str">
            <v>GREEN</v>
          </cell>
          <cell r="H665" t="str">
            <v>FULL_TIME</v>
          </cell>
          <cell r="I665">
            <v>900234</v>
          </cell>
          <cell r="J665" t="str">
            <v>EFS Facilities Services</v>
          </cell>
          <cell r="K665" t="str">
            <v>MERABEL FENIBEE MBIYDZENYUY</v>
          </cell>
          <cell r="L665" t="str">
            <v>Warehouse Associate (TEMP)</v>
          </cell>
          <cell r="M665" t="str">
            <v>Warehouse Associate 8W</v>
          </cell>
          <cell r="N665" t="str">
            <v>bizthoma</v>
          </cell>
          <cell r="O665">
            <v>1299</v>
          </cell>
          <cell r="P665" t="str">
            <v>AUH1</v>
          </cell>
          <cell r="Q665" t="str">
            <v>ARE</v>
          </cell>
          <cell r="R665" t="str">
            <v>LK012</v>
          </cell>
          <cell r="S665" t="str">
            <v>Night Shift</v>
          </cell>
          <cell r="T665">
            <v>99</v>
          </cell>
          <cell r="U665" t="str">
            <v>MENA_UAE_FC</v>
          </cell>
          <cell r="X665">
            <v>46257.756944444445</v>
          </cell>
          <cell r="Y665">
            <v>46258.173611111109</v>
          </cell>
          <cell r="Z665" t="str">
            <v>Rest Day</v>
          </cell>
          <cell r="AA665" t="str">
            <v>Not Scheduled</v>
          </cell>
          <cell r="AB665" t="str">
            <v>Not Present</v>
          </cell>
          <cell r="AC665" t="str">
            <v>Outbound</v>
          </cell>
          <cell r="AD665" t="str">
            <v>Picking</v>
          </cell>
          <cell r="AE665" t="str">
            <v>Pick</v>
          </cell>
          <cell r="AF665" t="str">
            <v>Saturday</v>
          </cell>
          <cell r="AG665" t="str">
            <v>Sunday</v>
          </cell>
          <cell r="AH665">
            <v>13</v>
          </cell>
          <cell r="AJ665">
            <v>46026</v>
          </cell>
          <cell r="AM665" t="str">
            <v>TEMP</v>
          </cell>
          <cell r="AN665" t="str">
            <v>3P Onsite Worker</v>
          </cell>
          <cell r="AO665" t="str">
            <v>A</v>
          </cell>
          <cell r="AP665">
            <v>9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</row>
        <row r="666">
          <cell r="D666" t="str">
            <v>mercyema</v>
          </cell>
          <cell r="E666">
            <v>204869096</v>
          </cell>
          <cell r="F666" t="str">
            <v>A</v>
          </cell>
          <cell r="G666" t="str">
            <v>GREEN</v>
          </cell>
          <cell r="H666" t="str">
            <v>FULL_TIME</v>
          </cell>
          <cell r="I666">
            <v>900234</v>
          </cell>
          <cell r="J666" t="str">
            <v>Quesscorp</v>
          </cell>
          <cell r="K666" t="str">
            <v>Mercy Masuka</v>
          </cell>
          <cell r="L666" t="str">
            <v>Warehouse Associate (TEMP)</v>
          </cell>
          <cell r="M666" t="str">
            <v>Warehouse Associate 24M</v>
          </cell>
          <cell r="N666" t="str">
            <v>vkkatyal</v>
          </cell>
          <cell r="O666">
            <v>1299</v>
          </cell>
          <cell r="P666" t="str">
            <v>AUH1</v>
          </cell>
          <cell r="Q666" t="str">
            <v>ARE</v>
          </cell>
          <cell r="R666" t="str">
            <v>FC034</v>
          </cell>
          <cell r="S666" t="str">
            <v>Day Shift</v>
          </cell>
          <cell r="T666">
            <v>99</v>
          </cell>
          <cell r="U666" t="str">
            <v>MENA_UAE_FC</v>
          </cell>
          <cell r="X666">
            <v>46257.333333333336</v>
          </cell>
          <cell r="Y666">
            <v>46257.75</v>
          </cell>
          <cell r="Z666" t="str">
            <v>Rest Day</v>
          </cell>
          <cell r="AA666" t="str">
            <v>Not Scheduled</v>
          </cell>
          <cell r="AB666" t="str">
            <v>Not Present</v>
          </cell>
          <cell r="AC666" t="str">
            <v>Inbound</v>
          </cell>
          <cell r="AD666" t="str">
            <v>Inbound Stow</v>
          </cell>
          <cell r="AE666" t="str">
            <v>Stow</v>
          </cell>
          <cell r="AF666" t="str">
            <v>Saturday</v>
          </cell>
          <cell r="AG666" t="str">
            <v>Sunday</v>
          </cell>
          <cell r="AH666">
            <v>3</v>
          </cell>
          <cell r="AJ666">
            <v>45690</v>
          </cell>
          <cell r="AM666" t="str">
            <v>TEMP</v>
          </cell>
          <cell r="AN666" t="str">
            <v>3P Onsite Worker</v>
          </cell>
          <cell r="AO666" t="str">
            <v>A</v>
          </cell>
          <cell r="AP666">
            <v>9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</row>
        <row r="667">
          <cell r="D667" t="str">
            <v>meswsylv</v>
          </cell>
          <cell r="E667">
            <v>205496022</v>
          </cell>
          <cell r="F667" t="str">
            <v>A</v>
          </cell>
          <cell r="G667" t="str">
            <v>GREEN</v>
          </cell>
          <cell r="H667" t="str">
            <v>FULL_TIME</v>
          </cell>
          <cell r="I667">
            <v>900234</v>
          </cell>
          <cell r="J667" t="str">
            <v>EFS Facilities Services</v>
          </cell>
          <cell r="K667" t="str">
            <v>SYLVIA JELAGAT MESWO</v>
          </cell>
          <cell r="L667" t="str">
            <v>Warehouse Associate (TEMP)</v>
          </cell>
          <cell r="M667" t="str">
            <v>Warehouse Associate 8W</v>
          </cell>
          <cell r="N667" t="str">
            <v>vkkatyal</v>
          </cell>
          <cell r="O667">
            <v>1299</v>
          </cell>
          <cell r="P667" t="str">
            <v>AUH1</v>
          </cell>
          <cell r="Q667" t="str">
            <v>ARE</v>
          </cell>
          <cell r="R667" t="str">
            <v>FC059</v>
          </cell>
          <cell r="S667" t="str">
            <v>Day Shift</v>
          </cell>
          <cell r="T667">
            <v>99</v>
          </cell>
          <cell r="U667" t="str">
            <v>MENA_UAE_FC</v>
          </cell>
          <cell r="X667">
            <v>46257.333333333336</v>
          </cell>
          <cell r="Y667">
            <v>46257.75</v>
          </cell>
          <cell r="Z667" t="str">
            <v>Rest Day</v>
          </cell>
          <cell r="AA667" t="str">
            <v>Not Scheduled</v>
          </cell>
          <cell r="AB667" t="str">
            <v>Not Present</v>
          </cell>
          <cell r="AC667" t="str">
            <v>Inbound</v>
          </cell>
          <cell r="AD667" t="str">
            <v>Inbound Stow</v>
          </cell>
          <cell r="AE667" t="str">
            <v>Stow</v>
          </cell>
          <cell r="AF667" t="str">
            <v>Sunday</v>
          </cell>
          <cell r="AG667" t="str">
            <v>Monday</v>
          </cell>
          <cell r="AH667">
            <v>3</v>
          </cell>
          <cell r="AJ667">
            <v>45830</v>
          </cell>
          <cell r="AM667" t="str">
            <v>TEMP</v>
          </cell>
          <cell r="AN667" t="str">
            <v>3P Onsite Worker</v>
          </cell>
          <cell r="AO667" t="str">
            <v>A</v>
          </cell>
          <cell r="AP667">
            <v>9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</row>
        <row r="668">
          <cell r="D668" t="str">
            <v>mfatorib</v>
          </cell>
          <cell r="E668">
            <v>203965181</v>
          </cell>
          <cell r="F668" t="str">
            <v>A</v>
          </cell>
          <cell r="G668" t="str">
            <v>GREEN</v>
          </cell>
          <cell r="H668" t="str">
            <v>FULL_TIME</v>
          </cell>
          <cell r="I668">
            <v>900234</v>
          </cell>
          <cell r="J668" t="str">
            <v>Fastlink Outsourcing</v>
          </cell>
          <cell r="K668" t="str">
            <v>Ibrahim Fatorma Dakowa</v>
          </cell>
          <cell r="L668" t="str">
            <v>Warehouse Associate (TEMP)</v>
          </cell>
          <cell r="M668" t="str">
            <v>Warehouse Associate 12M</v>
          </cell>
          <cell r="N668" t="str">
            <v>bizthoma</v>
          </cell>
          <cell r="O668">
            <v>1299</v>
          </cell>
          <cell r="P668" t="str">
            <v>AUH1</v>
          </cell>
          <cell r="Q668" t="str">
            <v>ARE</v>
          </cell>
          <cell r="R668" t="str">
            <v>LK015</v>
          </cell>
          <cell r="S668" t="str">
            <v>Night Shift</v>
          </cell>
          <cell r="T668">
            <v>99</v>
          </cell>
          <cell r="U668" t="str">
            <v>MENA_UAE_FC</v>
          </cell>
          <cell r="V668">
            <v>46257.755555555559</v>
          </cell>
          <cell r="X668">
            <v>46257.756944444445</v>
          </cell>
          <cell r="Y668">
            <v>46258.173611111109</v>
          </cell>
          <cell r="AA668" t="str">
            <v>Scheduled</v>
          </cell>
          <cell r="AB668" t="str">
            <v>Present</v>
          </cell>
          <cell r="AC668" t="str">
            <v>Outbound</v>
          </cell>
          <cell r="AD668" t="str">
            <v>Picking</v>
          </cell>
          <cell r="AE668" t="str">
            <v>Pick</v>
          </cell>
          <cell r="AF668" t="str">
            <v>Tuesday</v>
          </cell>
          <cell r="AG668" t="str">
            <v>Wednesday</v>
          </cell>
          <cell r="AH668">
            <v>13</v>
          </cell>
          <cell r="AJ668">
            <v>45543</v>
          </cell>
          <cell r="AM668" t="str">
            <v>TEMP</v>
          </cell>
          <cell r="AN668" t="str">
            <v>3P Onsite Worker</v>
          </cell>
          <cell r="AO668" t="str">
            <v>A</v>
          </cell>
          <cell r="AP668">
            <v>9</v>
          </cell>
          <cell r="AQ668">
            <v>0</v>
          </cell>
          <cell r="AR668">
            <v>1</v>
          </cell>
          <cell r="AS668">
            <v>1</v>
          </cell>
          <cell r="AT668">
            <v>0</v>
          </cell>
          <cell r="AU668">
            <v>0</v>
          </cell>
        </row>
        <row r="669">
          <cell r="D669" t="str">
            <v>michbawa</v>
          </cell>
          <cell r="E669">
            <v>112851838</v>
          </cell>
          <cell r="F669" t="str">
            <v>A</v>
          </cell>
          <cell r="G669" t="str">
            <v>GREEN</v>
          </cell>
          <cell r="H669" t="str">
            <v>FULL_TIME</v>
          </cell>
          <cell r="I669">
            <v>900234</v>
          </cell>
          <cell r="J669" t="str">
            <v>Quesscorp</v>
          </cell>
          <cell r="K669" t="str">
            <v>Bawa Michael</v>
          </cell>
          <cell r="L669" t="str">
            <v>Warehouse Associate (TEMP)</v>
          </cell>
          <cell r="M669" t="str">
            <v>Warehouse Associate 24M</v>
          </cell>
          <cell r="N669" t="str">
            <v>bizthoma</v>
          </cell>
          <cell r="O669">
            <v>1299</v>
          </cell>
          <cell r="P669" t="str">
            <v>AUH1</v>
          </cell>
          <cell r="Q669" t="str">
            <v>ARE</v>
          </cell>
          <cell r="R669" t="str">
            <v>LK011</v>
          </cell>
          <cell r="S669" t="str">
            <v>Night Shift</v>
          </cell>
          <cell r="T669">
            <v>99</v>
          </cell>
          <cell r="U669" t="str">
            <v>MENA_UAE_FC</v>
          </cell>
          <cell r="V669">
            <v>46257.748611111114</v>
          </cell>
          <cell r="X669">
            <v>46257.756944444445</v>
          </cell>
          <cell r="Y669">
            <v>46258.173611111109</v>
          </cell>
          <cell r="AA669" t="str">
            <v>Scheduled</v>
          </cell>
          <cell r="AB669" t="str">
            <v>Present</v>
          </cell>
          <cell r="AC669" t="str">
            <v>Outbound</v>
          </cell>
          <cell r="AD669" t="str">
            <v>Pack - Batch</v>
          </cell>
          <cell r="AE669" t="str">
            <v>Pack</v>
          </cell>
          <cell r="AF669" t="str">
            <v>Friday</v>
          </cell>
          <cell r="AG669" t="str">
            <v>Saturday</v>
          </cell>
          <cell r="AH669">
            <v>17</v>
          </cell>
          <cell r="AJ669">
            <v>45585</v>
          </cell>
          <cell r="AM669" t="str">
            <v>TEMP</v>
          </cell>
          <cell r="AN669" t="str">
            <v>3P Onsite Worker</v>
          </cell>
          <cell r="AO669" t="str">
            <v>A</v>
          </cell>
          <cell r="AP669">
            <v>9</v>
          </cell>
          <cell r="AQ669">
            <v>0</v>
          </cell>
          <cell r="AR669">
            <v>1</v>
          </cell>
          <cell r="AS669">
            <v>1</v>
          </cell>
          <cell r="AT669">
            <v>0</v>
          </cell>
          <cell r="AU669">
            <v>0</v>
          </cell>
        </row>
        <row r="670">
          <cell r="D670" t="str">
            <v>micmusun</v>
          </cell>
          <cell r="E670">
            <v>206886737</v>
          </cell>
          <cell r="F670" t="str">
            <v>A</v>
          </cell>
          <cell r="G670" t="str">
            <v>GREEN</v>
          </cell>
          <cell r="H670" t="str">
            <v>FULL_TIME</v>
          </cell>
          <cell r="I670">
            <v>900234</v>
          </cell>
          <cell r="J670" t="str">
            <v>EFS Facilities Services</v>
          </cell>
          <cell r="K670" t="str">
            <v>MICHELLE NAMACHANJA MUSUNGU</v>
          </cell>
          <cell r="L670" t="str">
            <v>Warehouse Associate (TEMP)</v>
          </cell>
          <cell r="M670" t="str">
            <v>Warehouse Associate 8W</v>
          </cell>
          <cell r="N670" t="str">
            <v>mnarshad</v>
          </cell>
          <cell r="O670">
            <v>1299</v>
          </cell>
          <cell r="P670" t="str">
            <v>AUH1</v>
          </cell>
          <cell r="Q670" t="str">
            <v>ARE</v>
          </cell>
          <cell r="R670" t="str">
            <v>LK013</v>
          </cell>
          <cell r="S670" t="str">
            <v>Night Shift</v>
          </cell>
          <cell r="T670">
            <v>99</v>
          </cell>
          <cell r="U670" t="str">
            <v>MENA_UAE_FC</v>
          </cell>
          <cell r="X670">
            <v>46257.756944444445</v>
          </cell>
          <cell r="Y670">
            <v>46258.173611111109</v>
          </cell>
          <cell r="Z670" t="str">
            <v>Rest Day</v>
          </cell>
          <cell r="AA670" t="str">
            <v>Not Scheduled</v>
          </cell>
          <cell r="AB670" t="str">
            <v>Not Present</v>
          </cell>
          <cell r="AC670" t="str">
            <v>Outbound</v>
          </cell>
          <cell r="AD670" t="str">
            <v>Picking</v>
          </cell>
          <cell r="AE670" t="str">
            <v>Pick</v>
          </cell>
          <cell r="AF670" t="str">
            <v>Sunday</v>
          </cell>
          <cell r="AG670" t="str">
            <v>Monday</v>
          </cell>
          <cell r="AH670">
            <v>13</v>
          </cell>
          <cell r="AJ670">
            <v>46026</v>
          </cell>
          <cell r="AM670" t="str">
            <v>TEMP</v>
          </cell>
          <cell r="AN670" t="str">
            <v>3P Onsite Worker</v>
          </cell>
          <cell r="AO670" t="str">
            <v>A</v>
          </cell>
          <cell r="AP670">
            <v>9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</row>
        <row r="671">
          <cell r="D671" t="str">
            <v>mikegalc</v>
          </cell>
          <cell r="E671">
            <v>203800381</v>
          </cell>
          <cell r="F671" t="str">
            <v>A</v>
          </cell>
          <cell r="G671" t="str">
            <v>GREEN</v>
          </cell>
          <cell r="H671" t="str">
            <v>FULL_TIME</v>
          </cell>
          <cell r="I671">
            <v>900234</v>
          </cell>
          <cell r="J671" t="str">
            <v>Dulsco L.L.C.</v>
          </cell>
          <cell r="K671" t="str">
            <v>MIKE GALIWANGO</v>
          </cell>
          <cell r="L671" t="str">
            <v>Warehouse Associate (TEMP)</v>
          </cell>
          <cell r="M671" t="str">
            <v>Warehouse Associate 24M</v>
          </cell>
          <cell r="N671" t="str">
            <v>nnahla</v>
          </cell>
          <cell r="O671">
            <v>1299</v>
          </cell>
          <cell r="P671" t="str">
            <v>AUH1</v>
          </cell>
          <cell r="Q671" t="str">
            <v>ARE</v>
          </cell>
          <cell r="R671" t="str">
            <v>FC059</v>
          </cell>
          <cell r="S671" t="str">
            <v>Day Shift</v>
          </cell>
          <cell r="T671">
            <v>99</v>
          </cell>
          <cell r="U671" t="str">
            <v>MENA_UAE_FC</v>
          </cell>
          <cell r="X671">
            <v>46257.333333333336</v>
          </cell>
          <cell r="Y671">
            <v>46257.75</v>
          </cell>
          <cell r="Z671" t="str">
            <v>Rest Day</v>
          </cell>
          <cell r="AA671" t="str">
            <v>Not Scheduled</v>
          </cell>
          <cell r="AB671" t="str">
            <v>Not Present</v>
          </cell>
          <cell r="AC671" t="str">
            <v>Inbound</v>
          </cell>
          <cell r="AD671" t="str">
            <v>Receive Dock</v>
          </cell>
          <cell r="AE671" t="str">
            <v>Receive</v>
          </cell>
          <cell r="AF671" t="str">
            <v>Sunday</v>
          </cell>
          <cell r="AG671" t="str">
            <v>Monday</v>
          </cell>
          <cell r="AH671">
            <v>2</v>
          </cell>
          <cell r="AJ671">
            <v>45515</v>
          </cell>
          <cell r="AM671" t="str">
            <v>TEMP</v>
          </cell>
          <cell r="AN671" t="str">
            <v>3P Onsite Worker</v>
          </cell>
          <cell r="AO671" t="str">
            <v>A</v>
          </cell>
          <cell r="AP671">
            <v>9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</row>
        <row r="672">
          <cell r="D672" t="str">
            <v>mikssonk</v>
          </cell>
          <cell r="E672">
            <v>206846532</v>
          </cell>
          <cell r="F672" t="str">
            <v>A</v>
          </cell>
          <cell r="G672" t="str">
            <v>GREEN</v>
          </cell>
          <cell r="H672" t="str">
            <v>FULL_TIME</v>
          </cell>
          <cell r="I672">
            <v>900234</v>
          </cell>
          <cell r="J672" t="str">
            <v>Dulsco L.L.C.</v>
          </cell>
          <cell r="K672" t="str">
            <v>SSONKO MIKE</v>
          </cell>
          <cell r="L672" t="str">
            <v>Warehouse Associate (TEMP)</v>
          </cell>
          <cell r="M672" t="str">
            <v>Warehouse Associate 8W</v>
          </cell>
          <cell r="N672" t="str">
            <v>lraghava</v>
          </cell>
          <cell r="O672">
            <v>1299</v>
          </cell>
          <cell r="P672" t="str">
            <v>AUH1</v>
          </cell>
          <cell r="Q672" t="str">
            <v>ARE</v>
          </cell>
          <cell r="R672" t="str">
            <v>LK015</v>
          </cell>
          <cell r="S672" t="str">
            <v>Night Shift</v>
          </cell>
          <cell r="T672">
            <v>99</v>
          </cell>
          <cell r="U672" t="str">
            <v>MENA_UAE_FC</v>
          </cell>
          <cell r="V672">
            <v>46257.754861111112</v>
          </cell>
          <cell r="X672">
            <v>46257.756944444445</v>
          </cell>
          <cell r="Y672">
            <v>46258.173611111109</v>
          </cell>
          <cell r="AA672" t="str">
            <v>Scheduled</v>
          </cell>
          <cell r="AB672" t="str">
            <v>Present</v>
          </cell>
          <cell r="AC672" t="str">
            <v>Outbound</v>
          </cell>
          <cell r="AD672" t="str">
            <v>Picking</v>
          </cell>
          <cell r="AE672" t="str">
            <v>Pick</v>
          </cell>
          <cell r="AF672" t="str">
            <v>Tuesday</v>
          </cell>
          <cell r="AG672" t="str">
            <v>Wednesday</v>
          </cell>
          <cell r="AH672">
            <v>13</v>
          </cell>
          <cell r="AJ672">
            <v>46012</v>
          </cell>
          <cell r="AM672" t="str">
            <v>TEMP</v>
          </cell>
          <cell r="AN672" t="str">
            <v>3P Onsite Worker</v>
          </cell>
          <cell r="AO672" t="str">
            <v>A</v>
          </cell>
          <cell r="AP672">
            <v>9</v>
          </cell>
          <cell r="AQ672">
            <v>0</v>
          </cell>
          <cell r="AR672">
            <v>1</v>
          </cell>
          <cell r="AS672">
            <v>1</v>
          </cell>
          <cell r="AT672">
            <v>0</v>
          </cell>
          <cell r="AU672">
            <v>0</v>
          </cell>
        </row>
        <row r="673">
          <cell r="D673" t="str">
            <v>minkhine</v>
          </cell>
          <cell r="E673">
            <v>203736777</v>
          </cell>
          <cell r="F673" t="str">
            <v>A</v>
          </cell>
          <cell r="G673" t="str">
            <v>GREEN</v>
          </cell>
          <cell r="H673" t="str">
            <v>FULL_TIME</v>
          </cell>
          <cell r="I673">
            <v>900234</v>
          </cell>
          <cell r="J673" t="str">
            <v>Adecco</v>
          </cell>
          <cell r="K673" t="str">
            <v>Min Khine</v>
          </cell>
          <cell r="L673" t="str">
            <v>Warehouse Associate (TEMP)</v>
          </cell>
          <cell r="M673" t="str">
            <v>Warehouse Associate 24M</v>
          </cell>
          <cell r="N673" t="str">
            <v>nnahla</v>
          </cell>
          <cell r="O673">
            <v>1299</v>
          </cell>
          <cell r="P673" t="str">
            <v>AUH1</v>
          </cell>
          <cell r="Q673" t="str">
            <v>ARE</v>
          </cell>
          <cell r="R673" t="str">
            <v>LK014</v>
          </cell>
          <cell r="S673" t="str">
            <v>Night Shift</v>
          </cell>
          <cell r="T673">
            <v>99</v>
          </cell>
          <cell r="U673" t="str">
            <v>MENA_UAE_FC</v>
          </cell>
          <cell r="V673">
            <v>46257.753472222219</v>
          </cell>
          <cell r="X673">
            <v>46257.756944444445</v>
          </cell>
          <cell r="Y673">
            <v>46258.173611111109</v>
          </cell>
          <cell r="AA673" t="str">
            <v>Scheduled</v>
          </cell>
          <cell r="AB673" t="str">
            <v>Present</v>
          </cell>
          <cell r="AC673" t="str">
            <v>Inbound</v>
          </cell>
          <cell r="AD673" t="str">
            <v>Inbound Stow</v>
          </cell>
          <cell r="AE673" t="str">
            <v>Stow</v>
          </cell>
          <cell r="AF673" t="str">
            <v>Monday</v>
          </cell>
          <cell r="AG673" t="str">
            <v>Tuesday</v>
          </cell>
          <cell r="AH673">
            <v>3</v>
          </cell>
          <cell r="AJ673">
            <v>45501</v>
          </cell>
          <cell r="AM673" t="str">
            <v>TEMP</v>
          </cell>
          <cell r="AN673" t="str">
            <v>3P Onsite Worker</v>
          </cell>
          <cell r="AO673" t="str">
            <v>A</v>
          </cell>
          <cell r="AP673">
            <v>9</v>
          </cell>
          <cell r="AQ673">
            <v>0</v>
          </cell>
          <cell r="AR673">
            <v>1</v>
          </cell>
          <cell r="AS673">
            <v>1</v>
          </cell>
          <cell r="AT673">
            <v>0</v>
          </cell>
          <cell r="AU673">
            <v>0</v>
          </cell>
        </row>
        <row r="674">
          <cell r="D674" t="str">
            <v>minooxye</v>
          </cell>
          <cell r="E674">
            <v>203709883</v>
          </cell>
          <cell r="F674" t="str">
            <v>A</v>
          </cell>
          <cell r="G674" t="str">
            <v>GREEN</v>
          </cell>
          <cell r="H674" t="str">
            <v>FULL_TIME</v>
          </cell>
          <cell r="I674">
            <v>900234</v>
          </cell>
          <cell r="J674" t="str">
            <v>Adecco</v>
          </cell>
          <cell r="K674" t="str">
            <v>Ye Min Oo</v>
          </cell>
          <cell r="L674" t="str">
            <v>Warehouse Associate (TEMP)</v>
          </cell>
          <cell r="M674" t="str">
            <v>Warehouse Associate 24M</v>
          </cell>
          <cell r="N674" t="str">
            <v>kebedeed</v>
          </cell>
          <cell r="O674">
            <v>1299</v>
          </cell>
          <cell r="P674" t="str">
            <v>AUH1</v>
          </cell>
          <cell r="Q674" t="str">
            <v>ARE</v>
          </cell>
          <cell r="R674" t="str">
            <v>FC134</v>
          </cell>
          <cell r="S674" t="str">
            <v>Day Shift</v>
          </cell>
          <cell r="T674">
            <v>99</v>
          </cell>
          <cell r="U674" t="str">
            <v>MENA_UAE_FC</v>
          </cell>
          <cell r="V674">
            <v>46257.330555555556</v>
          </cell>
          <cell r="W674">
            <v>46257.74722222222</v>
          </cell>
          <cell r="X674">
            <v>46257.333333333336</v>
          </cell>
          <cell r="Y674">
            <v>46257.75</v>
          </cell>
          <cell r="AA674" t="str">
            <v>Scheduled</v>
          </cell>
          <cell r="AB674" t="str">
            <v>Present</v>
          </cell>
          <cell r="AC674" t="str">
            <v>ICQA</v>
          </cell>
          <cell r="AD674" t="str">
            <v>IC/QA/CS</v>
          </cell>
          <cell r="AE674" t="str">
            <v>Support</v>
          </cell>
          <cell r="AF674" t="str">
            <v>Wednesday</v>
          </cell>
          <cell r="AG674" t="str">
            <v>Thursday</v>
          </cell>
          <cell r="AH674">
            <v>27</v>
          </cell>
          <cell r="AJ674">
            <v>45494</v>
          </cell>
          <cell r="AM674" t="str">
            <v>TEMP</v>
          </cell>
          <cell r="AN674" t="str">
            <v>3P Onsite Worker</v>
          </cell>
          <cell r="AO674" t="str">
            <v>A</v>
          </cell>
          <cell r="AP674">
            <v>9</v>
          </cell>
          <cell r="AQ674">
            <v>0</v>
          </cell>
          <cell r="AR674">
            <v>1</v>
          </cell>
          <cell r="AS674">
            <v>1</v>
          </cell>
          <cell r="AT674">
            <v>0</v>
          </cell>
          <cell r="AU674">
            <v>0</v>
          </cell>
        </row>
        <row r="675">
          <cell r="D675" t="str">
            <v>misaelst</v>
          </cell>
          <cell r="E675">
            <v>206953970</v>
          </cell>
          <cell r="F675" t="str">
            <v>A</v>
          </cell>
          <cell r="G675" t="str">
            <v>GREEN</v>
          </cell>
          <cell r="H675" t="str">
            <v>FULL_TIME</v>
          </cell>
          <cell r="I675">
            <v>900234</v>
          </cell>
          <cell r="J675" t="str">
            <v>Dulsco L.L.C.</v>
          </cell>
          <cell r="K675" t="str">
            <v>MISAEL STEVEN BULIANI</v>
          </cell>
          <cell r="L675" t="str">
            <v>Warehouse Associate (TEMP)</v>
          </cell>
          <cell r="M675" t="str">
            <v>Warehouse Associate 24M</v>
          </cell>
          <cell r="N675" t="str">
            <v>nnahla</v>
          </cell>
          <cell r="O675">
            <v>1299</v>
          </cell>
          <cell r="P675" t="str">
            <v>AUH1</v>
          </cell>
          <cell r="Q675" t="str">
            <v>ARE</v>
          </cell>
          <cell r="R675" t="str">
            <v>LK013</v>
          </cell>
          <cell r="S675" t="str">
            <v>Night Shift</v>
          </cell>
          <cell r="T675">
            <v>99</v>
          </cell>
          <cell r="U675" t="str">
            <v>MENA_UAE_FC</v>
          </cell>
          <cell r="X675">
            <v>46257.756944444445</v>
          </cell>
          <cell r="Y675">
            <v>46258.173611111109</v>
          </cell>
          <cell r="Z675" t="str">
            <v>Rest Day</v>
          </cell>
          <cell r="AA675" t="str">
            <v>Not Scheduled</v>
          </cell>
          <cell r="AB675" t="str">
            <v>Not Present</v>
          </cell>
          <cell r="AC675" t="str">
            <v>Inbound</v>
          </cell>
          <cell r="AD675" t="str">
            <v>Inbound Stow</v>
          </cell>
          <cell r="AE675" t="str">
            <v>Stow</v>
          </cell>
          <cell r="AF675" t="str">
            <v>Sunday</v>
          </cell>
          <cell r="AG675" t="str">
            <v>Monday</v>
          </cell>
          <cell r="AH675">
            <v>3</v>
          </cell>
          <cell r="AJ675">
            <v>46049</v>
          </cell>
          <cell r="AM675" t="str">
            <v>TEMP</v>
          </cell>
          <cell r="AN675" t="str">
            <v>3P Onsite Worker</v>
          </cell>
          <cell r="AO675" t="str">
            <v>A</v>
          </cell>
          <cell r="AP675">
            <v>9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</row>
        <row r="676">
          <cell r="D676" t="str">
            <v>mitabifo</v>
          </cell>
          <cell r="E676">
            <v>206136721</v>
          </cell>
          <cell r="F676" t="str">
            <v>A</v>
          </cell>
          <cell r="G676" t="str">
            <v>GREEN</v>
          </cell>
          <cell r="H676" t="str">
            <v>FULL_TIME</v>
          </cell>
          <cell r="I676">
            <v>900234</v>
          </cell>
          <cell r="J676" t="str">
            <v>Fastlink Outsourcing</v>
          </cell>
          <cell r="K676" t="str">
            <v>MICHAEL TABIFOR</v>
          </cell>
          <cell r="L676" t="str">
            <v>Warehouse Associate (TEMP)</v>
          </cell>
          <cell r="M676" t="str">
            <v>Warehouse Associate 8W</v>
          </cell>
          <cell r="N676" t="str">
            <v>scariav</v>
          </cell>
          <cell r="O676">
            <v>1299</v>
          </cell>
          <cell r="P676" t="str">
            <v>AUH1</v>
          </cell>
          <cell r="Q676" t="str">
            <v>ARE</v>
          </cell>
          <cell r="R676" t="str">
            <v>LK012</v>
          </cell>
          <cell r="S676" t="str">
            <v>Night Shift</v>
          </cell>
          <cell r="T676">
            <v>99</v>
          </cell>
          <cell r="U676" t="str">
            <v>MENA_UAE_FC</v>
          </cell>
          <cell r="X676">
            <v>46257.756944444445</v>
          </cell>
          <cell r="Y676">
            <v>46258.173611111109</v>
          </cell>
          <cell r="Z676" t="str">
            <v>Rest Day</v>
          </cell>
          <cell r="AA676" t="str">
            <v>Not Scheduled</v>
          </cell>
          <cell r="AB676" t="str">
            <v>Not Present</v>
          </cell>
          <cell r="AC676" t="str">
            <v>Outbound</v>
          </cell>
          <cell r="AD676" t="str">
            <v>Picking</v>
          </cell>
          <cell r="AE676" t="str">
            <v>Pick</v>
          </cell>
          <cell r="AF676" t="str">
            <v>Saturday</v>
          </cell>
          <cell r="AG676" t="str">
            <v>Sunday</v>
          </cell>
          <cell r="AH676">
            <v>13</v>
          </cell>
          <cell r="AJ676">
            <v>45928</v>
          </cell>
          <cell r="AM676" t="str">
            <v>TEMP</v>
          </cell>
          <cell r="AN676" t="str">
            <v>3P Onsite Worker</v>
          </cell>
          <cell r="AO676" t="str">
            <v>A</v>
          </cell>
          <cell r="AP676">
            <v>9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</row>
        <row r="677">
          <cell r="D677" t="str">
            <v>mjjepkem</v>
          </cell>
          <cell r="E677">
            <v>205853574</v>
          </cell>
          <cell r="F677" t="str">
            <v>A</v>
          </cell>
          <cell r="G677" t="str">
            <v>GREEN</v>
          </cell>
          <cell r="H677" t="str">
            <v>REDUCED</v>
          </cell>
          <cell r="I677">
            <v>900234</v>
          </cell>
          <cell r="J677" t="str">
            <v>EFS Facilities Services</v>
          </cell>
          <cell r="K677" t="str">
            <v>MERCY JEPKEMBOI</v>
          </cell>
          <cell r="L677" t="str">
            <v>Warehouse Associate (TEMP)</v>
          </cell>
          <cell r="M677" t="str">
            <v>Warehouse Associate 8W</v>
          </cell>
          <cell r="N677" t="str">
            <v>mnarshad</v>
          </cell>
          <cell r="O677">
            <v>1299</v>
          </cell>
          <cell r="P677" t="str">
            <v>AUH1</v>
          </cell>
          <cell r="Q677" t="str">
            <v>ARE</v>
          </cell>
          <cell r="R677" t="str">
            <v>FC554</v>
          </cell>
          <cell r="S677" t="str">
            <v>Night Shift</v>
          </cell>
          <cell r="T677">
            <v>99</v>
          </cell>
          <cell r="U677" t="str">
            <v>MENA_UAE_FC</v>
          </cell>
          <cell r="V677">
            <v>46257.754861111112</v>
          </cell>
          <cell r="X677">
            <v>46257.756944444445</v>
          </cell>
          <cell r="Y677">
            <v>46258.090277777781</v>
          </cell>
          <cell r="AA677" t="str">
            <v>Scheduled</v>
          </cell>
          <cell r="AB677" t="str">
            <v>Present</v>
          </cell>
          <cell r="AC677" t="str">
            <v>Outbound</v>
          </cell>
          <cell r="AD677" t="str">
            <v>Picking</v>
          </cell>
          <cell r="AE677" t="str">
            <v>Pick</v>
          </cell>
          <cell r="AF677" t="str">
            <v>Sunday</v>
          </cell>
          <cell r="AG677" t="str">
            <v>Monday</v>
          </cell>
          <cell r="AH677">
            <v>13</v>
          </cell>
          <cell r="AJ677">
            <v>46246</v>
          </cell>
          <cell r="AM677" t="str">
            <v>TEMP</v>
          </cell>
          <cell r="AN677" t="str">
            <v>3P Onsite Worker</v>
          </cell>
          <cell r="AO677" t="str">
            <v>A</v>
          </cell>
          <cell r="AP677">
            <v>7</v>
          </cell>
          <cell r="AQ677">
            <v>0</v>
          </cell>
          <cell r="AR677">
            <v>1</v>
          </cell>
          <cell r="AS677">
            <v>1</v>
          </cell>
          <cell r="AT677">
            <v>0</v>
          </cell>
          <cell r="AU677">
            <v>0</v>
          </cell>
        </row>
        <row r="678">
          <cell r="D678" t="str">
            <v>mjosepad</v>
          </cell>
          <cell r="E678">
            <v>205853575</v>
          </cell>
          <cell r="F678" t="str">
            <v>A</v>
          </cell>
          <cell r="G678" t="str">
            <v>GREEN</v>
          </cell>
          <cell r="H678" t="str">
            <v>FULL_TIME</v>
          </cell>
          <cell r="I678">
            <v>900234</v>
          </cell>
          <cell r="J678" t="str">
            <v>EFS Facilities Services</v>
          </cell>
          <cell r="K678" t="str">
            <v>JOSEPH ADDO</v>
          </cell>
          <cell r="L678" t="str">
            <v>Warehouse Associate (TEMP)</v>
          </cell>
          <cell r="M678" t="str">
            <v>Warehouse Associate 8W</v>
          </cell>
          <cell r="N678" t="str">
            <v>scariav</v>
          </cell>
          <cell r="O678">
            <v>1299</v>
          </cell>
          <cell r="P678" t="str">
            <v>AUH1</v>
          </cell>
          <cell r="Q678" t="str">
            <v>ARE</v>
          </cell>
          <cell r="R678" t="str">
            <v>LK014</v>
          </cell>
          <cell r="S678" t="str">
            <v>Night Shift</v>
          </cell>
          <cell r="T678">
            <v>99</v>
          </cell>
          <cell r="U678" t="str">
            <v>MENA_UAE_FC</v>
          </cell>
          <cell r="V678">
            <v>46257.754861111112</v>
          </cell>
          <cell r="X678">
            <v>46257.756944444445</v>
          </cell>
          <cell r="Y678">
            <v>46258.173611111109</v>
          </cell>
          <cell r="AA678" t="str">
            <v>Scheduled</v>
          </cell>
          <cell r="AB678" t="str">
            <v>Present</v>
          </cell>
          <cell r="AC678" t="str">
            <v>Outbound</v>
          </cell>
          <cell r="AD678" t="str">
            <v>Picking</v>
          </cell>
          <cell r="AE678" t="str">
            <v>Pick</v>
          </cell>
          <cell r="AF678" t="str">
            <v>Monday</v>
          </cell>
          <cell r="AG678" t="str">
            <v>Tuesday</v>
          </cell>
          <cell r="AH678">
            <v>13</v>
          </cell>
          <cell r="AJ678">
            <v>45893</v>
          </cell>
          <cell r="AM678" t="str">
            <v>TEMP</v>
          </cell>
          <cell r="AN678" t="str">
            <v>3P Onsite Worker</v>
          </cell>
          <cell r="AO678" t="str">
            <v>A</v>
          </cell>
          <cell r="AP678">
            <v>9</v>
          </cell>
          <cell r="AQ678">
            <v>0</v>
          </cell>
          <cell r="AR678">
            <v>1</v>
          </cell>
          <cell r="AS678">
            <v>1</v>
          </cell>
          <cell r="AT678">
            <v>0</v>
          </cell>
          <cell r="AU678">
            <v>0</v>
          </cell>
        </row>
        <row r="679">
          <cell r="D679" t="str">
            <v>mkamarau</v>
          </cell>
          <cell r="E679">
            <v>204013730</v>
          </cell>
          <cell r="F679" t="str">
            <v>A</v>
          </cell>
          <cell r="G679" t="str">
            <v>GREEN</v>
          </cell>
          <cell r="H679" t="str">
            <v>FULL_TIME</v>
          </cell>
          <cell r="I679">
            <v>900234</v>
          </cell>
          <cell r="J679" t="str">
            <v>Fastlink Outsourcing</v>
          </cell>
          <cell r="K679" t="str">
            <v>Mybo Kamara</v>
          </cell>
          <cell r="L679" t="str">
            <v>Warehouse Associate (TEMP)</v>
          </cell>
          <cell r="M679" t="str">
            <v>Warehouse Associate 12M</v>
          </cell>
          <cell r="N679" t="str">
            <v>mnarshad</v>
          </cell>
          <cell r="O679">
            <v>1299</v>
          </cell>
          <cell r="P679" t="str">
            <v>AUH1</v>
          </cell>
          <cell r="Q679" t="str">
            <v>ARE</v>
          </cell>
          <cell r="R679" t="str">
            <v>FC134</v>
          </cell>
          <cell r="S679" t="str">
            <v>Day Shift</v>
          </cell>
          <cell r="T679">
            <v>99</v>
          </cell>
          <cell r="U679" t="str">
            <v>MENA_UAE_FC</v>
          </cell>
          <cell r="V679">
            <v>46257.334027777775</v>
          </cell>
          <cell r="W679">
            <v>46257.63958333333</v>
          </cell>
          <cell r="X679">
            <v>46257.333333333336</v>
          </cell>
          <cell r="Y679">
            <v>46257.75</v>
          </cell>
          <cell r="AA679" t="str">
            <v>Scheduled</v>
          </cell>
          <cell r="AB679" t="str">
            <v>Present</v>
          </cell>
          <cell r="AC679" t="str">
            <v>Outbound</v>
          </cell>
          <cell r="AD679" t="str">
            <v>Picking</v>
          </cell>
          <cell r="AE679" t="str">
            <v>Pick</v>
          </cell>
          <cell r="AF679" t="str">
            <v>Wednesday</v>
          </cell>
          <cell r="AG679" t="str">
            <v>Thursday</v>
          </cell>
          <cell r="AH679">
            <v>13</v>
          </cell>
          <cell r="AJ679">
            <v>45550</v>
          </cell>
          <cell r="AM679" t="str">
            <v>TEMP</v>
          </cell>
          <cell r="AN679" t="str">
            <v>3P Onsite Worker</v>
          </cell>
          <cell r="AO679" t="str">
            <v>A</v>
          </cell>
          <cell r="AP679">
            <v>9</v>
          </cell>
          <cell r="AQ679">
            <v>0</v>
          </cell>
          <cell r="AR679">
            <v>1</v>
          </cell>
          <cell r="AS679">
            <v>1</v>
          </cell>
          <cell r="AT679">
            <v>0</v>
          </cell>
          <cell r="AU679">
            <v>0</v>
          </cell>
        </row>
        <row r="680">
          <cell r="D680" t="str">
            <v>mkhlim</v>
          </cell>
          <cell r="E680">
            <v>103875256</v>
          </cell>
          <cell r="F680" t="str">
            <v>A</v>
          </cell>
          <cell r="G680" t="str">
            <v>BLUE</v>
          </cell>
          <cell r="H680" t="str">
            <v>FULL_TIME</v>
          </cell>
          <cell r="I680" t="str">
            <v>P03251</v>
          </cell>
          <cell r="K680" t="str">
            <v>Muhammad khalid</v>
          </cell>
          <cell r="L680" t="str">
            <v>FC Associate I</v>
          </cell>
          <cell r="M680" t="str">
            <v>FC Associate I</v>
          </cell>
          <cell r="N680" t="str">
            <v>kebedeed</v>
          </cell>
          <cell r="O680">
            <v>1299</v>
          </cell>
          <cell r="P680" t="str">
            <v>AUH1</v>
          </cell>
          <cell r="Q680" t="str">
            <v>ARE</v>
          </cell>
          <cell r="R680" t="str">
            <v>FC159</v>
          </cell>
          <cell r="S680" t="str">
            <v>Day Shift</v>
          </cell>
          <cell r="T680">
            <v>1</v>
          </cell>
          <cell r="U680" t="str">
            <v>MENA_UAE_FC</v>
          </cell>
          <cell r="V680">
            <v>46257.32916666667</v>
          </cell>
          <cell r="W680">
            <v>46257.745833333334</v>
          </cell>
          <cell r="X680">
            <v>46257.333333333336</v>
          </cell>
          <cell r="Y680">
            <v>46257.75</v>
          </cell>
          <cell r="AA680" t="str">
            <v>Scheduled</v>
          </cell>
          <cell r="AB680" t="str">
            <v>Present</v>
          </cell>
          <cell r="AC680" t="str">
            <v>ICQA</v>
          </cell>
          <cell r="AD680" t="str">
            <v>IC/QA/CS</v>
          </cell>
          <cell r="AE680" t="str">
            <v>Support</v>
          </cell>
          <cell r="AF680" t="str">
            <v>Thursday</v>
          </cell>
          <cell r="AG680" t="str">
            <v>Friday</v>
          </cell>
          <cell r="AH680">
            <v>27</v>
          </cell>
          <cell r="AJ680">
            <v>44781</v>
          </cell>
          <cell r="AM680" t="str">
            <v>FC</v>
          </cell>
          <cell r="AN680" t="str">
            <v>Regular Full Time</v>
          </cell>
          <cell r="AO680" t="str">
            <v>A</v>
          </cell>
          <cell r="AP680">
            <v>9</v>
          </cell>
          <cell r="AQ680">
            <v>0</v>
          </cell>
          <cell r="AR680">
            <v>1</v>
          </cell>
          <cell r="AS680">
            <v>1</v>
          </cell>
          <cell r="AT680">
            <v>0</v>
          </cell>
          <cell r="AU680">
            <v>0</v>
          </cell>
        </row>
        <row r="681">
          <cell r="D681" t="str">
            <v>mmensahf</v>
          </cell>
          <cell r="E681">
            <v>203881599</v>
          </cell>
          <cell r="F681" t="str">
            <v>A</v>
          </cell>
          <cell r="G681" t="str">
            <v>GREEN</v>
          </cell>
          <cell r="H681" t="str">
            <v>FULL_TIME</v>
          </cell>
          <cell r="I681">
            <v>900234</v>
          </cell>
          <cell r="J681" t="str">
            <v>Fastlink Outsourcing</v>
          </cell>
          <cell r="K681" t="str">
            <v>Mary Mensah</v>
          </cell>
          <cell r="L681" t="str">
            <v>Warehouse Associate (TEMP)</v>
          </cell>
          <cell r="M681" t="str">
            <v>Warehouse Associate 12M</v>
          </cell>
          <cell r="N681" t="str">
            <v>nnahla</v>
          </cell>
          <cell r="O681">
            <v>1299</v>
          </cell>
          <cell r="P681" t="str">
            <v>AUH1</v>
          </cell>
          <cell r="Q681" t="str">
            <v>ARE</v>
          </cell>
          <cell r="R681" t="str">
            <v>LK011</v>
          </cell>
          <cell r="S681" t="str">
            <v>Night Shift</v>
          </cell>
          <cell r="T681">
            <v>99</v>
          </cell>
          <cell r="U681" t="str">
            <v>MENA_UAE_FC</v>
          </cell>
          <cell r="V681">
            <v>46257.756944444445</v>
          </cell>
          <cell r="X681">
            <v>46257.756944444445</v>
          </cell>
          <cell r="Y681">
            <v>46258.173611111109</v>
          </cell>
          <cell r="AA681" t="str">
            <v>Scheduled</v>
          </cell>
          <cell r="AB681" t="str">
            <v>Present</v>
          </cell>
          <cell r="AC681" t="str">
            <v>Inbound</v>
          </cell>
          <cell r="AD681" t="str">
            <v>Inbound Stow</v>
          </cell>
          <cell r="AE681" t="str">
            <v>Stow</v>
          </cell>
          <cell r="AF681" t="str">
            <v>Friday</v>
          </cell>
          <cell r="AG681" t="str">
            <v>Saturday</v>
          </cell>
          <cell r="AH681">
            <v>3</v>
          </cell>
          <cell r="AJ681">
            <v>45529</v>
          </cell>
          <cell r="AM681" t="str">
            <v>TEMP</v>
          </cell>
          <cell r="AN681" t="str">
            <v>3P Onsite Worker</v>
          </cell>
          <cell r="AO681" t="str">
            <v>A</v>
          </cell>
          <cell r="AP681">
            <v>9</v>
          </cell>
          <cell r="AQ681">
            <v>0</v>
          </cell>
          <cell r="AR681">
            <v>1</v>
          </cell>
          <cell r="AS681">
            <v>1</v>
          </cell>
          <cell r="AT681">
            <v>0</v>
          </cell>
          <cell r="AU681">
            <v>0</v>
          </cell>
        </row>
        <row r="682">
          <cell r="D682" t="str">
            <v>mnengnfl</v>
          </cell>
          <cell r="E682">
            <v>206868289</v>
          </cell>
          <cell r="F682" t="str">
            <v>A</v>
          </cell>
          <cell r="G682" t="str">
            <v>GREEN</v>
          </cell>
          <cell r="H682" t="str">
            <v>REDUCED</v>
          </cell>
          <cell r="I682">
            <v>900234</v>
          </cell>
          <cell r="J682" t="str">
            <v>Fastlink Outsourcing</v>
          </cell>
          <cell r="K682" t="str">
            <v>FLAVIN NENG NKHAN</v>
          </cell>
          <cell r="L682" t="str">
            <v>Warehouse Associate (TEMP)</v>
          </cell>
          <cell r="M682" t="str">
            <v>Warehouse Associate 8W</v>
          </cell>
          <cell r="N682" t="str">
            <v>bizthoma</v>
          </cell>
          <cell r="O682">
            <v>1299</v>
          </cell>
          <cell r="P682" t="str">
            <v>AUH1</v>
          </cell>
          <cell r="Q682" t="str">
            <v>ARE</v>
          </cell>
          <cell r="R682" t="str">
            <v>FC558</v>
          </cell>
          <cell r="S682" t="str">
            <v>Night Shift</v>
          </cell>
          <cell r="T682">
            <v>99</v>
          </cell>
          <cell r="U682" t="str">
            <v>MENA_UAE_FC</v>
          </cell>
          <cell r="V682">
            <v>46257.754166666666</v>
          </cell>
          <cell r="X682">
            <v>46257.756944444445</v>
          </cell>
          <cell r="Y682">
            <v>46258.090277777781</v>
          </cell>
          <cell r="AA682" t="str">
            <v>Scheduled</v>
          </cell>
          <cell r="AB682" t="str">
            <v>Present</v>
          </cell>
          <cell r="AC682" t="str">
            <v>Outbound</v>
          </cell>
          <cell r="AD682" t="str">
            <v>Pack - Batch</v>
          </cell>
          <cell r="AE682" t="str">
            <v>Pack</v>
          </cell>
          <cell r="AF682" t="str">
            <v>Thursday</v>
          </cell>
          <cell r="AG682" t="str">
            <v>Friday</v>
          </cell>
          <cell r="AH682">
            <v>17</v>
          </cell>
          <cell r="AJ682">
            <v>46251</v>
          </cell>
          <cell r="AM682" t="str">
            <v>TEMP</v>
          </cell>
          <cell r="AN682" t="str">
            <v>3P Onsite Worker</v>
          </cell>
          <cell r="AO682" t="str">
            <v>A</v>
          </cell>
          <cell r="AP682">
            <v>7</v>
          </cell>
          <cell r="AQ682">
            <v>0</v>
          </cell>
          <cell r="AR682">
            <v>1</v>
          </cell>
          <cell r="AS682">
            <v>1</v>
          </cell>
          <cell r="AT682">
            <v>0</v>
          </cell>
          <cell r="AU682">
            <v>0</v>
          </cell>
        </row>
        <row r="683">
          <cell r="D683" t="str">
            <v>moabo</v>
          </cell>
          <cell r="E683">
            <v>204053439</v>
          </cell>
          <cell r="F683" t="str">
            <v>A</v>
          </cell>
          <cell r="G683" t="str">
            <v>GREEN</v>
          </cell>
          <cell r="H683" t="str">
            <v>FULL_TIME</v>
          </cell>
          <cell r="I683">
            <v>900234</v>
          </cell>
          <cell r="J683" t="str">
            <v>Adecco</v>
          </cell>
          <cell r="K683" t="str">
            <v>Mohammed Abdullah</v>
          </cell>
          <cell r="L683" t="str">
            <v>Warehouse Associate (TEMP)</v>
          </cell>
          <cell r="M683" t="str">
            <v>Warehouse Associate 24M</v>
          </cell>
          <cell r="N683" t="str">
            <v>lraghava</v>
          </cell>
          <cell r="O683">
            <v>1299</v>
          </cell>
          <cell r="P683" t="str">
            <v>AUH1</v>
          </cell>
          <cell r="Q683" t="str">
            <v>ARE</v>
          </cell>
          <cell r="R683" t="str">
            <v>FC009</v>
          </cell>
          <cell r="S683" t="str">
            <v>Day Shift</v>
          </cell>
          <cell r="T683">
            <v>99</v>
          </cell>
          <cell r="U683" t="str">
            <v>MENA_UAE_FC</v>
          </cell>
          <cell r="V683">
            <v>46257.329861111109</v>
          </cell>
          <cell r="W683">
            <v>46257.747916666667</v>
          </cell>
          <cell r="X683">
            <v>46257.333333333336</v>
          </cell>
          <cell r="Y683">
            <v>46257.75</v>
          </cell>
          <cell r="AA683" t="str">
            <v>Scheduled</v>
          </cell>
          <cell r="AB683" t="str">
            <v>Present</v>
          </cell>
          <cell r="AC683" t="str">
            <v>Outbound</v>
          </cell>
          <cell r="AD683" t="str">
            <v>Pack - Batch</v>
          </cell>
          <cell r="AE683" t="str">
            <v>Pack</v>
          </cell>
          <cell r="AF683" t="str">
            <v>Friday</v>
          </cell>
          <cell r="AG683" t="str">
            <v>Saturday</v>
          </cell>
          <cell r="AH683">
            <v>17</v>
          </cell>
          <cell r="AJ683">
            <v>45557</v>
          </cell>
          <cell r="AM683" t="str">
            <v>TEMP</v>
          </cell>
          <cell r="AN683" t="str">
            <v>3P Onsite Worker</v>
          </cell>
          <cell r="AO683" t="str">
            <v>A</v>
          </cell>
          <cell r="AP683">
            <v>9</v>
          </cell>
          <cell r="AQ683">
            <v>0</v>
          </cell>
          <cell r="AR683">
            <v>1</v>
          </cell>
          <cell r="AS683">
            <v>1</v>
          </cell>
          <cell r="AT683">
            <v>0</v>
          </cell>
          <cell r="AU683">
            <v>0</v>
          </cell>
        </row>
        <row r="684">
          <cell r="D684" t="str">
            <v>moghazy</v>
          </cell>
          <cell r="E684">
            <v>204941770</v>
          </cell>
          <cell r="F684" t="str">
            <v>A</v>
          </cell>
          <cell r="G684" t="str">
            <v>BLUE</v>
          </cell>
          <cell r="H684" t="str">
            <v>FULL_TIME</v>
          </cell>
          <cell r="I684" t="str">
            <v>P03231</v>
          </cell>
          <cell r="K684" t="str">
            <v>Mohamed Ghazy</v>
          </cell>
          <cell r="L684" t="str">
            <v>FC Associate III</v>
          </cell>
          <cell r="M684" t="str">
            <v>ICQA Supervisor</v>
          </cell>
          <cell r="N684" t="str">
            <v>kebedeed</v>
          </cell>
          <cell r="O684">
            <v>1299</v>
          </cell>
          <cell r="P684" t="str">
            <v>AUH1</v>
          </cell>
          <cell r="Q684" t="str">
            <v>ARE</v>
          </cell>
          <cell r="R684" t="str">
            <v>FC059</v>
          </cell>
          <cell r="S684" t="str">
            <v>Day Shift</v>
          </cell>
          <cell r="T684">
            <v>3</v>
          </cell>
          <cell r="U684" t="str">
            <v>MENA_UAE_FC</v>
          </cell>
          <cell r="X684">
            <v>46257.333333333336</v>
          </cell>
          <cell r="Y684">
            <v>46257.75</v>
          </cell>
          <cell r="Z684" t="str">
            <v>Rest Day</v>
          </cell>
          <cell r="AA684" t="str">
            <v>Not Scheduled</v>
          </cell>
          <cell r="AB684" t="str">
            <v>Not Present</v>
          </cell>
          <cell r="AC684" t="str">
            <v>Support</v>
          </cell>
          <cell r="AD684" t="str">
            <v>Admin/HR/IT</v>
          </cell>
          <cell r="AE684" t="str">
            <v>Support</v>
          </cell>
          <cell r="AF684" t="str">
            <v>Sunday</v>
          </cell>
          <cell r="AG684" t="str">
            <v>Monday</v>
          </cell>
          <cell r="AH684">
            <v>26</v>
          </cell>
          <cell r="AJ684">
            <v>45732</v>
          </cell>
          <cell r="AM684" t="str">
            <v>FC</v>
          </cell>
          <cell r="AN684" t="str">
            <v>Regular Full Time</v>
          </cell>
          <cell r="AO684" t="str">
            <v>A</v>
          </cell>
          <cell r="AP684">
            <v>9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</row>
        <row r="685">
          <cell r="D685" t="str">
            <v>mogumusi</v>
          </cell>
          <cell r="E685">
            <v>206949318</v>
          </cell>
          <cell r="F685" t="str">
            <v>A</v>
          </cell>
          <cell r="G685" t="str">
            <v>GREEN</v>
          </cell>
          <cell r="H685" t="str">
            <v>FULL_TIME</v>
          </cell>
          <cell r="I685">
            <v>900234</v>
          </cell>
          <cell r="J685" t="str">
            <v>Dulsco L.L.C.</v>
          </cell>
          <cell r="K685" t="str">
            <v>MOSES GUMUSIRIZA</v>
          </cell>
          <cell r="L685" t="str">
            <v>Warehouse Associate (TEMP)</v>
          </cell>
          <cell r="M685" t="str">
            <v>Warehouse Associate 24M</v>
          </cell>
          <cell r="N685" t="str">
            <v>bavameer</v>
          </cell>
          <cell r="O685">
            <v>1299</v>
          </cell>
          <cell r="P685" t="str">
            <v>AUH1</v>
          </cell>
          <cell r="Q685" t="str">
            <v>ARE</v>
          </cell>
          <cell r="R685" t="str">
            <v>FC109</v>
          </cell>
          <cell r="S685" t="str">
            <v>Day Shift</v>
          </cell>
          <cell r="T685">
            <v>99</v>
          </cell>
          <cell r="U685" t="str">
            <v>MENA_UAE_FC</v>
          </cell>
          <cell r="V685">
            <v>46257.331250000003</v>
          </cell>
          <cell r="W685">
            <v>46257.75</v>
          </cell>
          <cell r="X685">
            <v>46257.333333333336</v>
          </cell>
          <cell r="Y685">
            <v>46257.75</v>
          </cell>
          <cell r="AA685" t="str">
            <v>Scheduled</v>
          </cell>
          <cell r="AB685" t="str">
            <v>Present</v>
          </cell>
          <cell r="AC685" t="str">
            <v>Customer returns</v>
          </cell>
          <cell r="AD685" t="str">
            <v>Customer Returns</v>
          </cell>
          <cell r="AE685" t="str">
            <v>Customer returns</v>
          </cell>
          <cell r="AF685" t="str">
            <v>Tuesday</v>
          </cell>
          <cell r="AG685" t="str">
            <v>Wednesday</v>
          </cell>
          <cell r="AH685">
            <v>22</v>
          </cell>
          <cell r="AJ685">
            <v>46047</v>
          </cell>
          <cell r="AM685" t="str">
            <v>TEMP</v>
          </cell>
          <cell r="AN685" t="str">
            <v>3P Onsite Worker</v>
          </cell>
          <cell r="AO685" t="str">
            <v>A</v>
          </cell>
          <cell r="AP685">
            <v>9</v>
          </cell>
          <cell r="AQ685">
            <v>0</v>
          </cell>
          <cell r="AR685">
            <v>1</v>
          </cell>
          <cell r="AS685">
            <v>1</v>
          </cell>
          <cell r="AT685">
            <v>0</v>
          </cell>
          <cell r="AU685">
            <v>0</v>
          </cell>
        </row>
        <row r="686">
          <cell r="D686" t="str">
            <v>mohaaziv</v>
          </cell>
          <cell r="E686">
            <v>204053434</v>
          </cell>
          <cell r="F686" t="str">
            <v>A</v>
          </cell>
          <cell r="G686" t="str">
            <v>GREEN</v>
          </cell>
          <cell r="H686" t="str">
            <v>FULL_TIME</v>
          </cell>
          <cell r="I686">
            <v>900234</v>
          </cell>
          <cell r="J686" t="str">
            <v>Adecco</v>
          </cell>
          <cell r="K686" t="str">
            <v>Azizuddin Mohammed</v>
          </cell>
          <cell r="L686" t="str">
            <v>Warehouse Associate (TEMP)</v>
          </cell>
          <cell r="M686" t="str">
            <v>Warehouse Associate 24M</v>
          </cell>
          <cell r="N686" t="str">
            <v>ansammar</v>
          </cell>
          <cell r="O686">
            <v>1299</v>
          </cell>
          <cell r="P686" t="str">
            <v>AUH1</v>
          </cell>
          <cell r="Q686" t="str">
            <v>ARE</v>
          </cell>
          <cell r="R686" t="str">
            <v>FC009</v>
          </cell>
          <cell r="S686" t="str">
            <v>Day Shift</v>
          </cell>
          <cell r="T686">
            <v>99</v>
          </cell>
          <cell r="U686" t="str">
            <v>MENA_UAE_FC</v>
          </cell>
          <cell r="V686">
            <v>46257.330555555556</v>
          </cell>
          <cell r="W686">
            <v>46257.748611111114</v>
          </cell>
          <cell r="X686">
            <v>46257.333333333336</v>
          </cell>
          <cell r="Y686">
            <v>46257.75</v>
          </cell>
          <cell r="AA686" t="str">
            <v>Scheduled</v>
          </cell>
          <cell r="AB686" t="str">
            <v>Present</v>
          </cell>
          <cell r="AC686" t="str">
            <v>Outbound</v>
          </cell>
          <cell r="AD686" t="str">
            <v>Pack - Batch</v>
          </cell>
          <cell r="AE686" t="str">
            <v>Pack</v>
          </cell>
          <cell r="AF686" t="str">
            <v>Friday</v>
          </cell>
          <cell r="AG686" t="str">
            <v>Saturday</v>
          </cell>
          <cell r="AH686">
            <v>17</v>
          </cell>
          <cell r="AJ686">
            <v>45557</v>
          </cell>
          <cell r="AM686" t="str">
            <v>TEMP</v>
          </cell>
          <cell r="AN686" t="str">
            <v>3P Onsite Worker</v>
          </cell>
          <cell r="AO686" t="str">
            <v>A</v>
          </cell>
          <cell r="AP686">
            <v>9</v>
          </cell>
          <cell r="AQ686">
            <v>0</v>
          </cell>
          <cell r="AR686">
            <v>1</v>
          </cell>
          <cell r="AS686">
            <v>1</v>
          </cell>
          <cell r="AT686">
            <v>0</v>
          </cell>
          <cell r="AU686">
            <v>0</v>
          </cell>
        </row>
        <row r="687">
          <cell r="D687" t="str">
            <v>mohamkav</v>
          </cell>
          <cell r="E687">
            <v>204138114</v>
          </cell>
          <cell r="F687" t="str">
            <v>A</v>
          </cell>
          <cell r="G687" t="str">
            <v>GREEN</v>
          </cell>
          <cell r="H687" t="str">
            <v>FULL_TIME</v>
          </cell>
          <cell r="I687">
            <v>900234</v>
          </cell>
          <cell r="J687" t="str">
            <v>Quesscorp</v>
          </cell>
          <cell r="K687" t="str">
            <v>Mohamed S Kamara</v>
          </cell>
          <cell r="L687" t="str">
            <v>Warehouse Associate (TEMP)</v>
          </cell>
          <cell r="M687" t="str">
            <v>Warehouse Associate 24M</v>
          </cell>
          <cell r="N687" t="str">
            <v>scariav</v>
          </cell>
          <cell r="O687">
            <v>1299</v>
          </cell>
          <cell r="P687" t="str">
            <v>AUH1</v>
          </cell>
          <cell r="Q687" t="str">
            <v>ARE</v>
          </cell>
          <cell r="R687" t="str">
            <v>FC009</v>
          </cell>
          <cell r="S687" t="str">
            <v>Day Shift</v>
          </cell>
          <cell r="T687">
            <v>99</v>
          </cell>
          <cell r="U687" t="str">
            <v>MENA_UAE_FC</v>
          </cell>
          <cell r="V687">
            <v>46257.332638888889</v>
          </cell>
          <cell r="W687">
            <v>46257.747916666667</v>
          </cell>
          <cell r="X687">
            <v>46257.333333333336</v>
          </cell>
          <cell r="Y687">
            <v>46257.75</v>
          </cell>
          <cell r="AA687" t="str">
            <v>Scheduled</v>
          </cell>
          <cell r="AB687" t="str">
            <v>Present</v>
          </cell>
          <cell r="AC687" t="str">
            <v>Outbound</v>
          </cell>
          <cell r="AD687" t="str">
            <v>Picking</v>
          </cell>
          <cell r="AE687" t="str">
            <v>Pick</v>
          </cell>
          <cell r="AF687" t="str">
            <v>Friday</v>
          </cell>
          <cell r="AG687" t="str">
            <v>Saturday</v>
          </cell>
          <cell r="AH687">
            <v>13</v>
          </cell>
          <cell r="AJ687">
            <v>45564</v>
          </cell>
          <cell r="AM687" t="str">
            <v>TEMP</v>
          </cell>
          <cell r="AN687" t="str">
            <v>3P Onsite Worker</v>
          </cell>
          <cell r="AO687" t="str">
            <v>A</v>
          </cell>
          <cell r="AP687">
            <v>9</v>
          </cell>
          <cell r="AQ687">
            <v>0</v>
          </cell>
          <cell r="AR687">
            <v>1</v>
          </cell>
          <cell r="AS687">
            <v>1</v>
          </cell>
          <cell r="AT687">
            <v>0</v>
          </cell>
          <cell r="AU687">
            <v>0</v>
          </cell>
        </row>
        <row r="688">
          <cell r="D688" t="str">
            <v>mohanjhp</v>
          </cell>
          <cell r="E688">
            <v>203800778</v>
          </cell>
          <cell r="F688" t="str">
            <v>A</v>
          </cell>
          <cell r="G688" t="str">
            <v>GREEN</v>
          </cell>
          <cell r="H688" t="str">
            <v>FULL_TIME</v>
          </cell>
          <cell r="I688">
            <v>900234</v>
          </cell>
          <cell r="J688" t="str">
            <v>Dulsco L.L.C.</v>
          </cell>
          <cell r="K688" t="str">
            <v>MOHAN JHA</v>
          </cell>
          <cell r="L688" t="str">
            <v>Warehouse Associate (TEMP)</v>
          </cell>
          <cell r="M688" t="str">
            <v>Warehouse Associate 24M</v>
          </cell>
          <cell r="N688" t="str">
            <v>bizthoma</v>
          </cell>
          <cell r="O688">
            <v>1299</v>
          </cell>
          <cell r="P688" t="str">
            <v>AUH1</v>
          </cell>
          <cell r="Q688" t="str">
            <v>ARE</v>
          </cell>
          <cell r="R688" t="str">
            <v>LK013</v>
          </cell>
          <cell r="S688" t="str">
            <v>Night Shift</v>
          </cell>
          <cell r="T688">
            <v>99</v>
          </cell>
          <cell r="U688" t="str">
            <v>MENA_UAE_FC</v>
          </cell>
          <cell r="V688">
            <v>46257.754861111112</v>
          </cell>
          <cell r="X688">
            <v>46257.756944444445</v>
          </cell>
          <cell r="Y688">
            <v>46258.173611111109</v>
          </cell>
          <cell r="Z688" t="str">
            <v>Rest Day</v>
          </cell>
          <cell r="AA688" t="str">
            <v>Not Scheduled</v>
          </cell>
          <cell r="AB688" t="str">
            <v>Present</v>
          </cell>
          <cell r="AC688" t="str">
            <v>Outbound</v>
          </cell>
          <cell r="AD688" t="str">
            <v>Pack - Batch</v>
          </cell>
          <cell r="AE688" t="str">
            <v>Pack</v>
          </cell>
          <cell r="AF688" t="str">
            <v>Sunday</v>
          </cell>
          <cell r="AG688" t="str">
            <v>Monday</v>
          </cell>
          <cell r="AH688">
            <v>17</v>
          </cell>
          <cell r="AJ688">
            <v>45683</v>
          </cell>
          <cell r="AM688" t="str">
            <v>TEMP</v>
          </cell>
          <cell r="AN688" t="str">
            <v>3P Onsite Worker</v>
          </cell>
          <cell r="AO688" t="str">
            <v>A</v>
          </cell>
          <cell r="AP688">
            <v>9</v>
          </cell>
          <cell r="AQ688">
            <v>1</v>
          </cell>
          <cell r="AR688">
            <v>1</v>
          </cell>
          <cell r="AS688">
            <v>0</v>
          </cell>
          <cell r="AT688">
            <v>0</v>
          </cell>
          <cell r="AU688">
            <v>0</v>
          </cell>
        </row>
        <row r="689">
          <cell r="D689" t="str">
            <v>mohkfaro</v>
          </cell>
          <cell r="E689">
            <v>203965605</v>
          </cell>
          <cell r="F689" t="str">
            <v>A</v>
          </cell>
          <cell r="G689" t="str">
            <v>GREEN</v>
          </cell>
          <cell r="H689" t="str">
            <v>FULL_TIME</v>
          </cell>
          <cell r="I689">
            <v>900234</v>
          </cell>
          <cell r="J689" t="str">
            <v>Adecco</v>
          </cell>
          <cell r="K689" t="str">
            <v>Mohamed Farook</v>
          </cell>
          <cell r="L689" t="str">
            <v>Warehouse Associate (TEMP)</v>
          </cell>
          <cell r="M689" t="str">
            <v>Warehouse Associate 24M</v>
          </cell>
          <cell r="N689" t="str">
            <v>ansammar</v>
          </cell>
          <cell r="O689">
            <v>1299</v>
          </cell>
          <cell r="P689" t="str">
            <v>AUH1</v>
          </cell>
          <cell r="Q689" t="str">
            <v>ARE</v>
          </cell>
          <cell r="R689" t="str">
            <v>FC059</v>
          </cell>
          <cell r="S689" t="str">
            <v>Day Shift</v>
          </cell>
          <cell r="T689">
            <v>99</v>
          </cell>
          <cell r="U689" t="str">
            <v>MENA_UAE_FC</v>
          </cell>
          <cell r="X689">
            <v>46257.333333333336</v>
          </cell>
          <cell r="Y689">
            <v>46257.75</v>
          </cell>
          <cell r="Z689" t="str">
            <v>Rest Day</v>
          </cell>
          <cell r="AA689" t="str">
            <v>Not Scheduled</v>
          </cell>
          <cell r="AB689" t="str">
            <v>Not Present</v>
          </cell>
          <cell r="AC689" t="str">
            <v>Outbound</v>
          </cell>
          <cell r="AD689" t="str">
            <v>Picking</v>
          </cell>
          <cell r="AE689" t="str">
            <v>Pick</v>
          </cell>
          <cell r="AF689" t="str">
            <v>Sunday</v>
          </cell>
          <cell r="AG689" t="str">
            <v>Monday</v>
          </cell>
          <cell r="AH689">
            <v>13</v>
          </cell>
          <cell r="AJ689">
            <v>45543</v>
          </cell>
          <cell r="AM689" t="str">
            <v>TEMP</v>
          </cell>
          <cell r="AN689" t="str">
            <v>3P Onsite Worker</v>
          </cell>
          <cell r="AO689" t="str">
            <v>A</v>
          </cell>
          <cell r="AP689">
            <v>9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</row>
        <row r="690">
          <cell r="D690" t="str">
            <v>moiddris</v>
          </cell>
          <cell r="E690">
            <v>204882806</v>
          </cell>
          <cell r="F690" t="str">
            <v>A</v>
          </cell>
          <cell r="G690" t="str">
            <v>GREEN</v>
          </cell>
          <cell r="H690" t="str">
            <v>FULL_TIME</v>
          </cell>
          <cell r="I690">
            <v>900234</v>
          </cell>
          <cell r="J690" t="str">
            <v>Dulsco L.L.C.</v>
          </cell>
          <cell r="K690" t="str">
            <v>IDDRISS MOHAMMED</v>
          </cell>
          <cell r="L690" t="str">
            <v>Warehouse Associate (TEMP)</v>
          </cell>
          <cell r="M690" t="str">
            <v>Warehouse Associate 24M</v>
          </cell>
          <cell r="N690" t="str">
            <v>vkkatyal</v>
          </cell>
          <cell r="O690">
            <v>1299</v>
          </cell>
          <cell r="P690" t="str">
            <v>AUH1</v>
          </cell>
          <cell r="Q690" t="str">
            <v>ARE</v>
          </cell>
          <cell r="R690" t="str">
            <v>FC034</v>
          </cell>
          <cell r="S690" t="str">
            <v>Day Shift</v>
          </cell>
          <cell r="T690">
            <v>99</v>
          </cell>
          <cell r="U690" t="str">
            <v>MENA_UAE_FC</v>
          </cell>
          <cell r="X690">
            <v>46257.333333333336</v>
          </cell>
          <cell r="Y690">
            <v>46257.75</v>
          </cell>
          <cell r="Z690" t="str">
            <v>Rest Day</v>
          </cell>
          <cell r="AA690" t="str">
            <v>Not Scheduled</v>
          </cell>
          <cell r="AB690" t="str">
            <v>Not Present</v>
          </cell>
          <cell r="AC690" t="str">
            <v>Inbound</v>
          </cell>
          <cell r="AD690" t="str">
            <v>Inbound Stow</v>
          </cell>
          <cell r="AE690" t="str">
            <v>Stow</v>
          </cell>
          <cell r="AF690" t="str">
            <v>Saturday</v>
          </cell>
          <cell r="AG690" t="str">
            <v>Sunday</v>
          </cell>
          <cell r="AH690">
            <v>3</v>
          </cell>
          <cell r="AJ690">
            <v>45690</v>
          </cell>
          <cell r="AM690" t="str">
            <v>TEMP</v>
          </cell>
          <cell r="AN690" t="str">
            <v>3P Onsite Worker</v>
          </cell>
          <cell r="AO690" t="str">
            <v>A</v>
          </cell>
          <cell r="AP690">
            <v>9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</row>
        <row r="691">
          <cell r="D691" t="str">
            <v>momatovu</v>
          </cell>
          <cell r="E691">
            <v>206874059</v>
          </cell>
          <cell r="F691" t="str">
            <v>A</v>
          </cell>
          <cell r="G691" t="str">
            <v>GREEN</v>
          </cell>
          <cell r="H691" t="str">
            <v>FULL_TIME</v>
          </cell>
          <cell r="I691">
            <v>900234</v>
          </cell>
          <cell r="J691" t="str">
            <v>Dulsco L.L.C.</v>
          </cell>
          <cell r="K691" t="str">
            <v>MATOVU MOHAMMAD</v>
          </cell>
          <cell r="L691" t="str">
            <v>Warehouse Associate (TEMP)</v>
          </cell>
          <cell r="M691" t="str">
            <v>Warehouse Associate 8W</v>
          </cell>
          <cell r="N691" t="str">
            <v>nnahla</v>
          </cell>
          <cell r="O691">
            <v>1299</v>
          </cell>
          <cell r="P691" t="str">
            <v>AUH1</v>
          </cell>
          <cell r="Q691" t="str">
            <v>ARE</v>
          </cell>
          <cell r="R691" t="str">
            <v>FC059</v>
          </cell>
          <cell r="S691" t="str">
            <v>Day Shift</v>
          </cell>
          <cell r="T691">
            <v>99</v>
          </cell>
          <cell r="U691" t="str">
            <v>MENA_UAE_FC</v>
          </cell>
          <cell r="X691">
            <v>46257.333333333336</v>
          </cell>
          <cell r="Y691">
            <v>46257.75</v>
          </cell>
          <cell r="Z691" t="str">
            <v>Rest Day</v>
          </cell>
          <cell r="AA691" t="str">
            <v>Not Scheduled</v>
          </cell>
          <cell r="AB691" t="str">
            <v>Not Present</v>
          </cell>
          <cell r="AC691" t="str">
            <v>Inbound</v>
          </cell>
          <cell r="AD691" t="str">
            <v>Inbound Stow</v>
          </cell>
          <cell r="AE691" t="str">
            <v>Stow</v>
          </cell>
          <cell r="AF691" t="str">
            <v>Sunday</v>
          </cell>
          <cell r="AG691" t="str">
            <v>Monday</v>
          </cell>
          <cell r="AH691">
            <v>3</v>
          </cell>
          <cell r="AJ691">
            <v>46019</v>
          </cell>
          <cell r="AM691" t="str">
            <v>TEMP</v>
          </cell>
          <cell r="AN691" t="str">
            <v>3P Onsite Worker</v>
          </cell>
          <cell r="AO691" t="str">
            <v>A</v>
          </cell>
          <cell r="AP691">
            <v>9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</row>
        <row r="692">
          <cell r="D692" t="str">
            <v>momukisa</v>
          </cell>
          <cell r="E692">
            <v>203850876</v>
          </cell>
          <cell r="F692" t="str">
            <v>A</v>
          </cell>
          <cell r="G692" t="str">
            <v>GREEN</v>
          </cell>
          <cell r="H692" t="str">
            <v>FULL_TIME</v>
          </cell>
          <cell r="I692">
            <v>900234</v>
          </cell>
          <cell r="J692" t="str">
            <v>Dulsco L.L.C.</v>
          </cell>
          <cell r="K692" t="str">
            <v>Moses Mukisa</v>
          </cell>
          <cell r="L692" t="str">
            <v>Warehouse Associate (TEMP)</v>
          </cell>
          <cell r="M692" t="str">
            <v>Warehouse Associate 24M</v>
          </cell>
          <cell r="N692" t="str">
            <v>mnarshad</v>
          </cell>
          <cell r="O692">
            <v>1299</v>
          </cell>
          <cell r="P692" t="str">
            <v>AUH1</v>
          </cell>
          <cell r="Q692" t="str">
            <v>ARE</v>
          </cell>
          <cell r="R692" t="str">
            <v>FC009</v>
          </cell>
          <cell r="S692" t="str">
            <v>Day Shift</v>
          </cell>
          <cell r="T692">
            <v>99</v>
          </cell>
          <cell r="U692" t="str">
            <v>MENA_UAE_FC</v>
          </cell>
          <cell r="V692">
            <v>46257.331250000003</v>
          </cell>
          <cell r="W692">
            <v>46257.746527777781</v>
          </cell>
          <cell r="X692">
            <v>46257.333333333336</v>
          </cell>
          <cell r="Y692">
            <v>46257.75</v>
          </cell>
          <cell r="AA692" t="str">
            <v>Scheduled</v>
          </cell>
          <cell r="AB692" t="str">
            <v>Present</v>
          </cell>
          <cell r="AC692" t="str">
            <v>Outbound</v>
          </cell>
          <cell r="AD692" t="str">
            <v>Picking</v>
          </cell>
          <cell r="AE692" t="str">
            <v>Pick</v>
          </cell>
          <cell r="AF692" t="str">
            <v>Friday</v>
          </cell>
          <cell r="AG692" t="str">
            <v>Saturday</v>
          </cell>
          <cell r="AH692">
            <v>13</v>
          </cell>
          <cell r="AJ692">
            <v>45523</v>
          </cell>
          <cell r="AM692" t="str">
            <v>TEMP</v>
          </cell>
          <cell r="AN692" t="str">
            <v>3P Onsite Worker</v>
          </cell>
          <cell r="AO692" t="str">
            <v>A</v>
          </cell>
          <cell r="AP692">
            <v>9</v>
          </cell>
          <cell r="AQ692">
            <v>0</v>
          </cell>
          <cell r="AR692">
            <v>1</v>
          </cell>
          <cell r="AS692">
            <v>1</v>
          </cell>
          <cell r="AT692">
            <v>0</v>
          </cell>
          <cell r="AU692">
            <v>0</v>
          </cell>
        </row>
        <row r="693">
          <cell r="D693" t="str">
            <v>mosaselv</v>
          </cell>
          <cell r="E693">
            <v>204072320</v>
          </cell>
          <cell r="F693" t="str">
            <v>A</v>
          </cell>
          <cell r="G693" t="str">
            <v>GREEN</v>
          </cell>
          <cell r="H693" t="str">
            <v>FULL_TIME</v>
          </cell>
          <cell r="I693">
            <v>900234</v>
          </cell>
          <cell r="J693" t="str">
            <v>Dulsco L.L.C.</v>
          </cell>
          <cell r="K693" t="str">
            <v>SELVA MOSAS</v>
          </cell>
          <cell r="L693" t="str">
            <v>Warehouse Associate (TEMP)</v>
          </cell>
          <cell r="M693" t="str">
            <v>Warehouse Associate 8W</v>
          </cell>
          <cell r="N693" t="str">
            <v>bavameer</v>
          </cell>
          <cell r="O693">
            <v>1299</v>
          </cell>
          <cell r="P693" t="str">
            <v>AUH1</v>
          </cell>
          <cell r="Q693" t="str">
            <v>ARE</v>
          </cell>
          <cell r="R693" t="str">
            <v>LK016</v>
          </cell>
          <cell r="S693" t="str">
            <v>Night Shift</v>
          </cell>
          <cell r="T693">
            <v>99</v>
          </cell>
          <cell r="U693" t="str">
            <v>MENA_UAE_FC</v>
          </cell>
          <cell r="V693">
            <v>46257.754166666666</v>
          </cell>
          <cell r="X693">
            <v>46257.756944444445</v>
          </cell>
          <cell r="Y693">
            <v>46258.173611111109</v>
          </cell>
          <cell r="AA693" t="str">
            <v>Scheduled</v>
          </cell>
          <cell r="AB693" t="str">
            <v>Present</v>
          </cell>
          <cell r="AC693" t="str">
            <v>Customer returns</v>
          </cell>
          <cell r="AD693" t="str">
            <v>Customer Returns</v>
          </cell>
          <cell r="AE693" t="str">
            <v>Customer returns</v>
          </cell>
          <cell r="AF693" t="str">
            <v>Wednesday</v>
          </cell>
          <cell r="AG693" t="str">
            <v>Thursday</v>
          </cell>
          <cell r="AH693">
            <v>22</v>
          </cell>
          <cell r="AJ693">
            <v>45683</v>
          </cell>
          <cell r="AM693" t="str">
            <v>TEMP</v>
          </cell>
          <cell r="AN693" t="str">
            <v>3P Onsite Worker</v>
          </cell>
          <cell r="AO693" t="str">
            <v>A</v>
          </cell>
          <cell r="AP693">
            <v>9</v>
          </cell>
          <cell r="AQ693">
            <v>0</v>
          </cell>
          <cell r="AR693">
            <v>1</v>
          </cell>
          <cell r="AS693">
            <v>1</v>
          </cell>
          <cell r="AT693">
            <v>0</v>
          </cell>
          <cell r="AU693">
            <v>0</v>
          </cell>
        </row>
        <row r="694">
          <cell r="D694" t="str">
            <v>mosekiiz</v>
          </cell>
          <cell r="E694">
            <v>206846698</v>
          </cell>
          <cell r="F694" t="str">
            <v>A</v>
          </cell>
          <cell r="G694" t="str">
            <v>GREEN</v>
          </cell>
          <cell r="H694" t="str">
            <v>FULL_TIME</v>
          </cell>
          <cell r="I694">
            <v>900234</v>
          </cell>
          <cell r="J694" t="str">
            <v>Dulsco L.L.C.</v>
          </cell>
          <cell r="K694" t="str">
            <v>KIIZA MOSES</v>
          </cell>
          <cell r="L694" t="str">
            <v>Warehouse Associate (TEMP)</v>
          </cell>
          <cell r="M694" t="str">
            <v>Warehouse Associate 8W</v>
          </cell>
          <cell r="N694" t="str">
            <v>helrashd</v>
          </cell>
          <cell r="O694">
            <v>1299</v>
          </cell>
          <cell r="P694" t="str">
            <v>AUH1</v>
          </cell>
          <cell r="Q694" t="str">
            <v>ARE</v>
          </cell>
          <cell r="R694" t="str">
            <v>LK017</v>
          </cell>
          <cell r="S694" t="str">
            <v>Night Shift</v>
          </cell>
          <cell r="T694">
            <v>99</v>
          </cell>
          <cell r="U694" t="str">
            <v>MENA_UAE_FC</v>
          </cell>
          <cell r="V694">
            <v>46257.754861111112</v>
          </cell>
          <cell r="X694">
            <v>46257.756944444445</v>
          </cell>
          <cell r="Y694">
            <v>46258.173611111109</v>
          </cell>
          <cell r="AA694" t="str">
            <v>Scheduled</v>
          </cell>
          <cell r="AB694" t="str">
            <v>Present</v>
          </cell>
          <cell r="AC694" t="str">
            <v>Outbound</v>
          </cell>
          <cell r="AD694" t="str">
            <v>Picking</v>
          </cell>
          <cell r="AE694" t="str">
            <v>Pick</v>
          </cell>
          <cell r="AF694" t="str">
            <v>Thursday</v>
          </cell>
          <cell r="AG694" t="str">
            <v>Friday</v>
          </cell>
          <cell r="AH694">
            <v>13</v>
          </cell>
          <cell r="AJ694">
            <v>46012</v>
          </cell>
          <cell r="AM694" t="str">
            <v>TEMP</v>
          </cell>
          <cell r="AN694" t="str">
            <v>3P Onsite Worker</v>
          </cell>
          <cell r="AO694" t="str">
            <v>A</v>
          </cell>
          <cell r="AP694">
            <v>9</v>
          </cell>
          <cell r="AQ694">
            <v>0</v>
          </cell>
          <cell r="AR694">
            <v>1</v>
          </cell>
          <cell r="AS694">
            <v>1</v>
          </cell>
          <cell r="AT694">
            <v>0</v>
          </cell>
          <cell r="AU694">
            <v>0</v>
          </cell>
        </row>
        <row r="695">
          <cell r="D695" t="str">
            <v>moshareb</v>
          </cell>
          <cell r="E695">
            <v>203709595</v>
          </cell>
          <cell r="F695" t="str">
            <v>A</v>
          </cell>
          <cell r="G695" t="str">
            <v>GREEN</v>
          </cell>
          <cell r="H695" t="str">
            <v>FULL_TIME</v>
          </cell>
          <cell r="I695">
            <v>900234</v>
          </cell>
          <cell r="J695" t="str">
            <v>Adecco</v>
          </cell>
          <cell r="K695" t="str">
            <v>MOHAMMED SHAREEF KUTTILA</v>
          </cell>
          <cell r="L695" t="str">
            <v>Warehouse Associate (TEMP)</v>
          </cell>
          <cell r="M695" t="str">
            <v>Warehouse Associate 24M</v>
          </cell>
          <cell r="N695" t="str">
            <v>nnahla</v>
          </cell>
          <cell r="O695">
            <v>1299</v>
          </cell>
          <cell r="P695" t="str">
            <v>AUH1</v>
          </cell>
          <cell r="Q695" t="str">
            <v>ARE</v>
          </cell>
          <cell r="R695" t="str">
            <v>LK013</v>
          </cell>
          <cell r="S695" t="str">
            <v>Night Shift</v>
          </cell>
          <cell r="T695">
            <v>99</v>
          </cell>
          <cell r="U695" t="str">
            <v>MENA_UAE_FC</v>
          </cell>
          <cell r="X695">
            <v>46257.756944444445</v>
          </cell>
          <cell r="Y695">
            <v>46258.173611111109</v>
          </cell>
          <cell r="Z695" t="str">
            <v>Rest Day</v>
          </cell>
          <cell r="AA695" t="str">
            <v>Not Scheduled</v>
          </cell>
          <cell r="AB695" t="str">
            <v>Not Present</v>
          </cell>
          <cell r="AC695" t="str">
            <v>Inbound</v>
          </cell>
          <cell r="AD695" t="str">
            <v>Inbound Stow</v>
          </cell>
          <cell r="AE695" t="str">
            <v>Stow</v>
          </cell>
          <cell r="AF695" t="str">
            <v>Sunday</v>
          </cell>
          <cell r="AG695" t="str">
            <v>Monday</v>
          </cell>
          <cell r="AH695">
            <v>3</v>
          </cell>
          <cell r="AJ695">
            <v>45494</v>
          </cell>
          <cell r="AM695" t="str">
            <v>TEMP</v>
          </cell>
          <cell r="AN695" t="str">
            <v>3P Onsite Worker</v>
          </cell>
          <cell r="AO695" t="str">
            <v>A</v>
          </cell>
          <cell r="AP695">
            <v>9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</row>
        <row r="696">
          <cell r="D696" t="str">
            <v>mpandeal</v>
          </cell>
          <cell r="E696">
            <v>205977111</v>
          </cell>
          <cell r="F696" t="str">
            <v>A</v>
          </cell>
          <cell r="G696" t="str">
            <v>GREEN</v>
          </cell>
          <cell r="H696" t="str">
            <v>FULL_TIME</v>
          </cell>
          <cell r="I696">
            <v>900234</v>
          </cell>
          <cell r="J696" t="str">
            <v>Dulsco L.L.C.</v>
          </cell>
          <cell r="K696" t="str">
            <v>ALEX MPANDE</v>
          </cell>
          <cell r="L696" t="str">
            <v>Warehouse Associate (TEMP)</v>
          </cell>
          <cell r="M696" t="str">
            <v>Warehouse Associate 24M</v>
          </cell>
          <cell r="N696" t="str">
            <v>pparsin</v>
          </cell>
          <cell r="O696">
            <v>1299</v>
          </cell>
          <cell r="P696" t="str">
            <v>AUH1</v>
          </cell>
          <cell r="Q696" t="str">
            <v>ARE</v>
          </cell>
          <cell r="R696" t="str">
            <v>FC134</v>
          </cell>
          <cell r="S696" t="str">
            <v>Day Shift</v>
          </cell>
          <cell r="T696">
            <v>99</v>
          </cell>
          <cell r="U696" t="str">
            <v>MENA_UAE_FC</v>
          </cell>
          <cell r="V696">
            <v>46257.331944444442</v>
          </cell>
          <cell r="W696">
            <v>46257.748611111114</v>
          </cell>
          <cell r="X696">
            <v>46257.333333333336</v>
          </cell>
          <cell r="Y696">
            <v>46257.75</v>
          </cell>
          <cell r="AA696" t="str">
            <v>Scheduled</v>
          </cell>
          <cell r="AB696" t="str">
            <v>Present</v>
          </cell>
          <cell r="AC696" t="str">
            <v>Inbound</v>
          </cell>
          <cell r="AD696" t="str">
            <v>Inbound Prep</v>
          </cell>
          <cell r="AE696" t="str">
            <v>Prep</v>
          </cell>
          <cell r="AF696" t="str">
            <v>Wednesday</v>
          </cell>
          <cell r="AG696" t="str">
            <v>Thursday</v>
          </cell>
          <cell r="AH696">
            <v>36</v>
          </cell>
          <cell r="AJ696">
            <v>45914</v>
          </cell>
          <cell r="AM696" t="str">
            <v>TEMP</v>
          </cell>
          <cell r="AN696" t="str">
            <v>3P Onsite Worker</v>
          </cell>
          <cell r="AO696" t="str">
            <v>A</v>
          </cell>
          <cell r="AP696">
            <v>9</v>
          </cell>
          <cell r="AQ696">
            <v>0</v>
          </cell>
          <cell r="AR696">
            <v>1</v>
          </cell>
          <cell r="AS696">
            <v>1</v>
          </cell>
          <cell r="AT696">
            <v>0</v>
          </cell>
          <cell r="AU696">
            <v>0</v>
          </cell>
        </row>
        <row r="697">
          <cell r="D697" t="str">
            <v>msanmyin</v>
          </cell>
          <cell r="E697">
            <v>203736780</v>
          </cell>
          <cell r="F697" t="str">
            <v>A</v>
          </cell>
          <cell r="G697" t="str">
            <v>GREEN</v>
          </cell>
          <cell r="H697" t="str">
            <v>FULL_TIME</v>
          </cell>
          <cell r="I697">
            <v>900234</v>
          </cell>
          <cell r="J697" t="str">
            <v>Adecco</v>
          </cell>
          <cell r="K697" t="str">
            <v>San Myint</v>
          </cell>
          <cell r="L697" t="str">
            <v>Warehouse Associate (TEMP)</v>
          </cell>
          <cell r="M697" t="str">
            <v>Warehouse Associate 24M</v>
          </cell>
          <cell r="N697" t="str">
            <v>vkkatyal</v>
          </cell>
          <cell r="O697">
            <v>1299</v>
          </cell>
          <cell r="P697" t="str">
            <v>AUH1</v>
          </cell>
          <cell r="Q697" t="str">
            <v>ARE</v>
          </cell>
          <cell r="R697" t="str">
            <v>LK016</v>
          </cell>
          <cell r="S697" t="str">
            <v>Night Shift</v>
          </cell>
          <cell r="T697">
            <v>99</v>
          </cell>
          <cell r="U697" t="str">
            <v>MENA_UAE_FC</v>
          </cell>
          <cell r="V697">
            <v>46257.753472222219</v>
          </cell>
          <cell r="X697">
            <v>46257.756944444445</v>
          </cell>
          <cell r="Y697">
            <v>46258.173611111109</v>
          </cell>
          <cell r="AA697" t="str">
            <v>Scheduled</v>
          </cell>
          <cell r="AB697" t="str">
            <v>Present</v>
          </cell>
          <cell r="AC697" t="str">
            <v>Inbound</v>
          </cell>
          <cell r="AD697" t="str">
            <v>Inbound Stow</v>
          </cell>
          <cell r="AE697" t="str">
            <v>Stow</v>
          </cell>
          <cell r="AF697" t="str">
            <v>Wednesday</v>
          </cell>
          <cell r="AG697" t="str">
            <v>Thursday</v>
          </cell>
          <cell r="AH697">
            <v>3</v>
          </cell>
          <cell r="AJ697">
            <v>45501</v>
          </cell>
          <cell r="AM697" t="str">
            <v>TEMP</v>
          </cell>
          <cell r="AN697" t="str">
            <v>3P Onsite Worker</v>
          </cell>
          <cell r="AO697" t="str">
            <v>A</v>
          </cell>
          <cell r="AP697">
            <v>9</v>
          </cell>
          <cell r="AQ697">
            <v>0</v>
          </cell>
          <cell r="AR697">
            <v>1</v>
          </cell>
          <cell r="AS697">
            <v>1</v>
          </cell>
          <cell r="AT697">
            <v>0</v>
          </cell>
          <cell r="AU697">
            <v>0</v>
          </cell>
        </row>
        <row r="698">
          <cell r="D698" t="str">
            <v>mssemjul</v>
          </cell>
          <cell r="E698">
            <v>206850963</v>
          </cell>
          <cell r="F698" t="str">
            <v>A</v>
          </cell>
          <cell r="G698" t="str">
            <v>GREEN</v>
          </cell>
          <cell r="H698" t="str">
            <v>FULL_TIME</v>
          </cell>
          <cell r="I698">
            <v>900234</v>
          </cell>
          <cell r="J698" t="str">
            <v>Dulsco L.L.C.</v>
          </cell>
          <cell r="K698" t="str">
            <v>JULIUS SSEMAKULA</v>
          </cell>
          <cell r="L698" t="str">
            <v>Warehouse Associate (TEMP)</v>
          </cell>
          <cell r="M698" t="str">
            <v>Warehouse Associate 8W</v>
          </cell>
          <cell r="N698" t="str">
            <v>ansammar</v>
          </cell>
          <cell r="O698">
            <v>1299</v>
          </cell>
          <cell r="P698" t="str">
            <v>AUH1</v>
          </cell>
          <cell r="Q698" t="str">
            <v>ARE</v>
          </cell>
          <cell r="R698" t="str">
            <v>FC034</v>
          </cell>
          <cell r="S698" t="str">
            <v>Day Shift</v>
          </cell>
          <cell r="T698">
            <v>99</v>
          </cell>
          <cell r="U698" t="str">
            <v>MENA_UAE_FC</v>
          </cell>
          <cell r="X698">
            <v>46257.333333333336</v>
          </cell>
          <cell r="Y698">
            <v>46257.75</v>
          </cell>
          <cell r="Z698" t="str">
            <v>Rest Day</v>
          </cell>
          <cell r="AA698" t="str">
            <v>Not Scheduled</v>
          </cell>
          <cell r="AB698" t="str">
            <v>Not Present</v>
          </cell>
          <cell r="AC698" t="str">
            <v>Outbound</v>
          </cell>
          <cell r="AD698" t="str">
            <v>Picking</v>
          </cell>
          <cell r="AE698" t="str">
            <v>Pick</v>
          </cell>
          <cell r="AF698" t="str">
            <v>Saturday</v>
          </cell>
          <cell r="AG698" t="str">
            <v>Sunday</v>
          </cell>
          <cell r="AH698">
            <v>13</v>
          </cell>
          <cell r="AJ698">
            <v>46012</v>
          </cell>
          <cell r="AM698" t="str">
            <v>TEMP</v>
          </cell>
          <cell r="AN698" t="str">
            <v>3P Onsite Worker</v>
          </cell>
          <cell r="AO698" t="str">
            <v>A</v>
          </cell>
          <cell r="AP698">
            <v>9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</row>
        <row r="699">
          <cell r="D699" t="str">
            <v>mtsagued</v>
          </cell>
          <cell r="E699">
            <v>206873651</v>
          </cell>
          <cell r="F699" t="str">
            <v>A</v>
          </cell>
          <cell r="G699" t="str">
            <v>GREEN</v>
          </cell>
          <cell r="H699" t="str">
            <v>FULL_TIME</v>
          </cell>
          <cell r="I699">
            <v>900234</v>
          </cell>
          <cell r="J699" t="str">
            <v>Fastlink Outsourcing</v>
          </cell>
          <cell r="K699" t="str">
            <v>MAIVA TSAGUE DONFACK EPSE NDONGO</v>
          </cell>
          <cell r="L699" t="str">
            <v>Warehouse Associate (TEMP)</v>
          </cell>
          <cell r="M699" t="str">
            <v>Warehouse Associate 8W</v>
          </cell>
          <cell r="N699" t="str">
            <v>nnahla</v>
          </cell>
          <cell r="O699">
            <v>1299</v>
          </cell>
          <cell r="P699" t="str">
            <v>AUH1</v>
          </cell>
          <cell r="Q699" t="str">
            <v>ARE</v>
          </cell>
          <cell r="R699" t="str">
            <v>FC059</v>
          </cell>
          <cell r="S699" t="str">
            <v>Day Shift</v>
          </cell>
          <cell r="T699">
            <v>99</v>
          </cell>
          <cell r="U699" t="str">
            <v>MENA_UAE_FC</v>
          </cell>
          <cell r="X699">
            <v>46257.333333333336</v>
          </cell>
          <cell r="Y699">
            <v>46257.75</v>
          </cell>
          <cell r="Z699" t="str">
            <v>Rest Day</v>
          </cell>
          <cell r="AA699" t="str">
            <v>Not Scheduled</v>
          </cell>
          <cell r="AB699" t="str">
            <v>Not Present</v>
          </cell>
          <cell r="AC699" t="str">
            <v>Inbound</v>
          </cell>
          <cell r="AD699" t="str">
            <v>Vendor Receive</v>
          </cell>
          <cell r="AE699" t="str">
            <v>Receive</v>
          </cell>
          <cell r="AF699" t="str">
            <v>Sunday</v>
          </cell>
          <cell r="AG699" t="str">
            <v>Monday</v>
          </cell>
          <cell r="AH699">
            <v>1</v>
          </cell>
          <cell r="AJ699">
            <v>46019</v>
          </cell>
          <cell r="AM699" t="str">
            <v>TEMP</v>
          </cell>
          <cell r="AN699" t="str">
            <v>3P Onsite Worker</v>
          </cell>
          <cell r="AO699" t="str">
            <v>A</v>
          </cell>
          <cell r="AP699">
            <v>9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</row>
        <row r="700">
          <cell r="D700" t="str">
            <v>muckorom</v>
          </cell>
          <cell r="E700">
            <v>204013683</v>
          </cell>
          <cell r="F700" t="str">
            <v>A</v>
          </cell>
          <cell r="G700" t="str">
            <v>GREEN</v>
          </cell>
          <cell r="H700" t="str">
            <v>FULL_TIME</v>
          </cell>
          <cell r="I700">
            <v>900234</v>
          </cell>
          <cell r="J700" t="str">
            <v>Fastlink Outsourcing</v>
          </cell>
          <cell r="K700" t="str">
            <v>Muctarr Koroma</v>
          </cell>
          <cell r="L700" t="str">
            <v>Warehouse Associate (TEMP)</v>
          </cell>
          <cell r="M700" t="str">
            <v>Warehouse Associate 12M</v>
          </cell>
          <cell r="N700" t="str">
            <v>mnarshad</v>
          </cell>
          <cell r="O700">
            <v>1299</v>
          </cell>
          <cell r="P700" t="str">
            <v>AUH1</v>
          </cell>
          <cell r="Q700" t="str">
            <v>ARE</v>
          </cell>
          <cell r="R700" t="str">
            <v>LK017</v>
          </cell>
          <cell r="S700" t="str">
            <v>Night Shift</v>
          </cell>
          <cell r="T700">
            <v>99</v>
          </cell>
          <cell r="U700" t="str">
            <v>MENA_UAE_FC</v>
          </cell>
          <cell r="V700">
            <v>46257.755555555559</v>
          </cell>
          <cell r="X700">
            <v>46257.756944444445</v>
          </cell>
          <cell r="Y700">
            <v>46258.173611111109</v>
          </cell>
          <cell r="AA700" t="str">
            <v>Scheduled</v>
          </cell>
          <cell r="AB700" t="str">
            <v>Present</v>
          </cell>
          <cell r="AC700" t="str">
            <v>Outbound</v>
          </cell>
          <cell r="AD700" t="str">
            <v>Pack - Batch</v>
          </cell>
          <cell r="AE700" t="str">
            <v>Pack</v>
          </cell>
          <cell r="AF700" t="str">
            <v>Thursday</v>
          </cell>
          <cell r="AG700" t="str">
            <v>Friday</v>
          </cell>
          <cell r="AH700">
            <v>17</v>
          </cell>
          <cell r="AJ700">
            <v>45550</v>
          </cell>
          <cell r="AM700" t="str">
            <v>TEMP</v>
          </cell>
          <cell r="AN700" t="str">
            <v>3P Onsite Worker</v>
          </cell>
          <cell r="AO700" t="str">
            <v>A</v>
          </cell>
          <cell r="AP700">
            <v>9</v>
          </cell>
          <cell r="AQ700">
            <v>0</v>
          </cell>
          <cell r="AR700">
            <v>1</v>
          </cell>
          <cell r="AS700">
            <v>1</v>
          </cell>
          <cell r="AT700">
            <v>0</v>
          </cell>
          <cell r="AU700">
            <v>0</v>
          </cell>
        </row>
        <row r="701">
          <cell r="D701" t="str">
            <v>mueunice</v>
          </cell>
          <cell r="E701">
            <v>206953385</v>
          </cell>
          <cell r="F701" t="str">
            <v>A</v>
          </cell>
          <cell r="G701" t="str">
            <v>GREEN</v>
          </cell>
          <cell r="H701" t="str">
            <v>FULL_TIME</v>
          </cell>
          <cell r="I701">
            <v>900234</v>
          </cell>
          <cell r="J701" t="str">
            <v>EFS Facilities Services</v>
          </cell>
          <cell r="K701" t="str">
            <v>Eunice Muthoni</v>
          </cell>
          <cell r="L701" t="str">
            <v>Warehouse Associate (TEMP)</v>
          </cell>
          <cell r="M701" t="str">
            <v>Warehouse Associate 12M</v>
          </cell>
          <cell r="N701" t="str">
            <v>aanso</v>
          </cell>
          <cell r="O701">
            <v>1299</v>
          </cell>
          <cell r="P701" t="str">
            <v>AUH1</v>
          </cell>
          <cell r="Q701" t="str">
            <v>ARE</v>
          </cell>
          <cell r="R701" t="str">
            <v>FC159</v>
          </cell>
          <cell r="S701" t="str">
            <v>Day Shift</v>
          </cell>
          <cell r="T701">
            <v>99</v>
          </cell>
          <cell r="U701" t="str">
            <v>MENA_UAE_FC</v>
          </cell>
          <cell r="V701">
            <v>46257.330555555556</v>
          </cell>
          <cell r="W701">
            <v>46257.748611111114</v>
          </cell>
          <cell r="X701">
            <v>46257.333333333336</v>
          </cell>
          <cell r="Y701">
            <v>46257.75</v>
          </cell>
          <cell r="AA701" t="str">
            <v>Scheduled</v>
          </cell>
          <cell r="AB701" t="str">
            <v>Present</v>
          </cell>
          <cell r="AC701" t="str">
            <v>Customer returns</v>
          </cell>
          <cell r="AD701" t="str">
            <v>Customer Returns</v>
          </cell>
          <cell r="AE701" t="str">
            <v>Customer returns</v>
          </cell>
          <cell r="AF701" t="str">
            <v>Thursday</v>
          </cell>
          <cell r="AG701" t="str">
            <v>Friday</v>
          </cell>
          <cell r="AH701">
            <v>22</v>
          </cell>
          <cell r="AJ701">
            <v>46047</v>
          </cell>
          <cell r="AM701" t="str">
            <v>TEMP</v>
          </cell>
          <cell r="AN701" t="str">
            <v>3P Onsite Worker</v>
          </cell>
          <cell r="AO701" t="str">
            <v>A</v>
          </cell>
          <cell r="AP701">
            <v>9</v>
          </cell>
          <cell r="AQ701">
            <v>0</v>
          </cell>
          <cell r="AR701">
            <v>1</v>
          </cell>
          <cell r="AS701">
            <v>1</v>
          </cell>
          <cell r="AT701">
            <v>0</v>
          </cell>
          <cell r="AU701">
            <v>0</v>
          </cell>
        </row>
        <row r="702">
          <cell r="D702" t="str">
            <v>mugabeoa</v>
          </cell>
          <cell r="E702">
            <v>203850770</v>
          </cell>
          <cell r="F702" t="str">
            <v>A</v>
          </cell>
          <cell r="G702" t="str">
            <v>GREEN</v>
          </cell>
          <cell r="H702" t="str">
            <v>FULL_TIME</v>
          </cell>
          <cell r="I702">
            <v>900234</v>
          </cell>
          <cell r="J702" t="str">
            <v>Dulsco L.L.C.</v>
          </cell>
          <cell r="K702" t="str">
            <v>Alex Mugabe</v>
          </cell>
          <cell r="L702" t="str">
            <v>Warehouse Associate (TEMP)</v>
          </cell>
          <cell r="M702" t="str">
            <v>Warehouse Associate 24M</v>
          </cell>
          <cell r="N702" t="str">
            <v>lraghava</v>
          </cell>
          <cell r="O702">
            <v>1299</v>
          </cell>
          <cell r="P702" t="str">
            <v>AUH1</v>
          </cell>
          <cell r="Q702" t="str">
            <v>ARE</v>
          </cell>
          <cell r="R702" t="str">
            <v>LK015</v>
          </cell>
          <cell r="S702" t="str">
            <v>Night Shift</v>
          </cell>
          <cell r="T702">
            <v>99</v>
          </cell>
          <cell r="U702" t="str">
            <v>MENA_UAE_FC</v>
          </cell>
          <cell r="V702">
            <v>46257.756249999999</v>
          </cell>
          <cell r="X702">
            <v>46257.756944444445</v>
          </cell>
          <cell r="Y702">
            <v>46258.173611111109</v>
          </cell>
          <cell r="AA702" t="str">
            <v>Scheduled</v>
          </cell>
          <cell r="AB702" t="str">
            <v>Present</v>
          </cell>
          <cell r="AC702" t="str">
            <v>Outbound</v>
          </cell>
          <cell r="AD702" t="str">
            <v>Picking</v>
          </cell>
          <cell r="AE702" t="str">
            <v>Pick</v>
          </cell>
          <cell r="AF702" t="str">
            <v>Tuesday</v>
          </cell>
          <cell r="AG702" t="str">
            <v>Wednesday</v>
          </cell>
          <cell r="AH702">
            <v>13</v>
          </cell>
          <cell r="AJ702">
            <v>45523</v>
          </cell>
          <cell r="AM702" t="str">
            <v>TEMP</v>
          </cell>
          <cell r="AN702" t="str">
            <v>3P Onsite Worker</v>
          </cell>
          <cell r="AO702" t="str">
            <v>A</v>
          </cell>
          <cell r="AP702">
            <v>9</v>
          </cell>
          <cell r="AQ702">
            <v>0</v>
          </cell>
          <cell r="AR702">
            <v>1</v>
          </cell>
          <cell r="AS702">
            <v>1</v>
          </cell>
          <cell r="AT702">
            <v>0</v>
          </cell>
          <cell r="AU702">
            <v>0</v>
          </cell>
        </row>
        <row r="703">
          <cell r="D703" t="str">
            <v>mugandrn</v>
          </cell>
          <cell r="E703">
            <v>204890367</v>
          </cell>
          <cell r="F703" t="str">
            <v>A</v>
          </cell>
          <cell r="G703" t="str">
            <v>GREEN</v>
          </cell>
          <cell r="H703" t="str">
            <v>FULL_TIME</v>
          </cell>
          <cell r="I703">
            <v>900234</v>
          </cell>
          <cell r="J703" t="str">
            <v>Dulsco L.L.C.</v>
          </cell>
          <cell r="K703" t="str">
            <v>ANDREW MUGISHA</v>
          </cell>
          <cell r="L703" t="str">
            <v>Warehouse Associate (TEMP)</v>
          </cell>
          <cell r="M703" t="str">
            <v>Warehouse Associate 24M</v>
          </cell>
          <cell r="N703" t="str">
            <v>nnahla</v>
          </cell>
          <cell r="O703">
            <v>1299</v>
          </cell>
          <cell r="P703" t="str">
            <v>AUH1</v>
          </cell>
          <cell r="Q703" t="str">
            <v>ARE</v>
          </cell>
          <cell r="R703" t="str">
            <v>FC134</v>
          </cell>
          <cell r="S703" t="str">
            <v>Day Shift</v>
          </cell>
          <cell r="T703">
            <v>99</v>
          </cell>
          <cell r="U703" t="str">
            <v>MENA_UAE_FC</v>
          </cell>
          <cell r="V703">
            <v>46257.331250000003</v>
          </cell>
          <cell r="W703">
            <v>46257.747916666667</v>
          </cell>
          <cell r="X703">
            <v>46257.333333333336</v>
          </cell>
          <cell r="Y703">
            <v>46257.75</v>
          </cell>
          <cell r="AA703" t="str">
            <v>Scheduled</v>
          </cell>
          <cell r="AB703" t="str">
            <v>Present</v>
          </cell>
          <cell r="AC703" t="str">
            <v>Inbound</v>
          </cell>
          <cell r="AD703" t="str">
            <v>Inbound Stow</v>
          </cell>
          <cell r="AE703" t="str">
            <v>Stow</v>
          </cell>
          <cell r="AF703" t="str">
            <v>Wednesday</v>
          </cell>
          <cell r="AG703" t="str">
            <v>Thursday</v>
          </cell>
          <cell r="AH703">
            <v>3</v>
          </cell>
          <cell r="AJ703">
            <v>45825</v>
          </cell>
          <cell r="AM703" t="str">
            <v>TEMP</v>
          </cell>
          <cell r="AN703" t="str">
            <v>3P Onsite Worker</v>
          </cell>
          <cell r="AO703" t="str">
            <v>A</v>
          </cell>
          <cell r="AP703">
            <v>9</v>
          </cell>
          <cell r="AQ703">
            <v>0</v>
          </cell>
          <cell r="AR703">
            <v>1</v>
          </cell>
          <cell r="AS703">
            <v>1</v>
          </cell>
          <cell r="AT703">
            <v>0</v>
          </cell>
          <cell r="AU703">
            <v>0</v>
          </cell>
        </row>
        <row r="704">
          <cell r="D704" t="str">
            <v>mugenkag</v>
          </cell>
          <cell r="E704">
            <v>206853664</v>
          </cell>
          <cell r="F704" t="str">
            <v>A</v>
          </cell>
          <cell r="G704" t="str">
            <v>GREEN</v>
          </cell>
          <cell r="H704" t="str">
            <v>FULL_TIME</v>
          </cell>
          <cell r="I704">
            <v>900234</v>
          </cell>
          <cell r="J704" t="str">
            <v>Dulsco L.L.C.</v>
          </cell>
          <cell r="K704" t="str">
            <v>KAAWA MUGENYI</v>
          </cell>
          <cell r="L704" t="str">
            <v>Warehouse Associate (TEMP)</v>
          </cell>
          <cell r="M704" t="str">
            <v>Warehouse Associate 8W</v>
          </cell>
          <cell r="N704" t="str">
            <v>bavameer</v>
          </cell>
          <cell r="O704">
            <v>1299</v>
          </cell>
          <cell r="P704" t="str">
            <v>AUH1</v>
          </cell>
          <cell r="Q704" t="str">
            <v>ARE</v>
          </cell>
          <cell r="R704" t="str">
            <v>FC134</v>
          </cell>
          <cell r="S704" t="str">
            <v>Day Shift</v>
          </cell>
          <cell r="T704">
            <v>99</v>
          </cell>
          <cell r="U704" t="str">
            <v>MENA_UAE_FC</v>
          </cell>
          <cell r="V704">
            <v>46257.331944444442</v>
          </cell>
          <cell r="W704">
            <v>46257.747916666667</v>
          </cell>
          <cell r="X704">
            <v>46257.333333333336</v>
          </cell>
          <cell r="Y704">
            <v>46257.75</v>
          </cell>
          <cell r="AA704" t="str">
            <v>Scheduled</v>
          </cell>
          <cell r="AB704" t="str">
            <v>Present</v>
          </cell>
          <cell r="AC704" t="str">
            <v>Customer returns</v>
          </cell>
          <cell r="AD704" t="str">
            <v>Customer Returns</v>
          </cell>
          <cell r="AE704" t="str">
            <v>Customer returns</v>
          </cell>
          <cell r="AF704" t="str">
            <v>Wednesday</v>
          </cell>
          <cell r="AG704" t="str">
            <v>Thursday</v>
          </cell>
          <cell r="AH704">
            <v>22</v>
          </cell>
          <cell r="AJ704">
            <v>46012</v>
          </cell>
          <cell r="AM704" t="str">
            <v>TEMP</v>
          </cell>
          <cell r="AN704" t="str">
            <v>3P Onsite Worker</v>
          </cell>
          <cell r="AO704" t="str">
            <v>A</v>
          </cell>
          <cell r="AP704">
            <v>9</v>
          </cell>
          <cell r="AQ704">
            <v>0</v>
          </cell>
          <cell r="AR704">
            <v>1</v>
          </cell>
          <cell r="AS704">
            <v>1</v>
          </cell>
          <cell r="AT704">
            <v>0</v>
          </cell>
          <cell r="AU704">
            <v>0</v>
          </cell>
        </row>
        <row r="705">
          <cell r="D705" t="str">
            <v>mugerwsi</v>
          </cell>
          <cell r="E705">
            <v>206851164</v>
          </cell>
          <cell r="F705" t="str">
            <v>A</v>
          </cell>
          <cell r="G705" t="str">
            <v>GREEN</v>
          </cell>
          <cell r="H705" t="str">
            <v>FULL_TIME</v>
          </cell>
          <cell r="I705">
            <v>900234</v>
          </cell>
          <cell r="J705" t="str">
            <v>Dulsco L.L.C.</v>
          </cell>
          <cell r="K705" t="str">
            <v>SIMON MUGERWA</v>
          </cell>
          <cell r="L705" t="str">
            <v>Warehouse Associate (TEMP)</v>
          </cell>
          <cell r="M705" t="str">
            <v>Warehouse Associate 8W</v>
          </cell>
          <cell r="N705" t="str">
            <v>ansammar</v>
          </cell>
          <cell r="O705">
            <v>1299</v>
          </cell>
          <cell r="P705" t="str">
            <v>AUH1</v>
          </cell>
          <cell r="Q705" t="str">
            <v>ARE</v>
          </cell>
          <cell r="R705" t="str">
            <v>LK015</v>
          </cell>
          <cell r="S705" t="str">
            <v>Night Shift</v>
          </cell>
          <cell r="T705">
            <v>99</v>
          </cell>
          <cell r="U705" t="str">
            <v>MENA_UAE_FC</v>
          </cell>
          <cell r="V705">
            <v>46257.754861111112</v>
          </cell>
          <cell r="X705">
            <v>46257.756944444445</v>
          </cell>
          <cell r="Y705">
            <v>46258.173611111109</v>
          </cell>
          <cell r="AA705" t="str">
            <v>Scheduled</v>
          </cell>
          <cell r="AB705" t="str">
            <v>Present</v>
          </cell>
          <cell r="AC705" t="str">
            <v>Outbound</v>
          </cell>
          <cell r="AD705" t="str">
            <v>Picking</v>
          </cell>
          <cell r="AE705" t="str">
            <v>Pick</v>
          </cell>
          <cell r="AF705" t="str">
            <v>Tuesday</v>
          </cell>
          <cell r="AG705" t="str">
            <v>Wednesday</v>
          </cell>
          <cell r="AH705">
            <v>13</v>
          </cell>
          <cell r="AJ705">
            <v>46029</v>
          </cell>
          <cell r="AM705" t="str">
            <v>TEMP</v>
          </cell>
          <cell r="AN705" t="str">
            <v>3P Onsite Worker</v>
          </cell>
          <cell r="AO705" t="str">
            <v>A</v>
          </cell>
          <cell r="AP705">
            <v>9</v>
          </cell>
          <cell r="AQ705">
            <v>0</v>
          </cell>
          <cell r="AR705">
            <v>1</v>
          </cell>
          <cell r="AS705">
            <v>1</v>
          </cell>
          <cell r="AT705">
            <v>0</v>
          </cell>
          <cell r="AU705">
            <v>0</v>
          </cell>
        </row>
        <row r="706">
          <cell r="D706" t="str">
            <v>mugirich</v>
          </cell>
          <cell r="E706">
            <v>203850925</v>
          </cell>
          <cell r="F706" t="str">
            <v>A</v>
          </cell>
          <cell r="G706" t="str">
            <v>GREEN</v>
          </cell>
          <cell r="H706" t="str">
            <v>FULL_TIME</v>
          </cell>
          <cell r="I706">
            <v>900234</v>
          </cell>
          <cell r="J706" t="str">
            <v>Dulsco L.L.C.</v>
          </cell>
          <cell r="K706" t="str">
            <v>Richard Mugisha</v>
          </cell>
          <cell r="L706" t="str">
            <v>Warehouse Associate (TEMP)</v>
          </cell>
          <cell r="M706" t="str">
            <v>Warehouse Associate 24M</v>
          </cell>
          <cell r="N706" t="str">
            <v>ansammar</v>
          </cell>
          <cell r="O706">
            <v>1299</v>
          </cell>
          <cell r="P706" t="str">
            <v>AUH1</v>
          </cell>
          <cell r="Q706" t="str">
            <v>ARE</v>
          </cell>
          <cell r="R706" t="str">
            <v>FC009</v>
          </cell>
          <cell r="S706" t="str">
            <v>Day Shift</v>
          </cell>
          <cell r="T706">
            <v>99</v>
          </cell>
          <cell r="U706" t="str">
            <v>MENA_UAE_FC</v>
          </cell>
          <cell r="V706">
            <v>46257.333333333336</v>
          </cell>
          <cell r="W706">
            <v>46257.75</v>
          </cell>
          <cell r="X706">
            <v>46257.333333333336</v>
          </cell>
          <cell r="Y706">
            <v>46257.75</v>
          </cell>
          <cell r="AA706" t="str">
            <v>Scheduled</v>
          </cell>
          <cell r="AB706" t="str">
            <v>Present</v>
          </cell>
          <cell r="AC706" t="str">
            <v>Outbound</v>
          </cell>
          <cell r="AD706" t="str">
            <v>Sort - Batch</v>
          </cell>
          <cell r="AE706" t="str">
            <v>Sort</v>
          </cell>
          <cell r="AF706" t="str">
            <v>Friday</v>
          </cell>
          <cell r="AG706" t="str">
            <v>Saturday</v>
          </cell>
          <cell r="AH706">
            <v>15</v>
          </cell>
          <cell r="AJ706">
            <v>45523</v>
          </cell>
          <cell r="AM706" t="str">
            <v>TEMP</v>
          </cell>
          <cell r="AN706" t="str">
            <v>3P Onsite Worker</v>
          </cell>
          <cell r="AO706" t="str">
            <v>A</v>
          </cell>
          <cell r="AP706">
            <v>9</v>
          </cell>
          <cell r="AQ706">
            <v>0</v>
          </cell>
          <cell r="AR706">
            <v>1</v>
          </cell>
          <cell r="AS706">
            <v>1</v>
          </cell>
          <cell r="AT706">
            <v>0</v>
          </cell>
          <cell r="AU706">
            <v>0</v>
          </cell>
        </row>
        <row r="707">
          <cell r="D707" t="str">
            <v>mugisric</v>
          </cell>
          <cell r="E707">
            <v>205872523</v>
          </cell>
          <cell r="F707" t="str">
            <v>A</v>
          </cell>
          <cell r="G707" t="str">
            <v>GREEN</v>
          </cell>
          <cell r="H707" t="str">
            <v>FULL_TIME</v>
          </cell>
          <cell r="I707">
            <v>900234</v>
          </cell>
          <cell r="J707" t="str">
            <v>Dulsco L.L.C.</v>
          </cell>
          <cell r="K707" t="str">
            <v>RICHARD MUGISHA</v>
          </cell>
          <cell r="L707" t="str">
            <v>Warehouse Associate (TEMP)</v>
          </cell>
          <cell r="M707" t="str">
            <v>Warehouse Associate 8W</v>
          </cell>
          <cell r="N707" t="str">
            <v>scariav</v>
          </cell>
          <cell r="O707">
            <v>1299</v>
          </cell>
          <cell r="P707" t="str">
            <v>AUH1</v>
          </cell>
          <cell r="Q707" t="str">
            <v>ARE</v>
          </cell>
          <cell r="R707" t="str">
            <v>LK015</v>
          </cell>
          <cell r="S707" t="str">
            <v>Night Shift</v>
          </cell>
          <cell r="T707">
            <v>99</v>
          </cell>
          <cell r="U707" t="str">
            <v>MENA_UAE_FC</v>
          </cell>
          <cell r="V707">
            <v>46257.332638888889</v>
          </cell>
          <cell r="W707">
            <v>46257.750694444447</v>
          </cell>
          <cell r="X707">
            <v>46257.333333333336</v>
          </cell>
          <cell r="Y707">
            <v>46257.75</v>
          </cell>
          <cell r="AA707" t="str">
            <v>Scheduled</v>
          </cell>
          <cell r="AB707" t="str">
            <v>Present</v>
          </cell>
          <cell r="AC707" t="str">
            <v>Outbound</v>
          </cell>
          <cell r="AD707" t="str">
            <v>Picking</v>
          </cell>
          <cell r="AE707" t="str">
            <v>Pick</v>
          </cell>
          <cell r="AF707" t="str">
            <v>Tuesday</v>
          </cell>
          <cell r="AG707" t="str">
            <v>Wednesday</v>
          </cell>
          <cell r="AH707">
            <v>13</v>
          </cell>
          <cell r="AJ707">
            <v>45893</v>
          </cell>
          <cell r="AM707" t="str">
            <v>TEMP</v>
          </cell>
          <cell r="AN707" t="str">
            <v>3P Onsite Worker</v>
          </cell>
          <cell r="AO707" t="str">
            <v>A</v>
          </cell>
          <cell r="AP707">
            <v>9</v>
          </cell>
          <cell r="AQ707">
            <v>0</v>
          </cell>
          <cell r="AR707">
            <v>1</v>
          </cell>
          <cell r="AS707">
            <v>1</v>
          </cell>
          <cell r="AT707">
            <v>0</v>
          </cell>
          <cell r="AU707">
            <v>0</v>
          </cell>
        </row>
        <row r="708">
          <cell r="D708" t="str">
            <v>mugwanas</v>
          </cell>
          <cell r="E708">
            <v>206873881</v>
          </cell>
          <cell r="F708" t="str">
            <v>A</v>
          </cell>
          <cell r="G708" t="str">
            <v>GREEN</v>
          </cell>
          <cell r="H708" t="str">
            <v>FULL_TIME</v>
          </cell>
          <cell r="I708">
            <v>900234</v>
          </cell>
          <cell r="J708" t="str">
            <v>Dulsco L.L.C.</v>
          </cell>
          <cell r="K708" t="str">
            <v>SALIMU MUGWANA</v>
          </cell>
          <cell r="L708" t="str">
            <v>Warehouse Associate (TEMP)</v>
          </cell>
          <cell r="M708" t="str">
            <v>Warehouse Associate 8W</v>
          </cell>
          <cell r="N708" t="str">
            <v>bavameer</v>
          </cell>
          <cell r="O708">
            <v>1299</v>
          </cell>
          <cell r="P708" t="str">
            <v>AUH1</v>
          </cell>
          <cell r="Q708" t="str">
            <v>ARE</v>
          </cell>
          <cell r="R708" t="str">
            <v>FC034</v>
          </cell>
          <cell r="S708" t="str">
            <v>Day Shift</v>
          </cell>
          <cell r="T708">
            <v>99</v>
          </cell>
          <cell r="U708" t="str">
            <v>MENA_UAE_FC</v>
          </cell>
          <cell r="X708">
            <v>46257.333333333336</v>
          </cell>
          <cell r="Y708">
            <v>46257.75</v>
          </cell>
          <cell r="Z708" t="str">
            <v>Rest Day</v>
          </cell>
          <cell r="AA708" t="str">
            <v>Not Scheduled</v>
          </cell>
          <cell r="AB708" t="str">
            <v>Not Present</v>
          </cell>
          <cell r="AC708" t="str">
            <v>Customer returns</v>
          </cell>
          <cell r="AD708" t="str">
            <v>Customer Returns</v>
          </cell>
          <cell r="AE708" t="str">
            <v>Customer returns</v>
          </cell>
          <cell r="AF708" t="str">
            <v>Saturday</v>
          </cell>
          <cell r="AG708" t="str">
            <v>Sunday</v>
          </cell>
          <cell r="AH708">
            <v>22</v>
          </cell>
          <cell r="AJ708">
            <v>46019</v>
          </cell>
          <cell r="AM708" t="str">
            <v>TEMP</v>
          </cell>
          <cell r="AN708" t="str">
            <v>3P Onsite Worker</v>
          </cell>
          <cell r="AO708" t="str">
            <v>A</v>
          </cell>
          <cell r="AP708">
            <v>9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</row>
        <row r="709">
          <cell r="D709" t="str">
            <v>muhapibr</v>
          </cell>
          <cell r="E709">
            <v>204967148</v>
          </cell>
          <cell r="F709" t="str">
            <v>A</v>
          </cell>
          <cell r="G709" t="str">
            <v>GREEN</v>
          </cell>
          <cell r="H709" t="str">
            <v>FULL_TIME</v>
          </cell>
          <cell r="I709">
            <v>900234</v>
          </cell>
          <cell r="J709" t="str">
            <v>Dulsco L.L.C.</v>
          </cell>
          <cell r="K709" t="str">
            <v>MUHAMMED IBRAHIM</v>
          </cell>
          <cell r="L709" t="str">
            <v>Warehouse Associate (TEMP)</v>
          </cell>
          <cell r="M709" t="str">
            <v>Warehouse Associate 8W</v>
          </cell>
          <cell r="N709" t="str">
            <v>nnahla</v>
          </cell>
          <cell r="O709">
            <v>1299</v>
          </cell>
          <cell r="P709" t="str">
            <v>AUH1</v>
          </cell>
          <cell r="Q709" t="str">
            <v>ARE</v>
          </cell>
          <cell r="R709" t="str">
            <v>LK014</v>
          </cell>
          <cell r="S709" t="str">
            <v>Night Shift</v>
          </cell>
          <cell r="T709">
            <v>99</v>
          </cell>
          <cell r="U709" t="str">
            <v>MENA_UAE_FC</v>
          </cell>
          <cell r="V709">
            <v>46257.754861111112</v>
          </cell>
          <cell r="X709">
            <v>46257.756944444445</v>
          </cell>
          <cell r="Y709">
            <v>46258.173611111109</v>
          </cell>
          <cell r="AA709" t="str">
            <v>Scheduled</v>
          </cell>
          <cell r="AB709" t="str">
            <v>Present</v>
          </cell>
          <cell r="AC709" t="str">
            <v>Inbound</v>
          </cell>
          <cell r="AD709" t="str">
            <v>Inbound Stow</v>
          </cell>
          <cell r="AE709" t="str">
            <v>Stow</v>
          </cell>
          <cell r="AF709" t="str">
            <v>Monday</v>
          </cell>
          <cell r="AG709" t="str">
            <v>Tuesday</v>
          </cell>
          <cell r="AH709">
            <v>3</v>
          </cell>
          <cell r="AJ709">
            <v>45825</v>
          </cell>
          <cell r="AM709" t="str">
            <v>TEMP</v>
          </cell>
          <cell r="AN709" t="str">
            <v>3P Onsite Worker</v>
          </cell>
          <cell r="AO709" t="str">
            <v>A</v>
          </cell>
          <cell r="AP709">
            <v>9</v>
          </cell>
          <cell r="AQ709">
            <v>0</v>
          </cell>
          <cell r="AR709">
            <v>1</v>
          </cell>
          <cell r="AS709">
            <v>1</v>
          </cell>
          <cell r="AT709">
            <v>0</v>
          </cell>
          <cell r="AU709">
            <v>0</v>
          </cell>
        </row>
        <row r="710">
          <cell r="D710" t="str">
            <v>muhathod</v>
          </cell>
          <cell r="E710">
            <v>204403653</v>
          </cell>
          <cell r="F710" t="str">
            <v>A</v>
          </cell>
          <cell r="G710" t="str">
            <v>GREEN</v>
          </cell>
          <cell r="H710" t="str">
            <v>FULL_TIME</v>
          </cell>
          <cell r="I710">
            <v>900234</v>
          </cell>
          <cell r="J710" t="str">
            <v>Adecco</v>
          </cell>
          <cell r="K710" t="str">
            <v>MUHAMMED FAYIS PATER THODIKALATHEEF HAMZA</v>
          </cell>
          <cell r="L710" t="str">
            <v>Warehouse Associate (TEMP)</v>
          </cell>
          <cell r="M710" t="str">
            <v>Warehouse Associate 24M</v>
          </cell>
          <cell r="N710" t="str">
            <v>vkkatyal</v>
          </cell>
          <cell r="O710">
            <v>1299</v>
          </cell>
          <cell r="P710" t="str">
            <v>AUH1</v>
          </cell>
          <cell r="Q710" t="str">
            <v>ARE</v>
          </cell>
          <cell r="R710" t="str">
            <v>FC034</v>
          </cell>
          <cell r="S710" t="str">
            <v>Day Shift</v>
          </cell>
          <cell r="T710">
            <v>99</v>
          </cell>
          <cell r="U710" t="str">
            <v>MENA_UAE_FC</v>
          </cell>
          <cell r="X710">
            <v>46257.333333333336</v>
          </cell>
          <cell r="Y710">
            <v>46257.75</v>
          </cell>
          <cell r="Z710" t="str">
            <v>Rest Day</v>
          </cell>
          <cell r="AA710" t="str">
            <v>Not Scheduled</v>
          </cell>
          <cell r="AB710" t="str">
            <v>Not Present</v>
          </cell>
          <cell r="AC710" t="str">
            <v>Inbound</v>
          </cell>
          <cell r="AD710" t="str">
            <v>IB Problem Solve</v>
          </cell>
          <cell r="AE710" t="str">
            <v>Receive</v>
          </cell>
          <cell r="AF710" t="str">
            <v>Saturday</v>
          </cell>
          <cell r="AG710" t="str">
            <v>Sunday</v>
          </cell>
          <cell r="AH710">
            <v>6</v>
          </cell>
          <cell r="AJ710">
            <v>45595</v>
          </cell>
          <cell r="AM710" t="str">
            <v>TEMP</v>
          </cell>
          <cell r="AN710" t="str">
            <v>3P Onsite Worker</v>
          </cell>
          <cell r="AO710" t="str">
            <v>A</v>
          </cell>
          <cell r="AP710">
            <v>9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</row>
        <row r="711">
          <cell r="D711" t="str">
            <v>muhbrigh</v>
          </cell>
          <cell r="E711">
            <v>206953815</v>
          </cell>
          <cell r="F711" t="str">
            <v>A</v>
          </cell>
          <cell r="G711" t="str">
            <v>GREEN</v>
          </cell>
          <cell r="H711" t="str">
            <v>FULL_TIME</v>
          </cell>
          <cell r="I711">
            <v>900234</v>
          </cell>
          <cell r="J711" t="str">
            <v>Dulsco L.L.C.</v>
          </cell>
          <cell r="K711" t="str">
            <v>BRIGHTON MUHEREZA</v>
          </cell>
          <cell r="L711" t="str">
            <v>Warehouse Associate (TEMP)</v>
          </cell>
          <cell r="M711" t="str">
            <v>Warehouse Associate 24M</v>
          </cell>
          <cell r="N711" t="str">
            <v>aanso</v>
          </cell>
          <cell r="O711">
            <v>1299</v>
          </cell>
          <cell r="P711" t="str">
            <v>AUH1</v>
          </cell>
          <cell r="Q711" t="str">
            <v>ARE</v>
          </cell>
          <cell r="R711" t="str">
            <v>FC109</v>
          </cell>
          <cell r="S711" t="str">
            <v>Day Shift</v>
          </cell>
          <cell r="T711">
            <v>99</v>
          </cell>
          <cell r="U711" t="str">
            <v>MENA_UAE_FC</v>
          </cell>
          <cell r="V711">
            <v>46257.331250000003</v>
          </cell>
          <cell r="W711">
            <v>46257.748611111114</v>
          </cell>
          <cell r="X711">
            <v>46257.333333333336</v>
          </cell>
          <cell r="Y711">
            <v>46257.75</v>
          </cell>
          <cell r="AA711" t="str">
            <v>Scheduled</v>
          </cell>
          <cell r="AB711" t="str">
            <v>Present</v>
          </cell>
          <cell r="AC711" t="str">
            <v>Customer returns</v>
          </cell>
          <cell r="AD711" t="str">
            <v>Customer Returns</v>
          </cell>
          <cell r="AE711" t="str">
            <v>Customer returns</v>
          </cell>
          <cell r="AF711" t="str">
            <v>Tuesday</v>
          </cell>
          <cell r="AG711" t="str">
            <v>Wednesday</v>
          </cell>
          <cell r="AH711">
            <v>22</v>
          </cell>
          <cell r="AJ711">
            <v>46047</v>
          </cell>
          <cell r="AM711" t="str">
            <v>TEMP</v>
          </cell>
          <cell r="AN711" t="str">
            <v>3P Onsite Worker</v>
          </cell>
          <cell r="AO711" t="str">
            <v>A</v>
          </cell>
          <cell r="AP711">
            <v>9</v>
          </cell>
          <cell r="AQ711">
            <v>0</v>
          </cell>
          <cell r="AR711">
            <v>1</v>
          </cell>
          <cell r="AS711">
            <v>1</v>
          </cell>
          <cell r="AT711">
            <v>0</v>
          </cell>
          <cell r="AU711">
            <v>0</v>
          </cell>
        </row>
        <row r="712">
          <cell r="D712" t="str">
            <v>muhmohas</v>
          </cell>
          <cell r="E712">
            <v>203965008</v>
          </cell>
          <cell r="F712" t="str">
            <v>A</v>
          </cell>
          <cell r="G712" t="str">
            <v>GREEN</v>
          </cell>
          <cell r="H712" t="str">
            <v>FULL_TIME</v>
          </cell>
          <cell r="I712">
            <v>900234</v>
          </cell>
          <cell r="J712" t="str">
            <v>Adecco</v>
          </cell>
          <cell r="K712" t="str">
            <v>Mohasin Muhammad</v>
          </cell>
          <cell r="L712" t="str">
            <v>Warehouse Associate (TEMP)</v>
          </cell>
          <cell r="M712" t="str">
            <v>Warehouse Associate 24M</v>
          </cell>
          <cell r="N712" t="str">
            <v>lraghava</v>
          </cell>
          <cell r="O712">
            <v>1299</v>
          </cell>
          <cell r="P712" t="str">
            <v>AUH1</v>
          </cell>
          <cell r="Q712" t="str">
            <v>ARE</v>
          </cell>
          <cell r="R712" t="str">
            <v>LK011</v>
          </cell>
          <cell r="S712" t="str">
            <v>Night Shift</v>
          </cell>
          <cell r="T712">
            <v>99</v>
          </cell>
          <cell r="U712" t="str">
            <v>MENA_UAE_FC</v>
          </cell>
          <cell r="V712">
            <v>46257.75277777778</v>
          </cell>
          <cell r="X712">
            <v>46257.756944444445</v>
          </cell>
          <cell r="Y712">
            <v>46258.173611111109</v>
          </cell>
          <cell r="AA712" t="str">
            <v>Scheduled</v>
          </cell>
          <cell r="AB712" t="str">
            <v>Present</v>
          </cell>
          <cell r="AC712" t="str">
            <v>Outbound</v>
          </cell>
          <cell r="AD712" t="str">
            <v>Picking</v>
          </cell>
          <cell r="AE712" t="str">
            <v>Pick</v>
          </cell>
          <cell r="AF712" t="str">
            <v>Friday</v>
          </cell>
          <cell r="AG712" t="str">
            <v>Saturday</v>
          </cell>
          <cell r="AH712">
            <v>13</v>
          </cell>
          <cell r="AJ712">
            <v>45543</v>
          </cell>
          <cell r="AM712" t="str">
            <v>TEMP</v>
          </cell>
          <cell r="AN712" t="str">
            <v>3P Onsite Worker</v>
          </cell>
          <cell r="AO712" t="str">
            <v>A</v>
          </cell>
          <cell r="AP712">
            <v>9</v>
          </cell>
          <cell r="AQ712">
            <v>0</v>
          </cell>
          <cell r="AR712">
            <v>1</v>
          </cell>
          <cell r="AS712">
            <v>1</v>
          </cell>
          <cell r="AT712">
            <v>0</v>
          </cell>
          <cell r="AU712">
            <v>0</v>
          </cell>
        </row>
        <row r="713">
          <cell r="D713" t="str">
            <v>muhwasej</v>
          </cell>
          <cell r="E713">
            <v>109808062</v>
          </cell>
          <cell r="F713" t="str">
            <v>A</v>
          </cell>
          <cell r="G713" t="str">
            <v>BLUE</v>
          </cell>
          <cell r="H713" t="str">
            <v>FULL_TIME</v>
          </cell>
          <cell r="I713" t="str">
            <v>P03251</v>
          </cell>
          <cell r="K713" t="str">
            <v>Waseem Haider</v>
          </cell>
          <cell r="L713" t="str">
            <v>FC Associate I</v>
          </cell>
          <cell r="M713" t="str">
            <v>FC Associate I</v>
          </cell>
          <cell r="N713" t="str">
            <v>ansammar</v>
          </cell>
          <cell r="O713">
            <v>1299</v>
          </cell>
          <cell r="P713" t="str">
            <v>AUH1</v>
          </cell>
          <cell r="Q713" t="str">
            <v>ARE</v>
          </cell>
          <cell r="R713" t="str">
            <v>LK011</v>
          </cell>
          <cell r="S713" t="str">
            <v>Night Shift</v>
          </cell>
          <cell r="T713">
            <v>1</v>
          </cell>
          <cell r="U713" t="str">
            <v>MENA_UAE_FC</v>
          </cell>
          <cell r="V713">
            <v>46257.745833333334</v>
          </cell>
          <cell r="X713">
            <v>46257.756944444445</v>
          </cell>
          <cell r="Y713">
            <v>46258.173611111109</v>
          </cell>
          <cell r="AA713" t="str">
            <v>Scheduled</v>
          </cell>
          <cell r="AB713" t="str">
            <v>Present</v>
          </cell>
          <cell r="AC713" t="str">
            <v>Outbound</v>
          </cell>
          <cell r="AD713" t="str">
            <v>Sort - Batch</v>
          </cell>
          <cell r="AE713" t="str">
            <v>Sort</v>
          </cell>
          <cell r="AF713" t="str">
            <v>Friday</v>
          </cell>
          <cell r="AG713" t="str">
            <v>Saturday</v>
          </cell>
          <cell r="AH713">
            <v>15</v>
          </cell>
          <cell r="AJ713">
            <v>44781</v>
          </cell>
          <cell r="AM713" t="str">
            <v>FC</v>
          </cell>
          <cell r="AN713" t="str">
            <v>Regular Full Time</v>
          </cell>
          <cell r="AO713" t="str">
            <v>A</v>
          </cell>
          <cell r="AP713">
            <v>9</v>
          </cell>
          <cell r="AQ713">
            <v>0</v>
          </cell>
          <cell r="AR713">
            <v>1</v>
          </cell>
          <cell r="AS713">
            <v>1</v>
          </cell>
          <cell r="AT713">
            <v>0</v>
          </cell>
          <cell r="AU713">
            <v>0</v>
          </cell>
        </row>
        <row r="714">
          <cell r="D714" t="str">
            <v>muhwebst</v>
          </cell>
          <cell r="E714">
            <v>203816396</v>
          </cell>
          <cell r="F714" t="str">
            <v>A</v>
          </cell>
          <cell r="G714" t="str">
            <v>GREEN</v>
          </cell>
          <cell r="H714" t="str">
            <v>FULL_TIME</v>
          </cell>
          <cell r="I714">
            <v>900234</v>
          </cell>
          <cell r="J714" t="str">
            <v>Dulsco L.L.C.</v>
          </cell>
          <cell r="K714" t="str">
            <v>STEVEN MUHWEZI</v>
          </cell>
          <cell r="L714" t="str">
            <v>Warehouse Associate (TEMP)</v>
          </cell>
          <cell r="M714" t="str">
            <v>Warehouse Associate 8W</v>
          </cell>
          <cell r="N714" t="str">
            <v>nnahla</v>
          </cell>
          <cell r="O714">
            <v>1299</v>
          </cell>
          <cell r="P714" t="str">
            <v>AUH1</v>
          </cell>
          <cell r="Q714" t="str">
            <v>ARE</v>
          </cell>
          <cell r="R714" t="str">
            <v>FC059</v>
          </cell>
          <cell r="S714" t="str">
            <v>Day Shift</v>
          </cell>
          <cell r="T714">
            <v>99</v>
          </cell>
          <cell r="U714" t="str">
            <v>MENA_UAE_FC</v>
          </cell>
          <cell r="X714">
            <v>46257.333333333336</v>
          </cell>
          <cell r="Y714">
            <v>46257.75</v>
          </cell>
          <cell r="Z714" t="str">
            <v>Rest Day</v>
          </cell>
          <cell r="AA714" t="str">
            <v>Not Scheduled</v>
          </cell>
          <cell r="AB714" t="str">
            <v>Not Present</v>
          </cell>
          <cell r="AC714" t="str">
            <v>Inbound</v>
          </cell>
          <cell r="AD714" t="str">
            <v>Vendor Receive</v>
          </cell>
          <cell r="AE714" t="str">
            <v>Receive</v>
          </cell>
          <cell r="AF714" t="str">
            <v>Sunday</v>
          </cell>
          <cell r="AG714" t="str">
            <v>Monday</v>
          </cell>
          <cell r="AH714">
            <v>1</v>
          </cell>
          <cell r="AJ714">
            <v>45517</v>
          </cell>
          <cell r="AM714" t="str">
            <v>TEMP</v>
          </cell>
          <cell r="AN714" t="str">
            <v>3P Onsite Worker</v>
          </cell>
          <cell r="AO714" t="str">
            <v>A</v>
          </cell>
          <cell r="AP714">
            <v>9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</row>
        <row r="715">
          <cell r="D715" t="str">
            <v>muhzirfa</v>
          </cell>
          <cell r="E715">
            <v>105444856</v>
          </cell>
          <cell r="F715" t="str">
            <v>A</v>
          </cell>
          <cell r="G715" t="str">
            <v>BLUE</v>
          </cell>
          <cell r="H715" t="str">
            <v>FULL_TIME</v>
          </cell>
          <cell r="I715" t="str">
            <v>P03231</v>
          </cell>
          <cell r="K715" t="str">
            <v>Muhammad Irfan</v>
          </cell>
          <cell r="L715" t="str">
            <v>FC Associate III</v>
          </cell>
          <cell r="M715" t="str">
            <v>Operations Supervisor</v>
          </cell>
          <cell r="N715" t="str">
            <v>ansammar</v>
          </cell>
          <cell r="O715">
            <v>1299</v>
          </cell>
          <cell r="P715" t="str">
            <v>AUH1</v>
          </cell>
          <cell r="Q715" t="str">
            <v>ARE</v>
          </cell>
          <cell r="R715" t="str">
            <v>LK017</v>
          </cell>
          <cell r="S715" t="str">
            <v>Night Shift</v>
          </cell>
          <cell r="T715">
            <v>3</v>
          </cell>
          <cell r="U715" t="str">
            <v>MENA_UAE_FC</v>
          </cell>
          <cell r="V715">
            <v>46257.739583333336</v>
          </cell>
          <cell r="X715">
            <v>46257.756944444445</v>
          </cell>
          <cell r="Y715">
            <v>46258.173611111109</v>
          </cell>
          <cell r="AA715" t="str">
            <v>Scheduled</v>
          </cell>
          <cell r="AB715" t="str">
            <v>Present</v>
          </cell>
          <cell r="AC715" t="str">
            <v>Outbound</v>
          </cell>
          <cell r="AD715" t="str">
            <v>OB Lead/PA</v>
          </cell>
          <cell r="AE715" t="str">
            <v>Pack</v>
          </cell>
          <cell r="AF715" t="str">
            <v>Thursday</v>
          </cell>
          <cell r="AG715" t="str">
            <v>Friday</v>
          </cell>
          <cell r="AH715">
            <v>19</v>
          </cell>
          <cell r="AJ715">
            <v>44830</v>
          </cell>
          <cell r="AM715" t="str">
            <v>FC</v>
          </cell>
          <cell r="AN715" t="str">
            <v>Regular Full Time</v>
          </cell>
          <cell r="AO715" t="str">
            <v>A</v>
          </cell>
          <cell r="AP715">
            <v>9</v>
          </cell>
          <cell r="AQ715">
            <v>0</v>
          </cell>
          <cell r="AR715">
            <v>1</v>
          </cell>
          <cell r="AS715">
            <v>1</v>
          </cell>
          <cell r="AT715">
            <v>0</v>
          </cell>
          <cell r="AU715">
            <v>0</v>
          </cell>
        </row>
        <row r="716">
          <cell r="D716" t="str">
            <v>mukaderi</v>
          </cell>
          <cell r="E716">
            <v>203736252</v>
          </cell>
          <cell r="F716" t="str">
            <v>A</v>
          </cell>
          <cell r="G716" t="str">
            <v>GREEN</v>
          </cell>
          <cell r="H716" t="str">
            <v>FULL_TIME</v>
          </cell>
          <cell r="I716">
            <v>900234</v>
          </cell>
          <cell r="J716" t="str">
            <v>Dulsco L.L.C.</v>
          </cell>
          <cell r="K716" t="str">
            <v>DERICK MUKAMA</v>
          </cell>
          <cell r="L716" t="str">
            <v>Warehouse Associate (TEMP)</v>
          </cell>
          <cell r="M716" t="str">
            <v>Warehouse Associate 24M</v>
          </cell>
          <cell r="N716" t="str">
            <v>vkkatyal</v>
          </cell>
          <cell r="O716">
            <v>1299</v>
          </cell>
          <cell r="P716" t="str">
            <v>AUH1</v>
          </cell>
          <cell r="Q716" t="str">
            <v>ARE</v>
          </cell>
          <cell r="R716" t="str">
            <v>LK014</v>
          </cell>
          <cell r="S716" t="str">
            <v>Night Shift</v>
          </cell>
          <cell r="T716">
            <v>99</v>
          </cell>
          <cell r="U716" t="str">
            <v>MENA_UAE_FC</v>
          </cell>
          <cell r="V716">
            <v>46257.754861111112</v>
          </cell>
          <cell r="X716">
            <v>46257.756944444445</v>
          </cell>
          <cell r="Y716">
            <v>46258.173611111109</v>
          </cell>
          <cell r="AA716" t="str">
            <v>Scheduled</v>
          </cell>
          <cell r="AB716" t="str">
            <v>Present</v>
          </cell>
          <cell r="AC716" t="str">
            <v>Inbound</v>
          </cell>
          <cell r="AD716" t="str">
            <v>Inbound Stow</v>
          </cell>
          <cell r="AE716" t="str">
            <v>Stow</v>
          </cell>
          <cell r="AF716" t="str">
            <v>Monday</v>
          </cell>
          <cell r="AG716" t="str">
            <v>Tuesday</v>
          </cell>
          <cell r="AH716">
            <v>3</v>
          </cell>
          <cell r="AJ716">
            <v>45501</v>
          </cell>
          <cell r="AM716" t="str">
            <v>TEMP</v>
          </cell>
          <cell r="AN716" t="str">
            <v>3P Onsite Worker</v>
          </cell>
          <cell r="AO716" t="str">
            <v>A</v>
          </cell>
          <cell r="AP716">
            <v>9</v>
          </cell>
          <cell r="AQ716">
            <v>0</v>
          </cell>
          <cell r="AR716">
            <v>1</v>
          </cell>
          <cell r="AS716">
            <v>1</v>
          </cell>
          <cell r="AT716">
            <v>0</v>
          </cell>
          <cell r="AU716">
            <v>0</v>
          </cell>
        </row>
        <row r="717">
          <cell r="D717" t="str">
            <v>mukailka</v>
          </cell>
          <cell r="E717">
            <v>205236898</v>
          </cell>
          <cell r="F717" t="str">
            <v>A</v>
          </cell>
          <cell r="G717" t="str">
            <v>GREEN</v>
          </cell>
          <cell r="H717" t="str">
            <v>FULL_TIME</v>
          </cell>
          <cell r="I717">
            <v>900234</v>
          </cell>
          <cell r="J717" t="str">
            <v>Dulsco L.L.C.</v>
          </cell>
          <cell r="K717" t="str">
            <v>MUKAILA KASSIM</v>
          </cell>
          <cell r="L717" t="str">
            <v>Warehouse Associate (TEMP)</v>
          </cell>
          <cell r="M717" t="str">
            <v>Warehouse Associate 24M</v>
          </cell>
          <cell r="N717" t="str">
            <v>mnarshad</v>
          </cell>
          <cell r="O717">
            <v>1299</v>
          </cell>
          <cell r="P717" t="str">
            <v>AUH1</v>
          </cell>
          <cell r="Q717" t="str">
            <v>ARE</v>
          </cell>
          <cell r="R717" t="str">
            <v>FC009</v>
          </cell>
          <cell r="S717" t="str">
            <v>Day Shift</v>
          </cell>
          <cell r="T717">
            <v>99</v>
          </cell>
          <cell r="U717" t="str">
            <v>MENA_UAE_FC</v>
          </cell>
          <cell r="V717">
            <v>46257.331250000003</v>
          </cell>
          <cell r="W717">
            <v>46257.747916666667</v>
          </cell>
          <cell r="X717">
            <v>46257.333333333336</v>
          </cell>
          <cell r="Y717">
            <v>46257.75</v>
          </cell>
          <cell r="AA717" t="str">
            <v>Scheduled</v>
          </cell>
          <cell r="AB717" t="str">
            <v>Present</v>
          </cell>
          <cell r="AC717" t="str">
            <v>Outbound</v>
          </cell>
          <cell r="AD717" t="str">
            <v>Picking</v>
          </cell>
          <cell r="AE717" t="str">
            <v>Pick</v>
          </cell>
          <cell r="AF717" t="str">
            <v>Friday</v>
          </cell>
          <cell r="AG717" t="str">
            <v>Saturday</v>
          </cell>
          <cell r="AH717">
            <v>13</v>
          </cell>
          <cell r="AJ717">
            <v>45788</v>
          </cell>
          <cell r="AM717" t="str">
            <v>TEMP</v>
          </cell>
          <cell r="AN717" t="str">
            <v>3P Onsite Worker</v>
          </cell>
          <cell r="AO717" t="str">
            <v>A</v>
          </cell>
          <cell r="AP717">
            <v>9</v>
          </cell>
          <cell r="AQ717">
            <v>0</v>
          </cell>
          <cell r="AR717">
            <v>1</v>
          </cell>
          <cell r="AS717">
            <v>1</v>
          </cell>
          <cell r="AT717">
            <v>0</v>
          </cell>
          <cell r="AU717">
            <v>0</v>
          </cell>
        </row>
        <row r="718">
          <cell r="D718" t="str">
            <v>mukakooz</v>
          </cell>
          <cell r="E718">
            <v>203850900</v>
          </cell>
          <cell r="F718" t="str">
            <v>A</v>
          </cell>
          <cell r="G718" t="str">
            <v>GREEN</v>
          </cell>
          <cell r="H718" t="str">
            <v>FULL_TIME</v>
          </cell>
          <cell r="I718">
            <v>900234</v>
          </cell>
          <cell r="J718" t="str">
            <v>Dulsco L.L.C.</v>
          </cell>
          <cell r="K718" t="str">
            <v>Musa Kakooza</v>
          </cell>
          <cell r="L718" t="str">
            <v>Warehouse Associate (TEMP)</v>
          </cell>
          <cell r="M718" t="str">
            <v>Warehouse Associate 24M</v>
          </cell>
          <cell r="N718" t="str">
            <v>mnarshad</v>
          </cell>
          <cell r="O718">
            <v>1299</v>
          </cell>
          <cell r="P718" t="str">
            <v>AUH1</v>
          </cell>
          <cell r="Q718" t="str">
            <v>ARE</v>
          </cell>
          <cell r="R718" t="str">
            <v>LK014</v>
          </cell>
          <cell r="S718" t="str">
            <v>Night Shift</v>
          </cell>
          <cell r="T718">
            <v>99</v>
          </cell>
          <cell r="U718" t="str">
            <v>MENA_UAE_FC</v>
          </cell>
          <cell r="V718">
            <v>46257.754861111112</v>
          </cell>
          <cell r="X718">
            <v>46257.756944444445</v>
          </cell>
          <cell r="Y718">
            <v>46258.173611111109</v>
          </cell>
          <cell r="AA718" t="str">
            <v>Scheduled</v>
          </cell>
          <cell r="AB718" t="str">
            <v>Present</v>
          </cell>
          <cell r="AC718" t="str">
            <v>Outbound</v>
          </cell>
          <cell r="AD718" t="str">
            <v>Picking</v>
          </cell>
          <cell r="AE718" t="str">
            <v>Pick</v>
          </cell>
          <cell r="AF718" t="str">
            <v>Monday</v>
          </cell>
          <cell r="AG718" t="str">
            <v>Tuesday</v>
          </cell>
          <cell r="AH718">
            <v>13</v>
          </cell>
          <cell r="AJ718">
            <v>45523</v>
          </cell>
          <cell r="AM718" t="str">
            <v>TEMP</v>
          </cell>
          <cell r="AN718" t="str">
            <v>3P Onsite Worker</v>
          </cell>
          <cell r="AO718" t="str">
            <v>A</v>
          </cell>
          <cell r="AP718">
            <v>9</v>
          </cell>
          <cell r="AQ718">
            <v>0</v>
          </cell>
          <cell r="AR718">
            <v>1</v>
          </cell>
          <cell r="AS718">
            <v>1</v>
          </cell>
          <cell r="AT718">
            <v>0</v>
          </cell>
          <cell r="AU718">
            <v>0</v>
          </cell>
        </row>
        <row r="719">
          <cell r="D719" t="str">
            <v>mukalash</v>
          </cell>
          <cell r="E719">
            <v>203736256</v>
          </cell>
          <cell r="F719" t="str">
            <v>A</v>
          </cell>
          <cell r="G719" t="str">
            <v>GREEN</v>
          </cell>
          <cell r="H719" t="str">
            <v>FULL_TIME</v>
          </cell>
          <cell r="I719">
            <v>900234</v>
          </cell>
          <cell r="J719" t="str">
            <v>Dulsco L.L.C.</v>
          </cell>
          <cell r="K719" t="str">
            <v>SHAFIC MUKALAZI</v>
          </cell>
          <cell r="L719" t="str">
            <v>Warehouse Associate (TEMP)</v>
          </cell>
          <cell r="M719" t="str">
            <v>Warehouse Associate 8W</v>
          </cell>
          <cell r="N719" t="str">
            <v>bizthoma</v>
          </cell>
          <cell r="O719">
            <v>1299</v>
          </cell>
          <cell r="P719" t="str">
            <v>AUH1</v>
          </cell>
          <cell r="Q719" t="str">
            <v>ARE</v>
          </cell>
          <cell r="R719" t="str">
            <v>LK012</v>
          </cell>
          <cell r="S719" t="str">
            <v>Night Shift</v>
          </cell>
          <cell r="T719">
            <v>99</v>
          </cell>
          <cell r="U719" t="str">
            <v>MENA_UAE_FC</v>
          </cell>
          <cell r="X719">
            <v>46257.756944444445</v>
          </cell>
          <cell r="Y719">
            <v>46258.173611111109</v>
          </cell>
          <cell r="Z719" t="str">
            <v>Rest Day</v>
          </cell>
          <cell r="AA719" t="str">
            <v>Not Scheduled</v>
          </cell>
          <cell r="AB719" t="str">
            <v>Not Present</v>
          </cell>
          <cell r="AC719" t="str">
            <v>Outbound</v>
          </cell>
          <cell r="AD719" t="str">
            <v>Picking</v>
          </cell>
          <cell r="AE719" t="str">
            <v>Pick</v>
          </cell>
          <cell r="AF719" t="str">
            <v>Saturday</v>
          </cell>
          <cell r="AG719" t="str">
            <v>Sunday</v>
          </cell>
          <cell r="AH719">
            <v>13</v>
          </cell>
          <cell r="AJ719">
            <v>45690</v>
          </cell>
          <cell r="AM719" t="str">
            <v>TEMP</v>
          </cell>
          <cell r="AN719" t="str">
            <v>3P Onsite Worker</v>
          </cell>
          <cell r="AO719" t="str">
            <v>A</v>
          </cell>
          <cell r="AP719">
            <v>9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</row>
        <row r="720">
          <cell r="D720" t="str">
            <v>mukamaay</v>
          </cell>
          <cell r="E720">
            <v>206845692</v>
          </cell>
          <cell r="F720" t="str">
            <v>A</v>
          </cell>
          <cell r="G720" t="str">
            <v>GREEN</v>
          </cell>
          <cell r="H720" t="str">
            <v>FULL_TIME</v>
          </cell>
          <cell r="I720">
            <v>900234</v>
          </cell>
          <cell r="J720" t="str">
            <v>Dulsco L.L.C.</v>
          </cell>
          <cell r="K720" t="str">
            <v>AYUBU MUKAMA</v>
          </cell>
          <cell r="L720" t="str">
            <v>Warehouse Associate (TEMP)</v>
          </cell>
          <cell r="M720" t="str">
            <v>Warehouse Associate 8W</v>
          </cell>
          <cell r="N720" t="str">
            <v>vkkatyal</v>
          </cell>
          <cell r="O720">
            <v>1299</v>
          </cell>
          <cell r="P720" t="str">
            <v>AUH1</v>
          </cell>
          <cell r="Q720" t="str">
            <v>ARE</v>
          </cell>
          <cell r="R720" t="str">
            <v>LK013</v>
          </cell>
          <cell r="S720" t="str">
            <v>Night Shift</v>
          </cell>
          <cell r="T720">
            <v>99</v>
          </cell>
          <cell r="U720" t="str">
            <v>MENA_UAE_FC</v>
          </cell>
          <cell r="V720">
            <v>46257.756944444445</v>
          </cell>
          <cell r="X720">
            <v>46257.756944444445</v>
          </cell>
          <cell r="Y720">
            <v>46258.173611111109</v>
          </cell>
          <cell r="AA720" t="str">
            <v>Scheduled</v>
          </cell>
          <cell r="AB720" t="str">
            <v>Present</v>
          </cell>
          <cell r="AC720" t="str">
            <v>Inbound</v>
          </cell>
          <cell r="AD720" t="str">
            <v>Inbound Stow</v>
          </cell>
          <cell r="AE720" t="str">
            <v>Stow</v>
          </cell>
          <cell r="AF720" t="str">
            <v>Sunday</v>
          </cell>
          <cell r="AG720" t="str">
            <v>Monday</v>
          </cell>
          <cell r="AH720">
            <v>3</v>
          </cell>
          <cell r="AJ720">
            <v>46012</v>
          </cell>
          <cell r="AM720" t="str">
            <v>TEMP</v>
          </cell>
          <cell r="AN720" t="str">
            <v>3P Onsite Worker</v>
          </cell>
          <cell r="AO720" t="str">
            <v>A</v>
          </cell>
          <cell r="AP720">
            <v>9</v>
          </cell>
          <cell r="AQ720">
            <v>0</v>
          </cell>
          <cell r="AR720">
            <v>1</v>
          </cell>
          <cell r="AS720">
            <v>1</v>
          </cell>
          <cell r="AT720">
            <v>0</v>
          </cell>
          <cell r="AU720">
            <v>0</v>
          </cell>
        </row>
        <row r="721">
          <cell r="D721" t="str">
            <v>mukrisho</v>
          </cell>
          <cell r="E721">
            <v>107117479</v>
          </cell>
          <cell r="F721" t="str">
            <v>A</v>
          </cell>
          <cell r="G721" t="str">
            <v>BLUE</v>
          </cell>
          <cell r="H721" t="str">
            <v>FULL_TIME</v>
          </cell>
          <cell r="I721" t="str">
            <v>P03231</v>
          </cell>
          <cell r="K721" t="str">
            <v>SHOAIB SHAUKAT MUKRI</v>
          </cell>
          <cell r="L721" t="str">
            <v>FC Associate III</v>
          </cell>
          <cell r="M721" t="str">
            <v>Operations Supervisor</v>
          </cell>
          <cell r="N721" t="str">
            <v>lraghava</v>
          </cell>
          <cell r="O721">
            <v>1299</v>
          </cell>
          <cell r="P721" t="str">
            <v>AUH1</v>
          </cell>
          <cell r="Q721" t="str">
            <v>ARE</v>
          </cell>
          <cell r="R721" t="str">
            <v>LK013</v>
          </cell>
          <cell r="S721" t="str">
            <v>Night Shift</v>
          </cell>
          <cell r="T721">
            <v>3</v>
          </cell>
          <cell r="U721" t="str">
            <v>MENA_UAE_FC</v>
          </cell>
          <cell r="V721">
            <v>46257.75</v>
          </cell>
          <cell r="X721">
            <v>46257.756944444445</v>
          </cell>
          <cell r="Y721">
            <v>46258.173611111109</v>
          </cell>
          <cell r="Z721" t="str">
            <v>Rest Day</v>
          </cell>
          <cell r="AA721" t="str">
            <v>Not Scheduled</v>
          </cell>
          <cell r="AB721" t="str">
            <v>Present</v>
          </cell>
          <cell r="AC721" t="str">
            <v>Outbound</v>
          </cell>
          <cell r="AD721" t="str">
            <v>OB Lead/PA</v>
          </cell>
          <cell r="AE721" t="str">
            <v>Pack</v>
          </cell>
          <cell r="AF721" t="str">
            <v>Sunday</v>
          </cell>
          <cell r="AG721" t="str">
            <v>Monday</v>
          </cell>
          <cell r="AH721">
            <v>19</v>
          </cell>
          <cell r="AJ721">
            <v>44781</v>
          </cell>
          <cell r="AM721" t="str">
            <v>FC</v>
          </cell>
          <cell r="AN721" t="str">
            <v>Regular Full Time</v>
          </cell>
          <cell r="AO721" t="str">
            <v>A</v>
          </cell>
          <cell r="AP721">
            <v>9</v>
          </cell>
          <cell r="AQ721">
            <v>1</v>
          </cell>
          <cell r="AR721">
            <v>1</v>
          </cell>
          <cell r="AS721">
            <v>0</v>
          </cell>
          <cell r="AT721">
            <v>0</v>
          </cell>
          <cell r="AU721">
            <v>0</v>
          </cell>
        </row>
        <row r="722">
          <cell r="D722" t="str">
            <v>mukujung</v>
          </cell>
          <cell r="E722">
            <v>203736254</v>
          </cell>
          <cell r="F722" t="str">
            <v>A</v>
          </cell>
          <cell r="G722" t="str">
            <v>GREEN</v>
          </cell>
          <cell r="H722" t="str">
            <v>FULL_TIME</v>
          </cell>
          <cell r="I722">
            <v>900234</v>
          </cell>
          <cell r="J722" t="str">
            <v>Dulsco L.L.C.</v>
          </cell>
          <cell r="K722" t="str">
            <v>ISAAH MUKUJUNGU</v>
          </cell>
          <cell r="L722" t="str">
            <v>Warehouse Associate (TEMP)</v>
          </cell>
          <cell r="M722" t="str">
            <v>Warehouse Associate 24M</v>
          </cell>
          <cell r="N722" t="str">
            <v>vkkatyal</v>
          </cell>
          <cell r="O722">
            <v>1299</v>
          </cell>
          <cell r="P722" t="str">
            <v>AUH1</v>
          </cell>
          <cell r="Q722" t="str">
            <v>ARE</v>
          </cell>
          <cell r="R722" t="str">
            <v>LK015</v>
          </cell>
          <cell r="S722" t="str">
            <v>Night Shift</v>
          </cell>
          <cell r="T722">
            <v>99</v>
          </cell>
          <cell r="U722" t="str">
            <v>MENA_UAE_FC</v>
          </cell>
          <cell r="V722">
            <v>46257.754861111112</v>
          </cell>
          <cell r="X722">
            <v>46257.756944444445</v>
          </cell>
          <cell r="Y722">
            <v>46258.173611111109</v>
          </cell>
          <cell r="AA722" t="str">
            <v>Scheduled</v>
          </cell>
          <cell r="AB722" t="str">
            <v>Present</v>
          </cell>
          <cell r="AC722" t="str">
            <v>Inbound</v>
          </cell>
          <cell r="AD722" t="str">
            <v>Inbound Stow</v>
          </cell>
          <cell r="AE722" t="str">
            <v>Stow</v>
          </cell>
          <cell r="AF722" t="str">
            <v>Tuesday</v>
          </cell>
          <cell r="AG722" t="str">
            <v>Wednesday</v>
          </cell>
          <cell r="AH722">
            <v>3</v>
          </cell>
          <cell r="AJ722">
            <v>45501</v>
          </cell>
          <cell r="AM722" t="str">
            <v>TEMP</v>
          </cell>
          <cell r="AN722" t="str">
            <v>3P Onsite Worker</v>
          </cell>
          <cell r="AO722" t="str">
            <v>A</v>
          </cell>
          <cell r="AP722">
            <v>9</v>
          </cell>
          <cell r="AQ722">
            <v>0</v>
          </cell>
          <cell r="AR722">
            <v>1</v>
          </cell>
          <cell r="AS722">
            <v>1</v>
          </cell>
          <cell r="AT722">
            <v>0</v>
          </cell>
          <cell r="AU722">
            <v>0</v>
          </cell>
        </row>
        <row r="723">
          <cell r="D723" t="str">
            <v>mulatifx</v>
          </cell>
          <cell r="E723">
            <v>113090891</v>
          </cell>
          <cell r="F723" t="str">
            <v>A</v>
          </cell>
          <cell r="G723" t="str">
            <v>GREEN</v>
          </cell>
          <cell r="H723" t="str">
            <v>FULL_TIME</v>
          </cell>
          <cell r="I723">
            <v>900234</v>
          </cell>
          <cell r="J723" t="str">
            <v>Quesscorp</v>
          </cell>
          <cell r="K723" t="str">
            <v>Muhammad Nauman Latif</v>
          </cell>
          <cell r="L723" t="str">
            <v>Warehouse Associate (TEMP)</v>
          </cell>
          <cell r="M723" t="str">
            <v>Warehouse Associate 24M</v>
          </cell>
          <cell r="N723" t="str">
            <v>lraghava</v>
          </cell>
          <cell r="O723">
            <v>1299</v>
          </cell>
          <cell r="P723" t="str">
            <v>AUH1</v>
          </cell>
          <cell r="Q723" t="str">
            <v>ARE</v>
          </cell>
          <cell r="R723" t="str">
            <v>FC109</v>
          </cell>
          <cell r="S723" t="str">
            <v>Day Shift</v>
          </cell>
          <cell r="T723">
            <v>99</v>
          </cell>
          <cell r="U723" t="str">
            <v>MENA_UAE_FC</v>
          </cell>
          <cell r="V723">
            <v>46257.324305555558</v>
          </cell>
          <cell r="W723">
            <v>46257.756944444445</v>
          </cell>
          <cell r="X723">
            <v>46257.333333333336</v>
          </cell>
          <cell r="Y723">
            <v>46257.75</v>
          </cell>
          <cell r="AA723" t="str">
            <v>Scheduled</v>
          </cell>
          <cell r="AB723" t="str">
            <v>Present</v>
          </cell>
          <cell r="AC723" t="str">
            <v>Outbound</v>
          </cell>
          <cell r="AD723" t="str">
            <v>Picking</v>
          </cell>
          <cell r="AE723" t="str">
            <v>Pick</v>
          </cell>
          <cell r="AF723" t="str">
            <v>Tuesday</v>
          </cell>
          <cell r="AG723" t="str">
            <v>Wednesday</v>
          </cell>
          <cell r="AH723">
            <v>13</v>
          </cell>
          <cell r="AJ723">
            <v>45588</v>
          </cell>
          <cell r="AM723" t="str">
            <v>TEMP</v>
          </cell>
          <cell r="AN723" t="str">
            <v>3P Onsite Worker</v>
          </cell>
          <cell r="AO723" t="str">
            <v>A</v>
          </cell>
          <cell r="AP723">
            <v>9</v>
          </cell>
          <cell r="AQ723">
            <v>0</v>
          </cell>
          <cell r="AR723">
            <v>1</v>
          </cell>
          <cell r="AS723">
            <v>1</v>
          </cell>
          <cell r="AT723">
            <v>0</v>
          </cell>
          <cell r="AU723">
            <v>0</v>
          </cell>
        </row>
        <row r="724">
          <cell r="D724" t="str">
            <v>muliivan</v>
          </cell>
          <cell r="E724">
            <v>206846309</v>
          </cell>
          <cell r="F724" t="str">
            <v>A</v>
          </cell>
          <cell r="G724" t="str">
            <v>GREEN</v>
          </cell>
          <cell r="H724" t="str">
            <v>FULL_TIME</v>
          </cell>
          <cell r="I724">
            <v>900234</v>
          </cell>
          <cell r="J724" t="str">
            <v>Dulsco L.L.C.</v>
          </cell>
          <cell r="K724" t="str">
            <v>IVAN MULIIKA</v>
          </cell>
          <cell r="L724" t="str">
            <v>Warehouse Associate (TEMP)</v>
          </cell>
          <cell r="M724" t="str">
            <v>Warehouse Associate 8W</v>
          </cell>
          <cell r="N724" t="str">
            <v>helrashd</v>
          </cell>
          <cell r="O724">
            <v>1299</v>
          </cell>
          <cell r="P724" t="str">
            <v>AUH1</v>
          </cell>
          <cell r="Q724" t="str">
            <v>ARE</v>
          </cell>
          <cell r="R724" t="str">
            <v>LK015</v>
          </cell>
          <cell r="S724" t="str">
            <v>Night Shift</v>
          </cell>
          <cell r="T724">
            <v>99</v>
          </cell>
          <cell r="U724" t="str">
            <v>MENA_UAE_FC</v>
          </cell>
          <cell r="V724">
            <v>46257.756249999999</v>
          </cell>
          <cell r="X724">
            <v>46257.756944444445</v>
          </cell>
          <cell r="Y724">
            <v>46258.173611111109</v>
          </cell>
          <cell r="AA724" t="str">
            <v>Scheduled</v>
          </cell>
          <cell r="AB724" t="str">
            <v>Present</v>
          </cell>
          <cell r="AC724" t="str">
            <v>Outbound</v>
          </cell>
          <cell r="AD724" t="str">
            <v>Picking</v>
          </cell>
          <cell r="AE724" t="str">
            <v>Pick</v>
          </cell>
          <cell r="AF724" t="str">
            <v>Tuesday</v>
          </cell>
          <cell r="AG724" t="str">
            <v>Wednesday</v>
          </cell>
          <cell r="AH724">
            <v>13</v>
          </cell>
          <cell r="AJ724">
            <v>46012</v>
          </cell>
          <cell r="AM724" t="str">
            <v>TEMP</v>
          </cell>
          <cell r="AN724" t="str">
            <v>3P Onsite Worker</v>
          </cell>
          <cell r="AO724" t="str">
            <v>A</v>
          </cell>
          <cell r="AP724">
            <v>9</v>
          </cell>
          <cell r="AQ724">
            <v>0</v>
          </cell>
          <cell r="AR724">
            <v>1</v>
          </cell>
          <cell r="AS724">
            <v>1</v>
          </cell>
          <cell r="AT724">
            <v>0</v>
          </cell>
          <cell r="AU724">
            <v>0</v>
          </cell>
        </row>
        <row r="725">
          <cell r="D725" t="str">
            <v>mumonicv</v>
          </cell>
          <cell r="E725">
            <v>206491343</v>
          </cell>
          <cell r="F725" t="str">
            <v>A</v>
          </cell>
          <cell r="G725" t="str">
            <v>GREEN</v>
          </cell>
          <cell r="H725" t="str">
            <v>FULL_TIME</v>
          </cell>
          <cell r="I725">
            <v>900234</v>
          </cell>
          <cell r="J725" t="str">
            <v>EFS Facilities Services</v>
          </cell>
          <cell r="K725" t="str">
            <v>MONICA MUENI MUTUA</v>
          </cell>
          <cell r="L725" t="str">
            <v>Warehouse Associate (TEMP)</v>
          </cell>
          <cell r="M725" t="str">
            <v>Warehouse Associate 8W</v>
          </cell>
          <cell r="N725" t="str">
            <v>mnarshad</v>
          </cell>
          <cell r="O725">
            <v>1299</v>
          </cell>
          <cell r="P725" t="str">
            <v>AUH1</v>
          </cell>
          <cell r="Q725" t="str">
            <v>ARE</v>
          </cell>
          <cell r="R725" t="str">
            <v>FC555</v>
          </cell>
          <cell r="S725" t="str">
            <v>Night Shift</v>
          </cell>
          <cell r="T725">
            <v>99</v>
          </cell>
          <cell r="U725" t="str">
            <v>MENA_UAE_FC</v>
          </cell>
          <cell r="V725">
            <v>46257.756944444445</v>
          </cell>
          <cell r="X725">
            <v>46257.756944444445</v>
          </cell>
          <cell r="Y725">
            <v>46258.090277777781</v>
          </cell>
          <cell r="AA725" t="str">
            <v>Scheduled</v>
          </cell>
          <cell r="AB725" t="str">
            <v>Present</v>
          </cell>
          <cell r="AC725" t="str">
            <v>Outbound</v>
          </cell>
          <cell r="AD725" t="str">
            <v>Sort - Batch</v>
          </cell>
          <cell r="AE725" t="str">
            <v>Sort</v>
          </cell>
          <cell r="AF725" t="str">
            <v>Monday</v>
          </cell>
          <cell r="AG725" t="str">
            <v>Tuesday</v>
          </cell>
          <cell r="AH725">
            <v>15</v>
          </cell>
          <cell r="AJ725">
            <v>46237</v>
          </cell>
          <cell r="AM725" t="str">
            <v>TEMP</v>
          </cell>
          <cell r="AN725" t="str">
            <v>3P Onsite Worker</v>
          </cell>
          <cell r="AO725" t="str">
            <v>A</v>
          </cell>
          <cell r="AP725">
            <v>7</v>
          </cell>
          <cell r="AQ725">
            <v>0</v>
          </cell>
          <cell r="AR725">
            <v>1</v>
          </cell>
          <cell r="AS725">
            <v>1</v>
          </cell>
          <cell r="AT725">
            <v>0</v>
          </cell>
          <cell r="AU725">
            <v>0</v>
          </cell>
        </row>
        <row r="726">
          <cell r="D726" t="str">
            <v>muniiive</v>
          </cell>
          <cell r="E726">
            <v>203908331</v>
          </cell>
          <cell r="F726" t="str">
            <v>A</v>
          </cell>
          <cell r="G726" t="str">
            <v>GREEN</v>
          </cell>
          <cell r="H726" t="str">
            <v>FULL_TIME</v>
          </cell>
          <cell r="I726">
            <v>900234</v>
          </cell>
          <cell r="J726" t="str">
            <v>Dulsco L.L.C.</v>
          </cell>
          <cell r="K726" t="str">
            <v>MUNIINA IVAN</v>
          </cell>
          <cell r="L726" t="str">
            <v>Warehouse Associate (TEMP)</v>
          </cell>
          <cell r="M726" t="str">
            <v>Warehouse Associate 24M</v>
          </cell>
          <cell r="N726" t="str">
            <v>mnarshad</v>
          </cell>
          <cell r="O726">
            <v>1299</v>
          </cell>
          <cell r="P726" t="str">
            <v>AUH1</v>
          </cell>
          <cell r="Q726" t="str">
            <v>ARE</v>
          </cell>
          <cell r="R726" t="str">
            <v>LK014</v>
          </cell>
          <cell r="S726" t="str">
            <v>Night Shift</v>
          </cell>
          <cell r="T726">
            <v>99</v>
          </cell>
          <cell r="U726" t="str">
            <v>MENA_UAE_FC</v>
          </cell>
          <cell r="V726">
            <v>46257.754861111112</v>
          </cell>
          <cell r="X726">
            <v>46257.756944444445</v>
          </cell>
          <cell r="Y726">
            <v>46258.173611111109</v>
          </cell>
          <cell r="AA726" t="str">
            <v>Scheduled</v>
          </cell>
          <cell r="AB726" t="str">
            <v>Present</v>
          </cell>
          <cell r="AC726" t="str">
            <v>Outbound</v>
          </cell>
          <cell r="AD726" t="str">
            <v>Sort - Batch</v>
          </cell>
          <cell r="AE726" t="str">
            <v>Sort</v>
          </cell>
          <cell r="AF726" t="str">
            <v>Monday</v>
          </cell>
          <cell r="AG726" t="str">
            <v>Tuesday</v>
          </cell>
          <cell r="AH726">
            <v>15</v>
          </cell>
          <cell r="AJ726">
            <v>45536</v>
          </cell>
          <cell r="AM726" t="str">
            <v>TEMP</v>
          </cell>
          <cell r="AN726" t="str">
            <v>3P Onsite Worker</v>
          </cell>
          <cell r="AO726" t="str">
            <v>A</v>
          </cell>
          <cell r="AP726">
            <v>9</v>
          </cell>
          <cell r="AQ726">
            <v>0</v>
          </cell>
          <cell r="AR726">
            <v>1</v>
          </cell>
          <cell r="AS726">
            <v>1</v>
          </cell>
          <cell r="AT726">
            <v>0</v>
          </cell>
          <cell r="AU726">
            <v>0</v>
          </cell>
        </row>
        <row r="727">
          <cell r="D727" t="str">
            <v>munisuku</v>
          </cell>
          <cell r="E727">
            <v>203851274</v>
          </cell>
          <cell r="F727" t="str">
            <v>A</v>
          </cell>
          <cell r="G727" t="str">
            <v>GREEN</v>
          </cell>
          <cell r="H727" t="str">
            <v>FULL_TIME</v>
          </cell>
          <cell r="I727">
            <v>900234</v>
          </cell>
          <cell r="J727" t="str">
            <v>Adecco</v>
          </cell>
          <cell r="K727" t="str">
            <v>Munish Kumar</v>
          </cell>
          <cell r="L727" t="str">
            <v>Warehouse Associate (TEMP)</v>
          </cell>
          <cell r="M727" t="str">
            <v>PIT Operator 24M</v>
          </cell>
          <cell r="N727" t="str">
            <v>abbaszoo</v>
          </cell>
          <cell r="O727">
            <v>1299</v>
          </cell>
          <cell r="P727" t="str">
            <v>AUH1</v>
          </cell>
          <cell r="Q727" t="str">
            <v>ARE</v>
          </cell>
          <cell r="R727" t="str">
            <v>FC059</v>
          </cell>
          <cell r="S727" t="str">
            <v>Day Shift</v>
          </cell>
          <cell r="T727">
            <v>99</v>
          </cell>
          <cell r="U727" t="str">
            <v>MENA_UAE_FC</v>
          </cell>
          <cell r="X727">
            <v>46257.333333333336</v>
          </cell>
          <cell r="Y727">
            <v>46257.75</v>
          </cell>
          <cell r="Z727" t="str">
            <v>Rest Day</v>
          </cell>
          <cell r="AA727" t="str">
            <v>Not Scheduled</v>
          </cell>
          <cell r="AB727" t="str">
            <v>Not Present</v>
          </cell>
          <cell r="AC727" t="str">
            <v>Inbound</v>
          </cell>
          <cell r="AD727" t="str">
            <v>Inbound Stow</v>
          </cell>
          <cell r="AE727" t="str">
            <v>Stow</v>
          </cell>
          <cell r="AF727" t="str">
            <v>Sunday</v>
          </cell>
          <cell r="AG727" t="str">
            <v>Monday</v>
          </cell>
          <cell r="AH727">
            <v>3</v>
          </cell>
          <cell r="AJ727">
            <v>45523</v>
          </cell>
          <cell r="AM727" t="str">
            <v>TEMP</v>
          </cell>
          <cell r="AN727" t="str">
            <v>3P Onsite Worker</v>
          </cell>
          <cell r="AO727" t="str">
            <v>A</v>
          </cell>
          <cell r="AP727">
            <v>9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</row>
        <row r="728">
          <cell r="D728" t="str">
            <v>munsaamu</v>
          </cell>
          <cell r="E728">
            <v>206934491</v>
          </cell>
          <cell r="F728" t="str">
            <v>A</v>
          </cell>
          <cell r="G728" t="str">
            <v>GREEN</v>
          </cell>
          <cell r="H728" t="str">
            <v>FULL_TIME</v>
          </cell>
          <cell r="I728">
            <v>900234</v>
          </cell>
          <cell r="J728" t="str">
            <v>Dulsco L.L.C.</v>
          </cell>
          <cell r="K728" t="str">
            <v>MUDASHIRU NSAAMU</v>
          </cell>
          <cell r="L728" t="str">
            <v>Warehouse Associate (TEMP)</v>
          </cell>
          <cell r="M728" t="str">
            <v>Warehouse Associate 24M</v>
          </cell>
          <cell r="N728" t="str">
            <v>bavameer</v>
          </cell>
          <cell r="O728">
            <v>1299</v>
          </cell>
          <cell r="P728" t="str">
            <v>AUH1</v>
          </cell>
          <cell r="Q728" t="str">
            <v>ARE</v>
          </cell>
          <cell r="R728" t="str">
            <v>FC034</v>
          </cell>
          <cell r="S728" t="str">
            <v>Day Shift</v>
          </cell>
          <cell r="T728">
            <v>99</v>
          </cell>
          <cell r="U728" t="str">
            <v>MENA_UAE_FC</v>
          </cell>
          <cell r="X728">
            <v>46257.333333333336</v>
          </cell>
          <cell r="Y728">
            <v>46257.75</v>
          </cell>
          <cell r="Z728" t="str">
            <v>Rest Day</v>
          </cell>
          <cell r="AA728" t="str">
            <v>Not Scheduled</v>
          </cell>
          <cell r="AB728" t="str">
            <v>Not Present</v>
          </cell>
          <cell r="AC728" t="str">
            <v>Customer returns</v>
          </cell>
          <cell r="AD728" t="str">
            <v>Customer Returns</v>
          </cell>
          <cell r="AE728" t="str">
            <v>Customer returns</v>
          </cell>
          <cell r="AF728" t="str">
            <v>Saturday</v>
          </cell>
          <cell r="AG728" t="str">
            <v>Sunday</v>
          </cell>
          <cell r="AH728">
            <v>22</v>
          </cell>
          <cell r="AJ728">
            <v>46047</v>
          </cell>
          <cell r="AM728" t="str">
            <v>TEMP</v>
          </cell>
          <cell r="AN728" t="str">
            <v>3P Onsite Worker</v>
          </cell>
          <cell r="AO728" t="str">
            <v>A</v>
          </cell>
          <cell r="AP728">
            <v>9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</row>
        <row r="729">
          <cell r="D729" t="str">
            <v>muramuny</v>
          </cell>
          <cell r="E729">
            <v>204094492</v>
          </cell>
          <cell r="F729" t="str">
            <v>A</v>
          </cell>
          <cell r="G729" t="str">
            <v>GREEN</v>
          </cell>
          <cell r="H729" t="str">
            <v>FULL_TIME</v>
          </cell>
          <cell r="I729">
            <v>900234</v>
          </cell>
          <cell r="J729" t="str">
            <v>Quesscorp</v>
          </cell>
          <cell r="K729" t="str">
            <v>Munyaradzi Muranga</v>
          </cell>
          <cell r="L729" t="str">
            <v>Warehouse Associate (TEMP)</v>
          </cell>
          <cell r="M729" t="str">
            <v>Warehouse Associate 24M</v>
          </cell>
          <cell r="N729" t="str">
            <v>ansammar</v>
          </cell>
          <cell r="O729">
            <v>1299</v>
          </cell>
          <cell r="P729" t="str">
            <v>AUH1</v>
          </cell>
          <cell r="Q729" t="str">
            <v>ARE</v>
          </cell>
          <cell r="R729" t="str">
            <v>LK011</v>
          </cell>
          <cell r="S729" t="str">
            <v>Night Shift</v>
          </cell>
          <cell r="T729">
            <v>99</v>
          </cell>
          <cell r="U729" t="str">
            <v>MENA_UAE_FC</v>
          </cell>
          <cell r="V729">
            <v>46257.756944444445</v>
          </cell>
          <cell r="X729">
            <v>46257.756944444445</v>
          </cell>
          <cell r="Y729">
            <v>46258.173611111109</v>
          </cell>
          <cell r="AA729" t="str">
            <v>Scheduled</v>
          </cell>
          <cell r="AB729" t="str">
            <v>Present</v>
          </cell>
          <cell r="AC729" t="str">
            <v>Outbound</v>
          </cell>
          <cell r="AD729" t="str">
            <v>Picking</v>
          </cell>
          <cell r="AE729" t="str">
            <v>Pick</v>
          </cell>
          <cell r="AF729" t="str">
            <v>Friday</v>
          </cell>
          <cell r="AG729" t="str">
            <v>Saturday</v>
          </cell>
          <cell r="AH729">
            <v>13</v>
          </cell>
          <cell r="AJ729">
            <v>45560</v>
          </cell>
          <cell r="AM729" t="str">
            <v>TEMP</v>
          </cell>
          <cell r="AN729" t="str">
            <v>3P Onsite Worker</v>
          </cell>
          <cell r="AO729" t="str">
            <v>A</v>
          </cell>
          <cell r="AP729">
            <v>9</v>
          </cell>
          <cell r="AQ729">
            <v>0</v>
          </cell>
          <cell r="AR729">
            <v>1</v>
          </cell>
          <cell r="AS729">
            <v>1</v>
          </cell>
          <cell r="AT729">
            <v>0</v>
          </cell>
          <cell r="AU729">
            <v>0</v>
          </cell>
        </row>
        <row r="730">
          <cell r="D730" t="str">
            <v>murdnase</v>
          </cell>
          <cell r="E730">
            <v>205647581</v>
          </cell>
          <cell r="F730" t="str">
            <v>A</v>
          </cell>
          <cell r="G730" t="str">
            <v>GREEN</v>
          </cell>
          <cell r="H730" t="str">
            <v>FULL_TIME</v>
          </cell>
          <cell r="I730">
            <v>900234</v>
          </cell>
          <cell r="J730" t="str">
            <v>EFS Facilities Services</v>
          </cell>
          <cell r="K730" t="str">
            <v>Naserian Naiponi Murdaa</v>
          </cell>
          <cell r="L730" t="str">
            <v>Warehouse Associate (TEMP)</v>
          </cell>
          <cell r="M730" t="str">
            <v>Warehouse Associate 8W</v>
          </cell>
          <cell r="N730" t="str">
            <v>bavameer</v>
          </cell>
          <cell r="O730">
            <v>1299</v>
          </cell>
          <cell r="P730" t="str">
            <v>AUH1</v>
          </cell>
          <cell r="Q730" t="str">
            <v>ARE</v>
          </cell>
          <cell r="R730" t="str">
            <v>LK011</v>
          </cell>
          <cell r="S730" t="str">
            <v>Night Shift</v>
          </cell>
          <cell r="T730">
            <v>99</v>
          </cell>
          <cell r="U730" t="str">
            <v>MENA_UAE_FC</v>
          </cell>
          <cell r="V730">
            <v>46257.754166666666</v>
          </cell>
          <cell r="X730">
            <v>46257.756944444445</v>
          </cell>
          <cell r="Y730">
            <v>46258.173611111109</v>
          </cell>
          <cell r="AA730" t="str">
            <v>Scheduled</v>
          </cell>
          <cell r="AB730" t="str">
            <v>Present</v>
          </cell>
          <cell r="AC730" t="str">
            <v>Customer returns</v>
          </cell>
          <cell r="AD730" t="str">
            <v>Customer Returns</v>
          </cell>
          <cell r="AE730" t="str">
            <v>Customer returns</v>
          </cell>
          <cell r="AF730" t="str">
            <v>Friday</v>
          </cell>
          <cell r="AG730" t="str">
            <v>Saturday</v>
          </cell>
          <cell r="AH730">
            <v>22</v>
          </cell>
          <cell r="AJ730">
            <v>45851</v>
          </cell>
          <cell r="AM730" t="str">
            <v>TEMP</v>
          </cell>
          <cell r="AN730" t="str">
            <v>3P Onsite Worker</v>
          </cell>
          <cell r="AO730" t="str">
            <v>A</v>
          </cell>
          <cell r="AP730">
            <v>9</v>
          </cell>
          <cell r="AQ730">
            <v>0</v>
          </cell>
          <cell r="AR730">
            <v>1</v>
          </cell>
          <cell r="AS730">
            <v>1</v>
          </cell>
          <cell r="AT730">
            <v>0</v>
          </cell>
          <cell r="AU730">
            <v>0</v>
          </cell>
        </row>
        <row r="731">
          <cell r="D731" t="str">
            <v>mureiche</v>
          </cell>
          <cell r="E731">
            <v>205848048</v>
          </cell>
          <cell r="F731" t="str">
            <v>A</v>
          </cell>
          <cell r="G731" t="str">
            <v>GREEN</v>
          </cell>
          <cell r="H731" t="str">
            <v>FULL_TIME</v>
          </cell>
          <cell r="I731">
            <v>900234</v>
          </cell>
          <cell r="J731" t="str">
            <v>EFS Facilities Services</v>
          </cell>
          <cell r="K731" t="str">
            <v>CHEPTOO ORBA MUREI</v>
          </cell>
          <cell r="L731" t="str">
            <v>Warehouse Associate (TEMP)</v>
          </cell>
          <cell r="M731" t="str">
            <v>Warehouse Associate 8W</v>
          </cell>
          <cell r="N731" t="str">
            <v>mnarshad</v>
          </cell>
          <cell r="O731">
            <v>1299</v>
          </cell>
          <cell r="P731" t="str">
            <v>AUH1</v>
          </cell>
          <cell r="Q731" t="str">
            <v>ARE</v>
          </cell>
          <cell r="R731" t="str">
            <v>FC109</v>
          </cell>
          <cell r="S731" t="str">
            <v>Day Shift</v>
          </cell>
          <cell r="T731">
            <v>99</v>
          </cell>
          <cell r="U731" t="str">
            <v>MENA_UAE_FC</v>
          </cell>
          <cell r="V731">
            <v>46257.331250000003</v>
          </cell>
          <cell r="W731">
            <v>46257.746527777781</v>
          </cell>
          <cell r="X731">
            <v>46257.333333333336</v>
          </cell>
          <cell r="Y731">
            <v>46257.75</v>
          </cell>
          <cell r="AA731" t="str">
            <v>Scheduled</v>
          </cell>
          <cell r="AB731" t="str">
            <v>Present</v>
          </cell>
          <cell r="AC731" t="str">
            <v>Outbound</v>
          </cell>
          <cell r="AD731" t="str">
            <v>Picking</v>
          </cell>
          <cell r="AE731" t="str">
            <v>Pick</v>
          </cell>
          <cell r="AF731" t="str">
            <v>Tuesday</v>
          </cell>
          <cell r="AG731" t="str">
            <v>Wednesday</v>
          </cell>
          <cell r="AH731">
            <v>13</v>
          </cell>
          <cell r="AJ731">
            <v>45893</v>
          </cell>
          <cell r="AM731" t="str">
            <v>TEMP</v>
          </cell>
          <cell r="AN731" t="str">
            <v>3P Onsite Worker</v>
          </cell>
          <cell r="AO731" t="str">
            <v>A</v>
          </cell>
          <cell r="AP731">
            <v>9</v>
          </cell>
          <cell r="AQ731">
            <v>0</v>
          </cell>
          <cell r="AR731">
            <v>1</v>
          </cell>
          <cell r="AS731">
            <v>1</v>
          </cell>
          <cell r="AT731">
            <v>0</v>
          </cell>
          <cell r="AU731">
            <v>0</v>
          </cell>
        </row>
        <row r="732">
          <cell r="D732" t="str">
            <v>muriipau</v>
          </cell>
          <cell r="E732">
            <v>205495599</v>
          </cell>
          <cell r="F732" t="str">
            <v>A</v>
          </cell>
          <cell r="G732" t="str">
            <v>GREEN</v>
          </cell>
          <cell r="H732" t="str">
            <v>FULL_TIME</v>
          </cell>
          <cell r="I732">
            <v>900234</v>
          </cell>
          <cell r="J732" t="str">
            <v>EFS Facilities Services</v>
          </cell>
          <cell r="K732" t="str">
            <v>PAULINE SAWERIA WANGU MURIITHI</v>
          </cell>
          <cell r="L732" t="str">
            <v>Warehouse Associate (TEMP)</v>
          </cell>
          <cell r="M732" t="str">
            <v>Warehouse Associate 8W</v>
          </cell>
          <cell r="N732" t="str">
            <v>nnahla</v>
          </cell>
          <cell r="O732">
            <v>1299</v>
          </cell>
          <cell r="P732" t="str">
            <v>AUH1</v>
          </cell>
          <cell r="Q732" t="str">
            <v>ARE</v>
          </cell>
          <cell r="R732" t="str">
            <v>FC059</v>
          </cell>
          <cell r="S732" t="str">
            <v>Day Shift</v>
          </cell>
          <cell r="T732">
            <v>99</v>
          </cell>
          <cell r="U732" t="str">
            <v>MENA_UAE_FC</v>
          </cell>
          <cell r="X732">
            <v>46257.333333333336</v>
          </cell>
          <cell r="Y732">
            <v>46257.75</v>
          </cell>
          <cell r="Z732" t="str">
            <v>Rest Day</v>
          </cell>
          <cell r="AA732" t="str">
            <v>Not Scheduled</v>
          </cell>
          <cell r="AB732" t="str">
            <v>Not Present</v>
          </cell>
          <cell r="AC732" t="str">
            <v>Inbound</v>
          </cell>
          <cell r="AD732" t="str">
            <v>Inbound Stow</v>
          </cell>
          <cell r="AE732" t="str">
            <v>Stow</v>
          </cell>
          <cell r="AF732" t="str">
            <v>Sunday</v>
          </cell>
          <cell r="AG732" t="str">
            <v>Monday</v>
          </cell>
          <cell r="AH732">
            <v>3</v>
          </cell>
          <cell r="AJ732">
            <v>45830</v>
          </cell>
          <cell r="AM732" t="str">
            <v>TEMP</v>
          </cell>
          <cell r="AN732" t="str">
            <v>3P Onsite Worker</v>
          </cell>
          <cell r="AO732" t="str">
            <v>A</v>
          </cell>
          <cell r="AP732">
            <v>9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</row>
        <row r="733">
          <cell r="D733" t="str">
            <v>murssesa</v>
          </cell>
          <cell r="E733">
            <v>203737250</v>
          </cell>
          <cell r="F733" t="str">
            <v>A</v>
          </cell>
          <cell r="G733" t="str">
            <v>GREEN</v>
          </cell>
          <cell r="H733" t="str">
            <v>FULL_TIME</v>
          </cell>
          <cell r="I733">
            <v>900234</v>
          </cell>
          <cell r="J733" t="str">
            <v>Dulsco L.L.C.</v>
          </cell>
          <cell r="K733" t="str">
            <v>MURSHID SSESANGA</v>
          </cell>
          <cell r="L733" t="str">
            <v>Warehouse Associate (TEMP)</v>
          </cell>
          <cell r="M733" t="str">
            <v>Warehouse Associate 24M</v>
          </cell>
          <cell r="N733" t="str">
            <v>vkkatyal</v>
          </cell>
          <cell r="O733">
            <v>1299</v>
          </cell>
          <cell r="P733" t="str">
            <v>AUH1</v>
          </cell>
          <cell r="Q733" t="str">
            <v>ARE</v>
          </cell>
          <cell r="R733" t="str">
            <v>FC109</v>
          </cell>
          <cell r="S733" t="str">
            <v>Day Shift</v>
          </cell>
          <cell r="T733">
            <v>99</v>
          </cell>
          <cell r="U733" t="str">
            <v>MENA_UAE_FC</v>
          </cell>
          <cell r="V733">
            <v>46257.333333333336</v>
          </cell>
          <cell r="W733">
            <v>46257.756249999999</v>
          </cell>
          <cell r="X733">
            <v>46257.333333333336</v>
          </cell>
          <cell r="Y733">
            <v>46257.75</v>
          </cell>
          <cell r="AA733" t="str">
            <v>Scheduled</v>
          </cell>
          <cell r="AB733" t="str">
            <v>Present</v>
          </cell>
          <cell r="AC733" t="str">
            <v>Inbound</v>
          </cell>
          <cell r="AD733" t="str">
            <v>Inbound Stow</v>
          </cell>
          <cell r="AE733" t="str">
            <v>Stow</v>
          </cell>
          <cell r="AF733" t="str">
            <v>Tuesday</v>
          </cell>
          <cell r="AG733" t="str">
            <v>Wednesday</v>
          </cell>
          <cell r="AH733">
            <v>3</v>
          </cell>
          <cell r="AJ733">
            <v>45501</v>
          </cell>
          <cell r="AM733" t="str">
            <v>TEMP</v>
          </cell>
          <cell r="AN733" t="str">
            <v>3P Onsite Worker</v>
          </cell>
          <cell r="AO733" t="str">
            <v>A</v>
          </cell>
          <cell r="AP733">
            <v>9</v>
          </cell>
          <cell r="AQ733">
            <v>0</v>
          </cell>
          <cell r="AR733">
            <v>1</v>
          </cell>
          <cell r="AS733">
            <v>1</v>
          </cell>
          <cell r="AT733">
            <v>0</v>
          </cell>
          <cell r="AU733">
            <v>0</v>
          </cell>
        </row>
        <row r="734">
          <cell r="D734" t="str">
            <v>musahrap</v>
          </cell>
          <cell r="E734">
            <v>206136724</v>
          </cell>
          <cell r="F734" t="str">
            <v>A</v>
          </cell>
          <cell r="G734" t="str">
            <v>GREEN</v>
          </cell>
          <cell r="H734" t="str">
            <v>FULL_TIME</v>
          </cell>
          <cell r="I734">
            <v>900234</v>
          </cell>
          <cell r="J734" t="str">
            <v>Fastlink Outsourcing</v>
          </cell>
          <cell r="K734" t="str">
            <v>Raphael Musah</v>
          </cell>
          <cell r="L734" t="str">
            <v>Warehouse Associate (TEMP)</v>
          </cell>
          <cell r="M734" t="str">
            <v>Warehouse Associate 8W</v>
          </cell>
          <cell r="N734" t="str">
            <v>bavameer</v>
          </cell>
          <cell r="O734">
            <v>1299</v>
          </cell>
          <cell r="P734" t="str">
            <v>AUH1</v>
          </cell>
          <cell r="Q734" t="str">
            <v>ARE</v>
          </cell>
          <cell r="R734" t="str">
            <v>FC084</v>
          </cell>
          <cell r="S734" t="str">
            <v>Day Shift</v>
          </cell>
          <cell r="T734">
            <v>99</v>
          </cell>
          <cell r="U734" t="str">
            <v>MENA_UAE_FC</v>
          </cell>
          <cell r="V734">
            <v>46257.331944444442</v>
          </cell>
          <cell r="W734">
            <v>46257.749305555553</v>
          </cell>
          <cell r="X734">
            <v>46257.333333333336</v>
          </cell>
          <cell r="Y734">
            <v>46257.75</v>
          </cell>
          <cell r="AA734" t="str">
            <v>Scheduled</v>
          </cell>
          <cell r="AB734" t="str">
            <v>Present</v>
          </cell>
          <cell r="AC734" t="str">
            <v>Customer returns</v>
          </cell>
          <cell r="AD734" t="str">
            <v>Customer Returns</v>
          </cell>
          <cell r="AE734" t="str">
            <v>Customer returns</v>
          </cell>
          <cell r="AF734" t="str">
            <v>Monday</v>
          </cell>
          <cell r="AG734" t="str">
            <v>Tuesday</v>
          </cell>
          <cell r="AH734">
            <v>22</v>
          </cell>
          <cell r="AJ734">
            <v>45931</v>
          </cell>
          <cell r="AM734" t="str">
            <v>TEMP</v>
          </cell>
          <cell r="AN734" t="str">
            <v>3P Onsite Worker</v>
          </cell>
          <cell r="AO734" t="str">
            <v>A</v>
          </cell>
          <cell r="AP734">
            <v>9</v>
          </cell>
          <cell r="AQ734">
            <v>0</v>
          </cell>
          <cell r="AR734">
            <v>1</v>
          </cell>
          <cell r="AS734">
            <v>1</v>
          </cell>
          <cell r="AT734">
            <v>0</v>
          </cell>
          <cell r="AU734">
            <v>0</v>
          </cell>
        </row>
        <row r="735">
          <cell r="D735" t="str">
            <v>musakmwe</v>
          </cell>
          <cell r="E735">
            <v>203469404</v>
          </cell>
          <cell r="F735" t="str">
            <v>A</v>
          </cell>
          <cell r="G735" t="str">
            <v>GREEN</v>
          </cell>
          <cell r="H735" t="str">
            <v>FULL_TIME</v>
          </cell>
          <cell r="I735">
            <v>900234</v>
          </cell>
          <cell r="J735" t="str">
            <v>Adecco</v>
          </cell>
          <cell r="K735" t="str">
            <v>Musa Mwebe</v>
          </cell>
          <cell r="L735" t="str">
            <v>Warehouse Associate (TEMP)</v>
          </cell>
          <cell r="M735" t="str">
            <v>Warehouse Associate 24M</v>
          </cell>
          <cell r="N735" t="str">
            <v>bavameer</v>
          </cell>
          <cell r="O735">
            <v>1299</v>
          </cell>
          <cell r="P735" t="str">
            <v>AUH1</v>
          </cell>
          <cell r="Q735" t="str">
            <v>ARE</v>
          </cell>
          <cell r="R735" t="str">
            <v>FC034</v>
          </cell>
          <cell r="S735" t="str">
            <v>Day Shift</v>
          </cell>
          <cell r="T735">
            <v>99</v>
          </cell>
          <cell r="U735" t="str">
            <v>MENA_UAE_FC</v>
          </cell>
          <cell r="X735">
            <v>46257.333333333336</v>
          </cell>
          <cell r="Y735">
            <v>46257.75</v>
          </cell>
          <cell r="Z735" t="str">
            <v>Rest Day</v>
          </cell>
          <cell r="AA735" t="str">
            <v>Not Scheduled</v>
          </cell>
          <cell r="AB735" t="str">
            <v>Not Present</v>
          </cell>
          <cell r="AC735" t="str">
            <v>Customer returns</v>
          </cell>
          <cell r="AD735" t="str">
            <v>Customer Returns</v>
          </cell>
          <cell r="AE735" t="str">
            <v>Customer returns</v>
          </cell>
          <cell r="AF735" t="str">
            <v>Saturday</v>
          </cell>
          <cell r="AG735" t="str">
            <v>Sunday</v>
          </cell>
          <cell r="AH735">
            <v>22</v>
          </cell>
          <cell r="AJ735">
            <v>45455</v>
          </cell>
          <cell r="AM735" t="str">
            <v>TEMP</v>
          </cell>
          <cell r="AN735" t="str">
            <v>3P Onsite Worker</v>
          </cell>
          <cell r="AO735" t="str">
            <v>A</v>
          </cell>
          <cell r="AP735">
            <v>9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</row>
        <row r="736">
          <cell r="D736" t="str">
            <v>museriya</v>
          </cell>
          <cell r="E736">
            <v>203850771</v>
          </cell>
          <cell r="F736" t="str">
            <v>A</v>
          </cell>
          <cell r="G736" t="str">
            <v>GREEN</v>
          </cell>
          <cell r="H736" t="str">
            <v>FULL_TIME</v>
          </cell>
          <cell r="I736">
            <v>900234</v>
          </cell>
          <cell r="J736" t="str">
            <v>Dulsco L.L.C.</v>
          </cell>
          <cell r="K736" t="str">
            <v>Eriya Musoke</v>
          </cell>
          <cell r="L736" t="str">
            <v>Warehouse Associate (TEMP)</v>
          </cell>
          <cell r="M736" t="str">
            <v>Warehouse Associate 24M</v>
          </cell>
          <cell r="N736" t="str">
            <v>lraghava</v>
          </cell>
          <cell r="O736">
            <v>1299</v>
          </cell>
          <cell r="P736" t="str">
            <v>AUH1</v>
          </cell>
          <cell r="Q736" t="str">
            <v>ARE</v>
          </cell>
          <cell r="R736" t="str">
            <v>LK015</v>
          </cell>
          <cell r="S736" t="str">
            <v>Night Shift</v>
          </cell>
          <cell r="T736">
            <v>99</v>
          </cell>
          <cell r="U736" t="str">
            <v>MENA_UAE_FC</v>
          </cell>
          <cell r="V736">
            <v>46257.756249999999</v>
          </cell>
          <cell r="X736">
            <v>46257.756944444445</v>
          </cell>
          <cell r="Y736">
            <v>46258.173611111109</v>
          </cell>
          <cell r="AA736" t="str">
            <v>Scheduled</v>
          </cell>
          <cell r="AB736" t="str">
            <v>Present</v>
          </cell>
          <cell r="AC736" t="str">
            <v>Outbound</v>
          </cell>
          <cell r="AD736" t="str">
            <v>Picking</v>
          </cell>
          <cell r="AE736" t="str">
            <v>Pick</v>
          </cell>
          <cell r="AF736" t="str">
            <v>Tuesday</v>
          </cell>
          <cell r="AG736" t="str">
            <v>Wednesday</v>
          </cell>
          <cell r="AH736">
            <v>13</v>
          </cell>
          <cell r="AJ736">
            <v>45523</v>
          </cell>
          <cell r="AM736" t="str">
            <v>TEMP</v>
          </cell>
          <cell r="AN736" t="str">
            <v>3P Onsite Worker</v>
          </cell>
          <cell r="AO736" t="str">
            <v>A</v>
          </cell>
          <cell r="AP736">
            <v>9</v>
          </cell>
          <cell r="AQ736">
            <v>0</v>
          </cell>
          <cell r="AR736">
            <v>1</v>
          </cell>
          <cell r="AS736">
            <v>1</v>
          </cell>
          <cell r="AT736">
            <v>0</v>
          </cell>
          <cell r="AU736">
            <v>0</v>
          </cell>
        </row>
        <row r="737">
          <cell r="D737" t="str">
            <v>musingge</v>
          </cell>
          <cell r="E737">
            <v>204072301</v>
          </cell>
          <cell r="F737" t="str">
            <v>A</v>
          </cell>
          <cell r="G737" t="str">
            <v>GREEN</v>
          </cell>
          <cell r="H737" t="str">
            <v>FULL_TIME</v>
          </cell>
          <cell r="I737">
            <v>900234</v>
          </cell>
          <cell r="J737" t="str">
            <v>Dulsco L.L.C.</v>
          </cell>
          <cell r="K737" t="str">
            <v>GERALD MUSINGUZI</v>
          </cell>
          <cell r="L737" t="str">
            <v>Warehouse Associate (TEMP)</v>
          </cell>
          <cell r="M737" t="str">
            <v>Warehouse Associate 24M</v>
          </cell>
          <cell r="N737" t="str">
            <v>ansammar</v>
          </cell>
          <cell r="O737">
            <v>1299</v>
          </cell>
          <cell r="P737" t="str">
            <v>AUH1</v>
          </cell>
          <cell r="Q737" t="str">
            <v>ARE</v>
          </cell>
          <cell r="R737" t="str">
            <v>FC134</v>
          </cell>
          <cell r="S737" t="str">
            <v>Day Shift</v>
          </cell>
          <cell r="T737">
            <v>99</v>
          </cell>
          <cell r="U737" t="str">
            <v>MENA_UAE_FC</v>
          </cell>
          <cell r="V737">
            <v>46257.330555555556</v>
          </cell>
          <cell r="W737">
            <v>46257.74722222222</v>
          </cell>
          <cell r="X737">
            <v>46257.333333333336</v>
          </cell>
          <cell r="Y737">
            <v>46257.75</v>
          </cell>
          <cell r="AA737" t="str">
            <v>Scheduled</v>
          </cell>
          <cell r="AB737" t="str">
            <v>Present</v>
          </cell>
          <cell r="AC737" t="str">
            <v>Outbound</v>
          </cell>
          <cell r="AD737" t="str">
            <v>Picking</v>
          </cell>
          <cell r="AE737" t="str">
            <v>Pick</v>
          </cell>
          <cell r="AF737" t="str">
            <v>Wednesday</v>
          </cell>
          <cell r="AG737" t="str">
            <v>Thursday</v>
          </cell>
          <cell r="AH737">
            <v>13</v>
          </cell>
          <cell r="AJ737">
            <v>45557</v>
          </cell>
          <cell r="AM737" t="str">
            <v>TEMP</v>
          </cell>
          <cell r="AN737" t="str">
            <v>3P Onsite Worker</v>
          </cell>
          <cell r="AO737" t="str">
            <v>A</v>
          </cell>
          <cell r="AP737">
            <v>9</v>
          </cell>
          <cell r="AQ737">
            <v>0</v>
          </cell>
          <cell r="AR737">
            <v>1</v>
          </cell>
          <cell r="AS737">
            <v>1</v>
          </cell>
          <cell r="AT737">
            <v>0</v>
          </cell>
          <cell r="AU737">
            <v>0</v>
          </cell>
        </row>
        <row r="738">
          <cell r="D738" t="str">
            <v>musisrop</v>
          </cell>
          <cell r="E738">
            <v>204172230</v>
          </cell>
          <cell r="F738" t="str">
            <v>A</v>
          </cell>
          <cell r="G738" t="str">
            <v>GREEN</v>
          </cell>
          <cell r="H738" t="str">
            <v>FULL_TIME</v>
          </cell>
          <cell r="I738">
            <v>900234</v>
          </cell>
          <cell r="J738" t="str">
            <v>Dulsco L.L.C.</v>
          </cell>
          <cell r="K738" t="str">
            <v>ROBERT MUSISI</v>
          </cell>
          <cell r="L738" t="str">
            <v>Warehouse Associate (TEMP)</v>
          </cell>
          <cell r="M738" t="str">
            <v>Warehouse Associate 8W</v>
          </cell>
          <cell r="N738" t="str">
            <v>mnarshad</v>
          </cell>
          <cell r="O738">
            <v>1299</v>
          </cell>
          <cell r="P738" t="str">
            <v>AUH1</v>
          </cell>
          <cell r="Q738" t="str">
            <v>ARE</v>
          </cell>
          <cell r="R738" t="str">
            <v>FC059</v>
          </cell>
          <cell r="S738" t="str">
            <v>Day Shift</v>
          </cell>
          <cell r="T738">
            <v>99</v>
          </cell>
          <cell r="U738" t="str">
            <v>MENA_UAE_FC</v>
          </cell>
          <cell r="X738">
            <v>46257.333333333336</v>
          </cell>
          <cell r="Y738">
            <v>46257.75</v>
          </cell>
          <cell r="Z738" t="str">
            <v>Rest Day</v>
          </cell>
          <cell r="AA738" t="str">
            <v>Not Scheduled</v>
          </cell>
          <cell r="AB738" t="str">
            <v>Not Present</v>
          </cell>
          <cell r="AC738" t="str">
            <v>Outbound</v>
          </cell>
          <cell r="AD738" t="str">
            <v>Sort - Batch</v>
          </cell>
          <cell r="AE738" t="str">
            <v>Sort</v>
          </cell>
          <cell r="AF738" t="str">
            <v>Sunday</v>
          </cell>
          <cell r="AG738" t="str">
            <v>Monday</v>
          </cell>
          <cell r="AH738">
            <v>15</v>
          </cell>
          <cell r="AJ738">
            <v>45567</v>
          </cell>
          <cell r="AM738" t="str">
            <v>TEMP</v>
          </cell>
          <cell r="AN738" t="str">
            <v>3P Onsite Worker</v>
          </cell>
          <cell r="AO738" t="str">
            <v>A</v>
          </cell>
          <cell r="AP738">
            <v>9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</row>
        <row r="739">
          <cell r="D739" t="str">
            <v>musittez</v>
          </cell>
          <cell r="E739">
            <v>206926476</v>
          </cell>
          <cell r="F739" t="str">
            <v>A</v>
          </cell>
          <cell r="G739" t="str">
            <v>GREEN</v>
          </cell>
          <cell r="H739" t="str">
            <v>FULL_TIME</v>
          </cell>
          <cell r="I739">
            <v>900234</v>
          </cell>
          <cell r="J739" t="str">
            <v>Dulsco L.L.C.</v>
          </cell>
          <cell r="K739" t="str">
            <v>MUSITAFA TEZIKUBA</v>
          </cell>
          <cell r="L739" t="str">
            <v>Warehouse Associate (TEMP)</v>
          </cell>
          <cell r="M739" t="str">
            <v>Warehouse Associate 8W</v>
          </cell>
          <cell r="N739" t="str">
            <v>helrashd</v>
          </cell>
          <cell r="O739">
            <v>1299</v>
          </cell>
          <cell r="P739" t="str">
            <v>AUH1</v>
          </cell>
          <cell r="Q739" t="str">
            <v>ARE</v>
          </cell>
          <cell r="R739" t="str">
            <v>FC159</v>
          </cell>
          <cell r="S739" t="str">
            <v>Day Shift</v>
          </cell>
          <cell r="T739">
            <v>99</v>
          </cell>
          <cell r="U739" t="str">
            <v>MENA_UAE_FC</v>
          </cell>
          <cell r="V739">
            <v>46257.330555555556</v>
          </cell>
          <cell r="W739">
            <v>46257.747916666667</v>
          </cell>
          <cell r="X739">
            <v>46257.333333333336</v>
          </cell>
          <cell r="Y739">
            <v>46257.75</v>
          </cell>
          <cell r="AA739" t="str">
            <v>Scheduled</v>
          </cell>
          <cell r="AB739" t="str">
            <v>Present</v>
          </cell>
          <cell r="AC739" t="str">
            <v>Outbound</v>
          </cell>
          <cell r="AD739" t="str">
            <v>Picking</v>
          </cell>
          <cell r="AE739" t="str">
            <v>Pick</v>
          </cell>
          <cell r="AF739" t="str">
            <v>Thursday</v>
          </cell>
          <cell r="AG739" t="str">
            <v>Friday</v>
          </cell>
          <cell r="AH739">
            <v>13</v>
          </cell>
          <cell r="AJ739">
            <v>46036</v>
          </cell>
          <cell r="AM739" t="str">
            <v>TEMP</v>
          </cell>
          <cell r="AN739" t="str">
            <v>3P Onsite Worker</v>
          </cell>
          <cell r="AO739" t="str">
            <v>A</v>
          </cell>
          <cell r="AP739">
            <v>9</v>
          </cell>
          <cell r="AQ739">
            <v>0</v>
          </cell>
          <cell r="AR739">
            <v>1</v>
          </cell>
          <cell r="AS739">
            <v>1</v>
          </cell>
          <cell r="AT739">
            <v>0</v>
          </cell>
          <cell r="AU739">
            <v>0</v>
          </cell>
        </row>
        <row r="740">
          <cell r="D740" t="str">
            <v>musmmuha</v>
          </cell>
          <cell r="E740">
            <v>106301312</v>
          </cell>
          <cell r="F740" t="str">
            <v>A</v>
          </cell>
          <cell r="G740" t="str">
            <v>BLUE</v>
          </cell>
          <cell r="H740" t="str">
            <v>FULL_TIME</v>
          </cell>
          <cell r="I740" t="str">
            <v>P03251</v>
          </cell>
          <cell r="K740" t="str">
            <v>Usman Ghani</v>
          </cell>
          <cell r="L740" t="str">
            <v>FC Associate I</v>
          </cell>
          <cell r="M740" t="str">
            <v>FC Associate I</v>
          </cell>
          <cell r="N740" t="str">
            <v>bizthoma</v>
          </cell>
          <cell r="O740">
            <v>1299</v>
          </cell>
          <cell r="P740" t="str">
            <v>AUH1</v>
          </cell>
          <cell r="Q740" t="str">
            <v>ARE</v>
          </cell>
          <cell r="R740" t="str">
            <v>LK011</v>
          </cell>
          <cell r="S740" t="str">
            <v>Night Shift</v>
          </cell>
          <cell r="T740">
            <v>1</v>
          </cell>
          <cell r="U740" t="str">
            <v>MENA_UAE_FC</v>
          </cell>
          <cell r="V740">
            <v>46257.744444444441</v>
          </cell>
          <cell r="X740">
            <v>46257.756944444445</v>
          </cell>
          <cell r="Y740">
            <v>46258.173611111109</v>
          </cell>
          <cell r="AA740" t="str">
            <v>Scheduled</v>
          </cell>
          <cell r="AB740" t="str">
            <v>Present</v>
          </cell>
          <cell r="AC740" t="str">
            <v>Outbound</v>
          </cell>
          <cell r="AD740" t="str">
            <v>Picking</v>
          </cell>
          <cell r="AE740" t="str">
            <v>Pick</v>
          </cell>
          <cell r="AF740" t="str">
            <v>Friday</v>
          </cell>
          <cell r="AG740" t="str">
            <v>Saturday</v>
          </cell>
          <cell r="AH740">
            <v>13</v>
          </cell>
          <cell r="AJ740">
            <v>44756</v>
          </cell>
          <cell r="AM740" t="str">
            <v>FC</v>
          </cell>
          <cell r="AN740" t="str">
            <v>Regular Full Time</v>
          </cell>
          <cell r="AO740" t="str">
            <v>A</v>
          </cell>
          <cell r="AP740">
            <v>9</v>
          </cell>
          <cell r="AQ740">
            <v>0</v>
          </cell>
          <cell r="AR740">
            <v>1</v>
          </cell>
          <cell r="AS740">
            <v>1</v>
          </cell>
          <cell r="AT740">
            <v>0</v>
          </cell>
          <cell r="AU740">
            <v>0</v>
          </cell>
        </row>
        <row r="741">
          <cell r="D741" t="str">
            <v>musthais</v>
          </cell>
          <cell r="E741">
            <v>203736752</v>
          </cell>
          <cell r="F741" t="str">
            <v>A</v>
          </cell>
          <cell r="G741" t="str">
            <v>GREEN</v>
          </cell>
          <cell r="H741" t="str">
            <v>FULL_TIME</v>
          </cell>
          <cell r="I741">
            <v>900234</v>
          </cell>
          <cell r="J741" t="str">
            <v>Adecco</v>
          </cell>
          <cell r="K741" t="str">
            <v>ISMAIL THEKKE MUSTHAFA</v>
          </cell>
          <cell r="L741" t="str">
            <v>Warehouse Associate (TEMP)</v>
          </cell>
          <cell r="M741" t="str">
            <v>Warehouse Associate 24M</v>
          </cell>
          <cell r="N741" t="str">
            <v>ansammar</v>
          </cell>
          <cell r="O741">
            <v>1299</v>
          </cell>
          <cell r="P741" t="str">
            <v>AUH1</v>
          </cell>
          <cell r="Q741" t="str">
            <v>ARE</v>
          </cell>
          <cell r="R741" t="str">
            <v>FC009</v>
          </cell>
          <cell r="S741" t="str">
            <v>Day Shift</v>
          </cell>
          <cell r="T741">
            <v>99</v>
          </cell>
          <cell r="U741" t="str">
            <v>MENA_UAE_FC</v>
          </cell>
          <cell r="V741">
            <v>46257.32916666667</v>
          </cell>
          <cell r="W741">
            <v>46257.745138888888</v>
          </cell>
          <cell r="X741">
            <v>46257.333333333336</v>
          </cell>
          <cell r="Y741">
            <v>46257.75</v>
          </cell>
          <cell r="AA741" t="str">
            <v>Scheduled</v>
          </cell>
          <cell r="AB741" t="str">
            <v>Present</v>
          </cell>
          <cell r="AC741" t="str">
            <v>Outbound</v>
          </cell>
          <cell r="AD741" t="str">
            <v>Picking</v>
          </cell>
          <cell r="AE741" t="str">
            <v>Pick</v>
          </cell>
          <cell r="AF741" t="str">
            <v>Friday</v>
          </cell>
          <cell r="AG741" t="str">
            <v>Saturday</v>
          </cell>
          <cell r="AH741">
            <v>13</v>
          </cell>
          <cell r="AJ741">
            <v>45501</v>
          </cell>
          <cell r="AM741" t="str">
            <v>TEMP</v>
          </cell>
          <cell r="AN741" t="str">
            <v>3P Onsite Worker</v>
          </cell>
          <cell r="AO741" t="str">
            <v>A</v>
          </cell>
          <cell r="AP741">
            <v>9</v>
          </cell>
          <cell r="AQ741">
            <v>0</v>
          </cell>
          <cell r="AR741">
            <v>1</v>
          </cell>
          <cell r="AS741">
            <v>1</v>
          </cell>
          <cell r="AT741">
            <v>0</v>
          </cell>
          <cell r="AU741">
            <v>0</v>
          </cell>
        </row>
        <row r="742">
          <cell r="D742" t="str">
            <v>mustissi</v>
          </cell>
          <cell r="E742">
            <v>204886570</v>
          </cell>
          <cell r="F742" t="str">
            <v>A</v>
          </cell>
          <cell r="G742" t="str">
            <v>GREEN</v>
          </cell>
          <cell r="H742" t="str">
            <v>FULL_TIME</v>
          </cell>
          <cell r="I742">
            <v>900234</v>
          </cell>
          <cell r="J742" t="str">
            <v>Dulsco L.L.C.</v>
          </cell>
          <cell r="K742" t="str">
            <v>ISSIFU MUSTAPHA</v>
          </cell>
          <cell r="L742" t="str">
            <v>Warehouse Associate (TEMP)</v>
          </cell>
          <cell r="M742" t="str">
            <v>Warehouse Associate 24M</v>
          </cell>
          <cell r="N742" t="str">
            <v>lraghava</v>
          </cell>
          <cell r="O742">
            <v>1299</v>
          </cell>
          <cell r="P742" t="str">
            <v>AUH1</v>
          </cell>
          <cell r="Q742" t="str">
            <v>ARE</v>
          </cell>
          <cell r="R742" t="str">
            <v>LK016</v>
          </cell>
          <cell r="S742" t="str">
            <v>Night Shift</v>
          </cell>
          <cell r="T742">
            <v>99</v>
          </cell>
          <cell r="U742" t="str">
            <v>MENA_UAE_FC</v>
          </cell>
          <cell r="V742">
            <v>46257.756249999999</v>
          </cell>
          <cell r="X742">
            <v>46257.756944444445</v>
          </cell>
          <cell r="Y742">
            <v>46258.173611111109</v>
          </cell>
          <cell r="AA742" t="str">
            <v>Scheduled</v>
          </cell>
          <cell r="AB742" t="str">
            <v>Present</v>
          </cell>
          <cell r="AC742" t="str">
            <v>Outbound</v>
          </cell>
          <cell r="AD742" t="str">
            <v>Picking</v>
          </cell>
          <cell r="AE742" t="str">
            <v>Pick</v>
          </cell>
          <cell r="AF742" t="str">
            <v>Wednesday</v>
          </cell>
          <cell r="AG742" t="str">
            <v>Thursday</v>
          </cell>
          <cell r="AH742">
            <v>13</v>
          </cell>
          <cell r="AJ742">
            <v>45718</v>
          </cell>
          <cell r="AM742" t="str">
            <v>TEMP</v>
          </cell>
          <cell r="AN742" t="str">
            <v>3P Onsite Worker</v>
          </cell>
          <cell r="AO742" t="str">
            <v>A</v>
          </cell>
          <cell r="AP742">
            <v>9</v>
          </cell>
          <cell r="AQ742">
            <v>0</v>
          </cell>
          <cell r="AR742">
            <v>1</v>
          </cell>
          <cell r="AS742">
            <v>1</v>
          </cell>
          <cell r="AT742">
            <v>0</v>
          </cell>
          <cell r="AU742">
            <v>0</v>
          </cell>
        </row>
        <row r="743">
          <cell r="D743" t="str">
            <v>muwofaha</v>
          </cell>
          <cell r="E743">
            <v>206791444</v>
          </cell>
          <cell r="F743" t="str">
            <v>A</v>
          </cell>
          <cell r="G743" t="str">
            <v>GREEN</v>
          </cell>
          <cell r="H743" t="str">
            <v>FULL_TIME</v>
          </cell>
          <cell r="I743">
            <v>900234</v>
          </cell>
          <cell r="J743" t="str">
            <v>Dulsco L.L.C.</v>
          </cell>
          <cell r="K743" t="str">
            <v>FAHAD MUWONGE</v>
          </cell>
          <cell r="L743" t="str">
            <v>Warehouse Associate (TEMP)</v>
          </cell>
          <cell r="M743" t="str">
            <v>Warehouse Associate 8W</v>
          </cell>
          <cell r="N743" t="str">
            <v>pparsin</v>
          </cell>
          <cell r="O743">
            <v>1299</v>
          </cell>
          <cell r="P743" t="str">
            <v>AUH1</v>
          </cell>
          <cell r="Q743" t="str">
            <v>ARE</v>
          </cell>
          <cell r="R743" t="str">
            <v>FC059</v>
          </cell>
          <cell r="S743" t="str">
            <v>Day Shift</v>
          </cell>
          <cell r="T743">
            <v>99</v>
          </cell>
          <cell r="U743" t="str">
            <v>MENA_UAE_FC</v>
          </cell>
          <cell r="X743">
            <v>46257.333333333336</v>
          </cell>
          <cell r="Y743">
            <v>46257.75</v>
          </cell>
          <cell r="Z743" t="str">
            <v>Rest Day</v>
          </cell>
          <cell r="AA743" t="str">
            <v>Not Scheduled</v>
          </cell>
          <cell r="AB743" t="str">
            <v>Not Present</v>
          </cell>
          <cell r="AC743" t="str">
            <v>Inbound</v>
          </cell>
          <cell r="AD743" t="str">
            <v>Inbound Stow</v>
          </cell>
          <cell r="AE743" t="str">
            <v>Stow</v>
          </cell>
          <cell r="AF743" t="str">
            <v>Sunday</v>
          </cell>
          <cell r="AG743" t="str">
            <v>Monday</v>
          </cell>
          <cell r="AH743">
            <v>3</v>
          </cell>
          <cell r="AJ743">
            <v>45998</v>
          </cell>
          <cell r="AM743" t="str">
            <v>TEMP</v>
          </cell>
          <cell r="AN743" t="str">
            <v>3P Onsite Worker</v>
          </cell>
          <cell r="AO743" t="str">
            <v>A</v>
          </cell>
          <cell r="AP743">
            <v>9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</row>
        <row r="744">
          <cell r="D744" t="str">
            <v>muwvicen</v>
          </cell>
          <cell r="E744">
            <v>205845557</v>
          </cell>
          <cell r="F744" t="str">
            <v>A</v>
          </cell>
          <cell r="G744" t="str">
            <v>GREEN</v>
          </cell>
          <cell r="H744" t="str">
            <v>FULL_TIME</v>
          </cell>
          <cell r="I744">
            <v>900234</v>
          </cell>
          <cell r="J744" t="str">
            <v>Dulsco L.L.C.</v>
          </cell>
          <cell r="K744" t="str">
            <v>VICENT MUWONGE</v>
          </cell>
          <cell r="L744" t="str">
            <v>Warehouse Associate (TEMP)</v>
          </cell>
          <cell r="M744" t="str">
            <v>Warehouse Associate 8W</v>
          </cell>
          <cell r="N744" t="str">
            <v>bizthoma</v>
          </cell>
          <cell r="O744">
            <v>1299</v>
          </cell>
          <cell r="P744" t="str">
            <v>AUH1</v>
          </cell>
          <cell r="Q744" t="str">
            <v>ARE</v>
          </cell>
          <cell r="R744" t="str">
            <v>LK012</v>
          </cell>
          <cell r="S744" t="str">
            <v>Night Shift</v>
          </cell>
          <cell r="T744">
            <v>99</v>
          </cell>
          <cell r="U744" t="str">
            <v>MENA_UAE_FC</v>
          </cell>
          <cell r="V744">
            <v>46257.332638888889</v>
          </cell>
          <cell r="W744">
            <v>46257.748611111114</v>
          </cell>
          <cell r="X744">
            <v>46257.333333333336</v>
          </cell>
          <cell r="Y744">
            <v>46257.75</v>
          </cell>
          <cell r="AA744" t="str">
            <v>Scheduled</v>
          </cell>
          <cell r="AB744" t="str">
            <v>Present</v>
          </cell>
          <cell r="AC744" t="str">
            <v>Outbound</v>
          </cell>
          <cell r="AD744" t="str">
            <v>Pack - Batch</v>
          </cell>
          <cell r="AE744" t="str">
            <v>Pack</v>
          </cell>
          <cell r="AF744" t="str">
            <v>Saturday</v>
          </cell>
          <cell r="AG744" t="str">
            <v>Sunday</v>
          </cell>
          <cell r="AH744">
            <v>17</v>
          </cell>
          <cell r="AJ744">
            <v>45893</v>
          </cell>
          <cell r="AM744" t="str">
            <v>TEMP</v>
          </cell>
          <cell r="AN744" t="str">
            <v>3P Onsite Worker</v>
          </cell>
          <cell r="AO744" t="str">
            <v>A</v>
          </cell>
          <cell r="AP744">
            <v>9</v>
          </cell>
          <cell r="AQ744">
            <v>0</v>
          </cell>
          <cell r="AR744">
            <v>1</v>
          </cell>
          <cell r="AS744">
            <v>1</v>
          </cell>
          <cell r="AT744">
            <v>0</v>
          </cell>
          <cell r="AU744">
            <v>0</v>
          </cell>
        </row>
        <row r="745">
          <cell r="D745" t="str">
            <v>muzahidk</v>
          </cell>
          <cell r="E745">
            <v>104033277</v>
          </cell>
          <cell r="F745" t="str">
            <v>A</v>
          </cell>
          <cell r="G745" t="str">
            <v>BLUE</v>
          </cell>
          <cell r="H745" t="str">
            <v>FULL_TIME</v>
          </cell>
          <cell r="I745" t="str">
            <v>P03251</v>
          </cell>
          <cell r="K745" t="str">
            <v>Muhammad Zahid Khan Abdul Sattar</v>
          </cell>
          <cell r="L745" t="str">
            <v>FC Associate I</v>
          </cell>
          <cell r="M745" t="str">
            <v>FC Associate I</v>
          </cell>
          <cell r="N745" t="str">
            <v>amanmish</v>
          </cell>
          <cell r="O745">
            <v>1299</v>
          </cell>
          <cell r="P745" t="str">
            <v>AUH1</v>
          </cell>
          <cell r="Q745" t="str">
            <v>ARE</v>
          </cell>
          <cell r="R745" t="str">
            <v>FC034</v>
          </cell>
          <cell r="S745" t="str">
            <v>Day Shift</v>
          </cell>
          <cell r="T745">
            <v>1</v>
          </cell>
          <cell r="U745" t="str">
            <v>MENA_UAE_FC</v>
          </cell>
          <cell r="X745">
            <v>46257.333333333336</v>
          </cell>
          <cell r="Y745">
            <v>46257.75</v>
          </cell>
          <cell r="Z745" t="str">
            <v>Rest Day</v>
          </cell>
          <cell r="AA745" t="str">
            <v>Not Scheduled</v>
          </cell>
          <cell r="AB745" t="str">
            <v>Not Present</v>
          </cell>
          <cell r="AC745" t="str">
            <v>Outbound</v>
          </cell>
          <cell r="AD745" t="str">
            <v>Picking</v>
          </cell>
          <cell r="AE745" t="str">
            <v>Pick</v>
          </cell>
          <cell r="AF745" t="str">
            <v>Saturday</v>
          </cell>
          <cell r="AG745" t="str">
            <v>Sunday</v>
          </cell>
          <cell r="AH745">
            <v>13</v>
          </cell>
          <cell r="AJ745">
            <v>44838</v>
          </cell>
          <cell r="AM745" t="str">
            <v>FC</v>
          </cell>
          <cell r="AN745" t="str">
            <v>Regular Full Time</v>
          </cell>
          <cell r="AO745" t="str">
            <v>A</v>
          </cell>
          <cell r="AP745">
            <v>9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</row>
        <row r="746">
          <cell r="D746" t="str">
            <v>muzamirm</v>
          </cell>
          <cell r="E746">
            <v>206853791</v>
          </cell>
          <cell r="F746" t="str">
            <v>A</v>
          </cell>
          <cell r="G746" t="str">
            <v>GREEN</v>
          </cell>
          <cell r="H746" t="str">
            <v>FULL_TIME</v>
          </cell>
          <cell r="I746">
            <v>900234</v>
          </cell>
          <cell r="J746" t="str">
            <v>Dulsco L.L.C.</v>
          </cell>
          <cell r="K746" t="str">
            <v>MUZAMIRU MWANJE</v>
          </cell>
          <cell r="L746" t="str">
            <v>Warehouse Associate (TEMP)</v>
          </cell>
          <cell r="M746" t="str">
            <v>Warehouse Associate 8W</v>
          </cell>
          <cell r="N746" t="str">
            <v>lraghava</v>
          </cell>
          <cell r="O746">
            <v>1299</v>
          </cell>
          <cell r="P746" t="str">
            <v>AUH1</v>
          </cell>
          <cell r="Q746" t="str">
            <v>ARE</v>
          </cell>
          <cell r="R746" t="str">
            <v>LK017</v>
          </cell>
          <cell r="S746" t="str">
            <v>Night Shift</v>
          </cell>
          <cell r="T746">
            <v>99</v>
          </cell>
          <cell r="U746" t="str">
            <v>MENA_UAE_FC</v>
          </cell>
          <cell r="V746">
            <v>46257.756249999999</v>
          </cell>
          <cell r="X746">
            <v>46257.756944444445</v>
          </cell>
          <cell r="Y746">
            <v>46258.173611111109</v>
          </cell>
          <cell r="AA746" t="str">
            <v>Scheduled</v>
          </cell>
          <cell r="AB746" t="str">
            <v>Present</v>
          </cell>
          <cell r="AC746" t="str">
            <v>Outbound</v>
          </cell>
          <cell r="AD746" t="str">
            <v>Picking</v>
          </cell>
          <cell r="AE746" t="str">
            <v>Pick</v>
          </cell>
          <cell r="AF746" t="str">
            <v>Thursday</v>
          </cell>
          <cell r="AG746" t="str">
            <v>Friday</v>
          </cell>
          <cell r="AH746">
            <v>13</v>
          </cell>
          <cell r="AJ746">
            <v>46029</v>
          </cell>
          <cell r="AM746" t="str">
            <v>TEMP</v>
          </cell>
          <cell r="AN746" t="str">
            <v>3P Onsite Worker</v>
          </cell>
          <cell r="AO746" t="str">
            <v>A</v>
          </cell>
          <cell r="AP746">
            <v>9</v>
          </cell>
          <cell r="AQ746">
            <v>0</v>
          </cell>
          <cell r="AR746">
            <v>1</v>
          </cell>
          <cell r="AS746">
            <v>1</v>
          </cell>
          <cell r="AT746">
            <v>0</v>
          </cell>
          <cell r="AU746">
            <v>0</v>
          </cell>
        </row>
        <row r="747">
          <cell r="D747" t="str">
            <v>mwakagod</v>
          </cell>
          <cell r="E747">
            <v>206926478</v>
          </cell>
          <cell r="F747" t="str">
            <v>A</v>
          </cell>
          <cell r="G747" t="str">
            <v>GREEN</v>
          </cell>
          <cell r="H747" t="str">
            <v>FULL_TIME</v>
          </cell>
          <cell r="I747">
            <v>900234</v>
          </cell>
          <cell r="J747" t="str">
            <v>Dulsco L.L.C.</v>
          </cell>
          <cell r="K747" t="str">
            <v>GODWIN MWAKA</v>
          </cell>
          <cell r="L747" t="str">
            <v>Warehouse Associate (TEMP)</v>
          </cell>
          <cell r="M747" t="str">
            <v>Warehouse Associate 8W</v>
          </cell>
          <cell r="N747" t="str">
            <v>bizthoma</v>
          </cell>
          <cell r="O747">
            <v>1299</v>
          </cell>
          <cell r="P747" t="str">
            <v>AUH1</v>
          </cell>
          <cell r="Q747" t="str">
            <v>ARE</v>
          </cell>
          <cell r="R747" t="str">
            <v>LK011</v>
          </cell>
          <cell r="S747" t="str">
            <v>Night Shift</v>
          </cell>
          <cell r="T747">
            <v>99</v>
          </cell>
          <cell r="U747" t="str">
            <v>MENA_UAE_FC</v>
          </cell>
          <cell r="V747">
            <v>46257.754861111112</v>
          </cell>
          <cell r="X747">
            <v>46257.756944444445</v>
          </cell>
          <cell r="Y747">
            <v>46258.173611111109</v>
          </cell>
          <cell r="AA747" t="str">
            <v>Scheduled</v>
          </cell>
          <cell r="AB747" t="str">
            <v>Present</v>
          </cell>
          <cell r="AC747" t="str">
            <v>Da</v>
          </cell>
          <cell r="AD747" t="str">
            <v>Transfer Out</v>
          </cell>
          <cell r="AE747" t="str">
            <v>Da</v>
          </cell>
          <cell r="AF747" t="str">
            <v>Friday</v>
          </cell>
          <cell r="AG747" t="str">
            <v>Saturday</v>
          </cell>
          <cell r="AH747">
            <v>10</v>
          </cell>
          <cell r="AJ747">
            <v>46036</v>
          </cell>
          <cell r="AM747" t="str">
            <v>TEMP</v>
          </cell>
          <cell r="AN747" t="str">
            <v>3P Onsite Worker</v>
          </cell>
          <cell r="AO747" t="str">
            <v>A</v>
          </cell>
          <cell r="AP747">
            <v>9</v>
          </cell>
          <cell r="AQ747">
            <v>0</v>
          </cell>
          <cell r="AR747">
            <v>1</v>
          </cell>
          <cell r="AS747">
            <v>1</v>
          </cell>
          <cell r="AT747">
            <v>0</v>
          </cell>
          <cell r="AU747">
            <v>0</v>
          </cell>
        </row>
        <row r="748">
          <cell r="D748" t="str">
            <v>mwansamw</v>
          </cell>
          <cell r="E748">
            <v>206175107</v>
          </cell>
          <cell r="F748" t="str">
            <v>A</v>
          </cell>
          <cell r="G748" t="str">
            <v>GREEN</v>
          </cell>
          <cell r="H748" t="str">
            <v>FULL_TIME</v>
          </cell>
          <cell r="I748">
            <v>900234</v>
          </cell>
          <cell r="J748" t="str">
            <v>Fastlink Outsourcing</v>
          </cell>
          <cell r="K748" t="str">
            <v>Samwel Mwangi Kamau</v>
          </cell>
          <cell r="L748" t="str">
            <v>Warehouse Associate (TEMP)</v>
          </cell>
          <cell r="M748" t="str">
            <v>Warehouse Associate 8W</v>
          </cell>
          <cell r="N748" t="str">
            <v>bavameer</v>
          </cell>
          <cell r="O748">
            <v>1299</v>
          </cell>
          <cell r="P748" t="str">
            <v>AUH1</v>
          </cell>
          <cell r="Q748" t="str">
            <v>ARE</v>
          </cell>
          <cell r="R748" t="str">
            <v>FC034</v>
          </cell>
          <cell r="S748" t="str">
            <v>Day Shift</v>
          </cell>
          <cell r="T748">
            <v>99</v>
          </cell>
          <cell r="U748" t="str">
            <v>MENA_UAE_FC</v>
          </cell>
          <cell r="X748">
            <v>46257.333333333336</v>
          </cell>
          <cell r="Y748">
            <v>46257.75</v>
          </cell>
          <cell r="Z748" t="str">
            <v>Rest Day</v>
          </cell>
          <cell r="AA748" t="str">
            <v>Not Scheduled</v>
          </cell>
          <cell r="AB748" t="str">
            <v>Not Present</v>
          </cell>
          <cell r="AC748" t="str">
            <v>Customer returns</v>
          </cell>
          <cell r="AD748" t="str">
            <v>Customer Returns</v>
          </cell>
          <cell r="AE748" t="str">
            <v>Customer returns</v>
          </cell>
          <cell r="AF748" t="str">
            <v>Saturday</v>
          </cell>
          <cell r="AG748" t="str">
            <v>Sunday</v>
          </cell>
          <cell r="AH748">
            <v>22</v>
          </cell>
          <cell r="AJ748">
            <v>45931</v>
          </cell>
          <cell r="AM748" t="str">
            <v>TEMP</v>
          </cell>
          <cell r="AN748" t="str">
            <v>3P Onsite Worker</v>
          </cell>
          <cell r="AO748" t="str">
            <v>A</v>
          </cell>
          <cell r="AP748">
            <v>9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</row>
        <row r="749">
          <cell r="D749" t="str">
            <v>mwesiron</v>
          </cell>
          <cell r="E749">
            <v>206015650</v>
          </cell>
          <cell r="F749" t="str">
            <v>A</v>
          </cell>
          <cell r="G749" t="str">
            <v>GREEN</v>
          </cell>
          <cell r="H749" t="str">
            <v>FULL_TIME</v>
          </cell>
          <cell r="I749">
            <v>900234</v>
          </cell>
          <cell r="J749" t="str">
            <v>Fastlink Outsourcing</v>
          </cell>
          <cell r="K749" t="str">
            <v>Ronnie Mwesigwa Matovu</v>
          </cell>
          <cell r="L749" t="str">
            <v>Warehouse Associate (TEMP)</v>
          </cell>
          <cell r="M749" t="str">
            <v>Warehouse Associate 12M</v>
          </cell>
          <cell r="N749" t="str">
            <v>bizthoma</v>
          </cell>
          <cell r="O749">
            <v>1299</v>
          </cell>
          <cell r="P749" t="str">
            <v>AUH1</v>
          </cell>
          <cell r="Q749" t="str">
            <v>ARE</v>
          </cell>
          <cell r="R749" t="str">
            <v>LK012</v>
          </cell>
          <cell r="S749" t="str">
            <v>Night Shift</v>
          </cell>
          <cell r="T749">
            <v>99</v>
          </cell>
          <cell r="U749" t="str">
            <v>MENA_UAE_FC</v>
          </cell>
          <cell r="X749">
            <v>46257.756944444445</v>
          </cell>
          <cell r="Y749">
            <v>46258.173611111109</v>
          </cell>
          <cell r="Z749" t="str">
            <v>Rest Day</v>
          </cell>
          <cell r="AA749" t="str">
            <v>Not Scheduled</v>
          </cell>
          <cell r="AB749" t="str">
            <v>Not Present</v>
          </cell>
          <cell r="AC749" t="str">
            <v>Outbound</v>
          </cell>
          <cell r="AD749" t="str">
            <v>Picking</v>
          </cell>
          <cell r="AE749" t="str">
            <v>Pick</v>
          </cell>
          <cell r="AF749" t="str">
            <v>Saturday</v>
          </cell>
          <cell r="AG749" t="str">
            <v>Sunday</v>
          </cell>
          <cell r="AH749">
            <v>13</v>
          </cell>
          <cell r="AJ749">
            <v>45914</v>
          </cell>
          <cell r="AM749" t="str">
            <v>TEMP</v>
          </cell>
          <cell r="AN749" t="str">
            <v>3P Onsite Worker</v>
          </cell>
          <cell r="AO749" t="str">
            <v>A</v>
          </cell>
          <cell r="AP749">
            <v>9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</row>
        <row r="750">
          <cell r="D750" t="str">
            <v>mwiiroja</v>
          </cell>
          <cell r="E750">
            <v>203469395</v>
          </cell>
          <cell r="F750" t="str">
            <v>A</v>
          </cell>
          <cell r="G750" t="str">
            <v>GREEN</v>
          </cell>
          <cell r="H750" t="str">
            <v>FULL_TIME</v>
          </cell>
          <cell r="I750">
            <v>900234</v>
          </cell>
          <cell r="J750" t="str">
            <v>Adecco</v>
          </cell>
          <cell r="K750" t="str">
            <v>JANE MWIIRO</v>
          </cell>
          <cell r="L750" t="str">
            <v>Warehouse Associate (TEMP)</v>
          </cell>
          <cell r="M750" t="str">
            <v>Warehouse Associate 24M</v>
          </cell>
          <cell r="N750" t="str">
            <v>aanso</v>
          </cell>
          <cell r="O750">
            <v>1299</v>
          </cell>
          <cell r="P750" t="str">
            <v>AUH1</v>
          </cell>
          <cell r="Q750" t="str">
            <v>ARE</v>
          </cell>
          <cell r="R750" t="str">
            <v>FC059</v>
          </cell>
          <cell r="S750" t="str">
            <v>Day Shift</v>
          </cell>
          <cell r="T750">
            <v>99</v>
          </cell>
          <cell r="U750" t="str">
            <v>MENA_UAE_FC</v>
          </cell>
          <cell r="X750">
            <v>46257.333333333336</v>
          </cell>
          <cell r="Y750">
            <v>46257.75</v>
          </cell>
          <cell r="Z750" t="str">
            <v>Rest Day</v>
          </cell>
          <cell r="AA750" t="str">
            <v>Not Scheduled</v>
          </cell>
          <cell r="AB750" t="str">
            <v>Not Present</v>
          </cell>
          <cell r="AC750" t="str">
            <v>Customer returns</v>
          </cell>
          <cell r="AD750" t="str">
            <v>Customer Returns</v>
          </cell>
          <cell r="AE750" t="str">
            <v>Customer returns</v>
          </cell>
          <cell r="AF750" t="str">
            <v>Sunday</v>
          </cell>
          <cell r="AG750" t="str">
            <v>Monday</v>
          </cell>
          <cell r="AH750">
            <v>22</v>
          </cell>
          <cell r="AJ750">
            <v>45455</v>
          </cell>
          <cell r="AM750" t="str">
            <v>TEMP</v>
          </cell>
          <cell r="AN750" t="str">
            <v>3P Onsite Worker</v>
          </cell>
          <cell r="AO750" t="str">
            <v>A</v>
          </cell>
          <cell r="AP750">
            <v>9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</row>
        <row r="751">
          <cell r="D751" t="str">
            <v>mwrmarti</v>
          </cell>
          <cell r="E751">
            <v>203800375</v>
          </cell>
          <cell r="F751" t="str">
            <v>A</v>
          </cell>
          <cell r="G751" t="str">
            <v>GREEN</v>
          </cell>
          <cell r="H751" t="str">
            <v>FULL_TIME</v>
          </cell>
          <cell r="I751">
            <v>900234</v>
          </cell>
          <cell r="J751" t="str">
            <v>Dulsco L.L.C.</v>
          </cell>
          <cell r="K751" t="str">
            <v>MARTIN MWANGU</v>
          </cell>
          <cell r="L751" t="str">
            <v>Warehouse Associate (TEMP)</v>
          </cell>
          <cell r="M751" t="str">
            <v>Warehouse Associate 8W</v>
          </cell>
          <cell r="N751" t="str">
            <v>bavameer</v>
          </cell>
          <cell r="O751">
            <v>1299</v>
          </cell>
          <cell r="P751" t="str">
            <v>AUH1</v>
          </cell>
          <cell r="Q751" t="str">
            <v>ARE</v>
          </cell>
          <cell r="R751" t="str">
            <v>FC084</v>
          </cell>
          <cell r="S751" t="str">
            <v>Day Shift</v>
          </cell>
          <cell r="T751">
            <v>99</v>
          </cell>
          <cell r="U751" t="str">
            <v>MENA_UAE_FC</v>
          </cell>
          <cell r="V751">
            <v>46257.331944444442</v>
          </cell>
          <cell r="W751">
            <v>46257.749305555553</v>
          </cell>
          <cell r="X751">
            <v>46257.333333333336</v>
          </cell>
          <cell r="Y751">
            <v>46257.75</v>
          </cell>
          <cell r="AA751" t="str">
            <v>Scheduled</v>
          </cell>
          <cell r="AB751" t="str">
            <v>Present</v>
          </cell>
          <cell r="AC751" t="str">
            <v>Customer returns</v>
          </cell>
          <cell r="AD751" t="str">
            <v>Customer Returns</v>
          </cell>
          <cell r="AE751" t="str">
            <v>Customer returns</v>
          </cell>
          <cell r="AF751" t="str">
            <v>Monday</v>
          </cell>
          <cell r="AG751" t="str">
            <v>Tuesday</v>
          </cell>
          <cell r="AH751">
            <v>22</v>
          </cell>
          <cell r="AJ751">
            <v>45515</v>
          </cell>
          <cell r="AM751" t="str">
            <v>TEMP</v>
          </cell>
          <cell r="AN751" t="str">
            <v>3P Onsite Worker</v>
          </cell>
          <cell r="AO751" t="str">
            <v>A</v>
          </cell>
          <cell r="AP751">
            <v>9</v>
          </cell>
          <cell r="AQ751">
            <v>0</v>
          </cell>
          <cell r="AR751">
            <v>1</v>
          </cell>
          <cell r="AS751">
            <v>1</v>
          </cell>
          <cell r="AT751">
            <v>0</v>
          </cell>
          <cell r="AU751">
            <v>0</v>
          </cell>
        </row>
        <row r="752">
          <cell r="D752" t="str">
            <v>nabaeria</v>
          </cell>
          <cell r="E752">
            <v>206514788</v>
          </cell>
          <cell r="F752" t="str">
            <v>A</v>
          </cell>
          <cell r="G752" t="str">
            <v>GREEN</v>
          </cell>
          <cell r="H752" t="str">
            <v>FULL_TIME</v>
          </cell>
          <cell r="I752">
            <v>900234</v>
          </cell>
          <cell r="J752" t="str">
            <v>Dulsco L.L.C.</v>
          </cell>
          <cell r="K752" t="str">
            <v>NABASA ERIAH</v>
          </cell>
          <cell r="L752" t="str">
            <v>Warehouse Associate (TEMP)</v>
          </cell>
          <cell r="M752" t="str">
            <v>Warehouse Associate 8W</v>
          </cell>
          <cell r="N752" t="str">
            <v>bavameer</v>
          </cell>
          <cell r="O752">
            <v>1299</v>
          </cell>
          <cell r="P752" t="str">
            <v>AUH1</v>
          </cell>
          <cell r="Q752" t="str">
            <v>ARE</v>
          </cell>
          <cell r="R752" t="str">
            <v>LK012</v>
          </cell>
          <cell r="S752" t="str">
            <v>Night Shift</v>
          </cell>
          <cell r="T752">
            <v>99</v>
          </cell>
          <cell r="U752" t="str">
            <v>MENA_UAE_FC</v>
          </cell>
          <cell r="X752">
            <v>46257.756944444445</v>
          </cell>
          <cell r="Y752">
            <v>46258.173611111109</v>
          </cell>
          <cell r="Z752" t="str">
            <v>Rest Day</v>
          </cell>
          <cell r="AA752" t="str">
            <v>Not Scheduled</v>
          </cell>
          <cell r="AB752" t="str">
            <v>Not Present</v>
          </cell>
          <cell r="AC752" t="str">
            <v>Customer returns</v>
          </cell>
          <cell r="AD752" t="str">
            <v>Customer Returns</v>
          </cell>
          <cell r="AE752" t="str">
            <v>Customer returns</v>
          </cell>
          <cell r="AF752" t="str">
            <v>Saturday</v>
          </cell>
          <cell r="AG752" t="str">
            <v>Sunday</v>
          </cell>
          <cell r="AH752">
            <v>22</v>
          </cell>
          <cell r="AJ752">
            <v>45970</v>
          </cell>
          <cell r="AM752" t="str">
            <v>TEMP</v>
          </cell>
          <cell r="AN752" t="str">
            <v>3P Onsite Worker</v>
          </cell>
          <cell r="AO752" t="str">
            <v>A</v>
          </cell>
          <cell r="AP752">
            <v>9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</row>
        <row r="753">
          <cell r="D753" t="str">
            <v>nabonisa</v>
          </cell>
          <cell r="E753">
            <v>203850807</v>
          </cell>
          <cell r="F753" t="str">
            <v>A</v>
          </cell>
          <cell r="G753" t="str">
            <v>GREEN</v>
          </cell>
          <cell r="H753" t="str">
            <v>FULL_TIME</v>
          </cell>
          <cell r="I753">
            <v>900234</v>
          </cell>
          <cell r="J753" t="str">
            <v>Dulsco L.L.C.</v>
          </cell>
          <cell r="K753" t="str">
            <v>Isaac Nabongo</v>
          </cell>
          <cell r="L753" t="str">
            <v>Warehouse Associate (TEMP)</v>
          </cell>
          <cell r="M753" t="str">
            <v>Warehouse Associate 8W</v>
          </cell>
          <cell r="N753" t="str">
            <v>lraghava</v>
          </cell>
          <cell r="O753">
            <v>1299</v>
          </cell>
          <cell r="P753" t="str">
            <v>AUH1</v>
          </cell>
          <cell r="Q753" t="str">
            <v>ARE</v>
          </cell>
          <cell r="R753" t="str">
            <v>LK013</v>
          </cell>
          <cell r="S753" t="str">
            <v>Night Shift</v>
          </cell>
          <cell r="T753">
            <v>99</v>
          </cell>
          <cell r="U753" t="str">
            <v>MENA_UAE_FC</v>
          </cell>
          <cell r="V753">
            <v>46257.755555555559</v>
          </cell>
          <cell r="X753">
            <v>46257.756944444445</v>
          </cell>
          <cell r="Y753">
            <v>46258.173611111109</v>
          </cell>
          <cell r="Z753" t="str">
            <v>Rest Day</v>
          </cell>
          <cell r="AA753" t="str">
            <v>Not Scheduled</v>
          </cell>
          <cell r="AB753" t="str">
            <v>Present</v>
          </cell>
          <cell r="AC753" t="str">
            <v>Outbound</v>
          </cell>
          <cell r="AD753" t="str">
            <v>Picking</v>
          </cell>
          <cell r="AE753" t="str">
            <v>Pick</v>
          </cell>
          <cell r="AF753" t="str">
            <v>Sunday</v>
          </cell>
          <cell r="AG753" t="str">
            <v>Monday</v>
          </cell>
          <cell r="AH753">
            <v>13</v>
          </cell>
          <cell r="AJ753">
            <v>45523</v>
          </cell>
          <cell r="AM753" t="str">
            <v>TEMP</v>
          </cell>
          <cell r="AN753" t="str">
            <v>3P Onsite Worker</v>
          </cell>
          <cell r="AO753" t="str">
            <v>A</v>
          </cell>
          <cell r="AP753">
            <v>9</v>
          </cell>
          <cell r="AQ753">
            <v>1</v>
          </cell>
          <cell r="AR753">
            <v>1</v>
          </cell>
          <cell r="AS753">
            <v>0</v>
          </cell>
          <cell r="AT753">
            <v>0</v>
          </cell>
          <cell r="AU753">
            <v>0</v>
          </cell>
        </row>
        <row r="754">
          <cell r="D754" t="str">
            <v>naemalla</v>
          </cell>
          <cell r="E754">
            <v>109749061</v>
          </cell>
          <cell r="F754" t="str">
            <v>A</v>
          </cell>
          <cell r="G754" t="str">
            <v>BLUE</v>
          </cell>
          <cell r="H754" t="str">
            <v>FULL_TIME</v>
          </cell>
          <cell r="I754" t="str">
            <v>P03251</v>
          </cell>
          <cell r="K754" t="str">
            <v>Nagabhushanam Malladi</v>
          </cell>
          <cell r="L754" t="str">
            <v>FC Associate I</v>
          </cell>
          <cell r="M754" t="str">
            <v>FC Associate I</v>
          </cell>
          <cell r="N754" t="str">
            <v>abbaszoo</v>
          </cell>
          <cell r="O754">
            <v>1299</v>
          </cell>
          <cell r="P754" t="str">
            <v>AUH1</v>
          </cell>
          <cell r="Q754" t="str">
            <v>ARE</v>
          </cell>
          <cell r="R754" t="str">
            <v>FC009</v>
          </cell>
          <cell r="S754" t="str">
            <v>Day Shift</v>
          </cell>
          <cell r="T754">
            <v>1</v>
          </cell>
          <cell r="U754" t="str">
            <v>MENA_UAE_FC</v>
          </cell>
          <cell r="V754">
            <v>46257.330555555556</v>
          </cell>
          <cell r="W754">
            <v>46257.751388888886</v>
          </cell>
          <cell r="X754">
            <v>46257.333333333336</v>
          </cell>
          <cell r="Y754">
            <v>46257.75</v>
          </cell>
          <cell r="AA754" t="str">
            <v>Scheduled</v>
          </cell>
          <cell r="AB754" t="str">
            <v>Present</v>
          </cell>
          <cell r="AC754" t="str">
            <v>Inbound</v>
          </cell>
          <cell r="AD754" t="str">
            <v>Receive Dock</v>
          </cell>
          <cell r="AE754" t="str">
            <v>Receive</v>
          </cell>
          <cell r="AF754" t="str">
            <v>Friday</v>
          </cell>
          <cell r="AG754" t="str">
            <v>Saturday</v>
          </cell>
          <cell r="AH754">
            <v>2</v>
          </cell>
          <cell r="AJ754">
            <v>44830</v>
          </cell>
          <cell r="AM754" t="str">
            <v>FC</v>
          </cell>
          <cell r="AN754" t="str">
            <v>Regular Full Time</v>
          </cell>
          <cell r="AO754" t="str">
            <v>A</v>
          </cell>
          <cell r="AP754">
            <v>9</v>
          </cell>
          <cell r="AQ754">
            <v>0</v>
          </cell>
          <cell r="AR754">
            <v>1</v>
          </cell>
          <cell r="AS754">
            <v>1</v>
          </cell>
          <cell r="AT754">
            <v>0</v>
          </cell>
          <cell r="AU754">
            <v>0</v>
          </cell>
        </row>
        <row r="755">
          <cell r="D755" t="str">
            <v>nagwsimz</v>
          </cell>
          <cell r="E755">
            <v>203908334</v>
          </cell>
          <cell r="F755" t="str">
            <v>A</v>
          </cell>
          <cell r="G755" t="str">
            <v>GREEN</v>
          </cell>
          <cell r="H755" t="str">
            <v>FULL_TIME</v>
          </cell>
          <cell r="I755">
            <v>900234</v>
          </cell>
          <cell r="J755" t="str">
            <v>Dulsco L.L.C.</v>
          </cell>
          <cell r="K755" t="str">
            <v>SIMON NAGWAKA</v>
          </cell>
          <cell r="L755" t="str">
            <v>Warehouse Associate (TEMP)</v>
          </cell>
          <cell r="M755" t="str">
            <v>Warehouse Associate 24M</v>
          </cell>
          <cell r="N755" t="str">
            <v>scariav</v>
          </cell>
          <cell r="O755">
            <v>1299</v>
          </cell>
          <cell r="P755" t="str">
            <v>AUH1</v>
          </cell>
          <cell r="Q755" t="str">
            <v>ARE</v>
          </cell>
          <cell r="R755" t="str">
            <v>LK013</v>
          </cell>
          <cell r="S755" t="str">
            <v>Night Shift</v>
          </cell>
          <cell r="T755">
            <v>99</v>
          </cell>
          <cell r="U755" t="str">
            <v>MENA_UAE_FC</v>
          </cell>
          <cell r="X755">
            <v>46257.756944444445</v>
          </cell>
          <cell r="Y755">
            <v>46258.173611111109</v>
          </cell>
          <cell r="Z755" t="str">
            <v>Rest Day</v>
          </cell>
          <cell r="AA755" t="str">
            <v>Not Scheduled</v>
          </cell>
          <cell r="AB755" t="str">
            <v>Not Present</v>
          </cell>
          <cell r="AC755" t="str">
            <v>Outbound</v>
          </cell>
          <cell r="AD755" t="str">
            <v>Sort - Batch</v>
          </cell>
          <cell r="AE755" t="str">
            <v>Sort</v>
          </cell>
          <cell r="AF755" t="str">
            <v>Sunday</v>
          </cell>
          <cell r="AG755" t="str">
            <v>Monday</v>
          </cell>
          <cell r="AH755">
            <v>15</v>
          </cell>
          <cell r="AJ755">
            <v>45536</v>
          </cell>
          <cell r="AM755" t="str">
            <v>TEMP</v>
          </cell>
          <cell r="AN755" t="str">
            <v>3P Onsite Worker</v>
          </cell>
          <cell r="AO755" t="str">
            <v>A</v>
          </cell>
          <cell r="AP755">
            <v>9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</row>
        <row r="756">
          <cell r="D756" t="str">
            <v>naimejes</v>
          </cell>
          <cell r="E756">
            <v>204299070</v>
          </cell>
          <cell r="F756" t="str">
            <v>A</v>
          </cell>
          <cell r="G756" t="str">
            <v>GREEN</v>
          </cell>
          <cell r="H756" t="str">
            <v>FULL_TIME</v>
          </cell>
          <cell r="I756">
            <v>900234</v>
          </cell>
          <cell r="J756" t="str">
            <v>Quesscorp</v>
          </cell>
          <cell r="K756" t="str">
            <v>Aime Jesus Nkurunziza</v>
          </cell>
          <cell r="L756" t="str">
            <v>Warehouse Associate (TEMP)</v>
          </cell>
          <cell r="M756" t="str">
            <v>Warehouse Associate 24M</v>
          </cell>
          <cell r="N756" t="str">
            <v>scariav</v>
          </cell>
          <cell r="O756">
            <v>1299</v>
          </cell>
          <cell r="P756" t="str">
            <v>AUH1</v>
          </cell>
          <cell r="Q756" t="str">
            <v>ARE</v>
          </cell>
          <cell r="R756" t="str">
            <v>LK015</v>
          </cell>
          <cell r="S756" t="str">
            <v>Night Shift</v>
          </cell>
          <cell r="T756">
            <v>99</v>
          </cell>
          <cell r="U756" t="str">
            <v>MENA_UAE_FC</v>
          </cell>
          <cell r="V756">
            <v>46257.756249999999</v>
          </cell>
          <cell r="X756">
            <v>46257.756944444445</v>
          </cell>
          <cell r="Y756">
            <v>46258.173611111109</v>
          </cell>
          <cell r="AA756" t="str">
            <v>Scheduled</v>
          </cell>
          <cell r="AB756" t="str">
            <v>Present</v>
          </cell>
          <cell r="AC756" t="str">
            <v>Outbound</v>
          </cell>
          <cell r="AD756" t="str">
            <v>Sort - Batch</v>
          </cell>
          <cell r="AE756" t="str">
            <v>Sort</v>
          </cell>
          <cell r="AF756" t="str">
            <v>Tuesday</v>
          </cell>
          <cell r="AG756" t="str">
            <v>Wednesday</v>
          </cell>
          <cell r="AH756">
            <v>15</v>
          </cell>
          <cell r="AJ756">
            <v>45585</v>
          </cell>
          <cell r="AM756" t="str">
            <v>TEMP</v>
          </cell>
          <cell r="AN756" t="str">
            <v>3P Onsite Worker</v>
          </cell>
          <cell r="AO756" t="str">
            <v>A</v>
          </cell>
          <cell r="AP756">
            <v>9</v>
          </cell>
          <cell r="AQ756">
            <v>0</v>
          </cell>
          <cell r="AR756">
            <v>1</v>
          </cell>
          <cell r="AS756">
            <v>1</v>
          </cell>
          <cell r="AT756">
            <v>0</v>
          </cell>
          <cell r="AU756">
            <v>0</v>
          </cell>
        </row>
        <row r="757">
          <cell r="D757" t="str">
            <v>nalhaudr</v>
          </cell>
          <cell r="E757">
            <v>206953795</v>
          </cell>
          <cell r="F757" t="str">
            <v>A</v>
          </cell>
          <cell r="G757" t="str">
            <v>GREEN</v>
          </cell>
          <cell r="H757" t="str">
            <v>FULL_TIME</v>
          </cell>
          <cell r="I757">
            <v>900234</v>
          </cell>
          <cell r="J757" t="str">
            <v>EFS Facilities Services</v>
          </cell>
          <cell r="K757" t="str">
            <v>Audrey Rael Naliaka</v>
          </cell>
          <cell r="L757" t="str">
            <v>Warehouse Associate (TEMP)</v>
          </cell>
          <cell r="M757" t="str">
            <v>Warehouse Associate 24M</v>
          </cell>
          <cell r="N757" t="str">
            <v>kebedeed</v>
          </cell>
          <cell r="O757">
            <v>1299</v>
          </cell>
          <cell r="P757" t="str">
            <v>AUH1</v>
          </cell>
          <cell r="Q757" t="str">
            <v>ARE</v>
          </cell>
          <cell r="R757" t="str">
            <v>FC084</v>
          </cell>
          <cell r="S757" t="str">
            <v>Day Shift</v>
          </cell>
          <cell r="T757">
            <v>99</v>
          </cell>
          <cell r="U757" t="str">
            <v>MENA_UAE_FC</v>
          </cell>
          <cell r="V757">
            <v>46257.331944444442</v>
          </cell>
          <cell r="W757">
            <v>46257.744444444441</v>
          </cell>
          <cell r="X757">
            <v>46257.333333333336</v>
          </cell>
          <cell r="Y757">
            <v>46257.75</v>
          </cell>
          <cell r="AA757" t="str">
            <v>Scheduled</v>
          </cell>
          <cell r="AB757" t="str">
            <v>Present</v>
          </cell>
          <cell r="AC757" t="str">
            <v>ICQA</v>
          </cell>
          <cell r="AD757" t="str">
            <v>IC/QA/CS</v>
          </cell>
          <cell r="AE757" t="str">
            <v>Support</v>
          </cell>
          <cell r="AF757" t="str">
            <v>Monday</v>
          </cell>
          <cell r="AG757" t="str">
            <v>Tuesday</v>
          </cell>
          <cell r="AH757">
            <v>27</v>
          </cell>
          <cell r="AJ757">
            <v>46047</v>
          </cell>
          <cell r="AM757" t="str">
            <v>TEMP</v>
          </cell>
          <cell r="AN757" t="str">
            <v>3P Onsite Worker</v>
          </cell>
          <cell r="AO757" t="str">
            <v>A</v>
          </cell>
          <cell r="AP757">
            <v>9</v>
          </cell>
          <cell r="AQ757">
            <v>0</v>
          </cell>
          <cell r="AR757">
            <v>1</v>
          </cell>
          <cell r="AS757">
            <v>1</v>
          </cell>
          <cell r="AT757">
            <v>0</v>
          </cell>
          <cell r="AU757">
            <v>0</v>
          </cell>
        </row>
        <row r="758">
          <cell r="D758" t="str">
            <v>namasara</v>
          </cell>
          <cell r="E758">
            <v>205279080</v>
          </cell>
          <cell r="F758" t="str">
            <v>A</v>
          </cell>
          <cell r="G758" t="str">
            <v>GREEN</v>
          </cell>
          <cell r="H758" t="str">
            <v>FULL_TIME</v>
          </cell>
          <cell r="I758">
            <v>900234</v>
          </cell>
          <cell r="J758" t="str">
            <v>EFS Facilities Services</v>
          </cell>
          <cell r="K758" t="str">
            <v>Sarah Namakula</v>
          </cell>
          <cell r="L758" t="str">
            <v>Warehouse Associate (TEMP)</v>
          </cell>
          <cell r="M758" t="str">
            <v>Warehouse Associate 12M</v>
          </cell>
          <cell r="N758" t="str">
            <v>scariav</v>
          </cell>
          <cell r="O758">
            <v>1299</v>
          </cell>
          <cell r="P758" t="str">
            <v>AUH1</v>
          </cell>
          <cell r="Q758" t="str">
            <v>ARE</v>
          </cell>
          <cell r="R758" t="str">
            <v>FC109</v>
          </cell>
          <cell r="S758" t="str">
            <v>Day Shift</v>
          </cell>
          <cell r="T758">
            <v>99</v>
          </cell>
          <cell r="U758" t="str">
            <v>MENA_UAE_FC</v>
          </cell>
          <cell r="V758">
            <v>46257.332638888889</v>
          </cell>
          <cell r="W758">
            <v>46257.749305555553</v>
          </cell>
          <cell r="X758">
            <v>46257.333333333336</v>
          </cell>
          <cell r="Y758">
            <v>46257.75</v>
          </cell>
          <cell r="AA758" t="str">
            <v>Scheduled</v>
          </cell>
          <cell r="AB758" t="str">
            <v>Present</v>
          </cell>
          <cell r="AC758" t="str">
            <v>Outbound</v>
          </cell>
          <cell r="AD758" t="str">
            <v>Picking</v>
          </cell>
          <cell r="AE758" t="str">
            <v>Pick</v>
          </cell>
          <cell r="AF758" t="str">
            <v>Tuesday</v>
          </cell>
          <cell r="AG758" t="str">
            <v>Wednesday</v>
          </cell>
          <cell r="AH758">
            <v>13</v>
          </cell>
          <cell r="AJ758">
            <v>45791</v>
          </cell>
          <cell r="AM758" t="str">
            <v>TEMP</v>
          </cell>
          <cell r="AN758" t="str">
            <v>3P Onsite Worker</v>
          </cell>
          <cell r="AO758" t="str">
            <v>A</v>
          </cell>
          <cell r="AP758">
            <v>9</v>
          </cell>
          <cell r="AQ758">
            <v>0</v>
          </cell>
          <cell r="AR758">
            <v>1</v>
          </cell>
          <cell r="AS758">
            <v>1</v>
          </cell>
          <cell r="AT758">
            <v>0</v>
          </cell>
          <cell r="AU758">
            <v>0</v>
          </cell>
        </row>
        <row r="759">
          <cell r="D759" t="str">
            <v>namukaba</v>
          </cell>
          <cell r="E759">
            <v>205854273</v>
          </cell>
          <cell r="F759" t="str">
            <v>A</v>
          </cell>
          <cell r="G759" t="str">
            <v>GREEN</v>
          </cell>
          <cell r="H759" t="str">
            <v>FULL_TIME</v>
          </cell>
          <cell r="I759">
            <v>900234</v>
          </cell>
          <cell r="J759" t="str">
            <v>EFS Facilities Services</v>
          </cell>
          <cell r="K759" t="str">
            <v>Barbra Christine NAMUKASA</v>
          </cell>
          <cell r="L759" t="str">
            <v>Warehouse Associate (TEMP)</v>
          </cell>
          <cell r="M759" t="str">
            <v>Warehouse Associate 12M</v>
          </cell>
          <cell r="N759" t="str">
            <v>scariav</v>
          </cell>
          <cell r="O759">
            <v>1299</v>
          </cell>
          <cell r="P759" t="str">
            <v>AUH1</v>
          </cell>
          <cell r="Q759" t="str">
            <v>ARE</v>
          </cell>
          <cell r="R759" t="str">
            <v>FC084</v>
          </cell>
          <cell r="S759" t="str">
            <v>Day Shift</v>
          </cell>
          <cell r="T759">
            <v>99</v>
          </cell>
          <cell r="U759" t="str">
            <v>MENA_UAE_FC</v>
          </cell>
          <cell r="V759">
            <v>46257.332638888889</v>
          </cell>
          <cell r="W759">
            <v>46257.749305555553</v>
          </cell>
          <cell r="X759">
            <v>46257.333333333336</v>
          </cell>
          <cell r="Y759">
            <v>46257.75</v>
          </cell>
          <cell r="AA759" t="str">
            <v>Scheduled</v>
          </cell>
          <cell r="AB759" t="str">
            <v>Present</v>
          </cell>
          <cell r="AC759" t="str">
            <v>Outbound</v>
          </cell>
          <cell r="AD759" t="str">
            <v>Picking</v>
          </cell>
          <cell r="AE759" t="str">
            <v>Pick</v>
          </cell>
          <cell r="AF759" t="str">
            <v>Monday</v>
          </cell>
          <cell r="AG759" t="str">
            <v>Tuesday</v>
          </cell>
          <cell r="AH759">
            <v>13</v>
          </cell>
          <cell r="AJ759">
            <v>45893</v>
          </cell>
          <cell r="AM759" t="str">
            <v>TEMP</v>
          </cell>
          <cell r="AN759" t="str">
            <v>3P Onsite Worker</v>
          </cell>
          <cell r="AO759" t="str">
            <v>A</v>
          </cell>
          <cell r="AP759">
            <v>9</v>
          </cell>
          <cell r="AQ759">
            <v>0</v>
          </cell>
          <cell r="AR759">
            <v>1</v>
          </cell>
          <cell r="AS759">
            <v>1</v>
          </cell>
          <cell r="AT759">
            <v>0</v>
          </cell>
          <cell r="AU759">
            <v>0</v>
          </cell>
        </row>
        <row r="760">
          <cell r="D760" t="str">
            <v>namutmar</v>
          </cell>
          <cell r="E760">
            <v>203469396</v>
          </cell>
          <cell r="F760" t="str">
            <v>A</v>
          </cell>
          <cell r="G760" t="str">
            <v>GREEN</v>
          </cell>
          <cell r="H760" t="str">
            <v>FULL_TIME</v>
          </cell>
          <cell r="I760">
            <v>900234</v>
          </cell>
          <cell r="J760" t="str">
            <v>Adecco</v>
          </cell>
          <cell r="K760" t="str">
            <v>MARY NAMUTEBI</v>
          </cell>
          <cell r="L760" t="str">
            <v>Warehouse Associate (TEMP)</v>
          </cell>
          <cell r="M760" t="str">
            <v>Warehouse Associate 24M</v>
          </cell>
          <cell r="N760" t="str">
            <v>bavameer</v>
          </cell>
          <cell r="O760">
            <v>1299</v>
          </cell>
          <cell r="P760" t="str">
            <v>AUH1</v>
          </cell>
          <cell r="Q760" t="str">
            <v>ARE</v>
          </cell>
          <cell r="R760" t="str">
            <v>LK011</v>
          </cell>
          <cell r="S760" t="str">
            <v>Night Shift</v>
          </cell>
          <cell r="T760">
            <v>99</v>
          </cell>
          <cell r="U760" t="str">
            <v>MENA_UAE_FC</v>
          </cell>
          <cell r="V760">
            <v>46257.755555555559</v>
          </cell>
          <cell r="X760">
            <v>46257.756944444445</v>
          </cell>
          <cell r="Y760">
            <v>46258.173611111109</v>
          </cell>
          <cell r="AA760" t="str">
            <v>Scheduled</v>
          </cell>
          <cell r="AB760" t="str">
            <v>Present</v>
          </cell>
          <cell r="AC760" t="str">
            <v>Customer returns</v>
          </cell>
          <cell r="AD760" t="str">
            <v>Customer Returns</v>
          </cell>
          <cell r="AE760" t="str">
            <v>Customer returns</v>
          </cell>
          <cell r="AF760" t="str">
            <v>Friday</v>
          </cell>
          <cell r="AG760" t="str">
            <v>Saturday</v>
          </cell>
          <cell r="AH760">
            <v>22</v>
          </cell>
          <cell r="AJ760">
            <v>45455</v>
          </cell>
          <cell r="AM760" t="str">
            <v>TEMP</v>
          </cell>
          <cell r="AN760" t="str">
            <v>3P Onsite Worker</v>
          </cell>
          <cell r="AO760" t="str">
            <v>A</v>
          </cell>
          <cell r="AP760">
            <v>9</v>
          </cell>
          <cell r="AQ760">
            <v>0</v>
          </cell>
          <cell r="AR760">
            <v>1</v>
          </cell>
          <cell r="AS760">
            <v>1</v>
          </cell>
          <cell r="AT760">
            <v>0</v>
          </cell>
          <cell r="AU760">
            <v>0</v>
          </cell>
        </row>
        <row r="761">
          <cell r="D761" t="str">
            <v>nanziril</v>
          </cell>
          <cell r="E761">
            <v>206175159</v>
          </cell>
          <cell r="F761" t="str">
            <v>A</v>
          </cell>
          <cell r="G761" t="str">
            <v>GREEN</v>
          </cell>
          <cell r="H761" t="str">
            <v>FULL_TIME</v>
          </cell>
          <cell r="I761">
            <v>900234</v>
          </cell>
          <cell r="J761" t="str">
            <v>Fastlink Outsourcing</v>
          </cell>
          <cell r="K761" t="str">
            <v>Lillian Nanziri</v>
          </cell>
          <cell r="L761" t="str">
            <v>Warehouse Associate (TEMP)</v>
          </cell>
          <cell r="M761" t="str">
            <v>Warehouse Associate 12M</v>
          </cell>
          <cell r="N761" t="str">
            <v>bavameer</v>
          </cell>
          <cell r="O761">
            <v>1299</v>
          </cell>
          <cell r="P761" t="str">
            <v>AUH1</v>
          </cell>
          <cell r="Q761" t="str">
            <v>ARE</v>
          </cell>
          <cell r="R761" t="str">
            <v>LK011</v>
          </cell>
          <cell r="S761" t="str">
            <v>Night Shift</v>
          </cell>
          <cell r="T761">
            <v>99</v>
          </cell>
          <cell r="U761" t="str">
            <v>MENA_UAE_FC</v>
          </cell>
          <cell r="V761">
            <v>46257.754166666666</v>
          </cell>
          <cell r="X761">
            <v>46257.756944444445</v>
          </cell>
          <cell r="Y761">
            <v>46258.173611111109</v>
          </cell>
          <cell r="AA761" t="str">
            <v>Scheduled</v>
          </cell>
          <cell r="AB761" t="str">
            <v>Present</v>
          </cell>
          <cell r="AC761" t="str">
            <v>Customer returns</v>
          </cell>
          <cell r="AD761" t="str">
            <v>Customer Returns</v>
          </cell>
          <cell r="AE761" t="str">
            <v>Customer returns</v>
          </cell>
          <cell r="AF761" t="str">
            <v>Friday</v>
          </cell>
          <cell r="AG761" t="str">
            <v>Saturday</v>
          </cell>
          <cell r="AH761">
            <v>22</v>
          </cell>
          <cell r="AJ761">
            <v>45931</v>
          </cell>
          <cell r="AM761" t="str">
            <v>TEMP</v>
          </cell>
          <cell r="AN761" t="str">
            <v>3P Onsite Worker</v>
          </cell>
          <cell r="AO761" t="str">
            <v>A</v>
          </cell>
          <cell r="AP761">
            <v>9</v>
          </cell>
          <cell r="AQ761">
            <v>0</v>
          </cell>
          <cell r="AR761">
            <v>1</v>
          </cell>
          <cell r="AS761">
            <v>1</v>
          </cell>
          <cell r="AT761">
            <v>0</v>
          </cell>
          <cell r="AU761">
            <v>0</v>
          </cell>
        </row>
        <row r="762">
          <cell r="D762" t="str">
            <v>naoyuohg</v>
          </cell>
          <cell r="E762">
            <v>205997632</v>
          </cell>
          <cell r="F762" t="str">
            <v>A</v>
          </cell>
          <cell r="G762" t="str">
            <v>GREEN</v>
          </cell>
          <cell r="H762" t="str">
            <v>FULL_TIME</v>
          </cell>
          <cell r="I762">
            <v>900234</v>
          </cell>
          <cell r="J762" t="str">
            <v>Fastlink Outsourcing</v>
          </cell>
          <cell r="K762" t="str">
            <v>NAOMI YUOH GHEA</v>
          </cell>
          <cell r="L762" t="str">
            <v>Warehouse Associate (TEMP)</v>
          </cell>
          <cell r="M762" t="str">
            <v>Warehouse Associate 12M</v>
          </cell>
          <cell r="N762" t="str">
            <v>ansammar</v>
          </cell>
          <cell r="O762">
            <v>1299</v>
          </cell>
          <cell r="P762" t="str">
            <v>AUH1</v>
          </cell>
          <cell r="Q762" t="str">
            <v>ARE</v>
          </cell>
          <cell r="R762" t="str">
            <v>FC159</v>
          </cell>
          <cell r="S762" t="str">
            <v>Day Shift</v>
          </cell>
          <cell r="T762">
            <v>99</v>
          </cell>
          <cell r="U762" t="str">
            <v>MENA_UAE_FC</v>
          </cell>
          <cell r="V762">
            <v>46257.331944444442</v>
          </cell>
          <cell r="W762">
            <v>46257.75</v>
          </cell>
          <cell r="X762">
            <v>46257.333333333336</v>
          </cell>
          <cell r="Y762">
            <v>46257.75</v>
          </cell>
          <cell r="AA762" t="str">
            <v>Scheduled</v>
          </cell>
          <cell r="AB762" t="str">
            <v>Present</v>
          </cell>
          <cell r="AC762" t="str">
            <v>Outbound</v>
          </cell>
          <cell r="AD762" t="str">
            <v>Picking</v>
          </cell>
          <cell r="AE762" t="str">
            <v>Pick</v>
          </cell>
          <cell r="AF762" t="str">
            <v>Thursday</v>
          </cell>
          <cell r="AG762" t="str">
            <v>Friday</v>
          </cell>
          <cell r="AH762">
            <v>13</v>
          </cell>
          <cell r="AJ762">
            <v>45914</v>
          </cell>
          <cell r="AM762" t="str">
            <v>TEMP</v>
          </cell>
          <cell r="AN762" t="str">
            <v>3P Onsite Worker</v>
          </cell>
          <cell r="AO762" t="str">
            <v>A</v>
          </cell>
          <cell r="AP762">
            <v>9</v>
          </cell>
          <cell r="AQ762">
            <v>0</v>
          </cell>
          <cell r="AR762">
            <v>1</v>
          </cell>
          <cell r="AS762">
            <v>1</v>
          </cell>
          <cell r="AT762">
            <v>0</v>
          </cell>
          <cell r="AU762">
            <v>0</v>
          </cell>
        </row>
        <row r="763">
          <cell r="D763" t="str">
            <v>naralexu</v>
          </cell>
          <cell r="E763">
            <v>206871907</v>
          </cell>
          <cell r="F763" t="str">
            <v>A</v>
          </cell>
          <cell r="G763" t="str">
            <v>GREEN</v>
          </cell>
          <cell r="H763" t="str">
            <v>FULL_TIME</v>
          </cell>
          <cell r="I763">
            <v>900234</v>
          </cell>
          <cell r="J763" t="str">
            <v>Fastlink Outsourcing</v>
          </cell>
          <cell r="K763" t="str">
            <v>ALEXANDER NARTEY KUSI</v>
          </cell>
          <cell r="L763" t="str">
            <v>Warehouse Associate (TEMP)</v>
          </cell>
          <cell r="M763" t="str">
            <v>Warehouse Associate 8W</v>
          </cell>
          <cell r="N763" t="str">
            <v>abbaszoo</v>
          </cell>
          <cell r="O763">
            <v>1299</v>
          </cell>
          <cell r="P763" t="str">
            <v>AUH1</v>
          </cell>
          <cell r="Q763" t="str">
            <v>ARE</v>
          </cell>
          <cell r="R763" t="str">
            <v>LK015</v>
          </cell>
          <cell r="S763" t="str">
            <v>Night Shift</v>
          </cell>
          <cell r="T763">
            <v>99</v>
          </cell>
          <cell r="U763" t="str">
            <v>MENA_UAE_FC</v>
          </cell>
          <cell r="V763">
            <v>46257.754166666666</v>
          </cell>
          <cell r="X763">
            <v>46257.756944444445</v>
          </cell>
          <cell r="Y763">
            <v>46258.173611111109</v>
          </cell>
          <cell r="AA763" t="str">
            <v>Scheduled</v>
          </cell>
          <cell r="AB763" t="str">
            <v>Present</v>
          </cell>
          <cell r="AC763" t="str">
            <v>Inbound</v>
          </cell>
          <cell r="AD763" t="str">
            <v>Vendor Receive</v>
          </cell>
          <cell r="AE763" t="str">
            <v>Receive</v>
          </cell>
          <cell r="AF763" t="str">
            <v>Tuesday</v>
          </cell>
          <cell r="AG763" t="str">
            <v>Wednesday</v>
          </cell>
          <cell r="AH763">
            <v>1</v>
          </cell>
          <cell r="AJ763">
            <v>46019</v>
          </cell>
          <cell r="AM763" t="str">
            <v>TEMP</v>
          </cell>
          <cell r="AN763" t="str">
            <v>3P Onsite Worker</v>
          </cell>
          <cell r="AO763" t="str">
            <v>A</v>
          </cell>
          <cell r="AP763">
            <v>9</v>
          </cell>
          <cell r="AQ763">
            <v>0</v>
          </cell>
          <cell r="AR763">
            <v>1</v>
          </cell>
          <cell r="AS763">
            <v>1</v>
          </cell>
          <cell r="AT763">
            <v>0</v>
          </cell>
          <cell r="AU763">
            <v>0</v>
          </cell>
        </row>
        <row r="764">
          <cell r="D764" t="str">
            <v>nardsa</v>
          </cell>
          <cell r="E764">
            <v>203709743</v>
          </cell>
          <cell r="F764" t="str">
            <v>A</v>
          </cell>
          <cell r="G764" t="str">
            <v>GREEN</v>
          </cell>
          <cell r="H764" t="str">
            <v>FULL_TIME</v>
          </cell>
          <cell r="I764">
            <v>900234</v>
          </cell>
          <cell r="J764" t="str">
            <v>Adecco</v>
          </cell>
          <cell r="K764" t="str">
            <v>Saw Nar</v>
          </cell>
          <cell r="L764" t="str">
            <v>Warehouse Associate (TEMP)</v>
          </cell>
          <cell r="M764" t="str">
            <v>Warehouse Associate 24M</v>
          </cell>
          <cell r="N764" t="str">
            <v>vkkatyal</v>
          </cell>
          <cell r="O764">
            <v>1299</v>
          </cell>
          <cell r="P764" t="str">
            <v>AUH1</v>
          </cell>
          <cell r="Q764" t="str">
            <v>ARE</v>
          </cell>
          <cell r="R764" t="str">
            <v>FC059</v>
          </cell>
          <cell r="S764" t="str">
            <v>Day Shift</v>
          </cell>
          <cell r="T764">
            <v>99</v>
          </cell>
          <cell r="U764" t="str">
            <v>MENA_UAE_FC</v>
          </cell>
          <cell r="X764">
            <v>46257.333333333336</v>
          </cell>
          <cell r="Y764">
            <v>46257.75</v>
          </cell>
          <cell r="Z764" t="str">
            <v>Rest Day</v>
          </cell>
          <cell r="AA764" t="str">
            <v>Not Scheduled</v>
          </cell>
          <cell r="AB764" t="str">
            <v>Not Present</v>
          </cell>
          <cell r="AC764" t="str">
            <v>Inbound</v>
          </cell>
          <cell r="AD764" t="str">
            <v>IB Problem Solve</v>
          </cell>
          <cell r="AE764" t="str">
            <v>Receive</v>
          </cell>
          <cell r="AF764" t="str">
            <v>Sunday</v>
          </cell>
          <cell r="AG764" t="str">
            <v>Monday</v>
          </cell>
          <cell r="AH764">
            <v>6</v>
          </cell>
          <cell r="AJ764">
            <v>45494</v>
          </cell>
          <cell r="AM764" t="str">
            <v>TEMP</v>
          </cell>
          <cell r="AN764" t="str">
            <v>3P Onsite Worker</v>
          </cell>
          <cell r="AO764" t="str">
            <v>A</v>
          </cell>
          <cell r="AP764">
            <v>9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</row>
        <row r="765">
          <cell r="D765" t="str">
            <v>nasasjoh</v>
          </cell>
          <cell r="E765">
            <v>204072306</v>
          </cell>
          <cell r="F765" t="str">
            <v>A</v>
          </cell>
          <cell r="G765" t="str">
            <v>GREEN</v>
          </cell>
          <cell r="H765" t="str">
            <v>FULL_TIME</v>
          </cell>
          <cell r="I765">
            <v>900234</v>
          </cell>
          <cell r="J765" t="str">
            <v>Dulsco L.L.C.</v>
          </cell>
          <cell r="K765" t="str">
            <v>JOHN NASASIRA</v>
          </cell>
          <cell r="L765" t="str">
            <v>Warehouse Associate (TEMP)</v>
          </cell>
          <cell r="M765" t="str">
            <v>Warehouse Associate 24M</v>
          </cell>
          <cell r="N765" t="str">
            <v>ansammar</v>
          </cell>
          <cell r="O765">
            <v>1299</v>
          </cell>
          <cell r="P765" t="str">
            <v>AUH1</v>
          </cell>
          <cell r="Q765" t="str">
            <v>ARE</v>
          </cell>
          <cell r="R765" t="str">
            <v>FC134</v>
          </cell>
          <cell r="S765" t="str">
            <v>Day Shift</v>
          </cell>
          <cell r="T765">
            <v>99</v>
          </cell>
          <cell r="U765" t="str">
            <v>MENA_UAE_FC</v>
          </cell>
          <cell r="V765">
            <v>46257.332638888889</v>
          </cell>
          <cell r="W765">
            <v>46257.756249999999</v>
          </cell>
          <cell r="X765">
            <v>46257.333333333336</v>
          </cell>
          <cell r="Y765">
            <v>46257.75</v>
          </cell>
          <cell r="AA765" t="str">
            <v>Scheduled</v>
          </cell>
          <cell r="AB765" t="str">
            <v>Present</v>
          </cell>
          <cell r="AC765" t="str">
            <v>Outbound</v>
          </cell>
          <cell r="AD765" t="str">
            <v>Picking</v>
          </cell>
          <cell r="AE765" t="str">
            <v>Pick</v>
          </cell>
          <cell r="AF765" t="str">
            <v>Wednesday</v>
          </cell>
          <cell r="AG765" t="str">
            <v>Thursday</v>
          </cell>
          <cell r="AH765">
            <v>13</v>
          </cell>
          <cell r="AJ765">
            <v>45557</v>
          </cell>
          <cell r="AM765" t="str">
            <v>TEMP</v>
          </cell>
          <cell r="AN765" t="str">
            <v>3P Onsite Worker</v>
          </cell>
          <cell r="AO765" t="str">
            <v>A</v>
          </cell>
          <cell r="AP765">
            <v>9</v>
          </cell>
          <cell r="AQ765">
            <v>0</v>
          </cell>
          <cell r="AR765">
            <v>1</v>
          </cell>
          <cell r="AS765">
            <v>1</v>
          </cell>
          <cell r="AT765">
            <v>0</v>
          </cell>
          <cell r="AU765">
            <v>0</v>
          </cell>
        </row>
        <row r="766">
          <cell r="D766" t="str">
            <v>nawahbes</v>
          </cell>
          <cell r="E766">
            <v>204095809</v>
          </cell>
          <cell r="F766" t="str">
            <v>A</v>
          </cell>
          <cell r="G766" t="str">
            <v>GREEN</v>
          </cell>
          <cell r="H766" t="str">
            <v>FULL_TIME</v>
          </cell>
          <cell r="I766">
            <v>900234</v>
          </cell>
          <cell r="J766" t="str">
            <v>Quesscorp</v>
          </cell>
          <cell r="K766" t="str">
            <v>Nawah Bestman Saye</v>
          </cell>
          <cell r="L766" t="str">
            <v>Warehouse Associate (TEMP)</v>
          </cell>
          <cell r="M766" t="str">
            <v>Warehouse Associate 24M</v>
          </cell>
          <cell r="N766" t="str">
            <v>scariav</v>
          </cell>
          <cell r="O766">
            <v>1299</v>
          </cell>
          <cell r="P766" t="str">
            <v>AUH1</v>
          </cell>
          <cell r="Q766" t="str">
            <v>ARE</v>
          </cell>
          <cell r="R766" t="str">
            <v>LK011</v>
          </cell>
          <cell r="S766" t="str">
            <v>Night Shift</v>
          </cell>
          <cell r="T766">
            <v>99</v>
          </cell>
          <cell r="U766" t="str">
            <v>MENA_UAE_FC</v>
          </cell>
          <cell r="V766">
            <v>46257.757638888892</v>
          </cell>
          <cell r="X766">
            <v>46257.756944444445</v>
          </cell>
          <cell r="Y766">
            <v>46258.173611111109</v>
          </cell>
          <cell r="AA766" t="str">
            <v>Scheduled</v>
          </cell>
          <cell r="AB766" t="str">
            <v>Present</v>
          </cell>
          <cell r="AC766" t="str">
            <v>Outbound</v>
          </cell>
          <cell r="AD766" t="str">
            <v>Picking</v>
          </cell>
          <cell r="AE766" t="str">
            <v>Pick</v>
          </cell>
          <cell r="AF766" t="str">
            <v>Friday</v>
          </cell>
          <cell r="AG766" t="str">
            <v>Saturday</v>
          </cell>
          <cell r="AH766">
            <v>13</v>
          </cell>
          <cell r="AJ766">
            <v>45560</v>
          </cell>
          <cell r="AM766" t="str">
            <v>TEMP</v>
          </cell>
          <cell r="AN766" t="str">
            <v>3P Onsite Worker</v>
          </cell>
          <cell r="AO766" t="str">
            <v>A</v>
          </cell>
          <cell r="AP766">
            <v>9</v>
          </cell>
          <cell r="AQ766">
            <v>0</v>
          </cell>
          <cell r="AR766">
            <v>1</v>
          </cell>
          <cell r="AS766">
            <v>1</v>
          </cell>
          <cell r="AT766">
            <v>0</v>
          </cell>
          <cell r="AU766">
            <v>0</v>
          </cell>
        </row>
        <row r="767">
          <cell r="D767" t="str">
            <v>nbalakji</v>
          </cell>
          <cell r="E767">
            <v>203687851</v>
          </cell>
          <cell r="F767" t="str">
            <v>A</v>
          </cell>
          <cell r="G767" t="str">
            <v>GREEN</v>
          </cell>
          <cell r="H767" t="str">
            <v>FULL_TIME</v>
          </cell>
          <cell r="I767">
            <v>900234</v>
          </cell>
          <cell r="J767" t="str">
            <v>Adecco</v>
          </cell>
          <cell r="K767" t="str">
            <v>JISHNU BALAKRISHNAN</v>
          </cell>
          <cell r="L767" t="str">
            <v>Warehouse Associate (TEMP)</v>
          </cell>
          <cell r="M767" t="str">
            <v>Warehouse Associate 24M</v>
          </cell>
          <cell r="N767" t="str">
            <v>aanso</v>
          </cell>
          <cell r="O767">
            <v>1299</v>
          </cell>
          <cell r="P767" t="str">
            <v>AUH1</v>
          </cell>
          <cell r="Q767" t="str">
            <v>ARE</v>
          </cell>
          <cell r="R767" t="str">
            <v>LK012</v>
          </cell>
          <cell r="S767" t="str">
            <v>Night Shift</v>
          </cell>
          <cell r="T767">
            <v>99</v>
          </cell>
          <cell r="U767" t="str">
            <v>MENA_UAE_FC</v>
          </cell>
          <cell r="X767">
            <v>46257.756944444445</v>
          </cell>
          <cell r="Y767">
            <v>46258.173611111109</v>
          </cell>
          <cell r="Z767" t="str">
            <v>Rest Day</v>
          </cell>
          <cell r="AA767" t="str">
            <v>Not Scheduled</v>
          </cell>
          <cell r="AB767" t="str">
            <v>Not Present</v>
          </cell>
          <cell r="AC767" t="str">
            <v>Customer returns</v>
          </cell>
          <cell r="AD767" t="str">
            <v>Customer Returns</v>
          </cell>
          <cell r="AE767" t="str">
            <v>Customer returns</v>
          </cell>
          <cell r="AF767" t="str">
            <v>Saturday</v>
          </cell>
          <cell r="AG767" t="str">
            <v>Sunday</v>
          </cell>
          <cell r="AH767">
            <v>22</v>
          </cell>
          <cell r="AJ767">
            <v>45487</v>
          </cell>
          <cell r="AM767" t="str">
            <v>TEMP</v>
          </cell>
          <cell r="AN767" t="str">
            <v>3P Onsite Worker</v>
          </cell>
          <cell r="AO767" t="str">
            <v>A</v>
          </cell>
          <cell r="AP767">
            <v>9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</row>
        <row r="768">
          <cell r="D768" t="str">
            <v>nbashali</v>
          </cell>
          <cell r="E768">
            <v>206897551</v>
          </cell>
          <cell r="F768" t="str">
            <v>A</v>
          </cell>
          <cell r="G768" t="str">
            <v>GREEN</v>
          </cell>
          <cell r="H768" t="str">
            <v>REDUCED</v>
          </cell>
          <cell r="I768">
            <v>900234</v>
          </cell>
          <cell r="J768" t="str">
            <v>Fastlink Outsourcing</v>
          </cell>
          <cell r="K768" t="str">
            <v>ALI BASHIR KASAGA</v>
          </cell>
          <cell r="L768" t="str">
            <v>Warehouse Associate (TEMP)</v>
          </cell>
          <cell r="M768" t="str">
            <v>Warehouse Associate 8W</v>
          </cell>
          <cell r="N768" t="str">
            <v>bizthoma</v>
          </cell>
          <cell r="O768">
            <v>1299</v>
          </cell>
          <cell r="P768" t="str">
            <v>AUH1</v>
          </cell>
          <cell r="Q768" t="str">
            <v>ARE</v>
          </cell>
          <cell r="R768" t="str">
            <v>FC556</v>
          </cell>
          <cell r="S768" t="str">
            <v>Night Shift</v>
          </cell>
          <cell r="T768">
            <v>99</v>
          </cell>
          <cell r="U768" t="str">
            <v>MENA_UAE_FC</v>
          </cell>
          <cell r="V768">
            <v>46257.756944444445</v>
          </cell>
          <cell r="X768">
            <v>46257.756944444445</v>
          </cell>
          <cell r="Y768">
            <v>46258.090277777781</v>
          </cell>
          <cell r="AA768" t="str">
            <v>Scheduled</v>
          </cell>
          <cell r="AB768" t="str">
            <v>Present</v>
          </cell>
          <cell r="AC768" t="str">
            <v>Outbound</v>
          </cell>
          <cell r="AD768" t="str">
            <v>Sort - Batch</v>
          </cell>
          <cell r="AE768" t="str">
            <v>Sort</v>
          </cell>
          <cell r="AF768" t="str">
            <v>Tuesday</v>
          </cell>
          <cell r="AG768" t="str">
            <v>Wednesday</v>
          </cell>
          <cell r="AH768">
            <v>15</v>
          </cell>
          <cell r="AJ768">
            <v>46251</v>
          </cell>
          <cell r="AM768" t="str">
            <v>TEMP</v>
          </cell>
          <cell r="AN768" t="str">
            <v>3P Onsite Worker</v>
          </cell>
          <cell r="AO768" t="str">
            <v>A</v>
          </cell>
          <cell r="AP768">
            <v>7</v>
          </cell>
          <cell r="AQ768">
            <v>0</v>
          </cell>
          <cell r="AR768">
            <v>1</v>
          </cell>
          <cell r="AS768">
            <v>1</v>
          </cell>
          <cell r="AT768">
            <v>0</v>
          </cell>
          <cell r="AU768">
            <v>0</v>
          </cell>
        </row>
        <row r="769">
          <cell r="D769" t="str">
            <v>ncubemic</v>
          </cell>
          <cell r="E769">
            <v>204116441</v>
          </cell>
          <cell r="F769" t="str">
            <v>A</v>
          </cell>
          <cell r="G769" t="str">
            <v>GREEN</v>
          </cell>
          <cell r="H769" t="str">
            <v>FULL_TIME</v>
          </cell>
          <cell r="I769">
            <v>900234</v>
          </cell>
          <cell r="J769" t="str">
            <v>Quesscorp</v>
          </cell>
          <cell r="K769" t="str">
            <v>Michael Chrispen Ncube</v>
          </cell>
          <cell r="L769" t="str">
            <v>Warehouse Associate (TEMP)</v>
          </cell>
          <cell r="M769" t="str">
            <v>Warehouse Associate 24M</v>
          </cell>
          <cell r="N769" t="str">
            <v>mnarshad</v>
          </cell>
          <cell r="O769">
            <v>1299</v>
          </cell>
          <cell r="P769" t="str">
            <v>AUH1</v>
          </cell>
          <cell r="Q769" t="str">
            <v>ARE</v>
          </cell>
          <cell r="R769" t="str">
            <v>LK016</v>
          </cell>
          <cell r="S769" t="str">
            <v>Night Shift</v>
          </cell>
          <cell r="T769">
            <v>99</v>
          </cell>
          <cell r="U769" t="str">
            <v>MENA_UAE_FC</v>
          </cell>
          <cell r="V769">
            <v>46257.757638888892</v>
          </cell>
          <cell r="X769">
            <v>46257.756944444445</v>
          </cell>
          <cell r="Y769">
            <v>46258.173611111109</v>
          </cell>
          <cell r="AA769" t="str">
            <v>Scheduled</v>
          </cell>
          <cell r="AB769" t="str">
            <v>Present</v>
          </cell>
          <cell r="AC769" t="str">
            <v>Outbound</v>
          </cell>
          <cell r="AD769" t="str">
            <v>Pack - Batch</v>
          </cell>
          <cell r="AE769" t="str">
            <v>Pack</v>
          </cell>
          <cell r="AF769" t="str">
            <v>Wednesday</v>
          </cell>
          <cell r="AG769" t="str">
            <v>Thursday</v>
          </cell>
          <cell r="AH769">
            <v>17</v>
          </cell>
          <cell r="AJ769">
            <v>45560</v>
          </cell>
          <cell r="AM769" t="str">
            <v>TEMP</v>
          </cell>
          <cell r="AN769" t="str">
            <v>3P Onsite Worker</v>
          </cell>
          <cell r="AO769" t="str">
            <v>A</v>
          </cell>
          <cell r="AP769">
            <v>9</v>
          </cell>
          <cell r="AQ769">
            <v>0</v>
          </cell>
          <cell r="AR769">
            <v>1</v>
          </cell>
          <cell r="AS769">
            <v>1</v>
          </cell>
          <cell r="AT769">
            <v>0</v>
          </cell>
          <cell r="AU769">
            <v>0</v>
          </cell>
        </row>
        <row r="770">
          <cell r="D770" t="str">
            <v>ncusilet</v>
          </cell>
          <cell r="E770">
            <v>203469406</v>
          </cell>
          <cell r="F770" t="str">
            <v>A</v>
          </cell>
          <cell r="G770" t="str">
            <v>GREEN</v>
          </cell>
          <cell r="H770" t="str">
            <v>FULL_TIME</v>
          </cell>
          <cell r="I770">
            <v>900234</v>
          </cell>
          <cell r="J770" t="str">
            <v>Adecco</v>
          </cell>
          <cell r="K770" t="str">
            <v>SILETHEMBA NCUBE</v>
          </cell>
          <cell r="L770" t="str">
            <v>Warehouse Associate (TEMP)</v>
          </cell>
          <cell r="M770" t="str">
            <v>Warehouse Associate 24M</v>
          </cell>
          <cell r="N770" t="str">
            <v>bavameer</v>
          </cell>
          <cell r="O770">
            <v>1299</v>
          </cell>
          <cell r="P770" t="str">
            <v>AUH1</v>
          </cell>
          <cell r="Q770" t="str">
            <v>ARE</v>
          </cell>
          <cell r="R770" t="str">
            <v>FC134</v>
          </cell>
          <cell r="S770" t="str">
            <v>Day Shift</v>
          </cell>
          <cell r="T770">
            <v>99</v>
          </cell>
          <cell r="U770" t="str">
            <v>MENA_UAE_FC</v>
          </cell>
          <cell r="V770">
            <v>46257.332638888889</v>
          </cell>
          <cell r="W770">
            <v>46257.755555555559</v>
          </cell>
          <cell r="X770">
            <v>46257.333333333336</v>
          </cell>
          <cell r="Y770">
            <v>46257.75</v>
          </cell>
          <cell r="AA770" t="str">
            <v>Scheduled</v>
          </cell>
          <cell r="AB770" t="str">
            <v>Present</v>
          </cell>
          <cell r="AC770" t="str">
            <v>Customer returns</v>
          </cell>
          <cell r="AD770" t="str">
            <v>Customer Returns</v>
          </cell>
          <cell r="AE770" t="str">
            <v>Customer returns</v>
          </cell>
          <cell r="AF770" t="str">
            <v>Wednesday</v>
          </cell>
          <cell r="AG770" t="str">
            <v>Thursday</v>
          </cell>
          <cell r="AH770">
            <v>22</v>
          </cell>
          <cell r="AJ770">
            <v>45455</v>
          </cell>
          <cell r="AM770" t="str">
            <v>TEMP</v>
          </cell>
          <cell r="AN770" t="str">
            <v>3P Onsite Worker</v>
          </cell>
          <cell r="AO770" t="str">
            <v>A</v>
          </cell>
          <cell r="AP770">
            <v>9</v>
          </cell>
          <cell r="AQ770">
            <v>0</v>
          </cell>
          <cell r="AR770">
            <v>1</v>
          </cell>
          <cell r="AS770">
            <v>1</v>
          </cell>
          <cell r="AT770">
            <v>0</v>
          </cell>
          <cell r="AU770">
            <v>0</v>
          </cell>
        </row>
        <row r="771">
          <cell r="D771" t="str">
            <v>ndablins</v>
          </cell>
          <cell r="E771">
            <v>203851105</v>
          </cell>
          <cell r="F771" t="str">
            <v>A</v>
          </cell>
          <cell r="G771" t="str">
            <v>GREEN</v>
          </cell>
          <cell r="H771" t="str">
            <v>FULL_TIME</v>
          </cell>
          <cell r="I771">
            <v>900234</v>
          </cell>
          <cell r="J771" t="str">
            <v>Fastlink Outsourcing</v>
          </cell>
          <cell r="K771" t="str">
            <v>Linsabezinhle Ndaba</v>
          </cell>
          <cell r="L771" t="str">
            <v>Warehouse Associate (TEMP)</v>
          </cell>
          <cell r="M771" t="str">
            <v>Warehouse Associate 12M</v>
          </cell>
          <cell r="N771" t="str">
            <v>scariav</v>
          </cell>
          <cell r="O771">
            <v>1299</v>
          </cell>
          <cell r="P771" t="str">
            <v>AUH1</v>
          </cell>
          <cell r="Q771" t="str">
            <v>ARE</v>
          </cell>
          <cell r="R771" t="str">
            <v>LK011</v>
          </cell>
          <cell r="S771" t="str">
            <v>Night Shift</v>
          </cell>
          <cell r="T771">
            <v>99</v>
          </cell>
          <cell r="U771" t="str">
            <v>MENA_UAE_FC</v>
          </cell>
          <cell r="V771">
            <v>46257.757638888892</v>
          </cell>
          <cell r="X771">
            <v>46257.756944444445</v>
          </cell>
          <cell r="Y771">
            <v>46258.173611111109</v>
          </cell>
          <cell r="AA771" t="str">
            <v>Scheduled</v>
          </cell>
          <cell r="AB771" t="str">
            <v>Present</v>
          </cell>
          <cell r="AC771" t="str">
            <v>Outbound</v>
          </cell>
          <cell r="AD771" t="str">
            <v>Pack - Single</v>
          </cell>
          <cell r="AE771" t="str">
            <v>Pack</v>
          </cell>
          <cell r="AF771" t="str">
            <v>Friday</v>
          </cell>
          <cell r="AG771" t="str">
            <v>Saturday</v>
          </cell>
          <cell r="AH771">
            <v>18</v>
          </cell>
          <cell r="AJ771">
            <v>45523</v>
          </cell>
          <cell r="AM771" t="str">
            <v>TEMP</v>
          </cell>
          <cell r="AN771" t="str">
            <v>3P Onsite Worker</v>
          </cell>
          <cell r="AO771" t="str">
            <v>A</v>
          </cell>
          <cell r="AP771">
            <v>9</v>
          </cell>
          <cell r="AQ771">
            <v>0</v>
          </cell>
          <cell r="AR771">
            <v>1</v>
          </cell>
          <cell r="AS771">
            <v>1</v>
          </cell>
          <cell r="AT771">
            <v>0</v>
          </cell>
          <cell r="AU771">
            <v>0</v>
          </cell>
        </row>
        <row r="772">
          <cell r="D772" t="str">
            <v>ndagirsh</v>
          </cell>
          <cell r="E772">
            <v>206230580</v>
          </cell>
          <cell r="F772" t="str">
            <v>A</v>
          </cell>
          <cell r="G772" t="str">
            <v>GREEN</v>
          </cell>
          <cell r="H772" t="str">
            <v>FULL_TIME</v>
          </cell>
          <cell r="I772">
            <v>900234</v>
          </cell>
          <cell r="J772" t="str">
            <v>EFS Facilities Services</v>
          </cell>
          <cell r="K772" t="str">
            <v>Shams Ndagire</v>
          </cell>
          <cell r="L772" t="str">
            <v>Warehouse Associate (TEMP)</v>
          </cell>
          <cell r="M772" t="str">
            <v>Warehouse Associate 8W</v>
          </cell>
          <cell r="N772" t="str">
            <v>ansammar</v>
          </cell>
          <cell r="O772">
            <v>1299</v>
          </cell>
          <cell r="P772" t="str">
            <v>AUH1</v>
          </cell>
          <cell r="Q772" t="str">
            <v>ARE</v>
          </cell>
          <cell r="R772" t="str">
            <v>FC009</v>
          </cell>
          <cell r="S772" t="str">
            <v>Day Shift</v>
          </cell>
          <cell r="T772">
            <v>99</v>
          </cell>
          <cell r="U772" t="str">
            <v>MENA_UAE_FC</v>
          </cell>
          <cell r="V772">
            <v>46257.332638888889</v>
          </cell>
          <cell r="W772">
            <v>46257.750694444447</v>
          </cell>
          <cell r="X772">
            <v>46257.333333333336</v>
          </cell>
          <cell r="Y772">
            <v>46257.75</v>
          </cell>
          <cell r="AA772" t="str">
            <v>Scheduled</v>
          </cell>
          <cell r="AB772" t="str">
            <v>Present</v>
          </cell>
          <cell r="AC772" t="str">
            <v>Outbound</v>
          </cell>
          <cell r="AD772" t="str">
            <v>Pack - Batch</v>
          </cell>
          <cell r="AE772" t="str">
            <v>Pack</v>
          </cell>
          <cell r="AF772" t="str">
            <v>Friday</v>
          </cell>
          <cell r="AG772" t="str">
            <v>Saturday</v>
          </cell>
          <cell r="AH772">
            <v>17</v>
          </cell>
          <cell r="AJ772">
            <v>45942</v>
          </cell>
          <cell r="AM772" t="str">
            <v>TEMP</v>
          </cell>
          <cell r="AN772" t="str">
            <v>3P Onsite Worker</v>
          </cell>
          <cell r="AO772" t="str">
            <v>A</v>
          </cell>
          <cell r="AP772">
            <v>9</v>
          </cell>
          <cell r="AQ772">
            <v>0</v>
          </cell>
          <cell r="AR772">
            <v>1</v>
          </cell>
          <cell r="AS772">
            <v>1</v>
          </cell>
          <cell r="AT772">
            <v>0</v>
          </cell>
          <cell r="AU772">
            <v>0</v>
          </cell>
        </row>
        <row r="773">
          <cell r="D773" t="str">
            <v>ndiranio</v>
          </cell>
          <cell r="E773">
            <v>204094216</v>
          </cell>
          <cell r="F773" t="str">
            <v>A</v>
          </cell>
          <cell r="G773" t="str">
            <v>GREEN</v>
          </cell>
          <cell r="H773" t="str">
            <v>FULL_TIME</v>
          </cell>
          <cell r="I773">
            <v>900234</v>
          </cell>
          <cell r="J773" t="str">
            <v>Quesscorp</v>
          </cell>
          <cell r="K773" t="str">
            <v>Diranie Buteh Omah</v>
          </cell>
          <cell r="L773" t="str">
            <v>Warehouse Associate (TEMP)</v>
          </cell>
          <cell r="M773" t="str">
            <v>Warehouse Associate 24M</v>
          </cell>
          <cell r="N773" t="str">
            <v>scariav</v>
          </cell>
          <cell r="O773">
            <v>1299</v>
          </cell>
          <cell r="P773" t="str">
            <v>AUH1</v>
          </cell>
          <cell r="Q773" t="str">
            <v>ARE</v>
          </cell>
          <cell r="R773" t="str">
            <v>LK016</v>
          </cell>
          <cell r="S773" t="str">
            <v>Night Shift</v>
          </cell>
          <cell r="T773">
            <v>99</v>
          </cell>
          <cell r="U773" t="str">
            <v>MENA_UAE_FC</v>
          </cell>
          <cell r="V773">
            <v>46257.756944444445</v>
          </cell>
          <cell r="X773">
            <v>46257.756944444445</v>
          </cell>
          <cell r="Y773">
            <v>46258.173611111109</v>
          </cell>
          <cell r="AA773" t="str">
            <v>Scheduled</v>
          </cell>
          <cell r="AB773" t="str">
            <v>Present</v>
          </cell>
          <cell r="AC773" t="str">
            <v>Outbound</v>
          </cell>
          <cell r="AD773" t="str">
            <v>Pack - Batch</v>
          </cell>
          <cell r="AE773" t="str">
            <v>Pack</v>
          </cell>
          <cell r="AF773" t="str">
            <v>Wednesday</v>
          </cell>
          <cell r="AG773" t="str">
            <v>Thursday</v>
          </cell>
          <cell r="AH773">
            <v>17</v>
          </cell>
          <cell r="AJ773">
            <v>45560</v>
          </cell>
          <cell r="AM773" t="str">
            <v>TEMP</v>
          </cell>
          <cell r="AN773" t="str">
            <v>3P Onsite Worker</v>
          </cell>
          <cell r="AO773" t="str">
            <v>A</v>
          </cell>
          <cell r="AP773">
            <v>9</v>
          </cell>
          <cell r="AQ773">
            <v>0</v>
          </cell>
          <cell r="AR773">
            <v>1</v>
          </cell>
          <cell r="AS773">
            <v>1</v>
          </cell>
          <cell r="AT773">
            <v>0</v>
          </cell>
          <cell r="AU773">
            <v>0</v>
          </cell>
        </row>
        <row r="774">
          <cell r="D774" t="str">
            <v>ndugakue</v>
          </cell>
          <cell r="E774">
            <v>204095446</v>
          </cell>
          <cell r="F774" t="str">
            <v>A</v>
          </cell>
          <cell r="G774" t="str">
            <v>GREEN</v>
          </cell>
          <cell r="H774" t="str">
            <v>FULL_TIME</v>
          </cell>
          <cell r="I774">
            <v>900234</v>
          </cell>
          <cell r="J774" t="str">
            <v>Quesscorp</v>
          </cell>
          <cell r="K774" t="str">
            <v>Kelvin Anankeng Azem Ndugakue</v>
          </cell>
          <cell r="L774" t="str">
            <v>Warehouse Associate (TEMP)</v>
          </cell>
          <cell r="M774" t="str">
            <v>Warehouse Associate 24M</v>
          </cell>
          <cell r="N774" t="str">
            <v>kebedeed</v>
          </cell>
          <cell r="O774">
            <v>1299</v>
          </cell>
          <cell r="P774" t="str">
            <v>AUH1</v>
          </cell>
          <cell r="Q774" t="str">
            <v>ARE</v>
          </cell>
          <cell r="R774" t="str">
            <v>FC134</v>
          </cell>
          <cell r="S774" t="str">
            <v>Day Shift</v>
          </cell>
          <cell r="T774">
            <v>99</v>
          </cell>
          <cell r="U774" t="str">
            <v>MENA_UAE_FC</v>
          </cell>
          <cell r="V774">
            <v>46257.332638888889</v>
          </cell>
          <cell r="W774">
            <v>46257.747916666667</v>
          </cell>
          <cell r="X774">
            <v>46257.333333333336</v>
          </cell>
          <cell r="Y774">
            <v>46257.75</v>
          </cell>
          <cell r="AA774" t="str">
            <v>Scheduled</v>
          </cell>
          <cell r="AB774" t="str">
            <v>Present</v>
          </cell>
          <cell r="AC774" t="str">
            <v>ICQA</v>
          </cell>
          <cell r="AD774" t="str">
            <v>IC/QA/CS</v>
          </cell>
          <cell r="AE774" t="str">
            <v>Support</v>
          </cell>
          <cell r="AF774" t="str">
            <v>Wednesday</v>
          </cell>
          <cell r="AG774" t="str">
            <v>Thursday</v>
          </cell>
          <cell r="AH774">
            <v>27</v>
          </cell>
          <cell r="AJ774">
            <v>45560</v>
          </cell>
          <cell r="AM774" t="str">
            <v>TEMP</v>
          </cell>
          <cell r="AN774" t="str">
            <v>3P Onsite Worker</v>
          </cell>
          <cell r="AO774" t="str">
            <v>A</v>
          </cell>
          <cell r="AP774">
            <v>9</v>
          </cell>
          <cell r="AQ774">
            <v>0</v>
          </cell>
          <cell r="AR774">
            <v>1</v>
          </cell>
          <cell r="AS774">
            <v>1</v>
          </cell>
          <cell r="AT774">
            <v>0</v>
          </cell>
          <cell r="AU774">
            <v>0</v>
          </cell>
        </row>
        <row r="775">
          <cell r="D775" t="str">
            <v>nejaryee</v>
          </cell>
          <cell r="E775">
            <v>203965178</v>
          </cell>
          <cell r="F775" t="str">
            <v>A</v>
          </cell>
          <cell r="G775" t="str">
            <v>GREEN</v>
          </cell>
          <cell r="H775" t="str">
            <v>FULL_TIME</v>
          </cell>
          <cell r="I775">
            <v>900234</v>
          </cell>
          <cell r="J775" t="str">
            <v>Fastlink Outsourcing</v>
          </cell>
          <cell r="K775" t="str">
            <v>Nehemiah Jaryee</v>
          </cell>
          <cell r="L775" t="str">
            <v>Warehouse Associate (TEMP)</v>
          </cell>
          <cell r="M775" t="str">
            <v>Warehouse Associate 12M</v>
          </cell>
          <cell r="N775" t="str">
            <v>amanmish</v>
          </cell>
          <cell r="O775">
            <v>1299</v>
          </cell>
          <cell r="P775" t="str">
            <v>AUH1</v>
          </cell>
          <cell r="Q775" t="str">
            <v>ARE</v>
          </cell>
          <cell r="R775" t="str">
            <v>LK012</v>
          </cell>
          <cell r="S775" t="str">
            <v>Night Shift</v>
          </cell>
          <cell r="T775">
            <v>99</v>
          </cell>
          <cell r="U775" t="str">
            <v>MENA_UAE_FC</v>
          </cell>
          <cell r="X775">
            <v>46257.756944444445</v>
          </cell>
          <cell r="Y775">
            <v>46258.173611111109</v>
          </cell>
          <cell r="Z775" t="str">
            <v>Rest Day</v>
          </cell>
          <cell r="AA775" t="str">
            <v>Not Scheduled</v>
          </cell>
          <cell r="AB775" t="str">
            <v>Not Present</v>
          </cell>
          <cell r="AC775" t="str">
            <v>Outbound</v>
          </cell>
          <cell r="AD775" t="str">
            <v>Picking</v>
          </cell>
          <cell r="AE775" t="str">
            <v>Pick</v>
          </cell>
          <cell r="AF775" t="str">
            <v>Saturday</v>
          </cell>
          <cell r="AG775" t="str">
            <v>Sunday</v>
          </cell>
          <cell r="AH775">
            <v>13</v>
          </cell>
          <cell r="AJ775">
            <v>45543</v>
          </cell>
          <cell r="AM775" t="str">
            <v>TEMP</v>
          </cell>
          <cell r="AN775" t="str">
            <v>3P Onsite Worker</v>
          </cell>
          <cell r="AO775" t="str">
            <v>A</v>
          </cell>
          <cell r="AP775">
            <v>9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</row>
        <row r="776">
          <cell r="D776" t="str">
            <v>netofikz</v>
          </cell>
          <cell r="E776">
            <v>206007530</v>
          </cell>
          <cell r="F776" t="str">
            <v>A</v>
          </cell>
          <cell r="G776" t="str">
            <v>GREEN</v>
          </cell>
          <cell r="H776" t="str">
            <v>FULL_TIME</v>
          </cell>
          <cell r="I776">
            <v>900234</v>
          </cell>
          <cell r="J776" t="str">
            <v>Fastlink Outsourcing</v>
          </cell>
          <cell r="K776" t="str">
            <v>Tofik Negash</v>
          </cell>
          <cell r="L776" t="str">
            <v>Warehouse Associate (TEMP)</v>
          </cell>
          <cell r="M776" t="str">
            <v>Warehouse Associate 8W</v>
          </cell>
          <cell r="N776" t="str">
            <v>bavameer</v>
          </cell>
          <cell r="O776">
            <v>1299</v>
          </cell>
          <cell r="P776" t="str">
            <v>AUH1</v>
          </cell>
          <cell r="Q776" t="str">
            <v>ARE</v>
          </cell>
          <cell r="R776" t="str">
            <v>LK017</v>
          </cell>
          <cell r="S776" t="str">
            <v>Night Shift</v>
          </cell>
          <cell r="T776">
            <v>99</v>
          </cell>
          <cell r="U776" t="str">
            <v>MENA_UAE_FC</v>
          </cell>
          <cell r="V776">
            <v>46257.754861111112</v>
          </cell>
          <cell r="X776">
            <v>46257.756944444445</v>
          </cell>
          <cell r="Y776">
            <v>46258.173611111109</v>
          </cell>
          <cell r="AA776" t="str">
            <v>Scheduled</v>
          </cell>
          <cell r="AB776" t="str">
            <v>Present</v>
          </cell>
          <cell r="AC776" t="str">
            <v>Customer returns</v>
          </cell>
          <cell r="AD776" t="str">
            <v>Customer Returns</v>
          </cell>
          <cell r="AE776" t="str">
            <v>Customer returns</v>
          </cell>
          <cell r="AF776" t="str">
            <v>Thursday</v>
          </cell>
          <cell r="AG776" t="str">
            <v>Friday</v>
          </cell>
          <cell r="AH776">
            <v>22</v>
          </cell>
          <cell r="AJ776">
            <v>45914</v>
          </cell>
          <cell r="AM776" t="str">
            <v>TEMP</v>
          </cell>
          <cell r="AN776" t="str">
            <v>3P Onsite Worker</v>
          </cell>
          <cell r="AO776" t="str">
            <v>A</v>
          </cell>
          <cell r="AP776">
            <v>9</v>
          </cell>
          <cell r="AQ776">
            <v>0</v>
          </cell>
          <cell r="AR776">
            <v>1</v>
          </cell>
          <cell r="AS776">
            <v>1</v>
          </cell>
          <cell r="AT776">
            <v>0</v>
          </cell>
          <cell r="AU776">
            <v>0</v>
          </cell>
        </row>
        <row r="777">
          <cell r="D777" t="str">
            <v>ngabirco</v>
          </cell>
          <cell r="E777">
            <v>206072867</v>
          </cell>
          <cell r="F777" t="str">
            <v>A</v>
          </cell>
          <cell r="G777" t="str">
            <v>GREEN</v>
          </cell>
          <cell r="H777" t="str">
            <v>FULL_TIME</v>
          </cell>
          <cell r="I777">
            <v>900234</v>
          </cell>
          <cell r="J777" t="str">
            <v>Fastlink Outsourcing</v>
          </cell>
          <cell r="K777" t="str">
            <v>Cosma Ngabirano</v>
          </cell>
          <cell r="L777" t="str">
            <v>Warehouse Associate (TEMP)</v>
          </cell>
          <cell r="M777" t="str">
            <v>Warehouse Associate 8W</v>
          </cell>
          <cell r="N777" t="str">
            <v>aanso</v>
          </cell>
          <cell r="O777">
            <v>1299</v>
          </cell>
          <cell r="P777" t="str">
            <v>AUH1</v>
          </cell>
          <cell r="Q777" t="str">
            <v>ARE</v>
          </cell>
          <cell r="R777" t="str">
            <v>FC059</v>
          </cell>
          <cell r="S777" t="str">
            <v>Day Shift</v>
          </cell>
          <cell r="T777">
            <v>99</v>
          </cell>
          <cell r="U777" t="str">
            <v>MENA_UAE_FC</v>
          </cell>
          <cell r="X777">
            <v>46257.333333333336</v>
          </cell>
          <cell r="Y777">
            <v>46257.75</v>
          </cell>
          <cell r="Z777" t="str">
            <v>Rest Day</v>
          </cell>
          <cell r="AA777" t="str">
            <v>Not Scheduled</v>
          </cell>
          <cell r="AB777" t="str">
            <v>Not Present</v>
          </cell>
          <cell r="AC777" t="str">
            <v>Customer returns</v>
          </cell>
          <cell r="AD777" t="str">
            <v>Customer Returns</v>
          </cell>
          <cell r="AE777" t="str">
            <v>Customer returns</v>
          </cell>
          <cell r="AF777" t="str">
            <v>Sunday</v>
          </cell>
          <cell r="AG777" t="str">
            <v>Monday</v>
          </cell>
          <cell r="AH777">
            <v>22</v>
          </cell>
          <cell r="AJ777">
            <v>45921</v>
          </cell>
          <cell r="AM777" t="str">
            <v>TEMP</v>
          </cell>
          <cell r="AN777" t="str">
            <v>3P Onsite Worker</v>
          </cell>
          <cell r="AO777" t="str">
            <v>A</v>
          </cell>
          <cell r="AP777">
            <v>9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</row>
        <row r="778">
          <cell r="D778" t="str">
            <v>ngcicilx</v>
          </cell>
          <cell r="E778">
            <v>206128578</v>
          </cell>
          <cell r="F778" t="str">
            <v>A</v>
          </cell>
          <cell r="G778" t="str">
            <v>GREEN</v>
          </cell>
          <cell r="H778" t="str">
            <v>FULL_TIME</v>
          </cell>
          <cell r="I778">
            <v>900234</v>
          </cell>
          <cell r="J778" t="str">
            <v>EFS Facilities Services</v>
          </cell>
          <cell r="K778" t="str">
            <v>Cicilia Wairimu Ngethe</v>
          </cell>
          <cell r="L778" t="str">
            <v>Warehouse Associate (TEMP)</v>
          </cell>
          <cell r="M778" t="str">
            <v>Warehouse Associate 8W</v>
          </cell>
          <cell r="N778" t="str">
            <v>mnarshad</v>
          </cell>
          <cell r="O778">
            <v>1299</v>
          </cell>
          <cell r="P778" t="str">
            <v>AUH1</v>
          </cell>
          <cell r="Q778" t="str">
            <v>ARE</v>
          </cell>
          <cell r="R778" t="str">
            <v>FC556</v>
          </cell>
          <cell r="S778" t="str">
            <v>Night Shift</v>
          </cell>
          <cell r="T778">
            <v>99</v>
          </cell>
          <cell r="U778" t="str">
            <v>MENA_UAE_FC</v>
          </cell>
          <cell r="V778">
            <v>46257.754861111112</v>
          </cell>
          <cell r="X778">
            <v>46257.756944444445</v>
          </cell>
          <cell r="Y778">
            <v>46258.090277777781</v>
          </cell>
          <cell r="AA778" t="str">
            <v>Scheduled</v>
          </cell>
          <cell r="AB778" t="str">
            <v>Present</v>
          </cell>
          <cell r="AC778" t="str">
            <v>Outbound</v>
          </cell>
          <cell r="AD778" t="str">
            <v>Sort - Batch</v>
          </cell>
          <cell r="AE778" t="str">
            <v>Sort</v>
          </cell>
          <cell r="AF778" t="str">
            <v>Tuesday</v>
          </cell>
          <cell r="AG778" t="str">
            <v>Wednesday</v>
          </cell>
          <cell r="AH778">
            <v>15</v>
          </cell>
          <cell r="AJ778">
            <v>46237</v>
          </cell>
          <cell r="AM778" t="str">
            <v>TEMP</v>
          </cell>
          <cell r="AN778" t="str">
            <v>3P Onsite Worker</v>
          </cell>
          <cell r="AO778" t="str">
            <v>A</v>
          </cell>
          <cell r="AP778">
            <v>7</v>
          </cell>
          <cell r="AQ778">
            <v>0</v>
          </cell>
          <cell r="AR778">
            <v>1</v>
          </cell>
          <cell r="AS778">
            <v>1</v>
          </cell>
          <cell r="AT778">
            <v>0</v>
          </cell>
          <cell r="AU778">
            <v>0</v>
          </cell>
        </row>
        <row r="779">
          <cell r="D779" t="str">
            <v>ngraciou</v>
          </cell>
          <cell r="E779">
            <v>206915464</v>
          </cell>
          <cell r="F779" t="str">
            <v>A</v>
          </cell>
          <cell r="G779" t="str">
            <v>GREEN</v>
          </cell>
          <cell r="H779" t="str">
            <v>FULL_TIME</v>
          </cell>
          <cell r="I779">
            <v>900234</v>
          </cell>
          <cell r="J779" t="str">
            <v>Dulsco L.L.C.</v>
          </cell>
          <cell r="K779" t="str">
            <v>GRACIOUS PAMHWANYA NYIRENDA</v>
          </cell>
          <cell r="L779" t="str">
            <v>Warehouse Associate (TEMP)</v>
          </cell>
          <cell r="M779" t="str">
            <v>Warehouse Associate 8W</v>
          </cell>
          <cell r="N779" t="str">
            <v>lraghava</v>
          </cell>
          <cell r="O779">
            <v>1299</v>
          </cell>
          <cell r="P779" t="str">
            <v>AUH1</v>
          </cell>
          <cell r="Q779" t="str">
            <v>ARE</v>
          </cell>
          <cell r="R779" t="str">
            <v>LK014</v>
          </cell>
          <cell r="S779" t="str">
            <v>Night Shift</v>
          </cell>
          <cell r="T779">
            <v>99</v>
          </cell>
          <cell r="U779" t="str">
            <v>MENA_UAE_FC</v>
          </cell>
          <cell r="V779">
            <v>46257.756944444445</v>
          </cell>
          <cell r="X779">
            <v>46257.756944444445</v>
          </cell>
          <cell r="Y779">
            <v>46258.173611111109</v>
          </cell>
          <cell r="AA779" t="str">
            <v>Scheduled</v>
          </cell>
          <cell r="AB779" t="str">
            <v>Present</v>
          </cell>
          <cell r="AC779" t="str">
            <v>Outbound</v>
          </cell>
          <cell r="AD779" t="str">
            <v>Pack - Batch</v>
          </cell>
          <cell r="AE779" t="str">
            <v>Pack</v>
          </cell>
          <cell r="AF779" t="str">
            <v>Monday</v>
          </cell>
          <cell r="AG779" t="str">
            <v>Tuesday</v>
          </cell>
          <cell r="AH779">
            <v>17</v>
          </cell>
          <cell r="AJ779">
            <v>46033</v>
          </cell>
          <cell r="AM779" t="str">
            <v>TEMP</v>
          </cell>
          <cell r="AN779" t="str">
            <v>3P Onsite Worker</v>
          </cell>
          <cell r="AO779" t="str">
            <v>A</v>
          </cell>
          <cell r="AP779">
            <v>9</v>
          </cell>
          <cell r="AQ779">
            <v>0</v>
          </cell>
          <cell r="AR779">
            <v>1</v>
          </cell>
          <cell r="AS779">
            <v>1</v>
          </cell>
          <cell r="AT779">
            <v>0</v>
          </cell>
          <cell r="AU779">
            <v>0</v>
          </cell>
        </row>
        <row r="780">
          <cell r="D780" t="str">
            <v>ngumaryw</v>
          </cell>
          <cell r="E780">
            <v>206136719</v>
          </cell>
          <cell r="F780" t="str">
            <v>A</v>
          </cell>
          <cell r="G780" t="str">
            <v>GREEN</v>
          </cell>
          <cell r="H780" t="str">
            <v>REDUCED</v>
          </cell>
          <cell r="I780">
            <v>900234</v>
          </cell>
          <cell r="J780" t="str">
            <v>EFS Facilities Services</v>
          </cell>
          <cell r="K780" t="str">
            <v>Mary  Wambui Nguru</v>
          </cell>
          <cell r="L780" t="str">
            <v>Warehouse Associate (TEMP)</v>
          </cell>
          <cell r="M780" t="str">
            <v>Warehouse Associate 8W</v>
          </cell>
          <cell r="N780" t="str">
            <v>mnarshad</v>
          </cell>
          <cell r="O780">
            <v>1299</v>
          </cell>
          <cell r="P780" t="str">
            <v>AUH1</v>
          </cell>
          <cell r="Q780" t="str">
            <v>ARE</v>
          </cell>
          <cell r="R780" t="str">
            <v>FC554</v>
          </cell>
          <cell r="S780" t="str">
            <v>Night Shift</v>
          </cell>
          <cell r="T780">
            <v>99</v>
          </cell>
          <cell r="U780" t="str">
            <v>MENA_UAE_FC</v>
          </cell>
          <cell r="X780">
            <v>46257.756944444445</v>
          </cell>
          <cell r="Y780">
            <v>46258.090277777781</v>
          </cell>
          <cell r="Z780" t="str">
            <v>Rest Day</v>
          </cell>
          <cell r="AA780" t="str">
            <v>Not Scheduled</v>
          </cell>
          <cell r="AB780" t="str">
            <v>Not Present</v>
          </cell>
          <cell r="AC780" t="str">
            <v>Outbound</v>
          </cell>
          <cell r="AD780" t="str">
            <v>Pack - Batch</v>
          </cell>
          <cell r="AE780" t="str">
            <v>Pack</v>
          </cell>
          <cell r="AF780" t="str">
            <v>Sunday</v>
          </cell>
          <cell r="AG780" t="str">
            <v>Monday</v>
          </cell>
          <cell r="AH780">
            <v>17</v>
          </cell>
          <cell r="AJ780">
            <v>46251</v>
          </cell>
          <cell r="AM780" t="str">
            <v>TEMP</v>
          </cell>
          <cell r="AN780" t="str">
            <v>3P Onsite Worker</v>
          </cell>
          <cell r="AO780" t="str">
            <v>A</v>
          </cell>
          <cell r="AP780">
            <v>7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</row>
        <row r="781">
          <cell r="D781" t="str">
            <v>ngwesola</v>
          </cell>
          <cell r="E781">
            <v>203555408</v>
          </cell>
          <cell r="F781" t="str">
            <v>A</v>
          </cell>
          <cell r="G781" t="str">
            <v>GREEN</v>
          </cell>
          <cell r="H781" t="str">
            <v>FULL_TIME</v>
          </cell>
          <cell r="I781">
            <v>900234</v>
          </cell>
          <cell r="J781" t="str">
            <v>Fastlink Outsourcing</v>
          </cell>
          <cell r="K781" t="str">
            <v>Solange Ngwemukum</v>
          </cell>
          <cell r="L781" t="str">
            <v>Warehouse Associate (TEMP)</v>
          </cell>
          <cell r="M781" t="str">
            <v>Warehouse Associate 12M</v>
          </cell>
          <cell r="N781" t="str">
            <v>bavameer</v>
          </cell>
          <cell r="O781">
            <v>1299</v>
          </cell>
          <cell r="P781" t="str">
            <v>AUH1</v>
          </cell>
          <cell r="Q781" t="str">
            <v>ARE</v>
          </cell>
          <cell r="R781" t="str">
            <v>LK012</v>
          </cell>
          <cell r="S781" t="str">
            <v>Night Shift</v>
          </cell>
          <cell r="T781">
            <v>99</v>
          </cell>
          <cell r="U781" t="str">
            <v>MENA_UAE_FC</v>
          </cell>
          <cell r="X781">
            <v>46257.756944444445</v>
          </cell>
          <cell r="Y781">
            <v>46258.173611111109</v>
          </cell>
          <cell r="Z781" t="str">
            <v>Rest Day</v>
          </cell>
          <cell r="AA781" t="str">
            <v>Not Scheduled</v>
          </cell>
          <cell r="AB781" t="str">
            <v>Not Present</v>
          </cell>
          <cell r="AC781" t="str">
            <v>Customer returns</v>
          </cell>
          <cell r="AD781" t="str">
            <v>Customer Returns</v>
          </cell>
          <cell r="AE781" t="str">
            <v>Customer returns</v>
          </cell>
          <cell r="AF781" t="str">
            <v>Saturday</v>
          </cell>
          <cell r="AG781" t="str">
            <v>Sunday</v>
          </cell>
          <cell r="AH781">
            <v>22</v>
          </cell>
          <cell r="AJ781">
            <v>45469</v>
          </cell>
          <cell r="AM781" t="str">
            <v>TEMP</v>
          </cell>
          <cell r="AN781" t="str">
            <v>3P Onsite Worker</v>
          </cell>
          <cell r="AO781" t="str">
            <v>A</v>
          </cell>
          <cell r="AP781">
            <v>9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</row>
        <row r="782">
          <cell r="D782" t="str">
            <v>nichwtak</v>
          </cell>
          <cell r="E782">
            <v>204405779</v>
          </cell>
          <cell r="F782" t="str">
            <v>A</v>
          </cell>
          <cell r="G782" t="str">
            <v>GREEN</v>
          </cell>
          <cell r="H782" t="str">
            <v>FULL_TIME</v>
          </cell>
          <cell r="I782">
            <v>900234</v>
          </cell>
          <cell r="J782" t="str">
            <v>Quesscorp</v>
          </cell>
          <cell r="K782" t="str">
            <v>Nicholas Takyi</v>
          </cell>
          <cell r="L782" t="str">
            <v>Warehouse Associate (TEMP)</v>
          </cell>
          <cell r="M782" t="str">
            <v>Warehouse Associate 24M</v>
          </cell>
          <cell r="N782" t="str">
            <v>abbaszoo</v>
          </cell>
          <cell r="O782">
            <v>1299</v>
          </cell>
          <cell r="P782" t="str">
            <v>AUH1</v>
          </cell>
          <cell r="Q782" t="str">
            <v>ARE</v>
          </cell>
          <cell r="R782" t="str">
            <v>FC009</v>
          </cell>
          <cell r="S782" t="str">
            <v>Day Shift</v>
          </cell>
          <cell r="T782">
            <v>99</v>
          </cell>
          <cell r="U782" t="str">
            <v>MENA_UAE_FC</v>
          </cell>
          <cell r="V782">
            <v>46257.332638888889</v>
          </cell>
          <cell r="W782">
            <v>46257.752083333333</v>
          </cell>
          <cell r="X782">
            <v>46257.333333333336</v>
          </cell>
          <cell r="Y782">
            <v>46257.75</v>
          </cell>
          <cell r="AA782" t="str">
            <v>Scheduled</v>
          </cell>
          <cell r="AB782" t="str">
            <v>Present</v>
          </cell>
          <cell r="AC782" t="str">
            <v>Inbound</v>
          </cell>
          <cell r="AD782" t="str">
            <v>Receive Dock</v>
          </cell>
          <cell r="AE782" t="str">
            <v>Receive</v>
          </cell>
          <cell r="AF782" t="str">
            <v>Friday</v>
          </cell>
          <cell r="AG782" t="str">
            <v>Saturday</v>
          </cell>
          <cell r="AH782">
            <v>2</v>
          </cell>
          <cell r="AJ782">
            <v>45595</v>
          </cell>
          <cell r="AM782" t="str">
            <v>TEMP</v>
          </cell>
          <cell r="AN782" t="str">
            <v>3P Onsite Worker</v>
          </cell>
          <cell r="AO782" t="str">
            <v>A</v>
          </cell>
          <cell r="AP782">
            <v>9</v>
          </cell>
          <cell r="AQ782">
            <v>0</v>
          </cell>
          <cell r="AR782">
            <v>1</v>
          </cell>
          <cell r="AS782">
            <v>1</v>
          </cell>
          <cell r="AT782">
            <v>0</v>
          </cell>
          <cell r="AU782">
            <v>0</v>
          </cell>
        </row>
        <row r="783">
          <cell r="D783" t="str">
            <v>niwjames</v>
          </cell>
          <cell r="E783">
            <v>206850966</v>
          </cell>
          <cell r="F783" t="str">
            <v>A</v>
          </cell>
          <cell r="G783" t="str">
            <v>GREEN</v>
          </cell>
          <cell r="H783" t="str">
            <v>FULL_TIME</v>
          </cell>
          <cell r="I783">
            <v>900234</v>
          </cell>
          <cell r="J783" t="str">
            <v>Dulsco L.L.C.</v>
          </cell>
          <cell r="K783" t="str">
            <v>NIWARINDA JAMES</v>
          </cell>
          <cell r="L783" t="str">
            <v>Warehouse Associate (TEMP)</v>
          </cell>
          <cell r="M783" t="str">
            <v>Warehouse Associate 8W</v>
          </cell>
          <cell r="N783" t="str">
            <v>ansammar</v>
          </cell>
          <cell r="O783">
            <v>1299</v>
          </cell>
          <cell r="P783" t="str">
            <v>AUH1</v>
          </cell>
          <cell r="Q783" t="str">
            <v>ARE</v>
          </cell>
          <cell r="R783" t="str">
            <v>LK017</v>
          </cell>
          <cell r="S783" t="str">
            <v>Night Shift</v>
          </cell>
          <cell r="T783">
            <v>99</v>
          </cell>
          <cell r="U783" t="str">
            <v>MENA_UAE_FC</v>
          </cell>
          <cell r="V783">
            <v>46257.755555555559</v>
          </cell>
          <cell r="X783">
            <v>46257.756944444445</v>
          </cell>
          <cell r="Y783">
            <v>46258.173611111109</v>
          </cell>
          <cell r="AA783" t="str">
            <v>Scheduled</v>
          </cell>
          <cell r="AB783" t="str">
            <v>Present</v>
          </cell>
          <cell r="AC783" t="str">
            <v>Outbound</v>
          </cell>
          <cell r="AD783" t="str">
            <v>Picking</v>
          </cell>
          <cell r="AE783" t="str">
            <v>Pick</v>
          </cell>
          <cell r="AF783" t="str">
            <v>Thursday</v>
          </cell>
          <cell r="AG783" t="str">
            <v>Friday</v>
          </cell>
          <cell r="AH783">
            <v>13</v>
          </cell>
          <cell r="AJ783">
            <v>46029</v>
          </cell>
          <cell r="AM783" t="str">
            <v>TEMP</v>
          </cell>
          <cell r="AN783" t="str">
            <v>3P Onsite Worker</v>
          </cell>
          <cell r="AO783" t="str">
            <v>A</v>
          </cell>
          <cell r="AP783">
            <v>9</v>
          </cell>
          <cell r="AQ783">
            <v>0</v>
          </cell>
          <cell r="AR783">
            <v>1</v>
          </cell>
          <cell r="AS783">
            <v>1</v>
          </cell>
          <cell r="AT783">
            <v>0</v>
          </cell>
          <cell r="AU783">
            <v>0</v>
          </cell>
        </row>
        <row r="784">
          <cell r="D784" t="str">
            <v>njitaria</v>
          </cell>
          <cell r="E784">
            <v>203679309</v>
          </cell>
          <cell r="F784" t="str">
            <v>A</v>
          </cell>
          <cell r="G784" t="str">
            <v>GREEN</v>
          </cell>
          <cell r="H784" t="str">
            <v>FULL_TIME</v>
          </cell>
          <cell r="I784">
            <v>900234</v>
          </cell>
          <cell r="J784" t="str">
            <v>Fastlink Outsourcing</v>
          </cell>
          <cell r="K784" t="str">
            <v>koudous abdel</v>
          </cell>
          <cell r="L784" t="str">
            <v>Warehouse Associate (TEMP)</v>
          </cell>
          <cell r="M784" t="str">
            <v>Warehouse Associate 12M</v>
          </cell>
          <cell r="N784" t="str">
            <v>aanso</v>
          </cell>
          <cell r="O784">
            <v>1299</v>
          </cell>
          <cell r="P784" t="str">
            <v>AUH1</v>
          </cell>
          <cell r="Q784" t="str">
            <v>ARE</v>
          </cell>
          <cell r="R784" t="str">
            <v>LK013</v>
          </cell>
          <cell r="S784" t="str">
            <v>Night Shift</v>
          </cell>
          <cell r="T784">
            <v>99</v>
          </cell>
          <cell r="U784" t="str">
            <v>MENA_UAE_FC</v>
          </cell>
          <cell r="X784">
            <v>46257.756944444445</v>
          </cell>
          <cell r="Y784">
            <v>46258.173611111109</v>
          </cell>
          <cell r="Z784" t="str">
            <v>Rest Day</v>
          </cell>
          <cell r="AA784" t="str">
            <v>Not Scheduled</v>
          </cell>
          <cell r="AB784" t="str">
            <v>Not Present</v>
          </cell>
          <cell r="AC784" t="str">
            <v>Customer returns</v>
          </cell>
          <cell r="AD784" t="str">
            <v>Customer Returns</v>
          </cell>
          <cell r="AE784" t="str">
            <v>Customer returns</v>
          </cell>
          <cell r="AF784" t="str">
            <v>Sunday</v>
          </cell>
          <cell r="AG784" t="str">
            <v>Monday</v>
          </cell>
          <cell r="AH784">
            <v>22</v>
          </cell>
          <cell r="AJ784">
            <v>45487</v>
          </cell>
          <cell r="AM784" t="str">
            <v>TEMP</v>
          </cell>
          <cell r="AN784" t="str">
            <v>3P Onsite Worker</v>
          </cell>
          <cell r="AO784" t="str">
            <v>A</v>
          </cell>
          <cell r="AP784">
            <v>9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</row>
        <row r="785">
          <cell r="D785" t="str">
            <v>njomajoh</v>
          </cell>
          <cell r="E785">
            <v>203813081</v>
          </cell>
          <cell r="F785" t="str">
            <v>A</v>
          </cell>
          <cell r="G785" t="str">
            <v>GREEN</v>
          </cell>
          <cell r="H785" t="str">
            <v>FULL_TIME</v>
          </cell>
          <cell r="I785">
            <v>900234</v>
          </cell>
          <cell r="J785" t="str">
            <v>Adecco</v>
          </cell>
          <cell r="K785" t="str">
            <v>JOHNSON JOMAN</v>
          </cell>
          <cell r="L785" t="str">
            <v>Warehouse Associate (TEMP)</v>
          </cell>
          <cell r="M785" t="str">
            <v>Warehouse Associate 24M</v>
          </cell>
          <cell r="N785" t="str">
            <v>ansammar</v>
          </cell>
          <cell r="O785">
            <v>1299</v>
          </cell>
          <cell r="P785" t="str">
            <v>AUH1</v>
          </cell>
          <cell r="Q785" t="str">
            <v>ARE</v>
          </cell>
          <cell r="R785" t="str">
            <v>LK013</v>
          </cell>
          <cell r="S785" t="str">
            <v>Night Shift</v>
          </cell>
          <cell r="T785">
            <v>99</v>
          </cell>
          <cell r="U785" t="str">
            <v>MENA_UAE_FC</v>
          </cell>
          <cell r="X785">
            <v>46257.756944444445</v>
          </cell>
          <cell r="Y785">
            <v>46258.173611111109</v>
          </cell>
          <cell r="Z785" t="str">
            <v>Rest Day</v>
          </cell>
          <cell r="AA785" t="str">
            <v>Not Scheduled</v>
          </cell>
          <cell r="AB785" t="str">
            <v>Not Present</v>
          </cell>
          <cell r="AC785" t="str">
            <v>Outbound</v>
          </cell>
          <cell r="AD785" t="str">
            <v>Picking</v>
          </cell>
          <cell r="AE785" t="str">
            <v>Pick</v>
          </cell>
          <cell r="AF785" t="str">
            <v>Sunday</v>
          </cell>
          <cell r="AG785" t="str">
            <v>Monday</v>
          </cell>
          <cell r="AH785">
            <v>13</v>
          </cell>
          <cell r="AJ785">
            <v>45516</v>
          </cell>
          <cell r="AM785" t="str">
            <v>TEMP</v>
          </cell>
          <cell r="AN785" t="str">
            <v>3P Onsite Worker</v>
          </cell>
          <cell r="AO785" t="str">
            <v>A</v>
          </cell>
          <cell r="AP785">
            <v>9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</row>
        <row r="786">
          <cell r="D786" t="str">
            <v>njugulil</v>
          </cell>
          <cell r="E786">
            <v>206934198</v>
          </cell>
          <cell r="F786" t="str">
            <v>A</v>
          </cell>
          <cell r="G786" t="str">
            <v>GREEN</v>
          </cell>
          <cell r="H786" t="str">
            <v>FULL_TIME</v>
          </cell>
          <cell r="I786">
            <v>900234</v>
          </cell>
          <cell r="J786" t="str">
            <v>EFS Facilities Services</v>
          </cell>
          <cell r="K786" t="str">
            <v>LILIAN NJUGUNA</v>
          </cell>
          <cell r="L786" t="str">
            <v>Warehouse Associate (TEMP)</v>
          </cell>
          <cell r="M786" t="str">
            <v>Warehouse Associate 8W</v>
          </cell>
          <cell r="N786" t="str">
            <v>nnahla</v>
          </cell>
          <cell r="O786">
            <v>1299</v>
          </cell>
          <cell r="P786" t="str">
            <v>AUH1</v>
          </cell>
          <cell r="Q786" t="str">
            <v>ARE</v>
          </cell>
          <cell r="R786" t="str">
            <v>FC059</v>
          </cell>
          <cell r="S786" t="str">
            <v>Day Shift</v>
          </cell>
          <cell r="T786">
            <v>99</v>
          </cell>
          <cell r="U786" t="str">
            <v>MENA_UAE_FC</v>
          </cell>
          <cell r="X786">
            <v>46257.333333333336</v>
          </cell>
          <cell r="Y786">
            <v>46257.75</v>
          </cell>
          <cell r="Z786" t="str">
            <v>Rest Day</v>
          </cell>
          <cell r="AA786" t="str">
            <v>Not Scheduled</v>
          </cell>
          <cell r="AB786" t="str">
            <v>Not Present</v>
          </cell>
          <cell r="AC786" t="str">
            <v>Inbound</v>
          </cell>
          <cell r="AD786" t="str">
            <v>Vendor Receive</v>
          </cell>
          <cell r="AE786" t="str">
            <v>Receive</v>
          </cell>
          <cell r="AF786" t="str">
            <v>Sunday</v>
          </cell>
          <cell r="AG786" t="str">
            <v>Monday</v>
          </cell>
          <cell r="AH786">
            <v>1</v>
          </cell>
          <cell r="AJ786">
            <v>46040</v>
          </cell>
          <cell r="AM786" t="str">
            <v>TEMP</v>
          </cell>
          <cell r="AN786" t="str">
            <v>3P Onsite Worker</v>
          </cell>
          <cell r="AO786" t="str">
            <v>A</v>
          </cell>
          <cell r="AP786">
            <v>9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</row>
        <row r="787">
          <cell r="D787" t="str">
            <v>nkamivan</v>
          </cell>
          <cell r="E787">
            <v>203993118</v>
          </cell>
          <cell r="F787" t="str">
            <v>A</v>
          </cell>
          <cell r="G787" t="str">
            <v>GREEN</v>
          </cell>
          <cell r="H787" t="str">
            <v>FULL_TIME</v>
          </cell>
          <cell r="I787">
            <v>900234</v>
          </cell>
          <cell r="J787" t="str">
            <v>Dulsco L.L.C.</v>
          </cell>
          <cell r="K787" t="str">
            <v>IVAN NKAMUHABWA</v>
          </cell>
          <cell r="L787" t="str">
            <v>Warehouse Associate (TEMP)</v>
          </cell>
          <cell r="M787" t="str">
            <v>Warehouse Associate 8W</v>
          </cell>
          <cell r="N787" t="str">
            <v>scariav</v>
          </cell>
          <cell r="O787">
            <v>1299</v>
          </cell>
          <cell r="P787" t="str">
            <v>AUH1</v>
          </cell>
          <cell r="Q787" t="str">
            <v>ARE</v>
          </cell>
          <cell r="R787" t="str">
            <v>LK013</v>
          </cell>
          <cell r="S787" t="str">
            <v>Night Shift</v>
          </cell>
          <cell r="T787">
            <v>99</v>
          </cell>
          <cell r="U787" t="str">
            <v>MENA_UAE_FC</v>
          </cell>
          <cell r="X787">
            <v>46257.756944444445</v>
          </cell>
          <cell r="Y787">
            <v>46258.173611111109</v>
          </cell>
          <cell r="Z787" t="str">
            <v>Rest Day</v>
          </cell>
          <cell r="AA787" t="str">
            <v>Not Scheduled</v>
          </cell>
          <cell r="AB787" t="str">
            <v>Not Present</v>
          </cell>
          <cell r="AC787" t="str">
            <v>Outbound</v>
          </cell>
          <cell r="AD787" t="str">
            <v>Picking</v>
          </cell>
          <cell r="AE787" t="str">
            <v>Pick</v>
          </cell>
          <cell r="AF787" t="str">
            <v>Sunday</v>
          </cell>
          <cell r="AG787" t="str">
            <v>Monday</v>
          </cell>
          <cell r="AH787">
            <v>13</v>
          </cell>
          <cell r="AJ787">
            <v>45546</v>
          </cell>
          <cell r="AM787" t="str">
            <v>TEMP</v>
          </cell>
          <cell r="AN787" t="str">
            <v>3P Onsite Worker</v>
          </cell>
          <cell r="AO787" t="str">
            <v>A</v>
          </cell>
          <cell r="AP787">
            <v>9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</row>
        <row r="788">
          <cell r="D788" t="str">
            <v>nkhonesn</v>
          </cell>
          <cell r="E788">
            <v>203908324</v>
          </cell>
          <cell r="F788" t="str">
            <v>A</v>
          </cell>
          <cell r="G788" t="str">
            <v>GREEN</v>
          </cell>
          <cell r="H788" t="str">
            <v>FULL_TIME</v>
          </cell>
          <cell r="I788">
            <v>900234</v>
          </cell>
          <cell r="J788" t="str">
            <v>Fastlink Outsourcing</v>
          </cell>
          <cell r="K788" t="str">
            <v>Esnart Khonje</v>
          </cell>
          <cell r="L788" t="str">
            <v>Warehouse Associate (TEMP)</v>
          </cell>
          <cell r="M788" t="str">
            <v>Warehouse Associate 12M</v>
          </cell>
          <cell r="N788" t="str">
            <v>ansammar</v>
          </cell>
          <cell r="O788">
            <v>1299</v>
          </cell>
          <cell r="P788" t="str">
            <v>AUH1</v>
          </cell>
          <cell r="Q788" t="str">
            <v>ARE</v>
          </cell>
          <cell r="R788" t="str">
            <v>FC009</v>
          </cell>
          <cell r="S788" t="str">
            <v>Day Shift</v>
          </cell>
          <cell r="T788">
            <v>99</v>
          </cell>
          <cell r="U788" t="str">
            <v>MENA_UAE_FC</v>
          </cell>
          <cell r="V788">
            <v>46257.331250000003</v>
          </cell>
          <cell r="W788">
            <v>46257.745833333334</v>
          </cell>
          <cell r="X788">
            <v>46257.333333333336</v>
          </cell>
          <cell r="Y788">
            <v>46257.75</v>
          </cell>
          <cell r="AA788" t="str">
            <v>Scheduled</v>
          </cell>
          <cell r="AB788" t="str">
            <v>Present</v>
          </cell>
          <cell r="AC788" t="str">
            <v>Outbound</v>
          </cell>
          <cell r="AD788" t="str">
            <v>Picking</v>
          </cell>
          <cell r="AE788" t="str">
            <v>Pick</v>
          </cell>
          <cell r="AF788" t="str">
            <v>Friday</v>
          </cell>
          <cell r="AG788" t="str">
            <v>Saturday</v>
          </cell>
          <cell r="AH788">
            <v>13</v>
          </cell>
          <cell r="AJ788">
            <v>45536</v>
          </cell>
          <cell r="AM788" t="str">
            <v>TEMP</v>
          </cell>
          <cell r="AN788" t="str">
            <v>3P Onsite Worker</v>
          </cell>
          <cell r="AO788" t="str">
            <v>A</v>
          </cell>
          <cell r="AP788">
            <v>9</v>
          </cell>
          <cell r="AQ788">
            <v>0</v>
          </cell>
          <cell r="AR788">
            <v>1</v>
          </cell>
          <cell r="AS788">
            <v>1</v>
          </cell>
          <cell r="AT788">
            <v>0</v>
          </cell>
          <cell r="AU788">
            <v>0</v>
          </cell>
        </row>
        <row r="789">
          <cell r="D789" t="str">
            <v>nkrfelix</v>
          </cell>
          <cell r="E789">
            <v>206886514</v>
          </cell>
          <cell r="F789" t="str">
            <v>A</v>
          </cell>
          <cell r="G789" t="str">
            <v>GREEN</v>
          </cell>
          <cell r="H789" t="str">
            <v>FULL_TIME</v>
          </cell>
          <cell r="I789">
            <v>900234</v>
          </cell>
          <cell r="J789" t="str">
            <v>EFS Facilities Services</v>
          </cell>
          <cell r="K789" t="str">
            <v>FELIX MENSAH NKRUMAH</v>
          </cell>
          <cell r="L789" t="str">
            <v>Warehouse Associate (TEMP)</v>
          </cell>
          <cell r="M789" t="str">
            <v>Warehouse Associate 8W</v>
          </cell>
          <cell r="N789" t="str">
            <v>ansammar</v>
          </cell>
          <cell r="O789">
            <v>1299</v>
          </cell>
          <cell r="P789" t="str">
            <v>AUH1</v>
          </cell>
          <cell r="Q789" t="str">
            <v>ARE</v>
          </cell>
          <cell r="R789" t="str">
            <v>FC159</v>
          </cell>
          <cell r="S789" t="str">
            <v>Day Shift</v>
          </cell>
          <cell r="T789">
            <v>99</v>
          </cell>
          <cell r="U789" t="str">
            <v>MENA_UAE_FC</v>
          </cell>
          <cell r="V789">
            <v>46257.332638888889</v>
          </cell>
          <cell r="W789">
            <v>46257.754166666666</v>
          </cell>
          <cell r="X789">
            <v>46257.333333333336</v>
          </cell>
          <cell r="Y789">
            <v>46257.75</v>
          </cell>
          <cell r="AA789" t="str">
            <v>Scheduled</v>
          </cell>
          <cell r="AB789" t="str">
            <v>Present</v>
          </cell>
          <cell r="AC789" t="str">
            <v>Outbound</v>
          </cell>
          <cell r="AD789" t="str">
            <v>Picking</v>
          </cell>
          <cell r="AE789" t="str">
            <v>Pick</v>
          </cell>
          <cell r="AF789" t="str">
            <v>Thursday</v>
          </cell>
          <cell r="AG789" t="str">
            <v>Friday</v>
          </cell>
          <cell r="AH789">
            <v>13</v>
          </cell>
          <cell r="AJ789">
            <v>46026</v>
          </cell>
          <cell r="AM789" t="str">
            <v>TEMP</v>
          </cell>
          <cell r="AN789" t="str">
            <v>3P Onsite Worker</v>
          </cell>
          <cell r="AO789" t="str">
            <v>A</v>
          </cell>
          <cell r="AP789">
            <v>9</v>
          </cell>
          <cell r="AQ789">
            <v>0</v>
          </cell>
          <cell r="AR789">
            <v>1</v>
          </cell>
          <cell r="AS789">
            <v>1</v>
          </cell>
          <cell r="AT789">
            <v>0</v>
          </cell>
          <cell r="AU789">
            <v>0</v>
          </cell>
        </row>
        <row r="790">
          <cell r="D790" t="str">
            <v>nmbella</v>
          </cell>
          <cell r="E790">
            <v>102981768</v>
          </cell>
          <cell r="F790" t="str">
            <v>A</v>
          </cell>
          <cell r="G790" t="str">
            <v>BLUE</v>
          </cell>
          <cell r="H790" t="str">
            <v>FULL_TIME</v>
          </cell>
          <cell r="I790" t="str">
            <v>P03231</v>
          </cell>
          <cell r="K790" t="str">
            <v>Ndutu Mbella Gilbert</v>
          </cell>
          <cell r="L790" t="str">
            <v>FC Associate III</v>
          </cell>
          <cell r="M790" t="str">
            <v>Operations Supervisor</v>
          </cell>
          <cell r="N790" t="str">
            <v>aanso</v>
          </cell>
          <cell r="O790">
            <v>1299</v>
          </cell>
          <cell r="P790" t="str">
            <v>AUH1</v>
          </cell>
          <cell r="Q790" t="str">
            <v>ARE</v>
          </cell>
          <cell r="R790" t="str">
            <v>LK015</v>
          </cell>
          <cell r="S790" t="str">
            <v>Night Shift</v>
          </cell>
          <cell r="T790">
            <v>3</v>
          </cell>
          <cell r="U790" t="str">
            <v>MENA_UAE_FC</v>
          </cell>
          <cell r="V790">
            <v>46257.756944444445</v>
          </cell>
          <cell r="X790">
            <v>46257.756944444445</v>
          </cell>
          <cell r="Y790">
            <v>46258.173611111109</v>
          </cell>
          <cell r="AA790" t="str">
            <v>Scheduled</v>
          </cell>
          <cell r="AB790" t="str">
            <v>Present</v>
          </cell>
          <cell r="AC790" t="str">
            <v>Customer returns</v>
          </cell>
          <cell r="AD790" t="str">
            <v>Customer Returns</v>
          </cell>
          <cell r="AE790" t="str">
            <v>Customer returns</v>
          </cell>
          <cell r="AF790" t="str">
            <v>Tuesday</v>
          </cell>
          <cell r="AG790" t="str">
            <v>Wednesday</v>
          </cell>
          <cell r="AH790">
            <v>22</v>
          </cell>
          <cell r="AJ790">
            <v>43043</v>
          </cell>
          <cell r="AM790" t="str">
            <v>FC</v>
          </cell>
          <cell r="AN790" t="str">
            <v>Regular Full Time</v>
          </cell>
          <cell r="AO790" t="str">
            <v>A</v>
          </cell>
          <cell r="AP790">
            <v>9</v>
          </cell>
          <cell r="AQ790">
            <v>0</v>
          </cell>
          <cell r="AR790">
            <v>1</v>
          </cell>
          <cell r="AS790">
            <v>1</v>
          </cell>
          <cell r="AT790">
            <v>0</v>
          </cell>
          <cell r="AU790">
            <v>0</v>
          </cell>
        </row>
        <row r="791">
          <cell r="D791" t="str">
            <v>nmpakkas</v>
          </cell>
          <cell r="E791">
            <v>203908351</v>
          </cell>
          <cell r="F791" t="str">
            <v>A</v>
          </cell>
          <cell r="G791" t="str">
            <v>GREEN</v>
          </cell>
          <cell r="H791" t="str">
            <v>FULL_TIME</v>
          </cell>
          <cell r="I791">
            <v>900234</v>
          </cell>
          <cell r="J791" t="str">
            <v>Fastlink Outsourcing</v>
          </cell>
          <cell r="K791" t="str">
            <v>Kassim Hija Mpaka</v>
          </cell>
          <cell r="L791" t="str">
            <v>Warehouse Associate (TEMP)</v>
          </cell>
          <cell r="M791" t="str">
            <v>Warehouse Associate 12M</v>
          </cell>
          <cell r="N791" t="str">
            <v>helrashd</v>
          </cell>
          <cell r="O791">
            <v>1299</v>
          </cell>
          <cell r="P791" t="str">
            <v>AUH1</v>
          </cell>
          <cell r="Q791" t="str">
            <v>ARE</v>
          </cell>
          <cell r="R791" t="str">
            <v>FC009</v>
          </cell>
          <cell r="S791" t="str">
            <v>Day Shift</v>
          </cell>
          <cell r="T791">
            <v>99</v>
          </cell>
          <cell r="U791" t="str">
            <v>MENA_UAE_FC</v>
          </cell>
          <cell r="V791">
            <v>46257.333333333336</v>
          </cell>
          <cell r="W791">
            <v>46257.750694444447</v>
          </cell>
          <cell r="X791">
            <v>46257.333333333336</v>
          </cell>
          <cell r="Y791">
            <v>46257.75</v>
          </cell>
          <cell r="AA791" t="str">
            <v>Scheduled</v>
          </cell>
          <cell r="AB791" t="str">
            <v>Present</v>
          </cell>
          <cell r="AC791" t="str">
            <v>Outbound</v>
          </cell>
          <cell r="AD791" t="str">
            <v>Picking</v>
          </cell>
          <cell r="AE791" t="str">
            <v>Pick</v>
          </cell>
          <cell r="AF791" t="str">
            <v>Friday</v>
          </cell>
          <cell r="AG791" t="str">
            <v>Saturday</v>
          </cell>
          <cell r="AH791">
            <v>13</v>
          </cell>
          <cell r="AJ791">
            <v>45536</v>
          </cell>
          <cell r="AM791" t="str">
            <v>TEMP</v>
          </cell>
          <cell r="AN791" t="str">
            <v>3P Onsite Worker</v>
          </cell>
          <cell r="AO791" t="str">
            <v>A</v>
          </cell>
          <cell r="AP791">
            <v>9</v>
          </cell>
          <cell r="AQ791">
            <v>0</v>
          </cell>
          <cell r="AR791">
            <v>1</v>
          </cell>
          <cell r="AS791">
            <v>1</v>
          </cell>
          <cell r="AT791">
            <v>0</v>
          </cell>
          <cell r="AU791">
            <v>0</v>
          </cell>
        </row>
        <row r="792">
          <cell r="D792" t="str">
            <v>noamohav</v>
          </cell>
          <cell r="E792">
            <v>202419640</v>
          </cell>
          <cell r="F792" t="str">
            <v>A</v>
          </cell>
          <cell r="G792" t="str">
            <v>GREEN</v>
          </cell>
          <cell r="H792" t="str">
            <v>FULL_TIME</v>
          </cell>
          <cell r="I792">
            <v>900234</v>
          </cell>
          <cell r="J792" t="str">
            <v>Quesscorp</v>
          </cell>
          <cell r="K792" t="str">
            <v>Mohamed Noah</v>
          </cell>
          <cell r="L792" t="str">
            <v>Warehouse Associate (TEMP)</v>
          </cell>
          <cell r="M792" t="str">
            <v>Warehouse Associate 24M</v>
          </cell>
          <cell r="N792" t="str">
            <v>scariav</v>
          </cell>
          <cell r="O792">
            <v>1299</v>
          </cell>
          <cell r="P792" t="str">
            <v>AUH1</v>
          </cell>
          <cell r="Q792" t="str">
            <v>ARE</v>
          </cell>
          <cell r="R792" t="str">
            <v>LK013</v>
          </cell>
          <cell r="S792" t="str">
            <v>Night Shift</v>
          </cell>
          <cell r="T792">
            <v>99</v>
          </cell>
          <cell r="U792" t="str">
            <v>MENA_UAE_FC</v>
          </cell>
          <cell r="X792">
            <v>46257.756944444445</v>
          </cell>
          <cell r="Y792">
            <v>46258.173611111109</v>
          </cell>
          <cell r="Z792" t="str">
            <v>Rest Day</v>
          </cell>
          <cell r="AA792" t="str">
            <v>Not Scheduled</v>
          </cell>
          <cell r="AB792" t="str">
            <v>Not Present</v>
          </cell>
          <cell r="AC792" t="str">
            <v>Outbound</v>
          </cell>
          <cell r="AD792" t="str">
            <v>Sort - Batch</v>
          </cell>
          <cell r="AE792" t="str">
            <v>Sort</v>
          </cell>
          <cell r="AF792" t="str">
            <v>Sunday</v>
          </cell>
          <cell r="AG792" t="str">
            <v>Monday</v>
          </cell>
          <cell r="AH792">
            <v>15</v>
          </cell>
          <cell r="AJ792">
            <v>45560</v>
          </cell>
          <cell r="AM792" t="str">
            <v>TEMP</v>
          </cell>
          <cell r="AN792" t="str">
            <v>3P Onsite Worker</v>
          </cell>
          <cell r="AO792" t="str">
            <v>A</v>
          </cell>
          <cell r="AP792">
            <v>9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</row>
        <row r="793">
          <cell r="D793" t="str">
            <v>noeliayo</v>
          </cell>
          <cell r="E793">
            <v>204869090</v>
          </cell>
          <cell r="F793" t="str">
            <v>A</v>
          </cell>
          <cell r="G793" t="str">
            <v>GREEN</v>
          </cell>
          <cell r="H793" t="str">
            <v>FULL_TIME</v>
          </cell>
          <cell r="I793">
            <v>900234</v>
          </cell>
          <cell r="J793" t="str">
            <v>Quesscorp</v>
          </cell>
          <cell r="K793" t="str">
            <v>Noeline Nuck Ayong</v>
          </cell>
          <cell r="L793" t="str">
            <v>Warehouse Associate (TEMP)</v>
          </cell>
          <cell r="M793" t="str">
            <v>Warehouse Associate 24M</v>
          </cell>
          <cell r="N793" t="str">
            <v>abbaszoo</v>
          </cell>
          <cell r="O793">
            <v>1299</v>
          </cell>
          <cell r="P793" t="str">
            <v>AUH1</v>
          </cell>
          <cell r="Q793" t="str">
            <v>ARE</v>
          </cell>
          <cell r="R793" t="str">
            <v>FC009</v>
          </cell>
          <cell r="S793" t="str">
            <v>Day Shift</v>
          </cell>
          <cell r="T793">
            <v>99</v>
          </cell>
          <cell r="U793" t="str">
            <v>MENA_UAE_FC</v>
          </cell>
          <cell r="V793">
            <v>46257.331250000003</v>
          </cell>
          <cell r="W793">
            <v>46257.750694444447</v>
          </cell>
          <cell r="X793">
            <v>46257.333333333336</v>
          </cell>
          <cell r="Y793">
            <v>46257.75</v>
          </cell>
          <cell r="AA793" t="str">
            <v>Scheduled</v>
          </cell>
          <cell r="AB793" t="str">
            <v>Present</v>
          </cell>
          <cell r="AC793" t="str">
            <v>Inbound</v>
          </cell>
          <cell r="AD793" t="str">
            <v>Vendor Receive</v>
          </cell>
          <cell r="AE793" t="str">
            <v>Receive</v>
          </cell>
          <cell r="AF793" t="str">
            <v>Friday</v>
          </cell>
          <cell r="AG793" t="str">
            <v>Saturday</v>
          </cell>
          <cell r="AH793">
            <v>1</v>
          </cell>
          <cell r="AJ793">
            <v>45690</v>
          </cell>
          <cell r="AM793" t="str">
            <v>TEMP</v>
          </cell>
          <cell r="AN793" t="str">
            <v>3P Onsite Worker</v>
          </cell>
          <cell r="AO793" t="str">
            <v>A</v>
          </cell>
          <cell r="AP793">
            <v>9</v>
          </cell>
          <cell r="AQ793">
            <v>0</v>
          </cell>
          <cell r="AR793">
            <v>1</v>
          </cell>
          <cell r="AS793">
            <v>1</v>
          </cell>
          <cell r="AT793">
            <v>0</v>
          </cell>
          <cell r="AU793">
            <v>0</v>
          </cell>
        </row>
        <row r="794">
          <cell r="D794" t="str">
            <v>noreeaku</v>
          </cell>
          <cell r="E794">
            <v>203477173</v>
          </cell>
          <cell r="F794" t="str">
            <v>A</v>
          </cell>
          <cell r="G794" t="str">
            <v>GREEN</v>
          </cell>
          <cell r="H794" t="str">
            <v>FULL_TIME</v>
          </cell>
          <cell r="I794">
            <v>900234</v>
          </cell>
          <cell r="J794" t="str">
            <v>Adecco</v>
          </cell>
          <cell r="K794" t="str">
            <v>Akullu Noreen</v>
          </cell>
          <cell r="L794" t="str">
            <v>Warehouse Associate (TEMP)</v>
          </cell>
          <cell r="M794" t="str">
            <v>Warehouse Associate 24M</v>
          </cell>
          <cell r="N794" t="str">
            <v>bizthoma</v>
          </cell>
          <cell r="O794">
            <v>1299</v>
          </cell>
          <cell r="P794" t="str">
            <v>AUH1</v>
          </cell>
          <cell r="Q794" t="str">
            <v>ARE</v>
          </cell>
          <cell r="R794" t="str">
            <v>LK014</v>
          </cell>
          <cell r="S794" t="str">
            <v>Night Shift</v>
          </cell>
          <cell r="T794">
            <v>99</v>
          </cell>
          <cell r="U794" t="str">
            <v>MENA_UAE_FC</v>
          </cell>
          <cell r="V794">
            <v>46257.757638888892</v>
          </cell>
          <cell r="X794">
            <v>46257.756944444445</v>
          </cell>
          <cell r="Y794">
            <v>46258.173611111109</v>
          </cell>
          <cell r="AA794" t="str">
            <v>Scheduled</v>
          </cell>
          <cell r="AB794" t="str">
            <v>Present</v>
          </cell>
          <cell r="AC794" t="str">
            <v>Outbound</v>
          </cell>
          <cell r="AD794" t="str">
            <v>Pack - Single</v>
          </cell>
          <cell r="AE794" t="str">
            <v>Pack</v>
          </cell>
          <cell r="AF794" t="str">
            <v>Monday</v>
          </cell>
          <cell r="AG794" t="str">
            <v>Tuesday</v>
          </cell>
          <cell r="AH794">
            <v>18</v>
          </cell>
          <cell r="AJ794">
            <v>45455</v>
          </cell>
          <cell r="AM794" t="str">
            <v>TEMP</v>
          </cell>
          <cell r="AN794" t="str">
            <v>3P Onsite Worker</v>
          </cell>
          <cell r="AO794" t="str">
            <v>A</v>
          </cell>
          <cell r="AP794">
            <v>9</v>
          </cell>
          <cell r="AQ794">
            <v>0</v>
          </cell>
          <cell r="AR794">
            <v>1</v>
          </cell>
          <cell r="AS794">
            <v>1</v>
          </cell>
          <cell r="AT794">
            <v>0</v>
          </cell>
          <cell r="AU794">
            <v>0</v>
          </cell>
        </row>
        <row r="795">
          <cell r="D795" t="str">
            <v>noufalf</v>
          </cell>
          <cell r="E795">
            <v>102582339</v>
          </cell>
          <cell r="F795" t="str">
            <v>A</v>
          </cell>
          <cell r="G795" t="str">
            <v>BLUE</v>
          </cell>
          <cell r="H795" t="str">
            <v>FULL_TIME</v>
          </cell>
          <cell r="I795" t="str">
            <v>P03231</v>
          </cell>
          <cell r="K795" t="str">
            <v>NOUFAL FAZILUDEEN</v>
          </cell>
          <cell r="L795" t="str">
            <v>FC Associate III</v>
          </cell>
          <cell r="M795" t="str">
            <v>Operations Supervisor</v>
          </cell>
          <cell r="N795" t="str">
            <v>mnarshad</v>
          </cell>
          <cell r="O795">
            <v>1299</v>
          </cell>
          <cell r="P795" t="str">
            <v>AUH1</v>
          </cell>
          <cell r="Q795" t="str">
            <v>ARE</v>
          </cell>
          <cell r="R795" t="str">
            <v>FC109</v>
          </cell>
          <cell r="S795" t="str">
            <v>Day Shift</v>
          </cell>
          <cell r="T795">
            <v>3</v>
          </cell>
          <cell r="U795" t="str">
            <v>MENA_UAE_FC</v>
          </cell>
          <cell r="V795">
            <v>46257.337500000001</v>
          </cell>
          <cell r="W795">
            <v>46257.749305555553</v>
          </cell>
          <cell r="X795">
            <v>46257.333333333336</v>
          </cell>
          <cell r="Y795">
            <v>46257.75</v>
          </cell>
          <cell r="AA795" t="str">
            <v>Scheduled</v>
          </cell>
          <cell r="AB795" t="str">
            <v>Present</v>
          </cell>
          <cell r="AC795" t="str">
            <v>Outbound</v>
          </cell>
          <cell r="AD795" t="str">
            <v>OB Lead/PA</v>
          </cell>
          <cell r="AE795" t="str">
            <v>Pack</v>
          </cell>
          <cell r="AF795" t="str">
            <v>Tuesday</v>
          </cell>
          <cell r="AG795" t="str">
            <v>Wednesday</v>
          </cell>
          <cell r="AH795">
            <v>19</v>
          </cell>
          <cell r="AJ795">
            <v>42959</v>
          </cell>
          <cell r="AM795" t="str">
            <v>FC</v>
          </cell>
          <cell r="AN795" t="str">
            <v>Regular Full Time</v>
          </cell>
          <cell r="AO795" t="str">
            <v>A</v>
          </cell>
          <cell r="AP795">
            <v>9</v>
          </cell>
          <cell r="AQ795">
            <v>0</v>
          </cell>
          <cell r="AR795">
            <v>1</v>
          </cell>
          <cell r="AS795">
            <v>1</v>
          </cell>
          <cell r="AT795">
            <v>0</v>
          </cell>
          <cell r="AU795">
            <v>0</v>
          </cell>
        </row>
        <row r="796">
          <cell r="D796" t="str">
            <v>nrahamoh</v>
          </cell>
          <cell r="E796">
            <v>203468399</v>
          </cell>
          <cell r="F796" t="str">
            <v>A</v>
          </cell>
          <cell r="G796" t="str">
            <v>GREEN</v>
          </cell>
          <cell r="H796" t="str">
            <v>FULL_TIME</v>
          </cell>
          <cell r="I796">
            <v>900234</v>
          </cell>
          <cell r="J796" t="str">
            <v>Fastlink Outsourcing</v>
          </cell>
          <cell r="K796" t="str">
            <v>Mohammad Rahaman</v>
          </cell>
          <cell r="L796" t="str">
            <v>Warehouse Associate (TEMP)</v>
          </cell>
          <cell r="M796" t="str">
            <v>Warehouse Associate 12M</v>
          </cell>
          <cell r="N796" t="str">
            <v>pparsin</v>
          </cell>
          <cell r="O796">
            <v>1299</v>
          </cell>
          <cell r="P796" t="str">
            <v>AUH1</v>
          </cell>
          <cell r="Q796" t="str">
            <v>ARE</v>
          </cell>
          <cell r="R796" t="str">
            <v>FC059</v>
          </cell>
          <cell r="S796" t="str">
            <v>Day Shift</v>
          </cell>
          <cell r="T796">
            <v>99</v>
          </cell>
          <cell r="U796" t="str">
            <v>MENA_UAE_FC</v>
          </cell>
          <cell r="X796">
            <v>46257.333333333336</v>
          </cell>
          <cell r="Y796">
            <v>46257.75</v>
          </cell>
          <cell r="Z796" t="str">
            <v>Rest Day</v>
          </cell>
          <cell r="AA796" t="str">
            <v>Not Scheduled</v>
          </cell>
          <cell r="AB796" t="str">
            <v>Not Present</v>
          </cell>
          <cell r="AC796" t="str">
            <v>Inbound</v>
          </cell>
          <cell r="AD796" t="str">
            <v>IB Problem Solve</v>
          </cell>
          <cell r="AE796" t="str">
            <v>Receive</v>
          </cell>
          <cell r="AF796" t="str">
            <v>Sunday</v>
          </cell>
          <cell r="AG796" t="str">
            <v>Monday</v>
          </cell>
          <cell r="AH796">
            <v>6</v>
          </cell>
          <cell r="AJ796">
            <v>45455</v>
          </cell>
          <cell r="AM796" t="str">
            <v>TEMP</v>
          </cell>
          <cell r="AN796" t="str">
            <v>3P Onsite Worker</v>
          </cell>
          <cell r="AO796" t="str">
            <v>A</v>
          </cell>
          <cell r="AP796">
            <v>9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</row>
        <row r="797">
          <cell r="D797" t="str">
            <v>nsamkeri</v>
          </cell>
          <cell r="E797">
            <v>204095806</v>
          </cell>
          <cell r="F797" t="str">
            <v>A</v>
          </cell>
          <cell r="G797" t="str">
            <v>GREEN</v>
          </cell>
          <cell r="H797" t="str">
            <v>FULL_TIME</v>
          </cell>
          <cell r="I797">
            <v>900234</v>
          </cell>
          <cell r="J797" t="str">
            <v>Quesscorp</v>
          </cell>
          <cell r="K797" t="str">
            <v>Kerim Nsambimana</v>
          </cell>
          <cell r="L797" t="str">
            <v>Warehouse Associate (TEMP)</v>
          </cell>
          <cell r="M797" t="str">
            <v>Warehouse Associate 24M</v>
          </cell>
          <cell r="N797" t="str">
            <v>lraghava</v>
          </cell>
          <cell r="O797">
            <v>1299</v>
          </cell>
          <cell r="P797" t="str">
            <v>AUH1</v>
          </cell>
          <cell r="Q797" t="str">
            <v>ARE</v>
          </cell>
          <cell r="R797" t="str">
            <v>LK011</v>
          </cell>
          <cell r="S797" t="str">
            <v>Night Shift</v>
          </cell>
          <cell r="T797">
            <v>99</v>
          </cell>
          <cell r="U797" t="str">
            <v>MENA_UAE_FC</v>
          </cell>
          <cell r="V797">
            <v>46257.755555555559</v>
          </cell>
          <cell r="X797">
            <v>46257.756944444445</v>
          </cell>
          <cell r="Y797">
            <v>46258.173611111109</v>
          </cell>
          <cell r="AA797" t="str">
            <v>Scheduled</v>
          </cell>
          <cell r="AB797" t="str">
            <v>Present</v>
          </cell>
          <cell r="AC797" t="str">
            <v>Outbound</v>
          </cell>
          <cell r="AD797" t="str">
            <v>Picking</v>
          </cell>
          <cell r="AE797" t="str">
            <v>Pick</v>
          </cell>
          <cell r="AF797" t="str">
            <v>Friday</v>
          </cell>
          <cell r="AG797" t="str">
            <v>Saturday</v>
          </cell>
          <cell r="AH797">
            <v>13</v>
          </cell>
          <cell r="AJ797">
            <v>45560</v>
          </cell>
          <cell r="AM797" t="str">
            <v>TEMP</v>
          </cell>
          <cell r="AN797" t="str">
            <v>3P Onsite Worker</v>
          </cell>
          <cell r="AO797" t="str">
            <v>A</v>
          </cell>
          <cell r="AP797">
            <v>9</v>
          </cell>
          <cell r="AQ797">
            <v>0</v>
          </cell>
          <cell r="AR797">
            <v>1</v>
          </cell>
          <cell r="AS797">
            <v>1</v>
          </cell>
          <cell r="AT797">
            <v>0</v>
          </cell>
          <cell r="AU797">
            <v>0</v>
          </cell>
        </row>
        <row r="798">
          <cell r="D798" t="str">
            <v>nsosteph</v>
          </cell>
          <cell r="E798">
            <v>205996135</v>
          </cell>
          <cell r="F798" t="str">
            <v>A</v>
          </cell>
          <cell r="G798" t="str">
            <v>GREEN</v>
          </cell>
          <cell r="H798" t="str">
            <v>FULL_TIME</v>
          </cell>
          <cell r="I798">
            <v>900234</v>
          </cell>
          <cell r="J798" t="str">
            <v>Fastlink Outsourcing</v>
          </cell>
          <cell r="K798" t="str">
            <v>NSOM STEPHANIE NABO</v>
          </cell>
          <cell r="L798" t="str">
            <v>Warehouse Associate (TEMP)</v>
          </cell>
          <cell r="M798" t="str">
            <v>Warehouse Associate 12M</v>
          </cell>
          <cell r="N798" t="str">
            <v>scariav</v>
          </cell>
          <cell r="O798">
            <v>1299</v>
          </cell>
          <cell r="P798" t="str">
            <v>AUH1</v>
          </cell>
          <cell r="Q798" t="str">
            <v>ARE</v>
          </cell>
          <cell r="R798" t="str">
            <v>LK012</v>
          </cell>
          <cell r="S798" t="str">
            <v>Night Shift</v>
          </cell>
          <cell r="T798">
            <v>99</v>
          </cell>
          <cell r="U798" t="str">
            <v>MENA_UAE_FC</v>
          </cell>
          <cell r="X798">
            <v>46257.756944444445</v>
          </cell>
          <cell r="Y798">
            <v>46258.173611111109</v>
          </cell>
          <cell r="Z798" t="str">
            <v>Rest Day</v>
          </cell>
          <cell r="AA798" t="str">
            <v>Not Scheduled</v>
          </cell>
          <cell r="AB798" t="str">
            <v>Not Present</v>
          </cell>
          <cell r="AC798" t="str">
            <v>Outbound</v>
          </cell>
          <cell r="AD798" t="str">
            <v>Picking</v>
          </cell>
          <cell r="AE798" t="str">
            <v>Pick</v>
          </cell>
          <cell r="AF798" t="str">
            <v>Saturday</v>
          </cell>
          <cell r="AG798" t="str">
            <v>Sunday</v>
          </cell>
          <cell r="AH798">
            <v>13</v>
          </cell>
          <cell r="AJ798">
            <v>45914</v>
          </cell>
          <cell r="AM798" t="str">
            <v>TEMP</v>
          </cell>
          <cell r="AN798" t="str">
            <v>3P Onsite Worker</v>
          </cell>
          <cell r="AO798" t="str">
            <v>A</v>
          </cell>
          <cell r="AP798">
            <v>9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</row>
        <row r="799">
          <cell r="D799" t="str">
            <v>ntongopo</v>
          </cell>
          <cell r="E799">
            <v>204403811</v>
          </cell>
          <cell r="F799" t="str">
            <v>A</v>
          </cell>
          <cell r="G799" t="str">
            <v>GREEN</v>
          </cell>
          <cell r="H799" t="str">
            <v>FULL_TIME</v>
          </cell>
          <cell r="I799">
            <v>900234</v>
          </cell>
          <cell r="J799" t="str">
            <v>Fastlink Outsourcing</v>
          </cell>
          <cell r="K799" t="str">
            <v>Noemi Tongo Posas</v>
          </cell>
          <cell r="L799" t="str">
            <v>Warehouse Associate (TEMP)</v>
          </cell>
          <cell r="M799" t="str">
            <v>Warehouse Associate 12M</v>
          </cell>
          <cell r="N799" t="str">
            <v>bavameer</v>
          </cell>
          <cell r="O799">
            <v>1299</v>
          </cell>
          <cell r="P799" t="str">
            <v>AUH1</v>
          </cell>
          <cell r="Q799" t="str">
            <v>ARE</v>
          </cell>
          <cell r="R799" t="str">
            <v>FC084</v>
          </cell>
          <cell r="S799" t="str">
            <v>Day Shift</v>
          </cell>
          <cell r="T799">
            <v>99</v>
          </cell>
          <cell r="U799" t="str">
            <v>MENA_UAE_FC</v>
          </cell>
          <cell r="V799">
            <v>46257.330555555556</v>
          </cell>
          <cell r="W799">
            <v>46257.747916666667</v>
          </cell>
          <cell r="X799">
            <v>46257.333333333336</v>
          </cell>
          <cell r="Y799">
            <v>46257.75</v>
          </cell>
          <cell r="AA799" t="str">
            <v>Scheduled</v>
          </cell>
          <cell r="AB799" t="str">
            <v>Present</v>
          </cell>
          <cell r="AC799" t="str">
            <v>Customer returns</v>
          </cell>
          <cell r="AD799" t="str">
            <v>Customer Returns</v>
          </cell>
          <cell r="AE799" t="str">
            <v>Customer returns</v>
          </cell>
          <cell r="AF799" t="str">
            <v>Monday</v>
          </cell>
          <cell r="AG799" t="str">
            <v>Tuesday</v>
          </cell>
          <cell r="AH799">
            <v>22</v>
          </cell>
          <cell r="AJ799">
            <v>45595</v>
          </cell>
          <cell r="AM799" t="str">
            <v>TEMP</v>
          </cell>
          <cell r="AN799" t="str">
            <v>3P Onsite Worker</v>
          </cell>
          <cell r="AO799" t="str">
            <v>A</v>
          </cell>
          <cell r="AP799">
            <v>9</v>
          </cell>
          <cell r="AQ799">
            <v>0</v>
          </cell>
          <cell r="AR799">
            <v>1</v>
          </cell>
          <cell r="AS799">
            <v>1</v>
          </cell>
          <cell r="AT799">
            <v>0</v>
          </cell>
          <cell r="AU799">
            <v>0</v>
          </cell>
        </row>
        <row r="800">
          <cell r="D800" t="str">
            <v>nurenisd</v>
          </cell>
          <cell r="E800">
            <v>203850788</v>
          </cell>
          <cell r="F800" t="str">
            <v>A</v>
          </cell>
          <cell r="G800" t="str">
            <v>GREEN</v>
          </cell>
          <cell r="H800" t="str">
            <v>FULL_TIME</v>
          </cell>
          <cell r="I800">
            <v>900234</v>
          </cell>
          <cell r="J800" t="str">
            <v>Fastlink Outsourcing</v>
          </cell>
          <cell r="K800" t="str">
            <v>Nureni Salifu</v>
          </cell>
          <cell r="L800" t="str">
            <v>Warehouse Associate (TEMP)</v>
          </cell>
          <cell r="M800" t="str">
            <v>Warehouse Associate 12M</v>
          </cell>
          <cell r="N800" t="str">
            <v>bavameer</v>
          </cell>
          <cell r="O800">
            <v>1299</v>
          </cell>
          <cell r="P800" t="str">
            <v>AUH1</v>
          </cell>
          <cell r="Q800" t="str">
            <v>ARE</v>
          </cell>
          <cell r="R800" t="str">
            <v>LK015</v>
          </cell>
          <cell r="S800" t="str">
            <v>Night Shift</v>
          </cell>
          <cell r="T800">
            <v>99</v>
          </cell>
          <cell r="U800" t="str">
            <v>MENA_UAE_FC</v>
          </cell>
          <cell r="V800">
            <v>46257.755555555559</v>
          </cell>
          <cell r="X800">
            <v>46257.756944444445</v>
          </cell>
          <cell r="Y800">
            <v>46258.173611111109</v>
          </cell>
          <cell r="AA800" t="str">
            <v>Scheduled</v>
          </cell>
          <cell r="AB800" t="str">
            <v>Present</v>
          </cell>
          <cell r="AC800" t="str">
            <v>Customer returns</v>
          </cell>
          <cell r="AD800" t="str">
            <v>Customer Returns</v>
          </cell>
          <cell r="AE800" t="str">
            <v>Customer returns</v>
          </cell>
          <cell r="AF800" t="str">
            <v>Tuesday</v>
          </cell>
          <cell r="AG800" t="str">
            <v>Wednesday</v>
          </cell>
          <cell r="AH800">
            <v>22</v>
          </cell>
          <cell r="AJ800">
            <v>45523</v>
          </cell>
          <cell r="AM800" t="str">
            <v>TEMP</v>
          </cell>
          <cell r="AN800" t="str">
            <v>3P Onsite Worker</v>
          </cell>
          <cell r="AO800" t="str">
            <v>A</v>
          </cell>
          <cell r="AP800">
            <v>9</v>
          </cell>
          <cell r="AQ800">
            <v>0</v>
          </cell>
          <cell r="AR800">
            <v>1</v>
          </cell>
          <cell r="AS800">
            <v>1</v>
          </cell>
          <cell r="AT800">
            <v>0</v>
          </cell>
          <cell r="AU800">
            <v>0</v>
          </cell>
        </row>
        <row r="801">
          <cell r="D801" t="str">
            <v>nurudalh</v>
          </cell>
          <cell r="E801">
            <v>203851108</v>
          </cell>
          <cell r="F801" t="str">
            <v>A</v>
          </cell>
          <cell r="G801" t="str">
            <v>GREEN</v>
          </cell>
          <cell r="H801" t="str">
            <v>FULL_TIME</v>
          </cell>
          <cell r="I801">
            <v>900234</v>
          </cell>
          <cell r="J801" t="str">
            <v>Fastlink Outsourcing</v>
          </cell>
          <cell r="K801" t="str">
            <v>Nurudeen Alhassan</v>
          </cell>
          <cell r="L801" t="str">
            <v>Warehouse Associate (TEMP)</v>
          </cell>
          <cell r="M801" t="str">
            <v>Warehouse Associate 12M</v>
          </cell>
          <cell r="N801" t="str">
            <v>bizthoma</v>
          </cell>
          <cell r="O801">
            <v>1299</v>
          </cell>
          <cell r="P801" t="str">
            <v>AUH1</v>
          </cell>
          <cell r="Q801" t="str">
            <v>ARE</v>
          </cell>
          <cell r="R801" t="str">
            <v>LK015</v>
          </cell>
          <cell r="S801" t="str">
            <v>Night Shift</v>
          </cell>
          <cell r="T801">
            <v>99</v>
          </cell>
          <cell r="U801" t="str">
            <v>MENA_UAE_FC</v>
          </cell>
          <cell r="V801">
            <v>46257.754166666666</v>
          </cell>
          <cell r="X801">
            <v>46257.756944444445</v>
          </cell>
          <cell r="Y801">
            <v>46258.173611111109</v>
          </cell>
          <cell r="AA801" t="str">
            <v>Scheduled</v>
          </cell>
          <cell r="AB801" t="str">
            <v>Present</v>
          </cell>
          <cell r="AC801" t="str">
            <v>Outbound</v>
          </cell>
          <cell r="AD801" t="str">
            <v>Pack - Single</v>
          </cell>
          <cell r="AE801" t="str">
            <v>Pack</v>
          </cell>
          <cell r="AF801" t="str">
            <v>Tuesday</v>
          </cell>
          <cell r="AG801" t="str">
            <v>Wednesday</v>
          </cell>
          <cell r="AH801">
            <v>18</v>
          </cell>
          <cell r="AJ801">
            <v>45523</v>
          </cell>
          <cell r="AM801" t="str">
            <v>TEMP</v>
          </cell>
          <cell r="AN801" t="str">
            <v>3P Onsite Worker</v>
          </cell>
          <cell r="AO801" t="str">
            <v>A</v>
          </cell>
          <cell r="AP801">
            <v>9</v>
          </cell>
          <cell r="AQ801">
            <v>0</v>
          </cell>
          <cell r="AR801">
            <v>1</v>
          </cell>
          <cell r="AS801">
            <v>1</v>
          </cell>
          <cell r="AT801">
            <v>0</v>
          </cell>
          <cell r="AU801">
            <v>0</v>
          </cell>
        </row>
        <row r="802">
          <cell r="D802" t="str">
            <v>nuwafrag</v>
          </cell>
          <cell r="E802">
            <v>203993509</v>
          </cell>
          <cell r="F802" t="str">
            <v>A</v>
          </cell>
          <cell r="G802" t="str">
            <v>GREEN</v>
          </cell>
          <cell r="H802" t="str">
            <v>FULL_TIME</v>
          </cell>
          <cell r="I802">
            <v>900234</v>
          </cell>
          <cell r="J802" t="str">
            <v>Dulsco L.L.C.</v>
          </cell>
          <cell r="K802" t="str">
            <v>FRANK NUWAHEREZA</v>
          </cell>
          <cell r="L802" t="str">
            <v>Warehouse Associate (TEMP)</v>
          </cell>
          <cell r="M802" t="str">
            <v>Warehouse Associate 24M</v>
          </cell>
          <cell r="N802" t="str">
            <v>lraghava</v>
          </cell>
          <cell r="O802">
            <v>1299</v>
          </cell>
          <cell r="P802" t="str">
            <v>AUH1</v>
          </cell>
          <cell r="Q802" t="str">
            <v>ARE</v>
          </cell>
          <cell r="R802" t="str">
            <v>FC134</v>
          </cell>
          <cell r="S802" t="str">
            <v>Day Shift</v>
          </cell>
          <cell r="T802">
            <v>99</v>
          </cell>
          <cell r="U802" t="str">
            <v>MENA_UAE_FC</v>
          </cell>
          <cell r="V802">
            <v>46257.331944444442</v>
          </cell>
          <cell r="W802">
            <v>46257.746527777781</v>
          </cell>
          <cell r="X802">
            <v>46257.333333333336</v>
          </cell>
          <cell r="Y802">
            <v>46257.75</v>
          </cell>
          <cell r="AA802" t="str">
            <v>Scheduled</v>
          </cell>
          <cell r="AB802" t="str">
            <v>Present</v>
          </cell>
          <cell r="AC802" t="str">
            <v>Outbound</v>
          </cell>
          <cell r="AD802" t="str">
            <v>Picking</v>
          </cell>
          <cell r="AE802" t="str">
            <v>Pick</v>
          </cell>
          <cell r="AF802" t="str">
            <v>Wednesday</v>
          </cell>
          <cell r="AG802" t="str">
            <v>Thursday</v>
          </cell>
          <cell r="AH802">
            <v>13</v>
          </cell>
          <cell r="AJ802">
            <v>45893</v>
          </cell>
          <cell r="AM802" t="str">
            <v>TEMP</v>
          </cell>
          <cell r="AN802" t="str">
            <v>3P Onsite Worker</v>
          </cell>
          <cell r="AO802" t="str">
            <v>A</v>
          </cell>
          <cell r="AP802">
            <v>9</v>
          </cell>
          <cell r="AQ802">
            <v>0</v>
          </cell>
          <cell r="AR802">
            <v>1</v>
          </cell>
          <cell r="AS802">
            <v>1</v>
          </cell>
          <cell r="AT802">
            <v>0</v>
          </cell>
          <cell r="AU802">
            <v>0</v>
          </cell>
        </row>
        <row r="803">
          <cell r="D803" t="str">
            <v>nuwallat</v>
          </cell>
          <cell r="E803">
            <v>203993521</v>
          </cell>
          <cell r="F803" t="str">
            <v>A</v>
          </cell>
          <cell r="G803" t="str">
            <v>GREEN</v>
          </cell>
          <cell r="H803" t="str">
            <v>FULL_TIME</v>
          </cell>
          <cell r="I803">
            <v>900234</v>
          </cell>
          <cell r="J803" t="str">
            <v>Dulsco L.L.C.</v>
          </cell>
          <cell r="K803" t="str">
            <v>LATIB NUWALIMANYA</v>
          </cell>
          <cell r="L803" t="str">
            <v>Warehouse Associate (TEMP)</v>
          </cell>
          <cell r="M803" t="str">
            <v>Warehouse Associate 24M</v>
          </cell>
          <cell r="N803" t="str">
            <v>bizthoma</v>
          </cell>
          <cell r="O803">
            <v>1299</v>
          </cell>
          <cell r="P803" t="str">
            <v>AUH1</v>
          </cell>
          <cell r="Q803" t="str">
            <v>ARE</v>
          </cell>
          <cell r="R803" t="str">
            <v>LK012</v>
          </cell>
          <cell r="S803" t="str">
            <v>Night Shift</v>
          </cell>
          <cell r="T803">
            <v>99</v>
          </cell>
          <cell r="U803" t="str">
            <v>MENA_UAE_FC</v>
          </cell>
          <cell r="X803">
            <v>46257.756944444445</v>
          </cell>
          <cell r="Y803">
            <v>46258.173611111109</v>
          </cell>
          <cell r="Z803" t="str">
            <v>Rest Day</v>
          </cell>
          <cell r="AA803" t="str">
            <v>Not Scheduled</v>
          </cell>
          <cell r="AB803" t="str">
            <v>Not Present</v>
          </cell>
          <cell r="AC803" t="str">
            <v>Outbound</v>
          </cell>
          <cell r="AD803" t="str">
            <v>Picking</v>
          </cell>
          <cell r="AE803" t="str">
            <v>Pick</v>
          </cell>
          <cell r="AF803" t="str">
            <v>Saturday</v>
          </cell>
          <cell r="AG803" t="str">
            <v>Sunday</v>
          </cell>
          <cell r="AH803">
            <v>13</v>
          </cell>
          <cell r="AJ803">
            <v>45546</v>
          </cell>
          <cell r="AM803" t="str">
            <v>TEMP</v>
          </cell>
          <cell r="AN803" t="str">
            <v>3P Onsite Worker</v>
          </cell>
          <cell r="AO803" t="str">
            <v>A</v>
          </cell>
          <cell r="AP803">
            <v>9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</row>
        <row r="804">
          <cell r="D804" t="str">
            <v>nyabuniv</v>
          </cell>
          <cell r="E804">
            <v>205495595</v>
          </cell>
          <cell r="F804" t="str">
            <v>A</v>
          </cell>
          <cell r="G804" t="str">
            <v>GREEN</v>
          </cell>
          <cell r="H804" t="str">
            <v>FULL_TIME</v>
          </cell>
          <cell r="I804">
            <v>900234</v>
          </cell>
          <cell r="J804" t="str">
            <v>EFS Facilities Services</v>
          </cell>
          <cell r="K804" t="str">
            <v>NIVAH MORAA NYABUTO</v>
          </cell>
          <cell r="L804" t="str">
            <v>Warehouse Associate (TEMP)</v>
          </cell>
          <cell r="M804" t="str">
            <v>Warehouse Associate 8W</v>
          </cell>
          <cell r="N804" t="str">
            <v>vkkatyal</v>
          </cell>
          <cell r="O804">
            <v>1299</v>
          </cell>
          <cell r="P804" t="str">
            <v>AUH1</v>
          </cell>
          <cell r="Q804" t="str">
            <v>ARE</v>
          </cell>
          <cell r="R804" t="str">
            <v>FC059</v>
          </cell>
          <cell r="S804" t="str">
            <v>Day Shift</v>
          </cell>
          <cell r="T804">
            <v>99</v>
          </cell>
          <cell r="U804" t="str">
            <v>MENA_UAE_FC</v>
          </cell>
          <cell r="X804">
            <v>46257.333333333336</v>
          </cell>
          <cell r="Y804">
            <v>46257.75</v>
          </cell>
          <cell r="Z804" t="str">
            <v>Rest Day</v>
          </cell>
          <cell r="AA804" t="str">
            <v>Not Scheduled</v>
          </cell>
          <cell r="AB804" t="str">
            <v>Not Present</v>
          </cell>
          <cell r="AC804" t="str">
            <v>Inbound</v>
          </cell>
          <cell r="AD804" t="str">
            <v>Inbound Stow</v>
          </cell>
          <cell r="AE804" t="str">
            <v>Stow</v>
          </cell>
          <cell r="AF804" t="str">
            <v>Sunday</v>
          </cell>
          <cell r="AG804" t="str">
            <v>Monday</v>
          </cell>
          <cell r="AH804">
            <v>3</v>
          </cell>
          <cell r="AJ804">
            <v>45830</v>
          </cell>
          <cell r="AM804" t="str">
            <v>TEMP</v>
          </cell>
          <cell r="AN804" t="str">
            <v>3P Onsite Worker</v>
          </cell>
          <cell r="AO804" t="str">
            <v>A</v>
          </cell>
          <cell r="AP804">
            <v>9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</row>
        <row r="805">
          <cell r="D805" t="str">
            <v>nyanahte</v>
          </cell>
          <cell r="E805">
            <v>203736774</v>
          </cell>
          <cell r="F805" t="str">
            <v>A</v>
          </cell>
          <cell r="G805" t="str">
            <v>GREEN</v>
          </cell>
          <cell r="H805" t="str">
            <v>FULL_TIME</v>
          </cell>
          <cell r="I805">
            <v>900234</v>
          </cell>
          <cell r="J805" t="str">
            <v>Adecco</v>
          </cell>
          <cell r="K805" t="str">
            <v>Nyan Htet</v>
          </cell>
          <cell r="L805" t="str">
            <v>Warehouse Associate (TEMP)</v>
          </cell>
          <cell r="M805" t="str">
            <v>Warehouse Associate 24M</v>
          </cell>
          <cell r="N805" t="str">
            <v>vkkatyal</v>
          </cell>
          <cell r="O805">
            <v>1299</v>
          </cell>
          <cell r="P805" t="str">
            <v>AUH1</v>
          </cell>
          <cell r="Q805" t="str">
            <v>ARE</v>
          </cell>
          <cell r="R805" t="str">
            <v>FC059</v>
          </cell>
          <cell r="S805" t="str">
            <v>Day Shift</v>
          </cell>
          <cell r="T805">
            <v>99</v>
          </cell>
          <cell r="U805" t="str">
            <v>MENA_UAE_FC</v>
          </cell>
          <cell r="X805">
            <v>46257.333333333336</v>
          </cell>
          <cell r="Y805">
            <v>46257.75</v>
          </cell>
          <cell r="Z805" t="str">
            <v>Rest Day</v>
          </cell>
          <cell r="AA805" t="str">
            <v>Not Scheduled</v>
          </cell>
          <cell r="AB805" t="str">
            <v>Not Present</v>
          </cell>
          <cell r="AC805" t="str">
            <v>Inbound</v>
          </cell>
          <cell r="AD805" t="str">
            <v>IB Problem Solve</v>
          </cell>
          <cell r="AE805" t="str">
            <v>Receive</v>
          </cell>
          <cell r="AF805" t="str">
            <v>Sunday</v>
          </cell>
          <cell r="AG805" t="str">
            <v>Monday</v>
          </cell>
          <cell r="AH805">
            <v>6</v>
          </cell>
          <cell r="AJ805">
            <v>45501</v>
          </cell>
          <cell r="AM805" t="str">
            <v>TEMP</v>
          </cell>
          <cell r="AN805" t="str">
            <v>3P Onsite Worker</v>
          </cell>
          <cell r="AO805" t="str">
            <v>A</v>
          </cell>
          <cell r="AP805">
            <v>9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</row>
        <row r="806">
          <cell r="D806" t="str">
            <v>nyanprin</v>
          </cell>
          <cell r="E806">
            <v>203679325</v>
          </cell>
          <cell r="F806" t="str">
            <v>A</v>
          </cell>
          <cell r="G806" t="str">
            <v>GREEN</v>
          </cell>
          <cell r="H806" t="str">
            <v>FULL_TIME</v>
          </cell>
          <cell r="I806">
            <v>900234</v>
          </cell>
          <cell r="J806" t="str">
            <v>Fastlink Outsourcing</v>
          </cell>
          <cell r="K806" t="str">
            <v>Prince Nyanson</v>
          </cell>
          <cell r="L806" t="str">
            <v>Warehouse Associate (TEMP)</v>
          </cell>
          <cell r="M806" t="str">
            <v>Warehouse Associate 12M</v>
          </cell>
          <cell r="N806" t="str">
            <v>bavameer</v>
          </cell>
          <cell r="O806">
            <v>1299</v>
          </cell>
          <cell r="P806" t="str">
            <v>AUH1</v>
          </cell>
          <cell r="Q806" t="str">
            <v>ARE</v>
          </cell>
          <cell r="R806" t="str">
            <v>FC084</v>
          </cell>
          <cell r="S806" t="str">
            <v>Day Shift</v>
          </cell>
          <cell r="T806">
            <v>99</v>
          </cell>
          <cell r="U806" t="str">
            <v>MENA_UAE_FC</v>
          </cell>
          <cell r="V806">
            <v>46257.331944444442</v>
          </cell>
          <cell r="W806">
            <v>46257.75</v>
          </cell>
          <cell r="X806">
            <v>46257.333333333336</v>
          </cell>
          <cell r="Y806">
            <v>46257.75</v>
          </cell>
          <cell r="AA806" t="str">
            <v>Scheduled</v>
          </cell>
          <cell r="AB806" t="str">
            <v>Present</v>
          </cell>
          <cell r="AC806" t="str">
            <v>Customer returns</v>
          </cell>
          <cell r="AD806" t="str">
            <v>Customer Returns</v>
          </cell>
          <cell r="AE806" t="str">
            <v>Customer returns</v>
          </cell>
          <cell r="AF806" t="str">
            <v>Monday</v>
          </cell>
          <cell r="AG806" t="str">
            <v>Tuesday</v>
          </cell>
          <cell r="AH806">
            <v>22</v>
          </cell>
          <cell r="AJ806">
            <v>45487</v>
          </cell>
          <cell r="AM806" t="str">
            <v>TEMP</v>
          </cell>
          <cell r="AN806" t="str">
            <v>3P Onsite Worker</v>
          </cell>
          <cell r="AO806" t="str">
            <v>A</v>
          </cell>
          <cell r="AP806">
            <v>9</v>
          </cell>
          <cell r="AQ806">
            <v>0</v>
          </cell>
          <cell r="AR806">
            <v>1</v>
          </cell>
          <cell r="AS806">
            <v>1</v>
          </cell>
          <cell r="AT806">
            <v>0</v>
          </cell>
          <cell r="AU806">
            <v>0</v>
          </cell>
        </row>
        <row r="807">
          <cell r="D807" t="str">
            <v>nyasnoah</v>
          </cell>
          <cell r="E807">
            <v>206016552</v>
          </cell>
          <cell r="F807" t="str">
            <v>A</v>
          </cell>
          <cell r="G807" t="str">
            <v>GREEN</v>
          </cell>
          <cell r="H807" t="str">
            <v>FULL_TIME</v>
          </cell>
          <cell r="I807">
            <v>900234</v>
          </cell>
          <cell r="J807" t="str">
            <v>Fastlink Outsourcing</v>
          </cell>
          <cell r="K807" t="str">
            <v>NOAH NYASHA BUNU</v>
          </cell>
          <cell r="L807" t="str">
            <v>Warehouse Associate (TEMP)</v>
          </cell>
          <cell r="M807" t="str">
            <v>Warehouse Associate 8W</v>
          </cell>
          <cell r="N807" t="str">
            <v>bavameer</v>
          </cell>
          <cell r="O807">
            <v>1299</v>
          </cell>
          <cell r="P807" t="str">
            <v>AUH1</v>
          </cell>
          <cell r="Q807" t="str">
            <v>ARE</v>
          </cell>
          <cell r="R807" t="str">
            <v>FC034</v>
          </cell>
          <cell r="S807" t="str">
            <v>Day Shift</v>
          </cell>
          <cell r="T807">
            <v>99</v>
          </cell>
          <cell r="U807" t="str">
            <v>MENA_UAE_FC</v>
          </cell>
          <cell r="X807">
            <v>46257.333333333336</v>
          </cell>
          <cell r="Y807">
            <v>46257.75</v>
          </cell>
          <cell r="Z807" t="str">
            <v>Rest Day</v>
          </cell>
          <cell r="AA807" t="str">
            <v>Not Scheduled</v>
          </cell>
          <cell r="AB807" t="str">
            <v>Not Present</v>
          </cell>
          <cell r="AC807" t="str">
            <v>Customer returns</v>
          </cell>
          <cell r="AD807" t="str">
            <v>Customer Returns</v>
          </cell>
          <cell r="AE807" t="str">
            <v>Customer returns</v>
          </cell>
          <cell r="AF807" t="str">
            <v>Saturday</v>
          </cell>
          <cell r="AG807" t="str">
            <v>Sunday</v>
          </cell>
          <cell r="AH807">
            <v>22</v>
          </cell>
          <cell r="AJ807">
            <v>45914</v>
          </cell>
          <cell r="AM807" t="str">
            <v>TEMP</v>
          </cell>
          <cell r="AN807" t="str">
            <v>3P Onsite Worker</v>
          </cell>
          <cell r="AO807" t="str">
            <v>A</v>
          </cell>
          <cell r="AP807">
            <v>9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</row>
        <row r="808">
          <cell r="D808" t="str">
            <v>nyazacha</v>
          </cell>
          <cell r="E808">
            <v>205275635</v>
          </cell>
          <cell r="F808" t="str">
            <v>A</v>
          </cell>
          <cell r="G808" t="str">
            <v>GREEN</v>
          </cell>
          <cell r="H808" t="str">
            <v>FULL_TIME</v>
          </cell>
          <cell r="I808">
            <v>900234</v>
          </cell>
          <cell r="J808" t="str">
            <v>EFS Facilities Services</v>
          </cell>
          <cell r="K808" t="str">
            <v>Zacharia Nyaosi Nyang</v>
          </cell>
          <cell r="L808" t="str">
            <v>Warehouse Associate (TEMP)</v>
          </cell>
          <cell r="M808" t="str">
            <v>Warehouse Associate 8W</v>
          </cell>
          <cell r="N808" t="str">
            <v>bavameer</v>
          </cell>
          <cell r="O808">
            <v>1299</v>
          </cell>
          <cell r="P808" t="str">
            <v>AUH1</v>
          </cell>
          <cell r="Q808" t="str">
            <v>ARE</v>
          </cell>
          <cell r="R808" t="str">
            <v>FC034</v>
          </cell>
          <cell r="S808" t="str">
            <v>Day Shift</v>
          </cell>
          <cell r="T808">
            <v>99</v>
          </cell>
          <cell r="U808" t="str">
            <v>MENA_UAE_FC</v>
          </cell>
          <cell r="X808">
            <v>46257.333333333336</v>
          </cell>
          <cell r="Y808">
            <v>46257.75</v>
          </cell>
          <cell r="Z808" t="str">
            <v>Rest Day</v>
          </cell>
          <cell r="AA808" t="str">
            <v>Not Scheduled</v>
          </cell>
          <cell r="AB808" t="str">
            <v>Not Present</v>
          </cell>
          <cell r="AC808" t="str">
            <v>Customer returns</v>
          </cell>
          <cell r="AD808" t="str">
            <v>Customer Returns</v>
          </cell>
          <cell r="AE808" t="str">
            <v>Customer returns</v>
          </cell>
          <cell r="AF808" t="str">
            <v>Saturday</v>
          </cell>
          <cell r="AG808" t="str">
            <v>Sunday</v>
          </cell>
          <cell r="AH808">
            <v>22</v>
          </cell>
          <cell r="AJ808">
            <v>45949</v>
          </cell>
          <cell r="AM808" t="str">
            <v>TEMP</v>
          </cell>
          <cell r="AN808" t="str">
            <v>3P Onsite Worker</v>
          </cell>
          <cell r="AO808" t="str">
            <v>A</v>
          </cell>
          <cell r="AP808">
            <v>9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</row>
        <row r="809">
          <cell r="D809" t="str">
            <v>nyeineb</v>
          </cell>
          <cell r="E809">
            <v>203709877</v>
          </cell>
          <cell r="F809" t="str">
            <v>A</v>
          </cell>
          <cell r="G809" t="str">
            <v>GREEN</v>
          </cell>
          <cell r="H809" t="str">
            <v>FULL_TIME</v>
          </cell>
          <cell r="I809">
            <v>900234</v>
          </cell>
          <cell r="J809" t="str">
            <v>Adecco</v>
          </cell>
          <cell r="K809" t="str">
            <v>Ei Nyein</v>
          </cell>
          <cell r="L809" t="str">
            <v>Warehouse Associate (TEMP)</v>
          </cell>
          <cell r="M809" t="str">
            <v>Warehouse Associate 24M</v>
          </cell>
          <cell r="N809" t="str">
            <v>kebedeed</v>
          </cell>
          <cell r="O809">
            <v>1299</v>
          </cell>
          <cell r="P809" t="str">
            <v>AUH1</v>
          </cell>
          <cell r="Q809" t="str">
            <v>ARE</v>
          </cell>
          <cell r="R809" t="str">
            <v>FC034</v>
          </cell>
          <cell r="S809" t="str">
            <v>Day Shift</v>
          </cell>
          <cell r="T809">
            <v>99</v>
          </cell>
          <cell r="U809" t="str">
            <v>MENA_UAE_FC</v>
          </cell>
          <cell r="X809">
            <v>46257.333333333336</v>
          </cell>
          <cell r="Y809">
            <v>46257.75</v>
          </cell>
          <cell r="Z809" t="str">
            <v>Rest Day</v>
          </cell>
          <cell r="AA809" t="str">
            <v>Not Scheduled</v>
          </cell>
          <cell r="AB809" t="str">
            <v>Not Present</v>
          </cell>
          <cell r="AC809" t="str">
            <v>Support</v>
          </cell>
          <cell r="AD809" t="str">
            <v>Facilities</v>
          </cell>
          <cell r="AE809" t="str">
            <v>Support</v>
          </cell>
          <cell r="AF809" t="str">
            <v>Saturday</v>
          </cell>
          <cell r="AG809" t="str">
            <v>Sunday</v>
          </cell>
          <cell r="AH809">
            <v>28</v>
          </cell>
          <cell r="AJ809">
            <v>45494</v>
          </cell>
          <cell r="AM809" t="str">
            <v>TEMP</v>
          </cell>
          <cell r="AN809" t="str">
            <v>3P Onsite Worker</v>
          </cell>
          <cell r="AO809" t="str">
            <v>A</v>
          </cell>
          <cell r="AP809">
            <v>9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</row>
        <row r="810">
          <cell r="D810" t="str">
            <v>nyfridax</v>
          </cell>
          <cell r="E810">
            <v>206192269</v>
          </cell>
          <cell r="F810" t="str">
            <v>A</v>
          </cell>
          <cell r="G810" t="str">
            <v>GREEN</v>
          </cell>
          <cell r="H810" t="str">
            <v>FULL_TIME</v>
          </cell>
          <cell r="I810">
            <v>900234</v>
          </cell>
          <cell r="J810" t="str">
            <v>EFS Facilities Services</v>
          </cell>
          <cell r="K810" t="str">
            <v>Fridah Kwamboka Nyakweba</v>
          </cell>
          <cell r="L810" t="str">
            <v>Warehouse Associate (TEMP)</v>
          </cell>
          <cell r="M810" t="str">
            <v>Warehouse Associate 8W</v>
          </cell>
          <cell r="N810" t="str">
            <v>ansammar</v>
          </cell>
          <cell r="O810">
            <v>1299</v>
          </cell>
          <cell r="P810" t="str">
            <v>AUH1</v>
          </cell>
          <cell r="Q810" t="str">
            <v>ARE</v>
          </cell>
          <cell r="R810" t="str">
            <v>FC009</v>
          </cell>
          <cell r="S810" t="str">
            <v>Day Shift</v>
          </cell>
          <cell r="T810">
            <v>99</v>
          </cell>
          <cell r="U810" t="str">
            <v>MENA_UAE_FC</v>
          </cell>
          <cell r="V810">
            <v>46257.332638888889</v>
          </cell>
          <cell r="W810">
            <v>46257.750694444447</v>
          </cell>
          <cell r="X810">
            <v>46257.333333333336</v>
          </cell>
          <cell r="Y810">
            <v>46257.75</v>
          </cell>
          <cell r="AA810" t="str">
            <v>Scheduled</v>
          </cell>
          <cell r="AB810" t="str">
            <v>Present</v>
          </cell>
          <cell r="AC810" t="str">
            <v>Outbound</v>
          </cell>
          <cell r="AD810" t="str">
            <v>Picking</v>
          </cell>
          <cell r="AE810" t="str">
            <v>Pick</v>
          </cell>
          <cell r="AF810" t="str">
            <v>Friday</v>
          </cell>
          <cell r="AG810" t="str">
            <v>Saturday</v>
          </cell>
          <cell r="AH810">
            <v>13</v>
          </cell>
          <cell r="AJ810">
            <v>45935</v>
          </cell>
          <cell r="AM810" t="str">
            <v>TEMP</v>
          </cell>
          <cell r="AN810" t="str">
            <v>3P Onsite Worker</v>
          </cell>
          <cell r="AO810" t="str">
            <v>A</v>
          </cell>
          <cell r="AP810">
            <v>9</v>
          </cell>
          <cell r="AQ810">
            <v>0</v>
          </cell>
          <cell r="AR810">
            <v>1</v>
          </cell>
          <cell r="AS810">
            <v>1</v>
          </cell>
          <cell r="AT810">
            <v>0</v>
          </cell>
          <cell r="AU810">
            <v>0</v>
          </cell>
        </row>
        <row r="811">
          <cell r="D811" t="str">
            <v>nyikadzp</v>
          </cell>
          <cell r="E811">
            <v>204869089</v>
          </cell>
          <cell r="F811" t="str">
            <v>A</v>
          </cell>
          <cell r="G811" t="str">
            <v>GREEN</v>
          </cell>
          <cell r="H811" t="str">
            <v>FULL_TIME</v>
          </cell>
          <cell r="I811">
            <v>900234</v>
          </cell>
          <cell r="J811" t="str">
            <v>Quesscorp</v>
          </cell>
          <cell r="K811" t="str">
            <v>Patson Nyikadzino</v>
          </cell>
          <cell r="L811" t="str">
            <v>Warehouse Associate (TEMP)</v>
          </cell>
          <cell r="M811" t="str">
            <v>Warehouse Associate 24M</v>
          </cell>
          <cell r="N811" t="str">
            <v>nnahla</v>
          </cell>
          <cell r="O811">
            <v>1299</v>
          </cell>
          <cell r="P811" t="str">
            <v>AUH1</v>
          </cell>
          <cell r="Q811" t="str">
            <v>ARE</v>
          </cell>
          <cell r="R811" t="str">
            <v>FC134</v>
          </cell>
          <cell r="S811" t="str">
            <v>Day Shift</v>
          </cell>
          <cell r="T811">
            <v>99</v>
          </cell>
          <cell r="U811" t="str">
            <v>MENA_UAE_FC</v>
          </cell>
          <cell r="V811">
            <v>46257.331944444442</v>
          </cell>
          <cell r="W811">
            <v>46257.75</v>
          </cell>
          <cell r="X811">
            <v>46257.333333333336</v>
          </cell>
          <cell r="Y811">
            <v>46257.75</v>
          </cell>
          <cell r="AA811" t="str">
            <v>Scheduled</v>
          </cell>
          <cell r="AB811" t="str">
            <v>Present</v>
          </cell>
          <cell r="AC811" t="str">
            <v>Inbound</v>
          </cell>
          <cell r="AD811" t="str">
            <v>Inbound Stow</v>
          </cell>
          <cell r="AE811" t="str">
            <v>Stow</v>
          </cell>
          <cell r="AF811" t="str">
            <v>Wednesday</v>
          </cell>
          <cell r="AG811" t="str">
            <v>Thursday</v>
          </cell>
          <cell r="AH811">
            <v>3</v>
          </cell>
          <cell r="AJ811">
            <v>45690</v>
          </cell>
          <cell r="AM811" t="str">
            <v>TEMP</v>
          </cell>
          <cell r="AN811" t="str">
            <v>3P Onsite Worker</v>
          </cell>
          <cell r="AO811" t="str">
            <v>A</v>
          </cell>
          <cell r="AP811">
            <v>9</v>
          </cell>
          <cell r="AQ811">
            <v>0</v>
          </cell>
          <cell r="AR811">
            <v>1</v>
          </cell>
          <cell r="AS811">
            <v>1</v>
          </cell>
          <cell r="AT811">
            <v>0</v>
          </cell>
          <cell r="AU811">
            <v>0</v>
          </cell>
        </row>
        <row r="812">
          <cell r="D812" t="str">
            <v>nymunemw</v>
          </cell>
          <cell r="E812">
            <v>204883234</v>
          </cell>
          <cell r="F812" t="str">
            <v>A</v>
          </cell>
          <cell r="G812" t="str">
            <v>GREEN</v>
          </cell>
          <cell r="H812" t="str">
            <v>FULL_TIME</v>
          </cell>
          <cell r="I812">
            <v>900234</v>
          </cell>
          <cell r="J812" t="str">
            <v>Quesscorp</v>
          </cell>
          <cell r="K812" t="str">
            <v>Nyasha Millicent Munemo</v>
          </cell>
          <cell r="L812" t="str">
            <v>Warehouse Associate (TEMP)</v>
          </cell>
          <cell r="M812" t="str">
            <v>Warehouse Associate 24M</v>
          </cell>
          <cell r="N812" t="str">
            <v>nnahla</v>
          </cell>
          <cell r="O812">
            <v>1299</v>
          </cell>
          <cell r="P812" t="str">
            <v>AUH1</v>
          </cell>
          <cell r="Q812" t="str">
            <v>ARE</v>
          </cell>
          <cell r="R812" t="str">
            <v>FC059</v>
          </cell>
          <cell r="S812" t="str">
            <v>Day Shift</v>
          </cell>
          <cell r="T812">
            <v>99</v>
          </cell>
          <cell r="U812" t="str">
            <v>MENA_UAE_FC</v>
          </cell>
          <cell r="X812">
            <v>46257.333333333336</v>
          </cell>
          <cell r="Y812">
            <v>46257.75</v>
          </cell>
          <cell r="Z812" t="str">
            <v>Rest Day</v>
          </cell>
          <cell r="AA812" t="str">
            <v>Not Scheduled</v>
          </cell>
          <cell r="AB812" t="str">
            <v>Not Present</v>
          </cell>
          <cell r="AC812" t="str">
            <v>Inbound</v>
          </cell>
          <cell r="AD812" t="str">
            <v>Inbound Stow</v>
          </cell>
          <cell r="AE812" t="str">
            <v>Stow</v>
          </cell>
          <cell r="AF812" t="str">
            <v>Sunday</v>
          </cell>
          <cell r="AG812" t="str">
            <v>Monday</v>
          </cell>
          <cell r="AH812">
            <v>3</v>
          </cell>
          <cell r="AJ812">
            <v>45690</v>
          </cell>
          <cell r="AM812" t="str">
            <v>TEMP</v>
          </cell>
          <cell r="AN812" t="str">
            <v>3P Onsite Worker</v>
          </cell>
          <cell r="AO812" t="str">
            <v>A</v>
          </cell>
          <cell r="AP812">
            <v>9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</row>
        <row r="813">
          <cell r="D813" t="str">
            <v>oafmuham</v>
          </cell>
          <cell r="E813">
            <v>201633155</v>
          </cell>
          <cell r="F813" t="str">
            <v>A</v>
          </cell>
          <cell r="G813" t="str">
            <v>GREEN</v>
          </cell>
          <cell r="H813" t="str">
            <v>FULL_TIME</v>
          </cell>
          <cell r="I813">
            <v>900234</v>
          </cell>
          <cell r="J813" t="str">
            <v>Quesscorp</v>
          </cell>
          <cell r="K813" t="str">
            <v>Muhammad Farhan Afzal</v>
          </cell>
          <cell r="L813" t="str">
            <v>Warehouse Associate (TEMP)</v>
          </cell>
          <cell r="M813" t="str">
            <v>Warehouse Associate 24M</v>
          </cell>
          <cell r="N813" t="str">
            <v>abbaszoo</v>
          </cell>
          <cell r="O813">
            <v>1299</v>
          </cell>
          <cell r="P813" t="str">
            <v>AUH1</v>
          </cell>
          <cell r="Q813" t="str">
            <v>ARE</v>
          </cell>
          <cell r="R813" t="str">
            <v>FC109</v>
          </cell>
          <cell r="S813" t="str">
            <v>Day Shift</v>
          </cell>
          <cell r="T813">
            <v>99</v>
          </cell>
          <cell r="U813" t="str">
            <v>MENA_UAE_FC</v>
          </cell>
          <cell r="V813">
            <v>46257.333333333336</v>
          </cell>
          <cell r="W813">
            <v>46257.752083333333</v>
          </cell>
          <cell r="X813">
            <v>46257.333333333336</v>
          </cell>
          <cell r="Y813">
            <v>46257.75</v>
          </cell>
          <cell r="AA813" t="str">
            <v>Scheduled</v>
          </cell>
          <cell r="AB813" t="str">
            <v>Present</v>
          </cell>
          <cell r="AC813" t="str">
            <v>Inbound</v>
          </cell>
          <cell r="AD813" t="str">
            <v>Inbound Stow</v>
          </cell>
          <cell r="AE813" t="str">
            <v>Stow</v>
          </cell>
          <cell r="AF813" t="str">
            <v>Tuesday</v>
          </cell>
          <cell r="AG813" t="str">
            <v>Wednesday</v>
          </cell>
          <cell r="AH813">
            <v>3</v>
          </cell>
          <cell r="AJ813">
            <v>45580</v>
          </cell>
          <cell r="AM813" t="str">
            <v>TEMP</v>
          </cell>
          <cell r="AN813" t="str">
            <v>3P Onsite Worker</v>
          </cell>
          <cell r="AO813" t="str">
            <v>A</v>
          </cell>
          <cell r="AP813">
            <v>9</v>
          </cell>
          <cell r="AQ813">
            <v>0</v>
          </cell>
          <cell r="AR813">
            <v>1</v>
          </cell>
          <cell r="AS813">
            <v>1</v>
          </cell>
          <cell r="AT813">
            <v>0</v>
          </cell>
          <cell r="AU813">
            <v>0</v>
          </cell>
        </row>
        <row r="814">
          <cell r="D814" t="str">
            <v>obanhuss</v>
          </cell>
          <cell r="E814">
            <v>206874042</v>
          </cell>
          <cell r="F814" t="str">
            <v>A</v>
          </cell>
          <cell r="G814" t="str">
            <v>GREEN</v>
          </cell>
          <cell r="H814" t="str">
            <v>FULL_TIME</v>
          </cell>
          <cell r="I814">
            <v>900234</v>
          </cell>
          <cell r="J814" t="str">
            <v>Dulsco L.L.C.</v>
          </cell>
          <cell r="K814" t="str">
            <v>HUSSEIN OBANDYO</v>
          </cell>
          <cell r="L814" t="str">
            <v>Warehouse Associate (TEMP)</v>
          </cell>
          <cell r="M814" t="str">
            <v>Warehouse Associate 8W</v>
          </cell>
          <cell r="N814" t="str">
            <v>vkkatyal</v>
          </cell>
          <cell r="O814">
            <v>1299</v>
          </cell>
          <cell r="P814" t="str">
            <v>AUH1</v>
          </cell>
          <cell r="Q814" t="str">
            <v>ARE</v>
          </cell>
          <cell r="R814" t="str">
            <v>FC059</v>
          </cell>
          <cell r="S814" t="str">
            <v>Day Shift</v>
          </cell>
          <cell r="T814">
            <v>99</v>
          </cell>
          <cell r="U814" t="str">
            <v>MENA_UAE_FC</v>
          </cell>
          <cell r="X814">
            <v>46257.333333333336</v>
          </cell>
          <cell r="Y814">
            <v>46257.75</v>
          </cell>
          <cell r="Z814" t="str">
            <v>Rest Day</v>
          </cell>
          <cell r="AA814" t="str">
            <v>Not Scheduled</v>
          </cell>
          <cell r="AB814" t="str">
            <v>Not Present</v>
          </cell>
          <cell r="AC814" t="str">
            <v>Inbound</v>
          </cell>
          <cell r="AD814" t="str">
            <v>Inbound Stow</v>
          </cell>
          <cell r="AE814" t="str">
            <v>Stow</v>
          </cell>
          <cell r="AF814" t="str">
            <v>Sunday</v>
          </cell>
          <cell r="AG814" t="str">
            <v>Monday</v>
          </cell>
          <cell r="AH814">
            <v>3</v>
          </cell>
          <cell r="AJ814">
            <v>46019</v>
          </cell>
          <cell r="AM814" t="str">
            <v>TEMP</v>
          </cell>
          <cell r="AN814" t="str">
            <v>3P Onsite Worker</v>
          </cell>
          <cell r="AO814" t="str">
            <v>A</v>
          </cell>
          <cell r="AP814">
            <v>9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</row>
        <row r="815">
          <cell r="D815" t="str">
            <v>obiarrey</v>
          </cell>
          <cell r="E815">
            <v>206128846</v>
          </cell>
          <cell r="F815" t="str">
            <v>A</v>
          </cell>
          <cell r="G815" t="str">
            <v>GREEN</v>
          </cell>
          <cell r="H815" t="str">
            <v>FULL_TIME</v>
          </cell>
          <cell r="I815">
            <v>900234</v>
          </cell>
          <cell r="J815" t="str">
            <v>Fastlink Outsourcing</v>
          </cell>
          <cell r="K815" t="str">
            <v>Benedict Obi Arrey</v>
          </cell>
          <cell r="L815" t="str">
            <v>Warehouse Associate (TEMP)</v>
          </cell>
          <cell r="M815" t="str">
            <v>Warehouse Associate 12M</v>
          </cell>
          <cell r="N815" t="str">
            <v>ansammar</v>
          </cell>
          <cell r="O815">
            <v>1299</v>
          </cell>
          <cell r="P815" t="str">
            <v>AUH1</v>
          </cell>
          <cell r="Q815" t="str">
            <v>ARE</v>
          </cell>
          <cell r="R815" t="str">
            <v>FC084</v>
          </cell>
          <cell r="S815" t="str">
            <v>Day Shift</v>
          </cell>
          <cell r="T815">
            <v>99</v>
          </cell>
          <cell r="U815" t="str">
            <v>MENA_UAE_FC</v>
          </cell>
          <cell r="V815">
            <v>46257.332638888889</v>
          </cell>
          <cell r="W815">
            <v>46257.74722222222</v>
          </cell>
          <cell r="X815">
            <v>46257.333333333336</v>
          </cell>
          <cell r="Y815">
            <v>46257.75</v>
          </cell>
          <cell r="AA815" t="str">
            <v>Scheduled</v>
          </cell>
          <cell r="AB815" t="str">
            <v>Present</v>
          </cell>
          <cell r="AC815" t="str">
            <v>Outbound</v>
          </cell>
          <cell r="AD815" t="str">
            <v>Picking</v>
          </cell>
          <cell r="AE815" t="str">
            <v>Pick</v>
          </cell>
          <cell r="AF815" t="str">
            <v>Monday</v>
          </cell>
          <cell r="AG815" t="str">
            <v>Tuesday</v>
          </cell>
          <cell r="AH815">
            <v>13</v>
          </cell>
          <cell r="AJ815">
            <v>45928</v>
          </cell>
          <cell r="AM815" t="str">
            <v>TEMP</v>
          </cell>
          <cell r="AN815" t="str">
            <v>3P Onsite Worker</v>
          </cell>
          <cell r="AO815" t="str">
            <v>A</v>
          </cell>
          <cell r="AP815">
            <v>9</v>
          </cell>
          <cell r="AQ815">
            <v>0</v>
          </cell>
          <cell r="AR815">
            <v>1</v>
          </cell>
          <cell r="AS815">
            <v>1</v>
          </cell>
          <cell r="AT815">
            <v>0</v>
          </cell>
          <cell r="AU815">
            <v>0</v>
          </cell>
        </row>
        <row r="816">
          <cell r="D816" t="str">
            <v>obwemman</v>
          </cell>
          <cell r="E816">
            <v>203736253</v>
          </cell>
          <cell r="F816" t="str">
            <v>A</v>
          </cell>
          <cell r="G816" t="str">
            <v>GREEN</v>
          </cell>
          <cell r="H816" t="str">
            <v>FULL_TIME</v>
          </cell>
          <cell r="I816">
            <v>900234</v>
          </cell>
          <cell r="J816" t="str">
            <v>Dulsco L.L.C.</v>
          </cell>
          <cell r="K816" t="str">
            <v>EMMANUEL OBWANA</v>
          </cell>
          <cell r="L816" t="str">
            <v>Warehouse Associate (TEMP)</v>
          </cell>
          <cell r="M816" t="str">
            <v>Warehouse Associate 24M</v>
          </cell>
          <cell r="N816" t="str">
            <v>pparsin</v>
          </cell>
          <cell r="O816">
            <v>1299</v>
          </cell>
          <cell r="P816" t="str">
            <v>AUH1</v>
          </cell>
          <cell r="Q816" t="str">
            <v>ARE</v>
          </cell>
          <cell r="R816" t="str">
            <v>LK012</v>
          </cell>
          <cell r="S816" t="str">
            <v>Night Shift</v>
          </cell>
          <cell r="T816">
            <v>99</v>
          </cell>
          <cell r="U816" t="str">
            <v>MENA_UAE_FC</v>
          </cell>
          <cell r="X816">
            <v>46257.756944444445</v>
          </cell>
          <cell r="Y816">
            <v>46258.173611111109</v>
          </cell>
          <cell r="Z816" t="str">
            <v>Rest Day</v>
          </cell>
          <cell r="AA816" t="str">
            <v>Not Scheduled</v>
          </cell>
          <cell r="AB816" t="str">
            <v>Not Present</v>
          </cell>
          <cell r="AC816" t="str">
            <v>Inbound</v>
          </cell>
          <cell r="AD816" t="str">
            <v>Inbound Stow</v>
          </cell>
          <cell r="AE816" t="str">
            <v>Stow</v>
          </cell>
          <cell r="AF816" t="str">
            <v>Saturday</v>
          </cell>
          <cell r="AG816" t="str">
            <v>Sunday</v>
          </cell>
          <cell r="AH816">
            <v>3</v>
          </cell>
          <cell r="AJ816">
            <v>45501</v>
          </cell>
          <cell r="AM816" t="str">
            <v>TEMP</v>
          </cell>
          <cell r="AN816" t="str">
            <v>3P Onsite Worker</v>
          </cell>
          <cell r="AO816" t="str">
            <v>A</v>
          </cell>
          <cell r="AP816">
            <v>9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</row>
        <row r="817">
          <cell r="D817" t="str">
            <v>ochijame</v>
          </cell>
          <cell r="E817">
            <v>206957730</v>
          </cell>
          <cell r="F817" t="str">
            <v>A</v>
          </cell>
          <cell r="G817" t="str">
            <v>GREEN</v>
          </cell>
          <cell r="H817" t="str">
            <v>FULL_TIME</v>
          </cell>
          <cell r="I817">
            <v>900234</v>
          </cell>
          <cell r="J817" t="str">
            <v>EFS Facilities Services</v>
          </cell>
          <cell r="K817" t="str">
            <v>James Ochieng</v>
          </cell>
          <cell r="L817" t="str">
            <v>Warehouse Associate (TEMP)</v>
          </cell>
          <cell r="M817" t="str">
            <v>Warehouse Associate 8W</v>
          </cell>
          <cell r="N817" t="str">
            <v>aanso</v>
          </cell>
          <cell r="O817">
            <v>1299</v>
          </cell>
          <cell r="P817" t="str">
            <v>AUH1</v>
          </cell>
          <cell r="Q817" t="str">
            <v>ARE</v>
          </cell>
          <cell r="R817" t="str">
            <v>FC009</v>
          </cell>
          <cell r="S817" t="str">
            <v>Day Shift</v>
          </cell>
          <cell r="T817">
            <v>99</v>
          </cell>
          <cell r="U817" t="str">
            <v>MENA_UAE_FC</v>
          </cell>
          <cell r="V817">
            <v>46257.332638888889</v>
          </cell>
          <cell r="W817">
            <v>46257.749305555553</v>
          </cell>
          <cell r="X817">
            <v>46257.333333333336</v>
          </cell>
          <cell r="Y817">
            <v>46257.75</v>
          </cell>
          <cell r="AA817" t="str">
            <v>Scheduled</v>
          </cell>
          <cell r="AB817" t="str">
            <v>Present</v>
          </cell>
          <cell r="AC817" t="str">
            <v>Customer returns</v>
          </cell>
          <cell r="AD817" t="str">
            <v>Customer Returns</v>
          </cell>
          <cell r="AE817" t="str">
            <v>Customer returns</v>
          </cell>
          <cell r="AF817" t="str">
            <v>Friday</v>
          </cell>
          <cell r="AG817" t="str">
            <v>Saturday</v>
          </cell>
          <cell r="AH817">
            <v>22</v>
          </cell>
          <cell r="AJ817">
            <v>46047</v>
          </cell>
          <cell r="AM817" t="str">
            <v>TEMP</v>
          </cell>
          <cell r="AN817" t="str">
            <v>3P Onsite Worker</v>
          </cell>
          <cell r="AO817" t="str">
            <v>A</v>
          </cell>
          <cell r="AP817">
            <v>9</v>
          </cell>
          <cell r="AQ817">
            <v>0</v>
          </cell>
          <cell r="AR817">
            <v>1</v>
          </cell>
          <cell r="AS817">
            <v>1</v>
          </cell>
          <cell r="AT817">
            <v>0</v>
          </cell>
          <cell r="AU817">
            <v>0</v>
          </cell>
        </row>
        <row r="818">
          <cell r="D818" t="str">
            <v>ocpjohnc</v>
          </cell>
          <cell r="E818">
            <v>206873785</v>
          </cell>
          <cell r="F818" t="str">
            <v>A</v>
          </cell>
          <cell r="G818" t="str">
            <v>GREEN</v>
          </cell>
          <cell r="H818" t="str">
            <v>FULL_TIME</v>
          </cell>
          <cell r="I818">
            <v>900234</v>
          </cell>
          <cell r="J818" t="str">
            <v>Dulsco L.L.C.</v>
          </cell>
          <cell r="K818" t="str">
            <v>OCHOM JOHN CHARLES</v>
          </cell>
          <cell r="L818" t="str">
            <v>Warehouse Associate (TEMP)</v>
          </cell>
          <cell r="M818" t="str">
            <v>Warehouse Associate 8W</v>
          </cell>
          <cell r="N818" t="str">
            <v>bavameer</v>
          </cell>
          <cell r="O818">
            <v>1299</v>
          </cell>
          <cell r="P818" t="str">
            <v>AUH1</v>
          </cell>
          <cell r="Q818" t="str">
            <v>ARE</v>
          </cell>
          <cell r="R818" t="str">
            <v>LK015</v>
          </cell>
          <cell r="S818" t="str">
            <v>Night Shift</v>
          </cell>
          <cell r="T818">
            <v>99</v>
          </cell>
          <cell r="U818" t="str">
            <v>MENA_UAE_FC</v>
          </cell>
          <cell r="V818">
            <v>46257.752083333333</v>
          </cell>
          <cell r="X818">
            <v>46257.756944444445</v>
          </cell>
          <cell r="Y818">
            <v>46258.173611111109</v>
          </cell>
          <cell r="AA818" t="str">
            <v>Scheduled</v>
          </cell>
          <cell r="AB818" t="str">
            <v>Present</v>
          </cell>
          <cell r="AC818" t="str">
            <v>Customer returns</v>
          </cell>
          <cell r="AD818" t="str">
            <v>Customer Returns</v>
          </cell>
          <cell r="AE818" t="str">
            <v>Customer returns</v>
          </cell>
          <cell r="AF818" t="str">
            <v>Tuesday</v>
          </cell>
          <cell r="AG818" t="str">
            <v>Wednesday</v>
          </cell>
          <cell r="AH818">
            <v>22</v>
          </cell>
          <cell r="AJ818">
            <v>46019</v>
          </cell>
          <cell r="AM818" t="str">
            <v>TEMP</v>
          </cell>
          <cell r="AN818" t="str">
            <v>3P Onsite Worker</v>
          </cell>
          <cell r="AO818" t="str">
            <v>A</v>
          </cell>
          <cell r="AP818">
            <v>9</v>
          </cell>
          <cell r="AQ818">
            <v>0</v>
          </cell>
          <cell r="AR818">
            <v>1</v>
          </cell>
          <cell r="AS818">
            <v>1</v>
          </cell>
          <cell r="AT818">
            <v>0</v>
          </cell>
          <cell r="AU818">
            <v>0</v>
          </cell>
        </row>
        <row r="819">
          <cell r="D819" t="str">
            <v>odekjohn</v>
          </cell>
          <cell r="E819">
            <v>206949312</v>
          </cell>
          <cell r="F819" t="str">
            <v>A</v>
          </cell>
          <cell r="G819" t="str">
            <v>GREEN</v>
          </cell>
          <cell r="H819" t="str">
            <v>FULL_TIME</v>
          </cell>
          <cell r="I819">
            <v>900234</v>
          </cell>
          <cell r="J819" t="str">
            <v>Dulsco L.L.C.</v>
          </cell>
          <cell r="K819" t="str">
            <v>JOHN ODEKE</v>
          </cell>
          <cell r="L819" t="str">
            <v>Warehouse Associate (TEMP)</v>
          </cell>
          <cell r="M819" t="str">
            <v>Warehouse Associate 24M</v>
          </cell>
          <cell r="N819" t="str">
            <v>aanso</v>
          </cell>
          <cell r="O819">
            <v>1299</v>
          </cell>
          <cell r="P819" t="str">
            <v>AUH1</v>
          </cell>
          <cell r="Q819" t="str">
            <v>ARE</v>
          </cell>
          <cell r="R819" t="str">
            <v>FC159</v>
          </cell>
          <cell r="S819" t="str">
            <v>Day Shift</v>
          </cell>
          <cell r="T819">
            <v>99</v>
          </cell>
          <cell r="U819" t="str">
            <v>MENA_UAE_FC</v>
          </cell>
          <cell r="V819">
            <v>46257.331944444442</v>
          </cell>
          <cell r="W819">
            <v>46257.748611111114</v>
          </cell>
          <cell r="X819">
            <v>46257.333333333336</v>
          </cell>
          <cell r="Y819">
            <v>46257.75</v>
          </cell>
          <cell r="AA819" t="str">
            <v>Scheduled</v>
          </cell>
          <cell r="AB819" t="str">
            <v>Present</v>
          </cell>
          <cell r="AC819" t="str">
            <v>Customer returns</v>
          </cell>
          <cell r="AD819" t="str">
            <v>Customer Returns</v>
          </cell>
          <cell r="AE819" t="str">
            <v>Customer returns</v>
          </cell>
          <cell r="AF819" t="str">
            <v>Thursday</v>
          </cell>
          <cell r="AG819" t="str">
            <v>Friday</v>
          </cell>
          <cell r="AH819">
            <v>22</v>
          </cell>
          <cell r="AJ819">
            <v>46047</v>
          </cell>
          <cell r="AM819" t="str">
            <v>TEMP</v>
          </cell>
          <cell r="AN819" t="str">
            <v>3P Onsite Worker</v>
          </cell>
          <cell r="AO819" t="str">
            <v>A</v>
          </cell>
          <cell r="AP819">
            <v>9</v>
          </cell>
          <cell r="AQ819">
            <v>0</v>
          </cell>
          <cell r="AR819">
            <v>1</v>
          </cell>
          <cell r="AS819">
            <v>1</v>
          </cell>
          <cell r="AT819">
            <v>0</v>
          </cell>
          <cell r="AU819">
            <v>0</v>
          </cell>
        </row>
        <row r="820">
          <cell r="D820" t="str">
            <v>odurfraa</v>
          </cell>
          <cell r="E820">
            <v>206897644</v>
          </cell>
          <cell r="F820" t="str">
            <v>A</v>
          </cell>
          <cell r="G820" t="str">
            <v>GREEN</v>
          </cell>
          <cell r="H820" t="str">
            <v>FULL_TIME</v>
          </cell>
          <cell r="I820">
            <v>900234</v>
          </cell>
          <cell r="J820" t="str">
            <v>Fastlink Outsourcing</v>
          </cell>
          <cell r="K820" t="str">
            <v>FRANCIS ODURO</v>
          </cell>
          <cell r="L820" t="str">
            <v>Warehouse Associate (TEMP)</v>
          </cell>
          <cell r="M820" t="str">
            <v>Warehouse Associate 8W</v>
          </cell>
          <cell r="N820" t="str">
            <v>lraghava</v>
          </cell>
          <cell r="O820">
            <v>1299</v>
          </cell>
          <cell r="P820" t="str">
            <v>AUH1</v>
          </cell>
          <cell r="Q820" t="str">
            <v>ARE</v>
          </cell>
          <cell r="R820" t="str">
            <v>FC084</v>
          </cell>
          <cell r="S820" t="str">
            <v>Day Shift</v>
          </cell>
          <cell r="T820">
            <v>99</v>
          </cell>
          <cell r="U820" t="str">
            <v>MENA_UAE_FC</v>
          </cell>
          <cell r="V820">
            <v>46257.337500000001</v>
          </cell>
          <cell r="W820">
            <v>46257.746527777781</v>
          </cell>
          <cell r="X820">
            <v>46257.333333333336</v>
          </cell>
          <cell r="Y820">
            <v>46257.75</v>
          </cell>
          <cell r="AA820" t="str">
            <v>Scheduled</v>
          </cell>
          <cell r="AB820" t="str">
            <v>Present</v>
          </cell>
          <cell r="AC820" t="str">
            <v>Outbound</v>
          </cell>
          <cell r="AD820" t="str">
            <v>Picking</v>
          </cell>
          <cell r="AE820" t="str">
            <v>Pick</v>
          </cell>
          <cell r="AF820" t="str">
            <v>Monday</v>
          </cell>
          <cell r="AG820" t="str">
            <v>Tuesday</v>
          </cell>
          <cell r="AH820">
            <v>13</v>
          </cell>
          <cell r="AJ820">
            <v>46029</v>
          </cell>
          <cell r="AM820" t="str">
            <v>TEMP</v>
          </cell>
          <cell r="AN820" t="str">
            <v>3P Onsite Worker</v>
          </cell>
          <cell r="AO820" t="str">
            <v>A</v>
          </cell>
          <cell r="AP820">
            <v>9</v>
          </cell>
          <cell r="AQ820">
            <v>0</v>
          </cell>
          <cell r="AR820">
            <v>1</v>
          </cell>
          <cell r="AS820">
            <v>1</v>
          </cell>
          <cell r="AT820">
            <v>0</v>
          </cell>
          <cell r="AU820">
            <v>0</v>
          </cell>
        </row>
        <row r="821">
          <cell r="D821" t="str">
            <v>oemaxwel</v>
          </cell>
          <cell r="E821">
            <v>204890373</v>
          </cell>
          <cell r="F821" t="str">
            <v>A</v>
          </cell>
          <cell r="G821" t="str">
            <v>GREEN</v>
          </cell>
          <cell r="H821" t="str">
            <v>FULL_TIME</v>
          </cell>
          <cell r="I821">
            <v>900234</v>
          </cell>
          <cell r="J821" t="str">
            <v>Dulsco L.L.C.</v>
          </cell>
          <cell r="K821" t="str">
            <v>MAXWELL OFORI</v>
          </cell>
          <cell r="L821" t="str">
            <v>Warehouse Associate (TEMP)</v>
          </cell>
          <cell r="M821" t="str">
            <v>Warehouse Associate 24M</v>
          </cell>
          <cell r="N821" t="str">
            <v>bizthoma</v>
          </cell>
          <cell r="O821">
            <v>1299</v>
          </cell>
          <cell r="P821" t="str">
            <v>AUH1</v>
          </cell>
          <cell r="Q821" t="str">
            <v>ARE</v>
          </cell>
          <cell r="R821" t="str">
            <v>LK015</v>
          </cell>
          <cell r="S821" t="str">
            <v>Night Shift</v>
          </cell>
          <cell r="T821">
            <v>99</v>
          </cell>
          <cell r="U821" t="str">
            <v>MENA_UAE_FC</v>
          </cell>
          <cell r="V821">
            <v>46257.756944444445</v>
          </cell>
          <cell r="X821">
            <v>46257.756944444445</v>
          </cell>
          <cell r="Y821">
            <v>46258.173611111109</v>
          </cell>
          <cell r="AA821" t="str">
            <v>Scheduled</v>
          </cell>
          <cell r="AB821" t="str">
            <v>Present</v>
          </cell>
          <cell r="AC821" t="str">
            <v>Outbound</v>
          </cell>
          <cell r="AD821" t="str">
            <v>Picking</v>
          </cell>
          <cell r="AE821" t="str">
            <v>Pick</v>
          </cell>
          <cell r="AF821" t="str">
            <v>Tuesday</v>
          </cell>
          <cell r="AG821" t="str">
            <v>Wednesday</v>
          </cell>
          <cell r="AH821">
            <v>13</v>
          </cell>
          <cell r="AJ821">
            <v>45690</v>
          </cell>
          <cell r="AM821" t="str">
            <v>TEMP</v>
          </cell>
          <cell r="AN821" t="str">
            <v>3P Onsite Worker</v>
          </cell>
          <cell r="AO821" t="str">
            <v>A</v>
          </cell>
          <cell r="AP821">
            <v>9</v>
          </cell>
          <cell r="AQ821">
            <v>0</v>
          </cell>
          <cell r="AR821">
            <v>1</v>
          </cell>
          <cell r="AS821">
            <v>1</v>
          </cell>
          <cell r="AT821">
            <v>0</v>
          </cell>
          <cell r="AU821">
            <v>0</v>
          </cell>
        </row>
        <row r="822">
          <cell r="D822" t="str">
            <v>oforbpri</v>
          </cell>
          <cell r="E822">
            <v>205997634</v>
          </cell>
          <cell r="F822" t="str">
            <v>A</v>
          </cell>
          <cell r="G822" t="str">
            <v>GREEN</v>
          </cell>
          <cell r="H822" t="str">
            <v>FULL_TIME</v>
          </cell>
          <cell r="I822">
            <v>900234</v>
          </cell>
          <cell r="J822" t="str">
            <v>Fastlink Outsourcing</v>
          </cell>
          <cell r="K822" t="str">
            <v>PRINCE OFORI</v>
          </cell>
          <cell r="L822" t="str">
            <v>Warehouse Associate (TEMP)</v>
          </cell>
          <cell r="M822" t="str">
            <v>Warehouse Associate 12M</v>
          </cell>
          <cell r="N822" t="str">
            <v>mnarshad</v>
          </cell>
          <cell r="O822">
            <v>1299</v>
          </cell>
          <cell r="P822" t="str">
            <v>AUH1</v>
          </cell>
          <cell r="Q822" t="str">
            <v>ARE</v>
          </cell>
          <cell r="R822" t="str">
            <v>FC159</v>
          </cell>
          <cell r="S822" t="str">
            <v>Day Shift</v>
          </cell>
          <cell r="T822">
            <v>99</v>
          </cell>
          <cell r="U822" t="str">
            <v>MENA_UAE_FC</v>
          </cell>
          <cell r="V822">
            <v>46257.331944444442</v>
          </cell>
          <cell r="W822">
            <v>46257.750694444447</v>
          </cell>
          <cell r="X822">
            <v>46257.333333333336</v>
          </cell>
          <cell r="Y822">
            <v>46257.75</v>
          </cell>
          <cell r="AA822" t="str">
            <v>Scheduled</v>
          </cell>
          <cell r="AB822" t="str">
            <v>Present</v>
          </cell>
          <cell r="AC822" t="str">
            <v>Outbound</v>
          </cell>
          <cell r="AD822" t="str">
            <v>Picking</v>
          </cell>
          <cell r="AE822" t="str">
            <v>Pick</v>
          </cell>
          <cell r="AF822" t="str">
            <v>Thursday</v>
          </cell>
          <cell r="AG822" t="str">
            <v>Friday</v>
          </cell>
          <cell r="AH822">
            <v>13</v>
          </cell>
          <cell r="AJ822">
            <v>45914</v>
          </cell>
          <cell r="AM822" t="str">
            <v>TEMP</v>
          </cell>
          <cell r="AN822" t="str">
            <v>3P Onsite Worker</v>
          </cell>
          <cell r="AO822" t="str">
            <v>A</v>
          </cell>
          <cell r="AP822">
            <v>9</v>
          </cell>
          <cell r="AQ822">
            <v>0</v>
          </cell>
          <cell r="AR822">
            <v>1</v>
          </cell>
          <cell r="AS822">
            <v>1</v>
          </cell>
          <cell r="AT822">
            <v>0</v>
          </cell>
          <cell r="AU822">
            <v>0</v>
          </cell>
        </row>
        <row r="823">
          <cell r="D823" t="str">
            <v>ofosuhjo</v>
          </cell>
          <cell r="E823">
            <v>204241393</v>
          </cell>
          <cell r="F823" t="str">
            <v>A</v>
          </cell>
          <cell r="G823" t="str">
            <v>GREEN</v>
          </cell>
          <cell r="H823" t="str">
            <v>FULL_TIME</v>
          </cell>
          <cell r="I823">
            <v>900234</v>
          </cell>
          <cell r="J823" t="str">
            <v>Quesscorp</v>
          </cell>
          <cell r="K823" t="str">
            <v>Joyce Ofosuhene</v>
          </cell>
          <cell r="L823" t="str">
            <v>Warehouse Associate (TEMP)</v>
          </cell>
          <cell r="M823" t="str">
            <v>Warehouse Associate 24M</v>
          </cell>
          <cell r="N823" t="str">
            <v>pparsin</v>
          </cell>
          <cell r="O823">
            <v>1299</v>
          </cell>
          <cell r="P823" t="str">
            <v>AUH1</v>
          </cell>
          <cell r="Q823" t="str">
            <v>ARE</v>
          </cell>
          <cell r="R823" t="str">
            <v>FC059</v>
          </cell>
          <cell r="S823" t="str">
            <v>Day Shift</v>
          </cell>
          <cell r="T823">
            <v>99</v>
          </cell>
          <cell r="U823" t="str">
            <v>MENA_UAE_FC</v>
          </cell>
          <cell r="X823">
            <v>46257.333333333336</v>
          </cell>
          <cell r="Y823">
            <v>46257.75</v>
          </cell>
          <cell r="Z823" t="str">
            <v>Rest Day</v>
          </cell>
          <cell r="AA823" t="str">
            <v>Not Scheduled</v>
          </cell>
          <cell r="AB823" t="str">
            <v>Not Present</v>
          </cell>
          <cell r="AC823" t="str">
            <v>Inbound</v>
          </cell>
          <cell r="AD823" t="str">
            <v>Inbound Stow</v>
          </cell>
          <cell r="AE823" t="str">
            <v>Stow</v>
          </cell>
          <cell r="AF823" t="str">
            <v>Sunday</v>
          </cell>
          <cell r="AG823" t="str">
            <v>Monday</v>
          </cell>
          <cell r="AH823">
            <v>3</v>
          </cell>
          <cell r="AJ823">
            <v>45578</v>
          </cell>
          <cell r="AM823" t="str">
            <v>TEMP</v>
          </cell>
          <cell r="AN823" t="str">
            <v>3P Onsite Worker</v>
          </cell>
          <cell r="AO823" t="str">
            <v>A</v>
          </cell>
          <cell r="AP823">
            <v>9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</row>
        <row r="824">
          <cell r="D824" t="str">
            <v>okisakye</v>
          </cell>
          <cell r="E824">
            <v>203736250</v>
          </cell>
          <cell r="F824" t="str">
            <v>A</v>
          </cell>
          <cell r="G824" t="str">
            <v>GREEN</v>
          </cell>
          <cell r="H824" t="str">
            <v>FULL_TIME</v>
          </cell>
          <cell r="I824">
            <v>900234</v>
          </cell>
          <cell r="J824" t="str">
            <v>Dulsco L.L.C.</v>
          </cell>
          <cell r="K824" t="str">
            <v>EDWARD KISAKYE</v>
          </cell>
          <cell r="L824" t="str">
            <v>Warehouse Associate (TEMP)</v>
          </cell>
          <cell r="M824" t="str">
            <v>Warehouse Associate 24M</v>
          </cell>
          <cell r="N824" t="str">
            <v>pparsin</v>
          </cell>
          <cell r="O824">
            <v>1299</v>
          </cell>
          <cell r="P824" t="str">
            <v>AUH1</v>
          </cell>
          <cell r="Q824" t="str">
            <v>ARE</v>
          </cell>
          <cell r="R824" t="str">
            <v>LK012</v>
          </cell>
          <cell r="S824" t="str">
            <v>Night Shift</v>
          </cell>
          <cell r="T824">
            <v>99</v>
          </cell>
          <cell r="U824" t="str">
            <v>MENA_UAE_FC</v>
          </cell>
          <cell r="X824">
            <v>46257.756944444445</v>
          </cell>
          <cell r="Y824">
            <v>46258.173611111109</v>
          </cell>
          <cell r="Z824" t="str">
            <v>Rest Day</v>
          </cell>
          <cell r="AA824" t="str">
            <v>Not Scheduled</v>
          </cell>
          <cell r="AB824" t="str">
            <v>Not Present</v>
          </cell>
          <cell r="AC824" t="str">
            <v>Inbound</v>
          </cell>
          <cell r="AD824" t="str">
            <v>Inbound Stow</v>
          </cell>
          <cell r="AE824" t="str">
            <v>Stow</v>
          </cell>
          <cell r="AF824" t="str">
            <v>Saturday</v>
          </cell>
          <cell r="AG824" t="str">
            <v>Sunday</v>
          </cell>
          <cell r="AH824">
            <v>3</v>
          </cell>
          <cell r="AJ824">
            <v>45501</v>
          </cell>
          <cell r="AM824" t="str">
            <v>TEMP</v>
          </cell>
          <cell r="AN824" t="str">
            <v>3P Onsite Worker</v>
          </cell>
          <cell r="AO824" t="str">
            <v>A</v>
          </cell>
          <cell r="AP824">
            <v>9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</row>
        <row r="825">
          <cell r="D825" t="str">
            <v>okrahcha</v>
          </cell>
          <cell r="E825">
            <v>203741547</v>
          </cell>
          <cell r="F825" t="str">
            <v>A</v>
          </cell>
          <cell r="G825" t="str">
            <v>GREEN</v>
          </cell>
          <cell r="H825" t="str">
            <v>FULL_TIME</v>
          </cell>
          <cell r="I825">
            <v>900234</v>
          </cell>
          <cell r="J825" t="str">
            <v>Fastlink Outsourcing</v>
          </cell>
          <cell r="K825" t="str">
            <v>CHARLES OKRAH</v>
          </cell>
          <cell r="L825" t="str">
            <v>Warehouse Associate (TEMP)</v>
          </cell>
          <cell r="M825" t="str">
            <v>Warehouse Associate 12M</v>
          </cell>
          <cell r="N825" t="str">
            <v>aanso</v>
          </cell>
          <cell r="O825">
            <v>1299</v>
          </cell>
          <cell r="P825" t="str">
            <v>AUH1</v>
          </cell>
          <cell r="Q825" t="str">
            <v>ARE</v>
          </cell>
          <cell r="R825" t="str">
            <v>FC009</v>
          </cell>
          <cell r="S825" t="str">
            <v>Day Shift</v>
          </cell>
          <cell r="T825">
            <v>99</v>
          </cell>
          <cell r="U825" t="str">
            <v>MENA_UAE_FC</v>
          </cell>
          <cell r="V825">
            <v>46257.331944444442</v>
          </cell>
          <cell r="W825">
            <v>46257.748611111114</v>
          </cell>
          <cell r="X825">
            <v>46257.333333333336</v>
          </cell>
          <cell r="Y825">
            <v>46257.75</v>
          </cell>
          <cell r="AA825" t="str">
            <v>Scheduled</v>
          </cell>
          <cell r="AB825" t="str">
            <v>Present</v>
          </cell>
          <cell r="AC825" t="str">
            <v>Customer returns</v>
          </cell>
          <cell r="AD825" t="str">
            <v>Customer Returns</v>
          </cell>
          <cell r="AE825" t="str">
            <v>Customer returns</v>
          </cell>
          <cell r="AF825" t="str">
            <v>Friday</v>
          </cell>
          <cell r="AG825" t="str">
            <v>Saturday</v>
          </cell>
          <cell r="AH825">
            <v>22</v>
          </cell>
          <cell r="AJ825">
            <v>45516</v>
          </cell>
          <cell r="AM825" t="str">
            <v>TEMP</v>
          </cell>
          <cell r="AN825" t="str">
            <v>3P Onsite Worker</v>
          </cell>
          <cell r="AO825" t="str">
            <v>A</v>
          </cell>
          <cell r="AP825">
            <v>9</v>
          </cell>
          <cell r="AQ825">
            <v>0</v>
          </cell>
          <cell r="AR825">
            <v>1</v>
          </cell>
          <cell r="AS825">
            <v>1</v>
          </cell>
          <cell r="AT825">
            <v>0</v>
          </cell>
          <cell r="AU825">
            <v>0</v>
          </cell>
        </row>
        <row r="826">
          <cell r="D826" t="str">
            <v>okulyjos</v>
          </cell>
          <cell r="E826">
            <v>203993431</v>
          </cell>
          <cell r="F826" t="str">
            <v>A</v>
          </cell>
          <cell r="G826" t="str">
            <v>GREEN</v>
          </cell>
          <cell r="H826" t="str">
            <v>FULL_TIME</v>
          </cell>
          <cell r="I826">
            <v>900234</v>
          </cell>
          <cell r="J826" t="str">
            <v>Dulsco L.L.C.</v>
          </cell>
          <cell r="K826" t="str">
            <v>JOSHUA OKULA</v>
          </cell>
          <cell r="L826" t="str">
            <v>Warehouse Associate (TEMP)</v>
          </cell>
          <cell r="M826" t="str">
            <v>Warehouse Associate 8W</v>
          </cell>
          <cell r="N826" t="str">
            <v>ansammar</v>
          </cell>
          <cell r="O826">
            <v>1299</v>
          </cell>
          <cell r="P826" t="str">
            <v>AUH1</v>
          </cell>
          <cell r="Q826" t="str">
            <v>ARE</v>
          </cell>
          <cell r="R826" t="str">
            <v>LK012</v>
          </cell>
          <cell r="S826" t="str">
            <v>Night Shift</v>
          </cell>
          <cell r="T826">
            <v>99</v>
          </cell>
          <cell r="U826" t="str">
            <v>MENA_UAE_FC</v>
          </cell>
          <cell r="X826">
            <v>46257.756944444445</v>
          </cell>
          <cell r="Y826">
            <v>46258.173611111109</v>
          </cell>
          <cell r="Z826" t="str">
            <v>Rest Day</v>
          </cell>
          <cell r="AA826" t="str">
            <v>Not Scheduled</v>
          </cell>
          <cell r="AB826" t="str">
            <v>Not Present</v>
          </cell>
          <cell r="AC826" t="str">
            <v>Outbound</v>
          </cell>
          <cell r="AD826" t="str">
            <v>Picking</v>
          </cell>
          <cell r="AE826" t="str">
            <v>Pick</v>
          </cell>
          <cell r="AF826" t="str">
            <v>Saturday</v>
          </cell>
          <cell r="AG826" t="str">
            <v>Sunday</v>
          </cell>
          <cell r="AH826">
            <v>13</v>
          </cell>
          <cell r="AJ826">
            <v>45546</v>
          </cell>
          <cell r="AM826" t="str">
            <v>TEMP</v>
          </cell>
          <cell r="AN826" t="str">
            <v>3P Onsite Worker</v>
          </cell>
          <cell r="AO826" t="str">
            <v>A</v>
          </cell>
          <cell r="AP826">
            <v>9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</row>
        <row r="827">
          <cell r="D827" t="str">
            <v>okumarje</v>
          </cell>
          <cell r="E827">
            <v>203911255</v>
          </cell>
          <cell r="F827" t="str">
            <v>A</v>
          </cell>
          <cell r="G827" t="str">
            <v>GREEN</v>
          </cell>
          <cell r="H827" t="str">
            <v>FULL_TIME</v>
          </cell>
          <cell r="I827">
            <v>900234</v>
          </cell>
          <cell r="J827" t="str">
            <v>Adecco</v>
          </cell>
          <cell r="K827" t="str">
            <v>Jeevan Kumar</v>
          </cell>
          <cell r="L827" t="str">
            <v>Warehouse Associate (TEMP)</v>
          </cell>
          <cell r="M827" t="str">
            <v>Warehouse Associate 24M</v>
          </cell>
          <cell r="N827" t="str">
            <v>bizthoma</v>
          </cell>
          <cell r="O827">
            <v>1299</v>
          </cell>
          <cell r="P827" t="str">
            <v>AUH1</v>
          </cell>
          <cell r="Q827" t="str">
            <v>ARE</v>
          </cell>
          <cell r="R827" t="str">
            <v>LK012</v>
          </cell>
          <cell r="S827" t="str">
            <v>Night Shift</v>
          </cell>
          <cell r="T827">
            <v>99</v>
          </cell>
          <cell r="U827" t="str">
            <v>MENA_UAE_FC</v>
          </cell>
          <cell r="X827">
            <v>46257.756944444445</v>
          </cell>
          <cell r="Y827">
            <v>46258.173611111109</v>
          </cell>
          <cell r="Z827" t="str">
            <v>Rest Day</v>
          </cell>
          <cell r="AA827" t="str">
            <v>Not Scheduled</v>
          </cell>
          <cell r="AB827" t="str">
            <v>Not Present</v>
          </cell>
          <cell r="AC827" t="str">
            <v>Outbound</v>
          </cell>
          <cell r="AD827" t="str">
            <v>Picking</v>
          </cell>
          <cell r="AE827" t="str">
            <v>Pick</v>
          </cell>
          <cell r="AF827" t="str">
            <v>Saturday</v>
          </cell>
          <cell r="AG827" t="str">
            <v>Sunday</v>
          </cell>
          <cell r="AH827">
            <v>13</v>
          </cell>
          <cell r="AJ827">
            <v>45536</v>
          </cell>
          <cell r="AM827" t="str">
            <v>TEMP</v>
          </cell>
          <cell r="AN827" t="str">
            <v>3P Onsite Worker</v>
          </cell>
          <cell r="AO827" t="str">
            <v>A</v>
          </cell>
          <cell r="AP827">
            <v>9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</row>
        <row r="828">
          <cell r="D828" t="str">
            <v>omamudka</v>
          </cell>
          <cell r="E828">
            <v>205608619</v>
          </cell>
          <cell r="F828" t="str">
            <v>A</v>
          </cell>
          <cell r="G828" t="str">
            <v>GREEN</v>
          </cell>
          <cell r="H828" t="str">
            <v>FULL_TIME</v>
          </cell>
          <cell r="I828">
            <v>900234</v>
          </cell>
          <cell r="J828" t="str">
            <v>Dulsco L.L.C.</v>
          </cell>
          <cell r="K828" t="str">
            <v>MAMUDU KASSIM</v>
          </cell>
          <cell r="L828" t="str">
            <v>Warehouse Associate (TEMP)</v>
          </cell>
          <cell r="M828" t="str">
            <v>Warehouse Associate 8W</v>
          </cell>
          <cell r="N828" t="str">
            <v>bavameer</v>
          </cell>
          <cell r="O828">
            <v>1299</v>
          </cell>
          <cell r="P828" t="str">
            <v>AUH1</v>
          </cell>
          <cell r="Q828" t="str">
            <v>ARE</v>
          </cell>
          <cell r="R828" t="str">
            <v>FC159</v>
          </cell>
          <cell r="S828" t="str">
            <v>Day Shift</v>
          </cell>
          <cell r="T828">
            <v>99</v>
          </cell>
          <cell r="U828" t="str">
            <v>MENA_UAE_FC</v>
          </cell>
          <cell r="V828">
            <v>46257.330555555556</v>
          </cell>
          <cell r="W828">
            <v>46257.745833333334</v>
          </cell>
          <cell r="X828">
            <v>46257.333333333336</v>
          </cell>
          <cell r="Y828">
            <v>46257.75</v>
          </cell>
          <cell r="AA828" t="str">
            <v>Scheduled</v>
          </cell>
          <cell r="AB828" t="str">
            <v>Present</v>
          </cell>
          <cell r="AC828" t="str">
            <v>Customer returns</v>
          </cell>
          <cell r="AD828" t="str">
            <v>Customer Returns</v>
          </cell>
          <cell r="AE828" t="str">
            <v>Customer returns</v>
          </cell>
          <cell r="AF828" t="str">
            <v>Thursday</v>
          </cell>
          <cell r="AG828" t="str">
            <v>Friday</v>
          </cell>
          <cell r="AH828">
            <v>22</v>
          </cell>
          <cell r="AJ828">
            <v>45844</v>
          </cell>
          <cell r="AM828" t="str">
            <v>TEMP</v>
          </cell>
          <cell r="AN828" t="str">
            <v>3P Onsite Worker</v>
          </cell>
          <cell r="AO828" t="str">
            <v>A</v>
          </cell>
          <cell r="AP828">
            <v>9</v>
          </cell>
          <cell r="AQ828">
            <v>0</v>
          </cell>
          <cell r="AR828">
            <v>1</v>
          </cell>
          <cell r="AS828">
            <v>1</v>
          </cell>
          <cell r="AT828">
            <v>0</v>
          </cell>
          <cell r="AU828">
            <v>0</v>
          </cell>
        </row>
        <row r="829">
          <cell r="D829" t="str">
            <v>omwcecil</v>
          </cell>
          <cell r="E829">
            <v>206191969</v>
          </cell>
          <cell r="F829" t="str">
            <v>A</v>
          </cell>
          <cell r="G829" t="str">
            <v>GREEN</v>
          </cell>
          <cell r="H829" t="str">
            <v>FULL_TIME</v>
          </cell>
          <cell r="I829">
            <v>900234</v>
          </cell>
          <cell r="J829" t="str">
            <v>EFS Facilities Services</v>
          </cell>
          <cell r="K829" t="str">
            <v>Ceciliah Sarange Omwando</v>
          </cell>
          <cell r="L829" t="str">
            <v>Warehouse Associate (TEMP)</v>
          </cell>
          <cell r="M829" t="str">
            <v>Warehouse Associate 8W</v>
          </cell>
          <cell r="N829" t="str">
            <v>scariav</v>
          </cell>
          <cell r="O829">
            <v>1299</v>
          </cell>
          <cell r="P829" t="str">
            <v>AUH1</v>
          </cell>
          <cell r="Q829" t="str">
            <v>ARE</v>
          </cell>
          <cell r="R829" t="str">
            <v>LK016</v>
          </cell>
          <cell r="S829" t="str">
            <v>Night Shift</v>
          </cell>
          <cell r="T829">
            <v>99</v>
          </cell>
          <cell r="U829" t="str">
            <v>MENA_UAE_FC</v>
          </cell>
          <cell r="V829">
            <v>46257.755555555559</v>
          </cell>
          <cell r="X829">
            <v>46257.756944444445</v>
          </cell>
          <cell r="Y829">
            <v>46258.173611111109</v>
          </cell>
          <cell r="AA829" t="str">
            <v>Scheduled</v>
          </cell>
          <cell r="AB829" t="str">
            <v>Present</v>
          </cell>
          <cell r="AC829" t="str">
            <v>Outbound</v>
          </cell>
          <cell r="AD829" t="str">
            <v>Picking</v>
          </cell>
          <cell r="AE829" t="str">
            <v>Pick</v>
          </cell>
          <cell r="AF829" t="str">
            <v>Wednesday</v>
          </cell>
          <cell r="AG829" t="str">
            <v>Thursday</v>
          </cell>
          <cell r="AH829">
            <v>13</v>
          </cell>
          <cell r="AJ829">
            <v>45935</v>
          </cell>
          <cell r="AM829" t="str">
            <v>TEMP</v>
          </cell>
          <cell r="AN829" t="str">
            <v>3P Onsite Worker</v>
          </cell>
          <cell r="AO829" t="str">
            <v>A</v>
          </cell>
          <cell r="AP829">
            <v>9</v>
          </cell>
          <cell r="AQ829">
            <v>0</v>
          </cell>
          <cell r="AR829">
            <v>1</v>
          </cell>
          <cell r="AS829">
            <v>1</v>
          </cell>
          <cell r="AT829">
            <v>0</v>
          </cell>
          <cell r="AU829">
            <v>0</v>
          </cell>
        </row>
        <row r="830">
          <cell r="D830" t="str">
            <v>onacisbr</v>
          </cell>
          <cell r="E830">
            <v>204319468</v>
          </cell>
          <cell r="F830" t="str">
            <v>A</v>
          </cell>
          <cell r="G830" t="str">
            <v>GREEN</v>
          </cell>
          <cell r="H830" t="str">
            <v>FULL_TIME</v>
          </cell>
          <cell r="I830">
            <v>900234</v>
          </cell>
          <cell r="J830" t="str">
            <v>Quesscorp</v>
          </cell>
          <cell r="K830" t="str">
            <v>Onacis Brew</v>
          </cell>
          <cell r="L830" t="str">
            <v>Warehouse Associate (TEMP)</v>
          </cell>
          <cell r="M830" t="str">
            <v>Warehouse Associate 24M</v>
          </cell>
          <cell r="N830" t="str">
            <v>bavameer</v>
          </cell>
          <cell r="O830">
            <v>1299</v>
          </cell>
          <cell r="P830" t="str">
            <v>AUH1</v>
          </cell>
          <cell r="Q830" t="str">
            <v>ARE</v>
          </cell>
          <cell r="R830" t="str">
            <v>FC084</v>
          </cell>
          <cell r="S830" t="str">
            <v>Day Shift</v>
          </cell>
          <cell r="T830">
            <v>99</v>
          </cell>
          <cell r="U830" t="str">
            <v>MENA_UAE_FC</v>
          </cell>
          <cell r="V830">
            <v>46257.331250000003</v>
          </cell>
          <cell r="W830">
            <v>46257.75</v>
          </cell>
          <cell r="X830">
            <v>46257.333333333336</v>
          </cell>
          <cell r="Y830">
            <v>46257.75</v>
          </cell>
          <cell r="AA830" t="str">
            <v>Scheduled</v>
          </cell>
          <cell r="AB830" t="str">
            <v>Present</v>
          </cell>
          <cell r="AC830" t="str">
            <v>Customer returns</v>
          </cell>
          <cell r="AD830" t="str">
            <v>Customer Returns</v>
          </cell>
          <cell r="AE830" t="str">
            <v>Customer returns</v>
          </cell>
          <cell r="AF830" t="str">
            <v>Monday</v>
          </cell>
          <cell r="AG830" t="str">
            <v>Tuesday</v>
          </cell>
          <cell r="AH830">
            <v>22</v>
          </cell>
          <cell r="AJ830">
            <v>45588</v>
          </cell>
          <cell r="AM830" t="str">
            <v>TEMP</v>
          </cell>
          <cell r="AN830" t="str">
            <v>3P Onsite Worker</v>
          </cell>
          <cell r="AO830" t="str">
            <v>A</v>
          </cell>
          <cell r="AP830">
            <v>9</v>
          </cell>
          <cell r="AQ830">
            <v>0</v>
          </cell>
          <cell r="AR830">
            <v>1</v>
          </cell>
          <cell r="AS830">
            <v>1</v>
          </cell>
          <cell r="AT830">
            <v>0</v>
          </cell>
          <cell r="AU830">
            <v>0</v>
          </cell>
        </row>
        <row r="831">
          <cell r="D831" t="str">
            <v>opariyar</v>
          </cell>
          <cell r="E831">
            <v>205301874</v>
          </cell>
          <cell r="F831" t="str">
            <v>A</v>
          </cell>
          <cell r="G831" t="str">
            <v>GREEN</v>
          </cell>
          <cell r="H831" t="str">
            <v>FULL_TIME</v>
          </cell>
          <cell r="I831">
            <v>900234</v>
          </cell>
          <cell r="J831" t="str">
            <v>EFS Facilities Services</v>
          </cell>
          <cell r="K831" t="str">
            <v>Sabina Pariyar</v>
          </cell>
          <cell r="L831" t="str">
            <v>Warehouse Associate (TEMP)</v>
          </cell>
          <cell r="M831" t="str">
            <v>Warehouse Associate 8W</v>
          </cell>
          <cell r="N831" t="str">
            <v>bavameer</v>
          </cell>
          <cell r="O831">
            <v>1299</v>
          </cell>
          <cell r="P831" t="str">
            <v>AUH1</v>
          </cell>
          <cell r="Q831" t="str">
            <v>ARE</v>
          </cell>
          <cell r="R831" t="str">
            <v>FC034</v>
          </cell>
          <cell r="S831" t="str">
            <v>Day Shift</v>
          </cell>
          <cell r="T831">
            <v>99</v>
          </cell>
          <cell r="U831" t="str">
            <v>MENA_UAE_FC</v>
          </cell>
          <cell r="X831">
            <v>46257.333333333336</v>
          </cell>
          <cell r="Y831">
            <v>46257.75</v>
          </cell>
          <cell r="Z831" t="str">
            <v>Rest Day</v>
          </cell>
          <cell r="AA831" t="str">
            <v>Not Scheduled</v>
          </cell>
          <cell r="AB831" t="str">
            <v>Not Present</v>
          </cell>
          <cell r="AC831" t="str">
            <v>Customer returns</v>
          </cell>
          <cell r="AD831" t="str">
            <v>Customer Returns</v>
          </cell>
          <cell r="AE831" t="str">
            <v>Customer returns</v>
          </cell>
          <cell r="AF831" t="str">
            <v>Saturday</v>
          </cell>
          <cell r="AG831" t="str">
            <v>Sunday</v>
          </cell>
          <cell r="AH831">
            <v>22</v>
          </cell>
          <cell r="AJ831">
            <v>45949</v>
          </cell>
          <cell r="AM831" t="str">
            <v>TEMP</v>
          </cell>
          <cell r="AN831" t="str">
            <v>3P Onsite Worker</v>
          </cell>
          <cell r="AO831" t="str">
            <v>A</v>
          </cell>
          <cell r="AP831">
            <v>9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</row>
        <row r="832">
          <cell r="D832" t="str">
            <v>opoemman</v>
          </cell>
          <cell r="E832">
            <v>204299902</v>
          </cell>
          <cell r="F832" t="str">
            <v>A</v>
          </cell>
          <cell r="G832" t="str">
            <v>GREEN</v>
          </cell>
          <cell r="H832" t="str">
            <v>FULL_TIME</v>
          </cell>
          <cell r="I832">
            <v>900234</v>
          </cell>
          <cell r="J832" t="str">
            <v>Quesscorp</v>
          </cell>
          <cell r="K832" t="str">
            <v>Emmanuel Gyamfi Opoku</v>
          </cell>
          <cell r="L832" t="str">
            <v>Warehouse Associate (TEMP)</v>
          </cell>
          <cell r="M832" t="str">
            <v>Warehouse Associate 8W</v>
          </cell>
          <cell r="N832" t="str">
            <v>aanso</v>
          </cell>
          <cell r="O832">
            <v>1299</v>
          </cell>
          <cell r="P832" t="str">
            <v>AUH1</v>
          </cell>
          <cell r="Q832" t="str">
            <v>ARE</v>
          </cell>
          <cell r="R832" t="str">
            <v>FC134</v>
          </cell>
          <cell r="S832" t="str">
            <v>Day Shift</v>
          </cell>
          <cell r="T832">
            <v>99</v>
          </cell>
          <cell r="U832" t="str">
            <v>MENA_UAE_FC</v>
          </cell>
          <cell r="V832">
            <v>46257.331250000003</v>
          </cell>
          <cell r="W832">
            <v>46257.748611111114</v>
          </cell>
          <cell r="X832">
            <v>46257.333333333336</v>
          </cell>
          <cell r="Y832">
            <v>46257.75</v>
          </cell>
          <cell r="AA832" t="str">
            <v>Scheduled</v>
          </cell>
          <cell r="AB832" t="str">
            <v>Present</v>
          </cell>
          <cell r="AC832" t="str">
            <v>Customer returns</v>
          </cell>
          <cell r="AD832" t="str">
            <v>Customer Returns</v>
          </cell>
          <cell r="AE832" t="str">
            <v>Customer returns</v>
          </cell>
          <cell r="AF832" t="str">
            <v>Wednesday</v>
          </cell>
          <cell r="AG832" t="str">
            <v>Thursday</v>
          </cell>
          <cell r="AH832">
            <v>22</v>
          </cell>
          <cell r="AJ832">
            <v>45585</v>
          </cell>
          <cell r="AM832" t="str">
            <v>TEMP</v>
          </cell>
          <cell r="AN832" t="str">
            <v>3P Onsite Worker</v>
          </cell>
          <cell r="AO832" t="str">
            <v>A</v>
          </cell>
          <cell r="AP832">
            <v>9</v>
          </cell>
          <cell r="AQ832">
            <v>0</v>
          </cell>
          <cell r="AR832">
            <v>1</v>
          </cell>
          <cell r="AS832">
            <v>1</v>
          </cell>
          <cell r="AT832">
            <v>0</v>
          </cell>
          <cell r="AU832">
            <v>0</v>
          </cell>
        </row>
        <row r="833">
          <cell r="D833" t="str">
            <v>opokderi</v>
          </cell>
          <cell r="E833">
            <v>206137344</v>
          </cell>
          <cell r="F833" t="str">
            <v>A</v>
          </cell>
          <cell r="G833" t="str">
            <v>GREEN</v>
          </cell>
          <cell r="H833" t="str">
            <v>FULL_TIME</v>
          </cell>
          <cell r="I833">
            <v>900234</v>
          </cell>
          <cell r="J833" t="str">
            <v>Fastlink Outsourcing</v>
          </cell>
          <cell r="K833" t="str">
            <v>Eric Opoku</v>
          </cell>
          <cell r="L833" t="str">
            <v>Warehouse Associate (TEMP)</v>
          </cell>
          <cell r="M833" t="str">
            <v>Warehouse Associate 8W</v>
          </cell>
          <cell r="N833" t="str">
            <v>bizthoma</v>
          </cell>
          <cell r="O833">
            <v>1299</v>
          </cell>
          <cell r="P833" t="str">
            <v>AUH1</v>
          </cell>
          <cell r="Q833" t="str">
            <v>ARE</v>
          </cell>
          <cell r="R833" t="str">
            <v>FC084</v>
          </cell>
          <cell r="S833" t="str">
            <v>Day Shift</v>
          </cell>
          <cell r="T833">
            <v>99</v>
          </cell>
          <cell r="U833" t="str">
            <v>MENA_UAE_FC</v>
          </cell>
          <cell r="V833">
            <v>46257.331250000003</v>
          </cell>
          <cell r="W833">
            <v>46257.748611111114</v>
          </cell>
          <cell r="X833">
            <v>46257.333333333336</v>
          </cell>
          <cell r="Y833">
            <v>46257.75</v>
          </cell>
          <cell r="AA833" t="str">
            <v>Scheduled</v>
          </cell>
          <cell r="AB833" t="str">
            <v>Present</v>
          </cell>
          <cell r="AC833" t="str">
            <v>Outbound</v>
          </cell>
          <cell r="AD833" t="str">
            <v>Pack - Batch</v>
          </cell>
          <cell r="AE833" t="str">
            <v>Pack</v>
          </cell>
          <cell r="AF833" t="str">
            <v>Monday</v>
          </cell>
          <cell r="AG833" t="str">
            <v>Tuesday</v>
          </cell>
          <cell r="AH833">
            <v>17</v>
          </cell>
          <cell r="AJ833">
            <v>45928</v>
          </cell>
          <cell r="AM833" t="str">
            <v>TEMP</v>
          </cell>
          <cell r="AN833" t="str">
            <v>3P Onsite Worker</v>
          </cell>
          <cell r="AO833" t="str">
            <v>A</v>
          </cell>
          <cell r="AP833">
            <v>9</v>
          </cell>
          <cell r="AQ833">
            <v>0</v>
          </cell>
          <cell r="AR833">
            <v>1</v>
          </cell>
          <cell r="AS833">
            <v>1</v>
          </cell>
          <cell r="AT833">
            <v>0</v>
          </cell>
          <cell r="AU833">
            <v>0</v>
          </cell>
        </row>
        <row r="834">
          <cell r="D834" t="str">
            <v>oppongla</v>
          </cell>
          <cell r="E834">
            <v>202308467</v>
          </cell>
          <cell r="F834" t="str">
            <v>A</v>
          </cell>
          <cell r="G834" t="str">
            <v>GREEN</v>
          </cell>
          <cell r="H834" t="str">
            <v>FULL_TIME</v>
          </cell>
          <cell r="I834">
            <v>900234</v>
          </cell>
          <cell r="J834" t="str">
            <v>Fastlink Outsourcing</v>
          </cell>
          <cell r="K834" t="str">
            <v>Abraham Oppong</v>
          </cell>
          <cell r="L834" t="str">
            <v>Warehouse Associate (TEMP)</v>
          </cell>
          <cell r="M834" t="str">
            <v>Warehouse Associate 12M</v>
          </cell>
          <cell r="N834" t="str">
            <v>kebedeed</v>
          </cell>
          <cell r="O834">
            <v>1299</v>
          </cell>
          <cell r="P834" t="str">
            <v>AUH1</v>
          </cell>
          <cell r="Q834" t="str">
            <v>ARE</v>
          </cell>
          <cell r="R834" t="str">
            <v>FC134</v>
          </cell>
          <cell r="S834" t="str">
            <v>Day Shift</v>
          </cell>
          <cell r="T834">
            <v>99</v>
          </cell>
          <cell r="U834" t="str">
            <v>MENA_UAE_FC</v>
          </cell>
          <cell r="V834">
            <v>46257.332638888889</v>
          </cell>
          <cell r="W834">
            <v>46257.74722222222</v>
          </cell>
          <cell r="X834">
            <v>46257.333333333336</v>
          </cell>
          <cell r="Y834">
            <v>46257.75</v>
          </cell>
          <cell r="AA834" t="str">
            <v>Scheduled</v>
          </cell>
          <cell r="AB834" t="str">
            <v>Present</v>
          </cell>
          <cell r="AC834" t="str">
            <v>ICQA</v>
          </cell>
          <cell r="AD834" t="str">
            <v>IC/QA/CS</v>
          </cell>
          <cell r="AE834" t="str">
            <v>Support</v>
          </cell>
          <cell r="AF834" t="str">
            <v>Wednesday</v>
          </cell>
          <cell r="AG834" t="str">
            <v>Thursday</v>
          </cell>
          <cell r="AH834">
            <v>27</v>
          </cell>
          <cell r="AJ834">
            <v>45914</v>
          </cell>
          <cell r="AM834" t="str">
            <v>TEMP</v>
          </cell>
          <cell r="AN834" t="str">
            <v>3P Onsite Worker</v>
          </cell>
          <cell r="AO834" t="str">
            <v>A</v>
          </cell>
          <cell r="AP834">
            <v>9</v>
          </cell>
          <cell r="AQ834">
            <v>0</v>
          </cell>
          <cell r="AR834">
            <v>1</v>
          </cell>
          <cell r="AS834">
            <v>1</v>
          </cell>
          <cell r="AT834">
            <v>0</v>
          </cell>
          <cell r="AU834">
            <v>0</v>
          </cell>
        </row>
        <row r="835">
          <cell r="D835" t="str">
            <v>osaeasam</v>
          </cell>
          <cell r="E835">
            <v>206926985</v>
          </cell>
          <cell r="F835" t="str">
            <v>A</v>
          </cell>
          <cell r="G835" t="str">
            <v>GREEN</v>
          </cell>
          <cell r="H835" t="str">
            <v>REDUCED</v>
          </cell>
          <cell r="I835">
            <v>900234</v>
          </cell>
          <cell r="J835" t="str">
            <v>Fastlink Outsourcing</v>
          </cell>
          <cell r="K835" t="str">
            <v>SAMUEL OSAE ASHONG</v>
          </cell>
          <cell r="L835" t="str">
            <v>Warehouse Associate (TEMP)</v>
          </cell>
          <cell r="M835" t="str">
            <v>Warehouse Associate 8W</v>
          </cell>
          <cell r="N835" t="str">
            <v>ansammar</v>
          </cell>
          <cell r="O835">
            <v>1299</v>
          </cell>
          <cell r="P835" t="str">
            <v>AUH1</v>
          </cell>
          <cell r="Q835" t="str">
            <v>ARE</v>
          </cell>
          <cell r="R835" t="str">
            <v>FC558</v>
          </cell>
          <cell r="S835" t="str">
            <v>Night Shift</v>
          </cell>
          <cell r="T835">
            <v>99</v>
          </cell>
          <cell r="U835" t="str">
            <v>MENA_UAE_FC</v>
          </cell>
          <cell r="V835">
            <v>46257.756249999999</v>
          </cell>
          <cell r="X835">
            <v>46257.756944444445</v>
          </cell>
          <cell r="Y835">
            <v>46258.090277777781</v>
          </cell>
          <cell r="AA835" t="str">
            <v>Scheduled</v>
          </cell>
          <cell r="AB835" t="str">
            <v>Present</v>
          </cell>
          <cell r="AC835" t="str">
            <v>Outbound</v>
          </cell>
          <cell r="AD835" t="str">
            <v>Pack - Batch</v>
          </cell>
          <cell r="AE835" t="str">
            <v>Pack</v>
          </cell>
          <cell r="AF835" t="str">
            <v>Thursday</v>
          </cell>
          <cell r="AG835" t="str">
            <v>Friday</v>
          </cell>
          <cell r="AH835">
            <v>17</v>
          </cell>
          <cell r="AJ835">
            <v>46246</v>
          </cell>
          <cell r="AM835" t="str">
            <v>TEMP</v>
          </cell>
          <cell r="AN835" t="str">
            <v>3P Onsite Worker</v>
          </cell>
          <cell r="AO835" t="str">
            <v>A</v>
          </cell>
          <cell r="AP835">
            <v>7</v>
          </cell>
          <cell r="AQ835">
            <v>0</v>
          </cell>
          <cell r="AR835">
            <v>1</v>
          </cell>
          <cell r="AS835">
            <v>1</v>
          </cell>
          <cell r="AT835">
            <v>0</v>
          </cell>
          <cell r="AU835">
            <v>0</v>
          </cell>
        </row>
        <row r="836">
          <cell r="D836" t="str">
            <v>osalwant</v>
          </cell>
          <cell r="E836">
            <v>113366831</v>
          </cell>
          <cell r="F836" t="str">
            <v>A</v>
          </cell>
          <cell r="G836" t="str">
            <v>GREEN</v>
          </cell>
          <cell r="H836" t="str">
            <v>FULL_TIME</v>
          </cell>
          <cell r="I836">
            <v>900234</v>
          </cell>
          <cell r="J836" t="str">
            <v>Adecco</v>
          </cell>
          <cell r="K836" t="str">
            <v>Sanjana Masih</v>
          </cell>
          <cell r="L836" t="str">
            <v>Warehouse Associate (TEMP)</v>
          </cell>
          <cell r="M836" t="str">
            <v>Warehouse Associate 24M</v>
          </cell>
          <cell r="N836" t="str">
            <v>bizthoma</v>
          </cell>
          <cell r="O836">
            <v>1299</v>
          </cell>
          <cell r="P836" t="str">
            <v>AUH1</v>
          </cell>
          <cell r="Q836" t="str">
            <v>ARE</v>
          </cell>
          <cell r="R836" t="str">
            <v>LK012</v>
          </cell>
          <cell r="S836" t="str">
            <v>Night Shift</v>
          </cell>
          <cell r="T836">
            <v>99</v>
          </cell>
          <cell r="U836" t="str">
            <v>MENA_UAE_FC</v>
          </cell>
          <cell r="X836">
            <v>46257.756944444445</v>
          </cell>
          <cell r="Y836">
            <v>46258.173611111109</v>
          </cell>
          <cell r="Z836" t="str">
            <v>Rest Day</v>
          </cell>
          <cell r="AA836" t="str">
            <v>Not Scheduled</v>
          </cell>
          <cell r="AB836" t="str">
            <v>Not Present</v>
          </cell>
          <cell r="AC836" t="str">
            <v>Outbound</v>
          </cell>
          <cell r="AD836" t="str">
            <v>Picking</v>
          </cell>
          <cell r="AE836" t="str">
            <v>Pick</v>
          </cell>
          <cell r="AF836" t="str">
            <v>Saturday</v>
          </cell>
          <cell r="AG836" t="str">
            <v>Sunday</v>
          </cell>
          <cell r="AH836">
            <v>13</v>
          </cell>
          <cell r="AJ836">
            <v>45536</v>
          </cell>
          <cell r="AM836" t="str">
            <v>TEMP</v>
          </cell>
          <cell r="AN836" t="str">
            <v>3P Onsite Worker</v>
          </cell>
          <cell r="AO836" t="str">
            <v>A</v>
          </cell>
          <cell r="AP836">
            <v>9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</row>
        <row r="837">
          <cell r="D837" t="str">
            <v>oseithay</v>
          </cell>
          <cell r="E837">
            <v>204966775</v>
          </cell>
          <cell r="F837" t="str">
            <v>A</v>
          </cell>
          <cell r="G837" t="str">
            <v>GREEN</v>
          </cell>
          <cell r="H837" t="str">
            <v>FULL_TIME</v>
          </cell>
          <cell r="I837">
            <v>900234</v>
          </cell>
          <cell r="J837" t="str">
            <v>Dulsco L.L.C.</v>
          </cell>
          <cell r="K837" t="str">
            <v>HAYFORD OSEI</v>
          </cell>
          <cell r="L837" t="str">
            <v>Warehouse Associate (TEMP)</v>
          </cell>
          <cell r="M837" t="str">
            <v>Warehouse Associate 24M</v>
          </cell>
          <cell r="N837" t="str">
            <v>lraghava</v>
          </cell>
          <cell r="O837">
            <v>1299</v>
          </cell>
          <cell r="P837" t="str">
            <v>AUH1</v>
          </cell>
          <cell r="Q837" t="str">
            <v>ARE</v>
          </cell>
          <cell r="R837" t="str">
            <v>LK015</v>
          </cell>
          <cell r="S837" t="str">
            <v>Night Shift</v>
          </cell>
          <cell r="T837">
            <v>99</v>
          </cell>
          <cell r="U837" t="str">
            <v>MENA_UAE_FC</v>
          </cell>
          <cell r="V837">
            <v>46257.756944444445</v>
          </cell>
          <cell r="X837">
            <v>46257.756944444445</v>
          </cell>
          <cell r="Y837">
            <v>46258.173611111109</v>
          </cell>
          <cell r="AA837" t="str">
            <v>Scheduled</v>
          </cell>
          <cell r="AB837" t="str">
            <v>Present</v>
          </cell>
          <cell r="AC837" t="str">
            <v>Outbound</v>
          </cell>
          <cell r="AD837" t="str">
            <v>Picking</v>
          </cell>
          <cell r="AE837" t="str">
            <v>Pick</v>
          </cell>
          <cell r="AF837" t="str">
            <v>Tuesday</v>
          </cell>
          <cell r="AG837" t="str">
            <v>Wednesday</v>
          </cell>
          <cell r="AH837">
            <v>13</v>
          </cell>
          <cell r="AJ837">
            <v>45718</v>
          </cell>
          <cell r="AM837" t="str">
            <v>TEMP</v>
          </cell>
          <cell r="AN837" t="str">
            <v>3P Onsite Worker</v>
          </cell>
          <cell r="AO837" t="str">
            <v>A</v>
          </cell>
          <cell r="AP837">
            <v>9</v>
          </cell>
          <cell r="AQ837">
            <v>0</v>
          </cell>
          <cell r="AR837">
            <v>1</v>
          </cell>
          <cell r="AS837">
            <v>1</v>
          </cell>
          <cell r="AT837">
            <v>0</v>
          </cell>
          <cell r="AU837">
            <v>0</v>
          </cell>
        </row>
        <row r="838">
          <cell r="D838" t="str">
            <v>oserichm</v>
          </cell>
          <cell r="E838">
            <v>204883239</v>
          </cell>
          <cell r="F838" t="str">
            <v>A</v>
          </cell>
          <cell r="G838" t="str">
            <v>GREEN</v>
          </cell>
          <cell r="H838" t="str">
            <v>FULL_TIME</v>
          </cell>
          <cell r="I838">
            <v>900234</v>
          </cell>
          <cell r="J838" t="str">
            <v>Quesscorp</v>
          </cell>
          <cell r="K838" t="str">
            <v>Richmond Osei</v>
          </cell>
          <cell r="L838" t="str">
            <v>Warehouse Associate (TEMP)</v>
          </cell>
          <cell r="M838" t="str">
            <v>Warehouse Associate 24M</v>
          </cell>
          <cell r="N838" t="str">
            <v>nnahla</v>
          </cell>
          <cell r="O838">
            <v>1299</v>
          </cell>
          <cell r="P838" t="str">
            <v>AUH1</v>
          </cell>
          <cell r="Q838" t="str">
            <v>ARE</v>
          </cell>
          <cell r="R838" t="str">
            <v>FC034</v>
          </cell>
          <cell r="S838" t="str">
            <v>Day Shift</v>
          </cell>
          <cell r="T838">
            <v>99</v>
          </cell>
          <cell r="U838" t="str">
            <v>MENA_UAE_FC</v>
          </cell>
          <cell r="X838">
            <v>46257.333333333336</v>
          </cell>
          <cell r="Y838">
            <v>46257.75</v>
          </cell>
          <cell r="Z838" t="str">
            <v>Rest Day</v>
          </cell>
          <cell r="AA838" t="str">
            <v>Not Scheduled</v>
          </cell>
          <cell r="AB838" t="str">
            <v>Not Present</v>
          </cell>
          <cell r="AC838" t="str">
            <v>Inbound</v>
          </cell>
          <cell r="AD838" t="str">
            <v>Vendor Receive</v>
          </cell>
          <cell r="AE838" t="str">
            <v>Receive</v>
          </cell>
          <cell r="AF838" t="str">
            <v>Saturday</v>
          </cell>
          <cell r="AG838" t="str">
            <v>Sunday</v>
          </cell>
          <cell r="AH838">
            <v>1</v>
          </cell>
          <cell r="AJ838">
            <v>45690</v>
          </cell>
          <cell r="AM838" t="str">
            <v>TEMP</v>
          </cell>
          <cell r="AN838" t="str">
            <v>3P Onsite Worker</v>
          </cell>
          <cell r="AO838" t="str">
            <v>A</v>
          </cell>
          <cell r="AP838">
            <v>9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</row>
        <row r="839">
          <cell r="D839" t="str">
            <v>osjosepf</v>
          </cell>
          <cell r="E839">
            <v>203679319</v>
          </cell>
          <cell r="F839" t="str">
            <v>A</v>
          </cell>
          <cell r="G839" t="str">
            <v>GREEN</v>
          </cell>
          <cell r="H839" t="str">
            <v>FULL_TIME</v>
          </cell>
          <cell r="I839">
            <v>900234</v>
          </cell>
          <cell r="J839" t="str">
            <v>Fastlink Outsourcing</v>
          </cell>
          <cell r="K839" t="str">
            <v>Joseph Osei</v>
          </cell>
          <cell r="L839" t="str">
            <v>Warehouse Associate (TEMP)</v>
          </cell>
          <cell r="M839" t="str">
            <v>Warehouse Associate 12M</v>
          </cell>
          <cell r="N839" t="str">
            <v>bavameer</v>
          </cell>
          <cell r="O839">
            <v>1299</v>
          </cell>
          <cell r="P839" t="str">
            <v>AUH1</v>
          </cell>
          <cell r="Q839" t="str">
            <v>ARE</v>
          </cell>
          <cell r="R839" t="str">
            <v>FC009</v>
          </cell>
          <cell r="S839" t="str">
            <v>Day Shift</v>
          </cell>
          <cell r="T839">
            <v>99</v>
          </cell>
          <cell r="U839" t="str">
            <v>MENA_UAE_FC</v>
          </cell>
          <cell r="V839">
            <v>46257.331944444442</v>
          </cell>
          <cell r="W839">
            <v>46257.75</v>
          </cell>
          <cell r="X839">
            <v>46257.333333333336</v>
          </cell>
          <cell r="Y839">
            <v>46257.75</v>
          </cell>
          <cell r="AA839" t="str">
            <v>Scheduled</v>
          </cell>
          <cell r="AB839" t="str">
            <v>Present</v>
          </cell>
          <cell r="AC839" t="str">
            <v>Customer returns</v>
          </cell>
          <cell r="AD839" t="str">
            <v>Customer Returns</v>
          </cell>
          <cell r="AE839" t="str">
            <v>Customer returns</v>
          </cell>
          <cell r="AF839" t="str">
            <v>Friday</v>
          </cell>
          <cell r="AG839" t="str">
            <v>Saturday</v>
          </cell>
          <cell r="AH839">
            <v>22</v>
          </cell>
          <cell r="AJ839">
            <v>45487</v>
          </cell>
          <cell r="AM839" t="str">
            <v>TEMP</v>
          </cell>
          <cell r="AN839" t="str">
            <v>3P Onsite Worker</v>
          </cell>
          <cell r="AO839" t="str">
            <v>A</v>
          </cell>
          <cell r="AP839">
            <v>9</v>
          </cell>
          <cell r="AQ839">
            <v>0</v>
          </cell>
          <cell r="AR839">
            <v>1</v>
          </cell>
          <cell r="AS839">
            <v>1</v>
          </cell>
          <cell r="AT839">
            <v>0</v>
          </cell>
          <cell r="AU839">
            <v>0</v>
          </cell>
        </row>
        <row r="840">
          <cell r="D840" t="str">
            <v>osnganga</v>
          </cell>
          <cell r="E840">
            <v>205506109</v>
          </cell>
          <cell r="F840" t="str">
            <v>A</v>
          </cell>
          <cell r="G840" t="str">
            <v>GREEN</v>
          </cell>
          <cell r="H840" t="str">
            <v>FULL_TIME</v>
          </cell>
          <cell r="I840">
            <v>900234</v>
          </cell>
          <cell r="J840" t="str">
            <v>EFS Facilities Services</v>
          </cell>
          <cell r="K840" t="str">
            <v>SUSAN WANJIKU NG'ANG'A</v>
          </cell>
          <cell r="L840" t="str">
            <v>Warehouse Associate (TEMP)</v>
          </cell>
          <cell r="M840" t="str">
            <v>Warehouse Associate 8W</v>
          </cell>
          <cell r="N840" t="str">
            <v>vkkatyal</v>
          </cell>
          <cell r="O840">
            <v>1299</v>
          </cell>
          <cell r="P840" t="str">
            <v>AUH1</v>
          </cell>
          <cell r="Q840" t="str">
            <v>ARE</v>
          </cell>
          <cell r="R840" t="str">
            <v>FC034</v>
          </cell>
          <cell r="S840" t="str">
            <v>Day Shift</v>
          </cell>
          <cell r="T840">
            <v>99</v>
          </cell>
          <cell r="U840" t="str">
            <v>MENA_UAE_FC</v>
          </cell>
          <cell r="X840">
            <v>46257.333333333336</v>
          </cell>
          <cell r="Y840">
            <v>46257.75</v>
          </cell>
          <cell r="Z840" t="str">
            <v>Rest Day</v>
          </cell>
          <cell r="AA840" t="str">
            <v>Not Scheduled</v>
          </cell>
          <cell r="AB840" t="str">
            <v>Not Present</v>
          </cell>
          <cell r="AC840" t="str">
            <v>Inbound</v>
          </cell>
          <cell r="AD840" t="str">
            <v>Inbound Stow</v>
          </cell>
          <cell r="AE840" t="str">
            <v>Stow</v>
          </cell>
          <cell r="AF840" t="str">
            <v>Saturday</v>
          </cell>
          <cell r="AG840" t="str">
            <v>Sunday</v>
          </cell>
          <cell r="AH840">
            <v>3</v>
          </cell>
          <cell r="AJ840">
            <v>45830</v>
          </cell>
          <cell r="AM840" t="str">
            <v>TEMP</v>
          </cell>
          <cell r="AN840" t="str">
            <v>3P Onsite Worker</v>
          </cell>
          <cell r="AO840" t="str">
            <v>A</v>
          </cell>
          <cell r="AP840">
            <v>9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</row>
        <row r="841">
          <cell r="D841" t="str">
            <v>osumrama</v>
          </cell>
          <cell r="E841">
            <v>204138127</v>
          </cell>
          <cell r="F841" t="str">
            <v>A</v>
          </cell>
          <cell r="G841" t="str">
            <v>GREEN</v>
          </cell>
          <cell r="H841" t="str">
            <v>FULL_TIME</v>
          </cell>
          <cell r="I841">
            <v>900234</v>
          </cell>
          <cell r="J841" t="str">
            <v>Quesscorp</v>
          </cell>
          <cell r="K841" t="str">
            <v>Ramatu Osumanu</v>
          </cell>
          <cell r="L841" t="str">
            <v>Warehouse Associate (TEMP)</v>
          </cell>
          <cell r="M841" t="str">
            <v>Warehouse Associate 24M</v>
          </cell>
          <cell r="N841" t="str">
            <v>ansammar</v>
          </cell>
          <cell r="O841">
            <v>1299</v>
          </cell>
          <cell r="P841" t="str">
            <v>AUH1</v>
          </cell>
          <cell r="Q841" t="str">
            <v>ARE</v>
          </cell>
          <cell r="R841" t="str">
            <v>FC084</v>
          </cell>
          <cell r="S841" t="str">
            <v>Day Shift</v>
          </cell>
          <cell r="T841">
            <v>99</v>
          </cell>
          <cell r="U841" t="str">
            <v>MENA_UAE_FC</v>
          </cell>
          <cell r="V841">
            <v>46257.331944444442</v>
          </cell>
          <cell r="W841">
            <v>46257.752083333333</v>
          </cell>
          <cell r="X841">
            <v>46257.333333333336</v>
          </cell>
          <cell r="Y841">
            <v>46257.75</v>
          </cell>
          <cell r="AA841" t="str">
            <v>Scheduled</v>
          </cell>
          <cell r="AB841" t="str">
            <v>Present</v>
          </cell>
          <cell r="AC841" t="str">
            <v>Outbound</v>
          </cell>
          <cell r="AD841" t="str">
            <v>Pack - Single</v>
          </cell>
          <cell r="AE841" t="str">
            <v>Pack</v>
          </cell>
          <cell r="AF841" t="str">
            <v>Monday</v>
          </cell>
          <cell r="AG841" t="str">
            <v>Tuesday</v>
          </cell>
          <cell r="AH841">
            <v>18</v>
          </cell>
          <cell r="AJ841">
            <v>45564</v>
          </cell>
          <cell r="AM841" t="str">
            <v>TEMP</v>
          </cell>
          <cell r="AN841" t="str">
            <v>3P Onsite Worker</v>
          </cell>
          <cell r="AO841" t="str">
            <v>A</v>
          </cell>
          <cell r="AP841">
            <v>9</v>
          </cell>
          <cell r="AQ841">
            <v>0</v>
          </cell>
          <cell r="AR841">
            <v>1</v>
          </cell>
          <cell r="AS841">
            <v>1</v>
          </cell>
          <cell r="AT841">
            <v>0</v>
          </cell>
          <cell r="AU841">
            <v>0</v>
          </cell>
        </row>
        <row r="842">
          <cell r="D842" t="str">
            <v>otchaste</v>
          </cell>
          <cell r="E842">
            <v>206915156</v>
          </cell>
          <cell r="F842" t="str">
            <v>A</v>
          </cell>
          <cell r="G842" t="str">
            <v>GREEN</v>
          </cell>
          <cell r="H842" t="str">
            <v>FULL_TIME</v>
          </cell>
          <cell r="I842">
            <v>900234</v>
          </cell>
          <cell r="J842" t="str">
            <v>Dulsco L.L.C.</v>
          </cell>
          <cell r="K842" t="str">
            <v>Steven Billz Otchan</v>
          </cell>
          <cell r="L842" t="str">
            <v>Warehouse Associate (TEMP)</v>
          </cell>
          <cell r="M842" t="str">
            <v>Warehouse Associate 8W</v>
          </cell>
          <cell r="N842" t="str">
            <v>nnahla</v>
          </cell>
          <cell r="O842">
            <v>1299</v>
          </cell>
          <cell r="P842" t="str">
            <v>AUH1</v>
          </cell>
          <cell r="Q842" t="str">
            <v>ARE</v>
          </cell>
          <cell r="R842" t="str">
            <v>LK012</v>
          </cell>
          <cell r="S842" t="str">
            <v>Night Shift</v>
          </cell>
          <cell r="T842">
            <v>99</v>
          </cell>
          <cell r="U842" t="str">
            <v>MENA_UAE_FC</v>
          </cell>
          <cell r="X842">
            <v>46257.756944444445</v>
          </cell>
          <cell r="Y842">
            <v>46258.173611111109</v>
          </cell>
          <cell r="Z842" t="str">
            <v>Rest Day</v>
          </cell>
          <cell r="AA842" t="str">
            <v>Not Scheduled</v>
          </cell>
          <cell r="AB842" t="str">
            <v>Not Present</v>
          </cell>
          <cell r="AC842" t="str">
            <v>Inbound</v>
          </cell>
          <cell r="AD842" t="str">
            <v>Vendor Receive</v>
          </cell>
          <cell r="AE842" t="str">
            <v>Receive</v>
          </cell>
          <cell r="AF842" t="str">
            <v>Saturday</v>
          </cell>
          <cell r="AG842" t="str">
            <v>Sunday</v>
          </cell>
          <cell r="AH842">
            <v>1</v>
          </cell>
          <cell r="AJ842">
            <v>46033</v>
          </cell>
          <cell r="AM842" t="str">
            <v>TEMP</v>
          </cell>
          <cell r="AN842" t="str">
            <v>3P Onsite Worker</v>
          </cell>
          <cell r="AO842" t="str">
            <v>A</v>
          </cell>
          <cell r="AP842">
            <v>9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</row>
        <row r="843">
          <cell r="D843" t="str">
            <v>otiinnoc</v>
          </cell>
          <cell r="E843">
            <v>203850785</v>
          </cell>
          <cell r="F843" t="str">
            <v>A</v>
          </cell>
          <cell r="G843" t="str">
            <v>GREEN</v>
          </cell>
          <cell r="H843" t="str">
            <v>FULL_TIME</v>
          </cell>
          <cell r="I843">
            <v>900234</v>
          </cell>
          <cell r="J843" t="str">
            <v>Dulsco L.L.C.</v>
          </cell>
          <cell r="K843" t="str">
            <v>Innocent Otim</v>
          </cell>
          <cell r="L843" t="str">
            <v>Warehouse Associate (TEMP)</v>
          </cell>
          <cell r="M843" t="str">
            <v>Warehouse Associate 8W</v>
          </cell>
          <cell r="N843" t="str">
            <v>lraghava</v>
          </cell>
          <cell r="O843">
            <v>1299</v>
          </cell>
          <cell r="P843" t="str">
            <v>AUH1</v>
          </cell>
          <cell r="Q843" t="str">
            <v>ARE</v>
          </cell>
          <cell r="R843" t="str">
            <v>LK013</v>
          </cell>
          <cell r="S843" t="str">
            <v>Night Shift</v>
          </cell>
          <cell r="T843">
            <v>99</v>
          </cell>
          <cell r="U843" t="str">
            <v>MENA_UAE_FC</v>
          </cell>
          <cell r="X843">
            <v>46257.756944444445</v>
          </cell>
          <cell r="Y843">
            <v>46258.173611111109</v>
          </cell>
          <cell r="Z843" t="str">
            <v>Rest Day</v>
          </cell>
          <cell r="AA843" t="str">
            <v>Not Scheduled</v>
          </cell>
          <cell r="AB843" t="str">
            <v>Not Present</v>
          </cell>
          <cell r="AC843" t="str">
            <v>Outbound</v>
          </cell>
          <cell r="AD843" t="str">
            <v>Picking</v>
          </cell>
          <cell r="AE843" t="str">
            <v>Pick</v>
          </cell>
          <cell r="AF843" t="str">
            <v>Sunday</v>
          </cell>
          <cell r="AG843" t="str">
            <v>Monday</v>
          </cell>
          <cell r="AH843">
            <v>13</v>
          </cell>
          <cell r="AJ843">
            <v>45523</v>
          </cell>
          <cell r="AM843" t="str">
            <v>TEMP</v>
          </cell>
          <cell r="AN843" t="str">
            <v>3P Onsite Worker</v>
          </cell>
          <cell r="AO843" t="str">
            <v>A</v>
          </cell>
          <cell r="AP843">
            <v>9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</row>
        <row r="844">
          <cell r="D844" t="str">
            <v>otooemml</v>
          </cell>
          <cell r="E844">
            <v>204868856</v>
          </cell>
          <cell r="F844" t="str">
            <v>A</v>
          </cell>
          <cell r="G844" t="str">
            <v>GREEN</v>
          </cell>
          <cell r="H844" t="str">
            <v>FULL_TIME</v>
          </cell>
          <cell r="I844">
            <v>900234</v>
          </cell>
          <cell r="J844" t="str">
            <v>Quesscorp</v>
          </cell>
          <cell r="K844" t="str">
            <v>Emmanuel Otoo</v>
          </cell>
          <cell r="L844" t="str">
            <v>Warehouse Associate (TEMP)</v>
          </cell>
          <cell r="M844" t="str">
            <v>Warehouse Associate 8W</v>
          </cell>
          <cell r="N844" t="str">
            <v>bavameer</v>
          </cell>
          <cell r="O844">
            <v>1299</v>
          </cell>
          <cell r="P844" t="str">
            <v>AUH1</v>
          </cell>
          <cell r="Q844" t="str">
            <v>ARE</v>
          </cell>
          <cell r="R844" t="str">
            <v>LK017</v>
          </cell>
          <cell r="S844" t="str">
            <v>Night Shift</v>
          </cell>
          <cell r="T844">
            <v>99</v>
          </cell>
          <cell r="U844" t="str">
            <v>MENA_UAE_FC</v>
          </cell>
          <cell r="V844">
            <v>46257.754166666666</v>
          </cell>
          <cell r="X844">
            <v>46257.756944444445</v>
          </cell>
          <cell r="Y844">
            <v>46258.173611111109</v>
          </cell>
          <cell r="AA844" t="str">
            <v>Scheduled</v>
          </cell>
          <cell r="AB844" t="str">
            <v>Present</v>
          </cell>
          <cell r="AC844" t="str">
            <v>Customer returns</v>
          </cell>
          <cell r="AD844" t="str">
            <v>Customer Returns</v>
          </cell>
          <cell r="AE844" t="str">
            <v>Customer returns</v>
          </cell>
          <cell r="AF844" t="str">
            <v>Thursday</v>
          </cell>
          <cell r="AG844" t="str">
            <v>Friday</v>
          </cell>
          <cell r="AH844">
            <v>22</v>
          </cell>
          <cell r="AJ844">
            <v>45690</v>
          </cell>
          <cell r="AM844" t="str">
            <v>TEMP</v>
          </cell>
          <cell r="AN844" t="str">
            <v>3P Onsite Worker</v>
          </cell>
          <cell r="AO844" t="str">
            <v>A</v>
          </cell>
          <cell r="AP844">
            <v>9</v>
          </cell>
          <cell r="AQ844">
            <v>0</v>
          </cell>
          <cell r="AR844">
            <v>1</v>
          </cell>
          <cell r="AS844">
            <v>1</v>
          </cell>
          <cell r="AT844">
            <v>0</v>
          </cell>
          <cell r="AU844">
            <v>0</v>
          </cell>
        </row>
        <row r="845">
          <cell r="D845" t="str">
            <v>otooibra</v>
          </cell>
          <cell r="E845">
            <v>203468745</v>
          </cell>
          <cell r="F845" t="str">
            <v>A</v>
          </cell>
          <cell r="G845" t="str">
            <v>GREEN</v>
          </cell>
          <cell r="H845" t="str">
            <v>FULL_TIME</v>
          </cell>
          <cell r="I845">
            <v>900234</v>
          </cell>
          <cell r="J845" t="str">
            <v>Fastlink Outsourcing</v>
          </cell>
          <cell r="K845" t="str">
            <v>Ibrahim Otoo</v>
          </cell>
          <cell r="L845" t="str">
            <v>Warehouse Associate (TEMP)</v>
          </cell>
          <cell r="M845" t="str">
            <v>Warehouse Associate 12M</v>
          </cell>
          <cell r="N845" t="str">
            <v>scariav</v>
          </cell>
          <cell r="O845">
            <v>1299</v>
          </cell>
          <cell r="P845" t="str">
            <v>AUH1</v>
          </cell>
          <cell r="Q845" t="str">
            <v>ARE</v>
          </cell>
          <cell r="R845" t="str">
            <v>FC134</v>
          </cell>
          <cell r="S845" t="str">
            <v>Day Shift</v>
          </cell>
          <cell r="T845">
            <v>99</v>
          </cell>
          <cell r="U845" t="str">
            <v>MENA_UAE_FC</v>
          </cell>
          <cell r="V845">
            <v>46257.332638888889</v>
          </cell>
          <cell r="W845">
            <v>46257.748611111114</v>
          </cell>
          <cell r="X845">
            <v>46257.333333333336</v>
          </cell>
          <cell r="Y845">
            <v>46257.75</v>
          </cell>
          <cell r="AA845" t="str">
            <v>Scheduled</v>
          </cell>
          <cell r="AB845" t="str">
            <v>Present</v>
          </cell>
          <cell r="AC845" t="str">
            <v>Outbound</v>
          </cell>
          <cell r="AD845" t="str">
            <v>Pack - Single</v>
          </cell>
          <cell r="AE845" t="str">
            <v>Pack</v>
          </cell>
          <cell r="AF845" t="str">
            <v>Wednesday</v>
          </cell>
          <cell r="AG845" t="str">
            <v>Thursday</v>
          </cell>
          <cell r="AH845">
            <v>18</v>
          </cell>
          <cell r="AJ845">
            <v>45455</v>
          </cell>
          <cell r="AM845" t="str">
            <v>TEMP</v>
          </cell>
          <cell r="AN845" t="str">
            <v>3P Onsite Worker</v>
          </cell>
          <cell r="AO845" t="str">
            <v>A</v>
          </cell>
          <cell r="AP845">
            <v>9</v>
          </cell>
          <cell r="AQ845">
            <v>0</v>
          </cell>
          <cell r="AR845">
            <v>1</v>
          </cell>
          <cell r="AS845">
            <v>1</v>
          </cell>
          <cell r="AT845">
            <v>0</v>
          </cell>
          <cell r="AU845">
            <v>0</v>
          </cell>
        </row>
        <row r="846">
          <cell r="D846" t="str">
            <v>ovirajan</v>
          </cell>
          <cell r="E846">
            <v>203813132</v>
          </cell>
          <cell r="F846" t="str">
            <v>A</v>
          </cell>
          <cell r="G846" t="str">
            <v>GREEN</v>
          </cell>
          <cell r="H846" t="str">
            <v>FULL_TIME</v>
          </cell>
          <cell r="I846">
            <v>900234</v>
          </cell>
          <cell r="J846" t="str">
            <v>Adecco</v>
          </cell>
          <cell r="K846" t="str">
            <v>VISHNURAJ RAJAN</v>
          </cell>
          <cell r="L846" t="str">
            <v>Warehouse Associate (TEMP)</v>
          </cell>
          <cell r="M846" t="str">
            <v>Warehouse Associate 24M</v>
          </cell>
          <cell r="N846" t="str">
            <v>bavameer</v>
          </cell>
          <cell r="O846">
            <v>1299</v>
          </cell>
          <cell r="P846" t="str">
            <v>AUH1</v>
          </cell>
          <cell r="Q846" t="str">
            <v>ARE</v>
          </cell>
          <cell r="R846" t="str">
            <v>LK011</v>
          </cell>
          <cell r="S846" t="str">
            <v>Night Shift</v>
          </cell>
          <cell r="T846">
            <v>99</v>
          </cell>
          <cell r="U846" t="str">
            <v>MENA_UAE_FC</v>
          </cell>
          <cell r="V846">
            <v>46257.754166666666</v>
          </cell>
          <cell r="X846">
            <v>46257.756944444445</v>
          </cell>
          <cell r="Y846">
            <v>46258.173611111109</v>
          </cell>
          <cell r="AA846" t="str">
            <v>Scheduled</v>
          </cell>
          <cell r="AB846" t="str">
            <v>Present</v>
          </cell>
          <cell r="AC846" t="str">
            <v>Customer returns</v>
          </cell>
          <cell r="AD846" t="str">
            <v>Customer Returns</v>
          </cell>
          <cell r="AE846" t="str">
            <v>Customer returns</v>
          </cell>
          <cell r="AF846" t="str">
            <v>Friday</v>
          </cell>
          <cell r="AG846" t="str">
            <v>Saturday</v>
          </cell>
          <cell r="AH846">
            <v>22</v>
          </cell>
          <cell r="AJ846">
            <v>45516</v>
          </cell>
          <cell r="AM846" t="str">
            <v>TEMP</v>
          </cell>
          <cell r="AN846" t="str">
            <v>3P Onsite Worker</v>
          </cell>
          <cell r="AO846" t="str">
            <v>A</v>
          </cell>
          <cell r="AP846">
            <v>9</v>
          </cell>
          <cell r="AQ846">
            <v>0</v>
          </cell>
          <cell r="AR846">
            <v>1</v>
          </cell>
          <cell r="AS846">
            <v>1</v>
          </cell>
          <cell r="AT846">
            <v>0</v>
          </cell>
          <cell r="AU846">
            <v>0</v>
          </cell>
        </row>
        <row r="847">
          <cell r="D847" t="str">
            <v>owebabig</v>
          </cell>
          <cell r="E847">
            <v>203850899</v>
          </cell>
          <cell r="F847" t="str">
            <v>A</v>
          </cell>
          <cell r="G847" t="str">
            <v>GREEN</v>
          </cell>
          <cell r="H847" t="str">
            <v>FULL_TIME</v>
          </cell>
          <cell r="I847">
            <v>900234</v>
          </cell>
          <cell r="J847" t="str">
            <v>Dulsco L.L.C.</v>
          </cell>
          <cell r="K847" t="str">
            <v>Owen Babigumira</v>
          </cell>
          <cell r="L847" t="str">
            <v>Warehouse Associate (TEMP)</v>
          </cell>
          <cell r="M847" t="str">
            <v>Warehouse Associate 24M</v>
          </cell>
          <cell r="N847" t="str">
            <v>bizthoma</v>
          </cell>
          <cell r="O847">
            <v>1299</v>
          </cell>
          <cell r="P847" t="str">
            <v>AUH1</v>
          </cell>
          <cell r="Q847" t="str">
            <v>ARE</v>
          </cell>
          <cell r="R847" t="str">
            <v>LK013</v>
          </cell>
          <cell r="S847" t="str">
            <v>Night Shift</v>
          </cell>
          <cell r="T847">
            <v>99</v>
          </cell>
          <cell r="U847" t="str">
            <v>MENA_UAE_FC</v>
          </cell>
          <cell r="X847">
            <v>46257.756944444445</v>
          </cell>
          <cell r="Y847">
            <v>46258.173611111109</v>
          </cell>
          <cell r="Z847" t="str">
            <v>Rest Day</v>
          </cell>
          <cell r="AA847" t="str">
            <v>Not Scheduled</v>
          </cell>
          <cell r="AB847" t="str">
            <v>Not Present</v>
          </cell>
          <cell r="AC847" t="str">
            <v>Outbound</v>
          </cell>
          <cell r="AD847" t="str">
            <v>Picking</v>
          </cell>
          <cell r="AE847" t="str">
            <v>Pick</v>
          </cell>
          <cell r="AF847" t="str">
            <v>Sunday</v>
          </cell>
          <cell r="AG847" t="str">
            <v>Monday</v>
          </cell>
          <cell r="AH847">
            <v>13</v>
          </cell>
          <cell r="AJ847">
            <v>45523</v>
          </cell>
          <cell r="AM847" t="str">
            <v>TEMP</v>
          </cell>
          <cell r="AN847" t="str">
            <v>3P Onsite Worker</v>
          </cell>
          <cell r="AO847" t="str">
            <v>A</v>
          </cell>
          <cell r="AP847">
            <v>9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</row>
        <row r="848">
          <cell r="D848" t="str">
            <v>owuevely</v>
          </cell>
          <cell r="E848">
            <v>206015572</v>
          </cell>
          <cell r="F848" t="str">
            <v>A</v>
          </cell>
          <cell r="G848" t="str">
            <v>GREEN</v>
          </cell>
          <cell r="H848" t="str">
            <v>FULL_TIME</v>
          </cell>
          <cell r="I848">
            <v>900234</v>
          </cell>
          <cell r="J848" t="str">
            <v>Fastlink Outsourcing</v>
          </cell>
          <cell r="K848" t="str">
            <v>EVELYN OWUSUA MENSAH</v>
          </cell>
          <cell r="L848" t="str">
            <v>Warehouse Associate (TEMP)</v>
          </cell>
          <cell r="M848" t="str">
            <v>Warehouse Associate 8W</v>
          </cell>
          <cell r="N848" t="str">
            <v>aanso</v>
          </cell>
          <cell r="O848">
            <v>1299</v>
          </cell>
          <cell r="P848" t="str">
            <v>AUH1</v>
          </cell>
          <cell r="Q848" t="str">
            <v>ARE</v>
          </cell>
          <cell r="R848" t="str">
            <v>LK012</v>
          </cell>
          <cell r="S848" t="str">
            <v>Night Shift</v>
          </cell>
          <cell r="T848">
            <v>99</v>
          </cell>
          <cell r="U848" t="str">
            <v>MENA_UAE_FC</v>
          </cell>
          <cell r="X848">
            <v>46257.756944444445</v>
          </cell>
          <cell r="Y848">
            <v>46258.173611111109</v>
          </cell>
          <cell r="Z848" t="str">
            <v>Rest Day</v>
          </cell>
          <cell r="AA848" t="str">
            <v>Not Scheduled</v>
          </cell>
          <cell r="AB848" t="str">
            <v>Not Present</v>
          </cell>
          <cell r="AC848" t="str">
            <v>Customer returns</v>
          </cell>
          <cell r="AD848" t="str">
            <v>Customer Returns</v>
          </cell>
          <cell r="AE848" t="str">
            <v>Customer returns</v>
          </cell>
          <cell r="AF848" t="str">
            <v>Saturday</v>
          </cell>
          <cell r="AG848" t="str">
            <v>Sunday</v>
          </cell>
          <cell r="AH848">
            <v>22</v>
          </cell>
          <cell r="AJ848">
            <v>45914</v>
          </cell>
          <cell r="AM848" t="str">
            <v>TEMP</v>
          </cell>
          <cell r="AN848" t="str">
            <v>3P Onsite Worker</v>
          </cell>
          <cell r="AO848" t="str">
            <v>A</v>
          </cell>
          <cell r="AP848">
            <v>9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</row>
        <row r="849">
          <cell r="D849" t="str">
            <v>owusukda</v>
          </cell>
          <cell r="E849">
            <v>204882810</v>
          </cell>
          <cell r="F849" t="str">
            <v>A</v>
          </cell>
          <cell r="G849" t="str">
            <v>GREEN</v>
          </cell>
          <cell r="H849" t="str">
            <v>FULL_TIME</v>
          </cell>
          <cell r="I849">
            <v>900234</v>
          </cell>
          <cell r="J849" t="str">
            <v>Dulsco L.L.C.</v>
          </cell>
          <cell r="K849" t="str">
            <v>DAVID OWUSU</v>
          </cell>
          <cell r="L849" t="str">
            <v>Warehouse Associate (TEMP)</v>
          </cell>
          <cell r="M849" t="str">
            <v>Warehouse Associate 24M</v>
          </cell>
          <cell r="N849" t="str">
            <v>pparsin</v>
          </cell>
          <cell r="O849">
            <v>1299</v>
          </cell>
          <cell r="P849" t="str">
            <v>AUH1</v>
          </cell>
          <cell r="Q849" t="str">
            <v>ARE</v>
          </cell>
          <cell r="R849" t="str">
            <v>FC059</v>
          </cell>
          <cell r="S849" t="str">
            <v>Day Shift</v>
          </cell>
          <cell r="T849">
            <v>99</v>
          </cell>
          <cell r="U849" t="str">
            <v>MENA_UAE_FC</v>
          </cell>
          <cell r="X849">
            <v>46257.333333333336</v>
          </cell>
          <cell r="Y849">
            <v>46257.75</v>
          </cell>
          <cell r="Z849" t="str">
            <v>Rest Day</v>
          </cell>
          <cell r="AA849" t="str">
            <v>Not Scheduled</v>
          </cell>
          <cell r="AB849" t="str">
            <v>Not Present</v>
          </cell>
          <cell r="AC849" t="str">
            <v>Inbound</v>
          </cell>
          <cell r="AD849" t="str">
            <v>Inbound Stow</v>
          </cell>
          <cell r="AE849" t="str">
            <v>Stow</v>
          </cell>
          <cell r="AF849" t="str">
            <v>Sunday</v>
          </cell>
          <cell r="AG849" t="str">
            <v>Monday</v>
          </cell>
          <cell r="AH849">
            <v>3</v>
          </cell>
          <cell r="AJ849">
            <v>45690</v>
          </cell>
          <cell r="AM849" t="str">
            <v>TEMP</v>
          </cell>
          <cell r="AN849" t="str">
            <v>3P Onsite Worker</v>
          </cell>
          <cell r="AO849" t="str">
            <v>A</v>
          </cell>
          <cell r="AP849">
            <v>9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</row>
        <row r="850">
          <cell r="D850" t="str">
            <v>owususol</v>
          </cell>
          <cell r="E850">
            <v>203469114</v>
          </cell>
          <cell r="F850" t="str">
            <v>A</v>
          </cell>
          <cell r="G850" t="str">
            <v>GREEN</v>
          </cell>
          <cell r="H850" t="str">
            <v>FULL_TIME</v>
          </cell>
          <cell r="I850">
            <v>900234</v>
          </cell>
          <cell r="J850" t="str">
            <v>Fastlink Outsourcing</v>
          </cell>
          <cell r="K850" t="str">
            <v>Solomon Owusu</v>
          </cell>
          <cell r="L850" t="str">
            <v>Warehouse Associate (TEMP)</v>
          </cell>
          <cell r="M850" t="str">
            <v>Warehouse Associate 12M</v>
          </cell>
          <cell r="N850" t="str">
            <v>bavameer</v>
          </cell>
          <cell r="O850">
            <v>1299</v>
          </cell>
          <cell r="P850" t="str">
            <v>AUH1</v>
          </cell>
          <cell r="Q850" t="str">
            <v>ARE</v>
          </cell>
          <cell r="R850" t="str">
            <v>FC159</v>
          </cell>
          <cell r="S850" t="str">
            <v>Day Shift</v>
          </cell>
          <cell r="T850">
            <v>99</v>
          </cell>
          <cell r="U850" t="str">
            <v>MENA_UAE_FC</v>
          </cell>
          <cell r="V850">
            <v>46257.332638888889</v>
          </cell>
          <cell r="W850">
            <v>46257.754861111112</v>
          </cell>
          <cell r="X850">
            <v>46257.333333333336</v>
          </cell>
          <cell r="Y850">
            <v>46257.75</v>
          </cell>
          <cell r="AA850" t="str">
            <v>Scheduled</v>
          </cell>
          <cell r="AB850" t="str">
            <v>Present</v>
          </cell>
          <cell r="AC850" t="str">
            <v>Customer returns</v>
          </cell>
          <cell r="AD850" t="str">
            <v>Customer Returns</v>
          </cell>
          <cell r="AE850" t="str">
            <v>Customer returns</v>
          </cell>
          <cell r="AF850" t="str">
            <v>Thursday</v>
          </cell>
          <cell r="AG850" t="str">
            <v>Friday</v>
          </cell>
          <cell r="AH850">
            <v>22</v>
          </cell>
          <cell r="AJ850">
            <v>45455</v>
          </cell>
          <cell r="AM850" t="str">
            <v>TEMP</v>
          </cell>
          <cell r="AN850" t="str">
            <v>3P Onsite Worker</v>
          </cell>
          <cell r="AO850" t="str">
            <v>A</v>
          </cell>
          <cell r="AP850">
            <v>9</v>
          </cell>
          <cell r="AQ850">
            <v>0</v>
          </cell>
          <cell r="AR850">
            <v>1</v>
          </cell>
          <cell r="AS850">
            <v>1</v>
          </cell>
          <cell r="AT850">
            <v>0</v>
          </cell>
          <cell r="AU850">
            <v>0</v>
          </cell>
        </row>
        <row r="851">
          <cell r="D851" t="str">
            <v>oykeziah</v>
          </cell>
          <cell r="E851">
            <v>206239528</v>
          </cell>
          <cell r="F851" t="str">
            <v>A</v>
          </cell>
          <cell r="G851" t="str">
            <v>GREEN</v>
          </cell>
          <cell r="H851" t="str">
            <v>FULL_TIME</v>
          </cell>
          <cell r="I851">
            <v>900234</v>
          </cell>
          <cell r="J851" t="str">
            <v>Fastlink Outsourcing</v>
          </cell>
          <cell r="K851" t="str">
            <v>KEZIAH OYE OYE</v>
          </cell>
          <cell r="L851" t="str">
            <v>Warehouse Associate (TEMP)</v>
          </cell>
          <cell r="M851" t="str">
            <v>Warehouse Associate 12M</v>
          </cell>
          <cell r="N851" t="str">
            <v>kebedeed</v>
          </cell>
          <cell r="O851">
            <v>1299</v>
          </cell>
          <cell r="P851" t="str">
            <v>AUH1</v>
          </cell>
          <cell r="Q851" t="str">
            <v>ARE</v>
          </cell>
          <cell r="R851" t="str">
            <v>FC009</v>
          </cell>
          <cell r="S851" t="str">
            <v>Day Shift</v>
          </cell>
          <cell r="T851">
            <v>99</v>
          </cell>
          <cell r="U851" t="str">
            <v>MENA_UAE_FC</v>
          </cell>
          <cell r="V851">
            <v>46257.332638888889</v>
          </cell>
          <cell r="W851">
            <v>46257.749305555553</v>
          </cell>
          <cell r="X851">
            <v>46257.333333333336</v>
          </cell>
          <cell r="Y851">
            <v>46257.75</v>
          </cell>
          <cell r="AA851" t="str">
            <v>Scheduled</v>
          </cell>
          <cell r="AB851" t="str">
            <v>Present</v>
          </cell>
          <cell r="AC851" t="str">
            <v>ICQA</v>
          </cell>
          <cell r="AD851" t="str">
            <v>IC/QA/CS</v>
          </cell>
          <cell r="AE851" t="str">
            <v>Support</v>
          </cell>
          <cell r="AF851" t="str">
            <v>Friday</v>
          </cell>
          <cell r="AG851" t="str">
            <v>Saturday</v>
          </cell>
          <cell r="AH851">
            <v>27</v>
          </cell>
          <cell r="AJ851">
            <v>45942</v>
          </cell>
          <cell r="AM851" t="str">
            <v>TEMP</v>
          </cell>
          <cell r="AN851" t="str">
            <v>3P Onsite Worker</v>
          </cell>
          <cell r="AO851" t="str">
            <v>A</v>
          </cell>
          <cell r="AP851">
            <v>9</v>
          </cell>
          <cell r="AQ851">
            <v>0</v>
          </cell>
          <cell r="AR851">
            <v>1</v>
          </cell>
          <cell r="AS851">
            <v>1</v>
          </cell>
          <cell r="AT851">
            <v>0</v>
          </cell>
          <cell r="AU851">
            <v>0</v>
          </cell>
        </row>
        <row r="852">
          <cell r="D852" t="str">
            <v>pagyeiok</v>
          </cell>
          <cell r="E852">
            <v>204013686</v>
          </cell>
          <cell r="F852" t="str">
            <v>A</v>
          </cell>
          <cell r="G852" t="str">
            <v>GREEN</v>
          </cell>
          <cell r="H852" t="str">
            <v>FULL_TIME</v>
          </cell>
          <cell r="I852">
            <v>900234</v>
          </cell>
          <cell r="J852" t="str">
            <v>Fastlink Outsourcing</v>
          </cell>
          <cell r="K852" t="str">
            <v>Prince Agyei Okai</v>
          </cell>
          <cell r="L852" t="str">
            <v>Warehouse Associate (TEMP)</v>
          </cell>
          <cell r="M852" t="str">
            <v>Warehouse Associate 12M</v>
          </cell>
          <cell r="N852" t="str">
            <v>ansammar</v>
          </cell>
          <cell r="O852">
            <v>1299</v>
          </cell>
          <cell r="P852" t="str">
            <v>AUH1</v>
          </cell>
          <cell r="Q852" t="str">
            <v>ARE</v>
          </cell>
          <cell r="R852" t="str">
            <v>LK016</v>
          </cell>
          <cell r="S852" t="str">
            <v>Night Shift</v>
          </cell>
          <cell r="T852">
            <v>99</v>
          </cell>
          <cell r="U852" t="str">
            <v>MENA_UAE_FC</v>
          </cell>
          <cell r="V852">
            <v>46257.757638888892</v>
          </cell>
          <cell r="X852">
            <v>46257.756944444445</v>
          </cell>
          <cell r="Y852">
            <v>46258.173611111109</v>
          </cell>
          <cell r="AA852" t="str">
            <v>Scheduled</v>
          </cell>
          <cell r="AB852" t="str">
            <v>Present</v>
          </cell>
          <cell r="AC852" t="str">
            <v>Outbound</v>
          </cell>
          <cell r="AD852" t="str">
            <v>Pack - Batch</v>
          </cell>
          <cell r="AE852" t="str">
            <v>Pack</v>
          </cell>
          <cell r="AF852" t="str">
            <v>Wednesday</v>
          </cell>
          <cell r="AG852" t="str">
            <v>Thursday</v>
          </cell>
          <cell r="AH852">
            <v>17</v>
          </cell>
          <cell r="AJ852">
            <v>45550</v>
          </cell>
          <cell r="AM852" t="str">
            <v>TEMP</v>
          </cell>
          <cell r="AN852" t="str">
            <v>3P Onsite Worker</v>
          </cell>
          <cell r="AO852" t="str">
            <v>A</v>
          </cell>
          <cell r="AP852">
            <v>9</v>
          </cell>
          <cell r="AQ852">
            <v>0</v>
          </cell>
          <cell r="AR852">
            <v>1</v>
          </cell>
          <cell r="AS852">
            <v>1</v>
          </cell>
          <cell r="AT852">
            <v>0</v>
          </cell>
          <cell r="AU852">
            <v>0</v>
          </cell>
        </row>
        <row r="853">
          <cell r="D853" t="str">
            <v>pallikna</v>
          </cell>
          <cell r="E853">
            <v>203965010</v>
          </cell>
          <cell r="F853" t="str">
            <v>A</v>
          </cell>
          <cell r="G853" t="str">
            <v>GREEN</v>
          </cell>
          <cell r="H853" t="str">
            <v>FULL_TIME</v>
          </cell>
          <cell r="I853">
            <v>900234</v>
          </cell>
          <cell r="J853" t="str">
            <v>Adecco</v>
          </cell>
          <cell r="K853" t="str">
            <v>Nasarudheen Pallikka</v>
          </cell>
          <cell r="L853" t="str">
            <v>Warehouse Associate (TEMP)</v>
          </cell>
          <cell r="M853" t="str">
            <v>Warehouse Associate 24M</v>
          </cell>
          <cell r="N853" t="str">
            <v>ansammar</v>
          </cell>
          <cell r="O853">
            <v>1299</v>
          </cell>
          <cell r="P853" t="str">
            <v>AUH1</v>
          </cell>
          <cell r="Q853" t="str">
            <v>ARE</v>
          </cell>
          <cell r="R853" t="str">
            <v>FC159</v>
          </cell>
          <cell r="S853" t="str">
            <v>Day Shift</v>
          </cell>
          <cell r="T853">
            <v>99</v>
          </cell>
          <cell r="U853" t="str">
            <v>MENA_UAE_FC</v>
          </cell>
          <cell r="V853">
            <v>46257.333333333336</v>
          </cell>
          <cell r="W853">
            <v>46257.74722222222</v>
          </cell>
          <cell r="X853">
            <v>46257.333333333336</v>
          </cell>
          <cell r="Y853">
            <v>46257.75</v>
          </cell>
          <cell r="AA853" t="str">
            <v>Scheduled</v>
          </cell>
          <cell r="AB853" t="str">
            <v>Present</v>
          </cell>
          <cell r="AC853" t="str">
            <v>Outbound</v>
          </cell>
          <cell r="AD853" t="str">
            <v>Picking</v>
          </cell>
          <cell r="AE853" t="str">
            <v>Pick</v>
          </cell>
          <cell r="AF853" t="str">
            <v>Thursday</v>
          </cell>
          <cell r="AG853" t="str">
            <v>Friday</v>
          </cell>
          <cell r="AH853">
            <v>13</v>
          </cell>
          <cell r="AJ853">
            <v>45543</v>
          </cell>
          <cell r="AM853" t="str">
            <v>TEMP</v>
          </cell>
          <cell r="AN853" t="str">
            <v>3P Onsite Worker</v>
          </cell>
          <cell r="AO853" t="str">
            <v>A</v>
          </cell>
          <cell r="AP853">
            <v>9</v>
          </cell>
          <cell r="AQ853">
            <v>0</v>
          </cell>
          <cell r="AR853">
            <v>1</v>
          </cell>
          <cell r="AS853">
            <v>1</v>
          </cell>
          <cell r="AT853">
            <v>0</v>
          </cell>
          <cell r="AU853">
            <v>0</v>
          </cell>
        </row>
        <row r="854">
          <cell r="D854" t="str">
            <v>pamoesse</v>
          </cell>
          <cell r="E854">
            <v>204868502</v>
          </cell>
          <cell r="F854" t="str">
            <v>A</v>
          </cell>
          <cell r="G854" t="str">
            <v>GREEN</v>
          </cell>
          <cell r="H854" t="str">
            <v>FULL_TIME</v>
          </cell>
          <cell r="I854">
            <v>900234</v>
          </cell>
          <cell r="J854" t="str">
            <v>Dulsco L.L.C.</v>
          </cell>
          <cell r="K854" t="str">
            <v>PRINCE AMO ESSEL</v>
          </cell>
          <cell r="L854" t="str">
            <v>Warehouse Associate (TEMP)</v>
          </cell>
          <cell r="M854" t="str">
            <v>Warehouse Associate 24M</v>
          </cell>
          <cell r="N854" t="str">
            <v>mnarshad</v>
          </cell>
          <cell r="O854">
            <v>1299</v>
          </cell>
          <cell r="P854" t="str">
            <v>AUH1</v>
          </cell>
          <cell r="Q854" t="str">
            <v>ARE</v>
          </cell>
          <cell r="R854" t="str">
            <v>FC134</v>
          </cell>
          <cell r="S854" t="str">
            <v>Day Shift</v>
          </cell>
          <cell r="T854">
            <v>99</v>
          </cell>
          <cell r="U854" t="str">
            <v>MENA_UAE_FC</v>
          </cell>
          <cell r="V854">
            <v>46257.329861111109</v>
          </cell>
          <cell r="W854">
            <v>46257.747916666667</v>
          </cell>
          <cell r="X854">
            <v>46257.333333333336</v>
          </cell>
          <cell r="Y854">
            <v>46257.75</v>
          </cell>
          <cell r="AA854" t="str">
            <v>Scheduled</v>
          </cell>
          <cell r="AB854" t="str">
            <v>Present</v>
          </cell>
          <cell r="AC854" t="str">
            <v>Outbound</v>
          </cell>
          <cell r="AD854" t="str">
            <v>Picking</v>
          </cell>
          <cell r="AE854" t="str">
            <v>Pick</v>
          </cell>
          <cell r="AF854" t="str">
            <v>Wednesday</v>
          </cell>
          <cell r="AG854" t="str">
            <v>Thursday</v>
          </cell>
          <cell r="AH854">
            <v>13</v>
          </cell>
          <cell r="AJ854">
            <v>45893</v>
          </cell>
          <cell r="AM854" t="str">
            <v>TEMP</v>
          </cell>
          <cell r="AN854" t="str">
            <v>3P Onsite Worker</v>
          </cell>
          <cell r="AO854" t="str">
            <v>A</v>
          </cell>
          <cell r="AP854">
            <v>9</v>
          </cell>
          <cell r="AQ854">
            <v>0</v>
          </cell>
          <cell r="AR854">
            <v>1</v>
          </cell>
          <cell r="AS854">
            <v>1</v>
          </cell>
          <cell r="AT854">
            <v>0</v>
          </cell>
          <cell r="AU854">
            <v>0</v>
          </cell>
        </row>
        <row r="855">
          <cell r="D855" t="str">
            <v>paswellx</v>
          </cell>
          <cell r="E855">
            <v>206873650</v>
          </cell>
          <cell r="F855" t="str">
            <v>A</v>
          </cell>
          <cell r="G855" t="str">
            <v>GREEN</v>
          </cell>
          <cell r="H855" t="str">
            <v>FULL_TIME</v>
          </cell>
          <cell r="I855">
            <v>900234</v>
          </cell>
          <cell r="J855" t="str">
            <v>Fastlink Outsourcing</v>
          </cell>
          <cell r="K855" t="str">
            <v>PASWELL GYAMFI</v>
          </cell>
          <cell r="L855" t="str">
            <v>Warehouse Associate (TEMP)</v>
          </cell>
          <cell r="M855" t="str">
            <v>Warehouse Associate 12M</v>
          </cell>
          <cell r="N855" t="str">
            <v>vkkatyal</v>
          </cell>
          <cell r="O855">
            <v>1299</v>
          </cell>
          <cell r="P855" t="str">
            <v>AUH1</v>
          </cell>
          <cell r="Q855" t="str">
            <v>ARE</v>
          </cell>
          <cell r="R855" t="str">
            <v>FC059</v>
          </cell>
          <cell r="S855" t="str">
            <v>Day Shift</v>
          </cell>
          <cell r="T855">
            <v>99</v>
          </cell>
          <cell r="U855" t="str">
            <v>MENA_UAE_FC</v>
          </cell>
          <cell r="X855">
            <v>46257.333333333336</v>
          </cell>
          <cell r="Y855">
            <v>46257.75</v>
          </cell>
          <cell r="Z855" t="str">
            <v>Rest Day</v>
          </cell>
          <cell r="AA855" t="str">
            <v>Not Scheduled</v>
          </cell>
          <cell r="AB855" t="str">
            <v>Not Present</v>
          </cell>
          <cell r="AC855" t="str">
            <v>Inbound</v>
          </cell>
          <cell r="AD855" t="str">
            <v>Inbound Stow</v>
          </cell>
          <cell r="AE855" t="str">
            <v>Stow</v>
          </cell>
          <cell r="AF855" t="str">
            <v>Sunday</v>
          </cell>
          <cell r="AG855" t="str">
            <v>Monday</v>
          </cell>
          <cell r="AH855">
            <v>3</v>
          </cell>
          <cell r="AJ855">
            <v>46019</v>
          </cell>
          <cell r="AM855" t="str">
            <v>TEMP</v>
          </cell>
          <cell r="AN855" t="str">
            <v>3P Onsite Worker</v>
          </cell>
          <cell r="AO855" t="str">
            <v>A</v>
          </cell>
          <cell r="AP855">
            <v>9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</row>
        <row r="856">
          <cell r="D856" t="str">
            <v>pauwkona</v>
          </cell>
          <cell r="E856">
            <v>206004602</v>
          </cell>
          <cell r="F856" t="str">
            <v>A</v>
          </cell>
          <cell r="G856" t="str">
            <v>GREEN</v>
          </cell>
          <cell r="H856" t="str">
            <v>FULL_TIME</v>
          </cell>
          <cell r="I856">
            <v>900234</v>
          </cell>
          <cell r="J856" t="str">
            <v>Fastlink Outsourcing</v>
          </cell>
          <cell r="K856" t="str">
            <v>PAULINA KONAMAH BOATENG</v>
          </cell>
          <cell r="L856" t="str">
            <v>Warehouse Associate (TEMP)</v>
          </cell>
          <cell r="M856" t="str">
            <v>Warehouse Associate 12M</v>
          </cell>
          <cell r="N856" t="str">
            <v>ansammar</v>
          </cell>
          <cell r="O856">
            <v>1299</v>
          </cell>
          <cell r="P856" t="str">
            <v>AUH1</v>
          </cell>
          <cell r="Q856" t="str">
            <v>ARE</v>
          </cell>
          <cell r="R856" t="str">
            <v>FC109</v>
          </cell>
          <cell r="S856" t="str">
            <v>Day Shift</v>
          </cell>
          <cell r="T856">
            <v>99</v>
          </cell>
          <cell r="U856" t="str">
            <v>MENA_UAE_FC</v>
          </cell>
          <cell r="V856">
            <v>46257.331944444442</v>
          </cell>
          <cell r="W856">
            <v>46257.747916666667</v>
          </cell>
          <cell r="X856">
            <v>46257.333333333336</v>
          </cell>
          <cell r="Y856">
            <v>46257.75</v>
          </cell>
          <cell r="AA856" t="str">
            <v>Scheduled</v>
          </cell>
          <cell r="AB856" t="str">
            <v>Present</v>
          </cell>
          <cell r="AC856" t="str">
            <v>Outbound</v>
          </cell>
          <cell r="AD856" t="str">
            <v>Picking</v>
          </cell>
          <cell r="AE856" t="str">
            <v>Pick</v>
          </cell>
          <cell r="AF856" t="str">
            <v>Tuesday</v>
          </cell>
          <cell r="AG856" t="str">
            <v>Wednesday</v>
          </cell>
          <cell r="AH856">
            <v>13</v>
          </cell>
          <cell r="AJ856">
            <v>45921</v>
          </cell>
          <cell r="AM856" t="str">
            <v>TEMP</v>
          </cell>
          <cell r="AN856" t="str">
            <v>3P Onsite Worker</v>
          </cell>
          <cell r="AO856" t="str">
            <v>A</v>
          </cell>
          <cell r="AP856">
            <v>9</v>
          </cell>
          <cell r="AQ856">
            <v>0</v>
          </cell>
          <cell r="AR856">
            <v>1</v>
          </cell>
          <cell r="AS856">
            <v>1</v>
          </cell>
          <cell r="AT856">
            <v>0</v>
          </cell>
          <cell r="AU856">
            <v>0</v>
          </cell>
        </row>
        <row r="857">
          <cell r="D857" t="str">
            <v>pbmateke</v>
          </cell>
          <cell r="E857">
            <v>206953810</v>
          </cell>
          <cell r="F857" t="str">
            <v>A</v>
          </cell>
          <cell r="G857" t="str">
            <v>GREEN</v>
          </cell>
          <cell r="H857" t="str">
            <v>FULL_TIME</v>
          </cell>
          <cell r="I857">
            <v>900234</v>
          </cell>
          <cell r="J857" t="str">
            <v>Dulsco L.L.C.</v>
          </cell>
          <cell r="K857" t="str">
            <v>BRIAN MATEKE</v>
          </cell>
          <cell r="L857" t="str">
            <v>Warehouse Associate (TEMP)</v>
          </cell>
          <cell r="M857" t="str">
            <v>Warehouse Associate 24M</v>
          </cell>
          <cell r="N857" t="str">
            <v>aanso</v>
          </cell>
          <cell r="O857">
            <v>1299</v>
          </cell>
          <cell r="P857" t="str">
            <v>AUH1</v>
          </cell>
          <cell r="Q857" t="str">
            <v>ARE</v>
          </cell>
          <cell r="R857" t="str">
            <v>FC109</v>
          </cell>
          <cell r="S857" t="str">
            <v>Day Shift</v>
          </cell>
          <cell r="T857">
            <v>99</v>
          </cell>
          <cell r="U857" t="str">
            <v>MENA_UAE_FC</v>
          </cell>
          <cell r="V857">
            <v>46257.332638888889</v>
          </cell>
          <cell r="W857">
            <v>46257.750694444447</v>
          </cell>
          <cell r="X857">
            <v>46257.333333333336</v>
          </cell>
          <cell r="Y857">
            <v>46257.75</v>
          </cell>
          <cell r="AA857" t="str">
            <v>Scheduled</v>
          </cell>
          <cell r="AB857" t="str">
            <v>Present</v>
          </cell>
          <cell r="AC857" t="str">
            <v>Customer returns</v>
          </cell>
          <cell r="AD857" t="str">
            <v>Customer Returns</v>
          </cell>
          <cell r="AE857" t="str">
            <v>Customer returns</v>
          </cell>
          <cell r="AF857" t="str">
            <v>Tuesday</v>
          </cell>
          <cell r="AG857" t="str">
            <v>Wednesday</v>
          </cell>
          <cell r="AH857">
            <v>22</v>
          </cell>
          <cell r="AJ857">
            <v>46047</v>
          </cell>
          <cell r="AM857" t="str">
            <v>TEMP</v>
          </cell>
          <cell r="AN857" t="str">
            <v>3P Onsite Worker</v>
          </cell>
          <cell r="AO857" t="str">
            <v>A</v>
          </cell>
          <cell r="AP857">
            <v>9</v>
          </cell>
          <cell r="AQ857">
            <v>0</v>
          </cell>
          <cell r="AR857">
            <v>1</v>
          </cell>
          <cell r="AS857">
            <v>1</v>
          </cell>
          <cell r="AT857">
            <v>0</v>
          </cell>
          <cell r="AU857">
            <v>0</v>
          </cell>
        </row>
        <row r="858">
          <cell r="D858" t="str">
            <v>pdavadom</v>
          </cell>
          <cell r="E858">
            <v>203468317</v>
          </cell>
          <cell r="F858" t="str">
            <v>A</v>
          </cell>
          <cell r="G858" t="str">
            <v>GREEN</v>
          </cell>
          <cell r="H858" t="str">
            <v>FULL_TIME</v>
          </cell>
          <cell r="I858">
            <v>900234</v>
          </cell>
          <cell r="J858" t="str">
            <v>Fastlink Outsourcing</v>
          </cell>
          <cell r="K858" t="str">
            <v>David Adom</v>
          </cell>
          <cell r="L858" t="str">
            <v>Warehouse Associate (TEMP)</v>
          </cell>
          <cell r="M858" t="str">
            <v>Warehouse Associate 12M</v>
          </cell>
          <cell r="N858" t="str">
            <v>abbaszoo</v>
          </cell>
          <cell r="O858">
            <v>1299</v>
          </cell>
          <cell r="P858" t="str">
            <v>AUH1</v>
          </cell>
          <cell r="Q858" t="str">
            <v>ARE</v>
          </cell>
          <cell r="R858" t="str">
            <v>FC109</v>
          </cell>
          <cell r="S858" t="str">
            <v>Day Shift</v>
          </cell>
          <cell r="T858">
            <v>99</v>
          </cell>
          <cell r="U858" t="str">
            <v>MENA_UAE_FC</v>
          </cell>
          <cell r="V858">
            <v>46257.331944444442</v>
          </cell>
          <cell r="W858">
            <v>46257.752083333333</v>
          </cell>
          <cell r="X858">
            <v>46257.333333333336</v>
          </cell>
          <cell r="Y858">
            <v>46257.75</v>
          </cell>
          <cell r="AA858" t="str">
            <v>Scheduled</v>
          </cell>
          <cell r="AB858" t="str">
            <v>Present</v>
          </cell>
          <cell r="AC858" t="str">
            <v>Inbound</v>
          </cell>
          <cell r="AD858" t="str">
            <v>IB Problem Solve</v>
          </cell>
          <cell r="AE858" t="str">
            <v>Receive</v>
          </cell>
          <cell r="AF858" t="str">
            <v>Tuesday</v>
          </cell>
          <cell r="AG858" t="str">
            <v>Wednesday</v>
          </cell>
          <cell r="AH858">
            <v>6</v>
          </cell>
          <cell r="AJ858">
            <v>45455</v>
          </cell>
          <cell r="AM858" t="str">
            <v>TEMP</v>
          </cell>
          <cell r="AN858" t="str">
            <v>3P Onsite Worker</v>
          </cell>
          <cell r="AO858" t="str">
            <v>A</v>
          </cell>
          <cell r="AP858">
            <v>9</v>
          </cell>
          <cell r="AQ858">
            <v>0</v>
          </cell>
          <cell r="AR858">
            <v>1</v>
          </cell>
          <cell r="AS858">
            <v>1</v>
          </cell>
          <cell r="AT858">
            <v>0</v>
          </cell>
          <cell r="AU858">
            <v>0</v>
          </cell>
        </row>
        <row r="859">
          <cell r="D859" t="str">
            <v>pechikoz</v>
          </cell>
          <cell r="E859">
            <v>205495602</v>
          </cell>
          <cell r="F859" t="str">
            <v>A</v>
          </cell>
          <cell r="G859" t="str">
            <v>GREEN</v>
          </cell>
          <cell r="H859" t="str">
            <v>FULL_TIME</v>
          </cell>
          <cell r="I859">
            <v>900234</v>
          </cell>
          <cell r="J859" t="str">
            <v>EFS Facilities Services</v>
          </cell>
          <cell r="K859" t="str">
            <v>PETER  MWAKUNI CHIKOZDA</v>
          </cell>
          <cell r="L859" t="str">
            <v>Warehouse Associate (TEMP)</v>
          </cell>
          <cell r="M859" t="str">
            <v>Warehouse Associate 8W</v>
          </cell>
          <cell r="N859" t="str">
            <v>bavameer</v>
          </cell>
          <cell r="O859">
            <v>1299</v>
          </cell>
          <cell r="P859" t="str">
            <v>AUH1</v>
          </cell>
          <cell r="Q859" t="str">
            <v>ARE</v>
          </cell>
          <cell r="R859" t="str">
            <v>LK011</v>
          </cell>
          <cell r="S859" t="str">
            <v>Night Shift</v>
          </cell>
          <cell r="T859">
            <v>99</v>
          </cell>
          <cell r="U859" t="str">
            <v>MENA_UAE_FC</v>
          </cell>
          <cell r="V859">
            <v>46257.754166666666</v>
          </cell>
          <cell r="X859">
            <v>46257.756944444445</v>
          </cell>
          <cell r="Y859">
            <v>46258.173611111109</v>
          </cell>
          <cell r="AA859" t="str">
            <v>Scheduled</v>
          </cell>
          <cell r="AB859" t="str">
            <v>Present</v>
          </cell>
          <cell r="AC859" t="str">
            <v>Customer returns</v>
          </cell>
          <cell r="AD859" t="str">
            <v>Customer Returns</v>
          </cell>
          <cell r="AE859" t="str">
            <v>Customer returns</v>
          </cell>
          <cell r="AF859" t="str">
            <v>Friday</v>
          </cell>
          <cell r="AG859" t="str">
            <v>Saturday</v>
          </cell>
          <cell r="AH859">
            <v>22</v>
          </cell>
          <cell r="AJ859">
            <v>45830</v>
          </cell>
          <cell r="AM859" t="str">
            <v>TEMP</v>
          </cell>
          <cell r="AN859" t="str">
            <v>3P Onsite Worker</v>
          </cell>
          <cell r="AO859" t="str">
            <v>A</v>
          </cell>
          <cell r="AP859">
            <v>9</v>
          </cell>
          <cell r="AQ859">
            <v>0</v>
          </cell>
          <cell r="AR859">
            <v>1</v>
          </cell>
          <cell r="AS859">
            <v>1</v>
          </cell>
          <cell r="AT859">
            <v>0</v>
          </cell>
          <cell r="AU859">
            <v>0</v>
          </cell>
        </row>
        <row r="860">
          <cell r="D860" t="str">
            <v>pemagezi</v>
          </cell>
          <cell r="E860">
            <v>203850901</v>
          </cell>
          <cell r="F860" t="str">
            <v>A</v>
          </cell>
          <cell r="G860" t="str">
            <v>GREEN</v>
          </cell>
          <cell r="H860" t="str">
            <v>FULL_TIME</v>
          </cell>
          <cell r="I860">
            <v>900234</v>
          </cell>
          <cell r="J860" t="str">
            <v>Dulsco L.L.C.</v>
          </cell>
          <cell r="K860" t="str">
            <v>Peter Magezi</v>
          </cell>
          <cell r="L860" t="str">
            <v>Warehouse Associate (TEMP)</v>
          </cell>
          <cell r="M860" t="str">
            <v>Warehouse Associate 24M</v>
          </cell>
          <cell r="N860" t="str">
            <v>mnarshad</v>
          </cell>
          <cell r="O860">
            <v>1299</v>
          </cell>
          <cell r="P860" t="str">
            <v>AUH1</v>
          </cell>
          <cell r="Q860" t="str">
            <v>ARE</v>
          </cell>
          <cell r="R860" t="str">
            <v>FC059</v>
          </cell>
          <cell r="S860" t="str">
            <v>Day Shift</v>
          </cell>
          <cell r="T860">
            <v>99</v>
          </cell>
          <cell r="U860" t="str">
            <v>MENA_UAE_FC</v>
          </cell>
          <cell r="X860">
            <v>46257.333333333336</v>
          </cell>
          <cell r="Y860">
            <v>46257.75</v>
          </cell>
          <cell r="Z860" t="str">
            <v>Rest Day</v>
          </cell>
          <cell r="AA860" t="str">
            <v>Not Scheduled</v>
          </cell>
          <cell r="AB860" t="str">
            <v>Not Present</v>
          </cell>
          <cell r="AC860" t="str">
            <v>Outbound</v>
          </cell>
          <cell r="AD860" t="str">
            <v>Picking</v>
          </cell>
          <cell r="AE860" t="str">
            <v>Pick</v>
          </cell>
          <cell r="AF860" t="str">
            <v>Sunday</v>
          </cell>
          <cell r="AG860" t="str">
            <v>Monday</v>
          </cell>
          <cell r="AH860">
            <v>13</v>
          </cell>
          <cell r="AJ860">
            <v>45523</v>
          </cell>
          <cell r="AM860" t="str">
            <v>TEMP</v>
          </cell>
          <cell r="AN860" t="str">
            <v>3P Onsite Worker</v>
          </cell>
          <cell r="AO860" t="str">
            <v>A</v>
          </cell>
          <cell r="AP860">
            <v>9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</row>
        <row r="861">
          <cell r="D861" t="str">
            <v>petekamu</v>
          </cell>
          <cell r="E861">
            <v>203800486</v>
          </cell>
          <cell r="F861" t="str">
            <v>A</v>
          </cell>
          <cell r="G861" t="str">
            <v>GREEN</v>
          </cell>
          <cell r="H861" t="str">
            <v>FULL_TIME</v>
          </cell>
          <cell r="I861">
            <v>900234</v>
          </cell>
          <cell r="J861" t="str">
            <v>Dulsco L.L.C.</v>
          </cell>
          <cell r="K861" t="str">
            <v>PETER KAMULEGEYA</v>
          </cell>
          <cell r="L861" t="str">
            <v>Warehouse Associate (TEMP)</v>
          </cell>
          <cell r="M861" t="str">
            <v>Warehouse Associate 24M</v>
          </cell>
          <cell r="N861" t="str">
            <v>vkkatyal</v>
          </cell>
          <cell r="O861">
            <v>1299</v>
          </cell>
          <cell r="P861" t="str">
            <v>AUH1</v>
          </cell>
          <cell r="Q861" t="str">
            <v>ARE</v>
          </cell>
          <cell r="R861" t="str">
            <v>FC034</v>
          </cell>
          <cell r="S861" t="str">
            <v>Day Shift</v>
          </cell>
          <cell r="T861">
            <v>99</v>
          </cell>
          <cell r="U861" t="str">
            <v>MENA_UAE_FC</v>
          </cell>
          <cell r="X861">
            <v>46257.333333333336</v>
          </cell>
          <cell r="Y861">
            <v>46257.75</v>
          </cell>
          <cell r="Z861" t="str">
            <v>Rest Day</v>
          </cell>
          <cell r="AA861" t="str">
            <v>Not Scheduled</v>
          </cell>
          <cell r="AB861" t="str">
            <v>Not Present</v>
          </cell>
          <cell r="AC861" t="str">
            <v>Inbound</v>
          </cell>
          <cell r="AD861" t="str">
            <v>Inbound Stow</v>
          </cell>
          <cell r="AE861" t="str">
            <v>Stow</v>
          </cell>
          <cell r="AF861" t="str">
            <v>Saturday</v>
          </cell>
          <cell r="AG861" t="str">
            <v>Sunday</v>
          </cell>
          <cell r="AH861">
            <v>3</v>
          </cell>
          <cell r="AJ861">
            <v>45515</v>
          </cell>
          <cell r="AM861" t="str">
            <v>TEMP</v>
          </cell>
          <cell r="AN861" t="str">
            <v>3P Onsite Worker</v>
          </cell>
          <cell r="AO861" t="str">
            <v>A</v>
          </cell>
          <cell r="AP861">
            <v>9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</row>
        <row r="862">
          <cell r="D862" t="str">
            <v>phoeboli</v>
          </cell>
          <cell r="E862">
            <v>205853893</v>
          </cell>
          <cell r="F862" t="str">
            <v>A</v>
          </cell>
          <cell r="G862" t="str">
            <v>GREEN</v>
          </cell>
          <cell r="H862" t="str">
            <v>REDUCED</v>
          </cell>
          <cell r="I862">
            <v>900234</v>
          </cell>
          <cell r="J862" t="str">
            <v>EFS Facilities Services</v>
          </cell>
          <cell r="K862" t="str">
            <v>PHOEBE OLINDO</v>
          </cell>
          <cell r="L862" t="str">
            <v>Warehouse Associate (TEMP)</v>
          </cell>
          <cell r="M862" t="str">
            <v>Warehouse Associate 8W</v>
          </cell>
          <cell r="N862" t="str">
            <v>bizthoma</v>
          </cell>
          <cell r="O862">
            <v>1299</v>
          </cell>
          <cell r="P862" t="str">
            <v>AUH1</v>
          </cell>
          <cell r="Q862" t="str">
            <v>ARE</v>
          </cell>
          <cell r="R862" t="str">
            <v>FC557</v>
          </cell>
          <cell r="S862" t="str">
            <v>Night Shift</v>
          </cell>
          <cell r="T862">
            <v>99</v>
          </cell>
          <cell r="U862" t="str">
            <v>MENA_UAE_FC</v>
          </cell>
          <cell r="V862">
            <v>46257.755555555559</v>
          </cell>
          <cell r="X862">
            <v>46257.756944444445</v>
          </cell>
          <cell r="Y862">
            <v>46258.090277777781</v>
          </cell>
          <cell r="AA862" t="str">
            <v>Scheduled</v>
          </cell>
          <cell r="AB862" t="str">
            <v>Present</v>
          </cell>
          <cell r="AC862" t="str">
            <v>Outbound</v>
          </cell>
          <cell r="AD862" t="str">
            <v>Picking</v>
          </cell>
          <cell r="AE862" t="str">
            <v>Pick</v>
          </cell>
          <cell r="AF862" t="str">
            <v>Wednesday</v>
          </cell>
          <cell r="AG862" t="str">
            <v>Thursday</v>
          </cell>
          <cell r="AH862">
            <v>13</v>
          </cell>
          <cell r="AJ862">
            <v>46251</v>
          </cell>
          <cell r="AM862" t="str">
            <v>TEMP</v>
          </cell>
          <cell r="AN862" t="str">
            <v>3P Onsite Worker</v>
          </cell>
          <cell r="AO862" t="str">
            <v>A</v>
          </cell>
          <cell r="AP862">
            <v>7</v>
          </cell>
          <cell r="AQ862">
            <v>0</v>
          </cell>
          <cell r="AR862">
            <v>1</v>
          </cell>
          <cell r="AS862">
            <v>1</v>
          </cell>
          <cell r="AT862">
            <v>0</v>
          </cell>
          <cell r="AU862">
            <v>0</v>
          </cell>
        </row>
        <row r="863">
          <cell r="D863" t="str">
            <v>phumuzin</v>
          </cell>
          <cell r="E863">
            <v>203850935</v>
          </cell>
          <cell r="F863" t="str">
            <v>A</v>
          </cell>
          <cell r="G863" t="str">
            <v>GREEN</v>
          </cell>
          <cell r="H863" t="str">
            <v>FULL_TIME</v>
          </cell>
          <cell r="I863">
            <v>900234</v>
          </cell>
          <cell r="J863" t="str">
            <v>Fastlink Outsourcing</v>
          </cell>
          <cell r="K863" t="str">
            <v>Phumuzile Ndlovu</v>
          </cell>
          <cell r="L863" t="str">
            <v>Warehouse Associate (TEMP)</v>
          </cell>
          <cell r="M863" t="str">
            <v>Warehouse Associate 12M</v>
          </cell>
          <cell r="N863" t="str">
            <v>bavameer</v>
          </cell>
          <cell r="O863">
            <v>1299</v>
          </cell>
          <cell r="P863" t="str">
            <v>AUH1</v>
          </cell>
          <cell r="Q863" t="str">
            <v>ARE</v>
          </cell>
          <cell r="R863" t="str">
            <v>FC034</v>
          </cell>
          <cell r="S863" t="str">
            <v>Day Shift</v>
          </cell>
          <cell r="T863">
            <v>99</v>
          </cell>
          <cell r="U863" t="str">
            <v>MENA_UAE_FC</v>
          </cell>
          <cell r="X863">
            <v>46257.333333333336</v>
          </cell>
          <cell r="Y863">
            <v>46257.75</v>
          </cell>
          <cell r="Z863" t="str">
            <v>Rest Day</v>
          </cell>
          <cell r="AA863" t="str">
            <v>Not Scheduled</v>
          </cell>
          <cell r="AB863" t="str">
            <v>Not Present</v>
          </cell>
          <cell r="AC863" t="str">
            <v>Customer returns</v>
          </cell>
          <cell r="AD863" t="str">
            <v>Customer Returns</v>
          </cell>
          <cell r="AE863" t="str">
            <v>Customer returns</v>
          </cell>
          <cell r="AF863" t="str">
            <v>Saturday</v>
          </cell>
          <cell r="AG863" t="str">
            <v>Sunday</v>
          </cell>
          <cell r="AH863">
            <v>22</v>
          </cell>
          <cell r="AJ863">
            <v>45523</v>
          </cell>
          <cell r="AM863" t="str">
            <v>TEMP</v>
          </cell>
          <cell r="AN863" t="str">
            <v>3P Onsite Worker</v>
          </cell>
          <cell r="AO863" t="str">
            <v>A</v>
          </cell>
          <cell r="AP863">
            <v>9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</row>
        <row r="864">
          <cell r="D864" t="str">
            <v>piraviki</v>
          </cell>
          <cell r="E864">
            <v>203964991</v>
          </cell>
          <cell r="F864" t="str">
            <v>A</v>
          </cell>
          <cell r="G864" t="str">
            <v>GREEN</v>
          </cell>
          <cell r="H864" t="str">
            <v>FULL_TIME</v>
          </cell>
          <cell r="I864">
            <v>900234</v>
          </cell>
          <cell r="J864" t="str">
            <v>Adecco</v>
          </cell>
          <cell r="K864" t="str">
            <v>Ravi Kiran Pidatala</v>
          </cell>
          <cell r="L864" t="str">
            <v>Warehouse Associate (TEMP)</v>
          </cell>
          <cell r="M864" t="str">
            <v>Warehouse Associate 24M</v>
          </cell>
          <cell r="N864" t="str">
            <v>ansammar</v>
          </cell>
          <cell r="O864">
            <v>1299</v>
          </cell>
          <cell r="P864" t="str">
            <v>AUH1</v>
          </cell>
          <cell r="Q864" t="str">
            <v>ARE</v>
          </cell>
          <cell r="R864" t="str">
            <v>LK016</v>
          </cell>
          <cell r="S864" t="str">
            <v>Night Shift</v>
          </cell>
          <cell r="T864">
            <v>99</v>
          </cell>
          <cell r="U864" t="str">
            <v>MENA_UAE_FC</v>
          </cell>
          <cell r="V864">
            <v>46257.756249999999</v>
          </cell>
          <cell r="X864">
            <v>46257.756944444445</v>
          </cell>
          <cell r="Y864">
            <v>46258.173611111109</v>
          </cell>
          <cell r="AA864" t="str">
            <v>Scheduled</v>
          </cell>
          <cell r="AB864" t="str">
            <v>Present</v>
          </cell>
          <cell r="AC864" t="str">
            <v>Outbound</v>
          </cell>
          <cell r="AD864" t="str">
            <v>Picking</v>
          </cell>
          <cell r="AE864" t="str">
            <v>Pick</v>
          </cell>
          <cell r="AF864" t="str">
            <v>Wednesday</v>
          </cell>
          <cell r="AG864" t="str">
            <v>Thursday</v>
          </cell>
          <cell r="AH864">
            <v>13</v>
          </cell>
          <cell r="AJ864">
            <v>45543</v>
          </cell>
          <cell r="AM864" t="str">
            <v>TEMP</v>
          </cell>
          <cell r="AN864" t="str">
            <v>3P Onsite Worker</v>
          </cell>
          <cell r="AO864" t="str">
            <v>A</v>
          </cell>
          <cell r="AP864">
            <v>9</v>
          </cell>
          <cell r="AQ864">
            <v>0</v>
          </cell>
          <cell r="AR864">
            <v>1</v>
          </cell>
          <cell r="AS864">
            <v>1</v>
          </cell>
          <cell r="AT864">
            <v>0</v>
          </cell>
          <cell r="AU864">
            <v>0</v>
          </cell>
        </row>
        <row r="865">
          <cell r="D865" t="str">
            <v>poifrimp</v>
          </cell>
          <cell r="E865">
            <v>203881694</v>
          </cell>
          <cell r="F865" t="str">
            <v>A</v>
          </cell>
          <cell r="G865" t="str">
            <v>GREEN</v>
          </cell>
          <cell r="H865" t="str">
            <v>FULL_TIME</v>
          </cell>
          <cell r="I865">
            <v>900234</v>
          </cell>
          <cell r="J865" t="str">
            <v>Fastlink Outsourcing</v>
          </cell>
          <cell r="K865" t="str">
            <v>Polycarp Frimpong</v>
          </cell>
          <cell r="L865" t="str">
            <v>Warehouse Associate (TEMP)</v>
          </cell>
          <cell r="M865" t="str">
            <v>Warehouse Associate 12M</v>
          </cell>
          <cell r="N865" t="str">
            <v>ansammar</v>
          </cell>
          <cell r="O865">
            <v>1299</v>
          </cell>
          <cell r="P865" t="str">
            <v>AUH1</v>
          </cell>
          <cell r="Q865" t="str">
            <v>ARE</v>
          </cell>
          <cell r="R865" t="str">
            <v>LK014</v>
          </cell>
          <cell r="S865" t="str">
            <v>Night Shift</v>
          </cell>
          <cell r="T865">
            <v>99</v>
          </cell>
          <cell r="U865" t="str">
            <v>MENA_UAE_FC</v>
          </cell>
          <cell r="V865">
            <v>46257.758333333331</v>
          </cell>
          <cell r="X865">
            <v>46257.756944444445</v>
          </cell>
          <cell r="Y865">
            <v>46258.173611111109</v>
          </cell>
          <cell r="AA865" t="str">
            <v>Scheduled</v>
          </cell>
          <cell r="AB865" t="str">
            <v>Present</v>
          </cell>
          <cell r="AC865" t="str">
            <v>Outbound</v>
          </cell>
          <cell r="AD865" t="str">
            <v>Pack - Single</v>
          </cell>
          <cell r="AE865" t="str">
            <v>Pack</v>
          </cell>
          <cell r="AF865" t="str">
            <v>Monday</v>
          </cell>
          <cell r="AG865" t="str">
            <v>Tuesday</v>
          </cell>
          <cell r="AH865">
            <v>18</v>
          </cell>
          <cell r="AJ865">
            <v>45529</v>
          </cell>
          <cell r="AM865" t="str">
            <v>TEMP</v>
          </cell>
          <cell r="AN865" t="str">
            <v>3P Onsite Worker</v>
          </cell>
          <cell r="AO865" t="str">
            <v>A</v>
          </cell>
          <cell r="AP865">
            <v>9</v>
          </cell>
          <cell r="AQ865">
            <v>0</v>
          </cell>
          <cell r="AR865">
            <v>1</v>
          </cell>
          <cell r="AS865">
            <v>1</v>
          </cell>
          <cell r="AT865">
            <v>0</v>
          </cell>
          <cell r="AU865">
            <v>0</v>
          </cell>
        </row>
        <row r="866">
          <cell r="D866" t="str">
            <v>posiblji</v>
          </cell>
          <cell r="E866">
            <v>203816295</v>
          </cell>
          <cell r="F866" t="str">
            <v>A</v>
          </cell>
          <cell r="G866" t="str">
            <v>GREEN</v>
          </cell>
          <cell r="H866" t="str">
            <v>FULL_TIME</v>
          </cell>
          <cell r="I866">
            <v>900234</v>
          </cell>
          <cell r="J866" t="str">
            <v>Dulsco L.L.C.</v>
          </cell>
          <cell r="K866" t="str">
            <v>Posible Jingo</v>
          </cell>
          <cell r="L866" t="str">
            <v>Warehouse Associate (TEMP)</v>
          </cell>
          <cell r="M866" t="str">
            <v>Warehouse Associate 24M</v>
          </cell>
          <cell r="N866" t="str">
            <v>nnahla</v>
          </cell>
          <cell r="O866">
            <v>1299</v>
          </cell>
          <cell r="P866" t="str">
            <v>AUH1</v>
          </cell>
          <cell r="Q866" t="str">
            <v>ARE</v>
          </cell>
          <cell r="R866" t="str">
            <v>FC009</v>
          </cell>
          <cell r="S866" t="str">
            <v>Day Shift</v>
          </cell>
          <cell r="T866">
            <v>99</v>
          </cell>
          <cell r="U866" t="str">
            <v>MENA_UAE_FC</v>
          </cell>
          <cell r="V866">
            <v>46257.332638888889</v>
          </cell>
          <cell r="W866">
            <v>46257.751388888886</v>
          </cell>
          <cell r="X866">
            <v>46257.333333333336</v>
          </cell>
          <cell r="Y866">
            <v>46257.75</v>
          </cell>
          <cell r="AA866" t="str">
            <v>Scheduled</v>
          </cell>
          <cell r="AB866" t="str">
            <v>Present</v>
          </cell>
          <cell r="AC866" t="str">
            <v>Inbound</v>
          </cell>
          <cell r="AD866" t="str">
            <v>Vendor Receive</v>
          </cell>
          <cell r="AE866" t="str">
            <v>Receive</v>
          </cell>
          <cell r="AF866" t="str">
            <v>Friday</v>
          </cell>
          <cell r="AG866" t="str">
            <v>Saturday</v>
          </cell>
          <cell r="AH866">
            <v>1</v>
          </cell>
          <cell r="AJ866">
            <v>45523</v>
          </cell>
          <cell r="AM866" t="str">
            <v>TEMP</v>
          </cell>
          <cell r="AN866" t="str">
            <v>3P Onsite Worker</v>
          </cell>
          <cell r="AO866" t="str">
            <v>A</v>
          </cell>
          <cell r="AP866">
            <v>9</v>
          </cell>
          <cell r="AQ866">
            <v>0</v>
          </cell>
          <cell r="AR866">
            <v>1</v>
          </cell>
          <cell r="AS866">
            <v>1</v>
          </cell>
          <cell r="AT866">
            <v>0</v>
          </cell>
          <cell r="AU866">
            <v>0</v>
          </cell>
        </row>
        <row r="867">
          <cell r="D867" t="str">
            <v>pradegug</v>
          </cell>
          <cell r="E867">
            <v>203800780</v>
          </cell>
          <cell r="F867" t="str">
            <v>A</v>
          </cell>
          <cell r="G867" t="str">
            <v>GREEN</v>
          </cell>
          <cell r="H867" t="str">
            <v>FULL_TIME</v>
          </cell>
          <cell r="I867">
            <v>900234</v>
          </cell>
          <cell r="J867" t="str">
            <v>Dulsco L.L.C.</v>
          </cell>
          <cell r="K867" t="str">
            <v>PRADEEP GUPTA</v>
          </cell>
          <cell r="L867" t="str">
            <v>Warehouse Associate (TEMP)</v>
          </cell>
          <cell r="M867" t="str">
            <v>Warehouse Associate 24M</v>
          </cell>
          <cell r="N867" t="str">
            <v>ansammar</v>
          </cell>
          <cell r="O867">
            <v>1299</v>
          </cell>
          <cell r="P867" t="str">
            <v>AUH1</v>
          </cell>
          <cell r="Q867" t="str">
            <v>ARE</v>
          </cell>
          <cell r="R867" t="str">
            <v>FC084</v>
          </cell>
          <cell r="S867" t="str">
            <v>Day Shift</v>
          </cell>
          <cell r="T867">
            <v>99</v>
          </cell>
          <cell r="U867" t="str">
            <v>MENA_UAE_FC</v>
          </cell>
          <cell r="V867">
            <v>46257.331250000003</v>
          </cell>
          <cell r="W867">
            <v>46257.751388888886</v>
          </cell>
          <cell r="X867">
            <v>46257.333333333336</v>
          </cell>
          <cell r="Y867">
            <v>46257.75</v>
          </cell>
          <cell r="AA867" t="str">
            <v>Scheduled</v>
          </cell>
          <cell r="AB867" t="str">
            <v>Present</v>
          </cell>
          <cell r="AC867" t="str">
            <v>Outbound</v>
          </cell>
          <cell r="AD867" t="str">
            <v>Pack - Batch</v>
          </cell>
          <cell r="AE867" t="str">
            <v>Pack</v>
          </cell>
          <cell r="AF867" t="str">
            <v>Monday</v>
          </cell>
          <cell r="AG867" t="str">
            <v>Tuesday</v>
          </cell>
          <cell r="AH867">
            <v>17</v>
          </cell>
          <cell r="AJ867">
            <v>45683</v>
          </cell>
          <cell r="AM867" t="str">
            <v>TEMP</v>
          </cell>
          <cell r="AN867" t="str">
            <v>3P Onsite Worker</v>
          </cell>
          <cell r="AO867" t="str">
            <v>A</v>
          </cell>
          <cell r="AP867">
            <v>9</v>
          </cell>
          <cell r="AQ867">
            <v>0</v>
          </cell>
          <cell r="AR867">
            <v>1</v>
          </cell>
          <cell r="AS867">
            <v>1</v>
          </cell>
          <cell r="AT867">
            <v>0</v>
          </cell>
          <cell r="AU867">
            <v>0</v>
          </cell>
        </row>
        <row r="868">
          <cell r="D868" t="str">
            <v>prasadop</v>
          </cell>
          <cell r="E868">
            <v>102718052</v>
          </cell>
          <cell r="F868" t="str">
            <v>A</v>
          </cell>
          <cell r="G868" t="str">
            <v>BLUE</v>
          </cell>
          <cell r="H868" t="str">
            <v>FULL_TIME</v>
          </cell>
          <cell r="I868" t="str">
            <v>P03251</v>
          </cell>
          <cell r="K868" t="str">
            <v>Omprakash Prasad</v>
          </cell>
          <cell r="L868" t="str">
            <v>FC Associate I</v>
          </cell>
          <cell r="M868" t="str">
            <v>FC Associate I</v>
          </cell>
          <cell r="N868" t="str">
            <v>abbaszoo</v>
          </cell>
          <cell r="O868">
            <v>1299</v>
          </cell>
          <cell r="P868" t="str">
            <v>AUH1</v>
          </cell>
          <cell r="Q868" t="str">
            <v>ARE</v>
          </cell>
          <cell r="R868" t="str">
            <v>LK011</v>
          </cell>
          <cell r="S868" t="str">
            <v>Night Shift</v>
          </cell>
          <cell r="T868">
            <v>1</v>
          </cell>
          <cell r="U868" t="str">
            <v>MENA_UAE_FC</v>
          </cell>
          <cell r="V868">
            <v>46257.747916666667</v>
          </cell>
          <cell r="X868">
            <v>46257.756944444445</v>
          </cell>
          <cell r="Y868">
            <v>46258.173611111109</v>
          </cell>
          <cell r="AA868" t="str">
            <v>Scheduled</v>
          </cell>
          <cell r="AB868" t="str">
            <v>Present</v>
          </cell>
          <cell r="AC868" t="str">
            <v>Inbound</v>
          </cell>
          <cell r="AD868" t="str">
            <v>Receive Dock</v>
          </cell>
          <cell r="AE868" t="str">
            <v>Receive</v>
          </cell>
          <cell r="AF868" t="str">
            <v>Friday</v>
          </cell>
          <cell r="AG868" t="str">
            <v>Saturday</v>
          </cell>
          <cell r="AH868">
            <v>2</v>
          </cell>
          <cell r="AJ868">
            <v>42989</v>
          </cell>
          <cell r="AM868" t="str">
            <v>FC</v>
          </cell>
          <cell r="AN868" t="str">
            <v>Regular Full Time</v>
          </cell>
          <cell r="AO868" t="str">
            <v>A</v>
          </cell>
          <cell r="AP868">
            <v>9</v>
          </cell>
          <cell r="AQ868">
            <v>0</v>
          </cell>
          <cell r="AR868">
            <v>1</v>
          </cell>
          <cell r="AS868">
            <v>1</v>
          </cell>
          <cell r="AT868">
            <v>0</v>
          </cell>
          <cell r="AU868">
            <v>0</v>
          </cell>
        </row>
        <row r="869">
          <cell r="D869" t="str">
            <v>prempegi</v>
          </cell>
          <cell r="E869">
            <v>206136725</v>
          </cell>
          <cell r="F869" t="str">
            <v>A</v>
          </cell>
          <cell r="G869" t="str">
            <v>GREEN</v>
          </cell>
          <cell r="H869" t="str">
            <v>FULL_TIME</v>
          </cell>
          <cell r="I869">
            <v>900234</v>
          </cell>
          <cell r="J869" t="str">
            <v>Fastlink Outsourcing</v>
          </cell>
          <cell r="K869" t="str">
            <v>Gifty Prempeh</v>
          </cell>
          <cell r="L869" t="str">
            <v>Warehouse Associate (TEMP)</v>
          </cell>
          <cell r="M869" t="str">
            <v>Warehouse Associate 12M</v>
          </cell>
          <cell r="N869" t="str">
            <v>helrashd</v>
          </cell>
          <cell r="O869">
            <v>1299</v>
          </cell>
          <cell r="P869" t="str">
            <v>AUH1</v>
          </cell>
          <cell r="Q869" t="str">
            <v>ARE</v>
          </cell>
          <cell r="R869" t="str">
            <v>LK013</v>
          </cell>
          <cell r="S869" t="str">
            <v>Night Shift</v>
          </cell>
          <cell r="T869">
            <v>99</v>
          </cell>
          <cell r="U869" t="str">
            <v>MENA_UAE_FC</v>
          </cell>
          <cell r="X869">
            <v>46257.756944444445</v>
          </cell>
          <cell r="Y869">
            <v>46258.173611111109</v>
          </cell>
          <cell r="Z869" t="str">
            <v>Rest Day</v>
          </cell>
          <cell r="AA869" t="str">
            <v>Not Scheduled</v>
          </cell>
          <cell r="AB869" t="str">
            <v>Not Present</v>
          </cell>
          <cell r="AC869" t="str">
            <v>Outbound</v>
          </cell>
          <cell r="AD869" t="str">
            <v>Picking</v>
          </cell>
          <cell r="AE869" t="str">
            <v>Pick</v>
          </cell>
          <cell r="AF869" t="str">
            <v>Sunday</v>
          </cell>
          <cell r="AG869" t="str">
            <v>Monday</v>
          </cell>
          <cell r="AH869">
            <v>13</v>
          </cell>
          <cell r="AJ869">
            <v>45928</v>
          </cell>
          <cell r="AM869" t="str">
            <v>TEMP</v>
          </cell>
          <cell r="AN869" t="str">
            <v>3P Onsite Worker</v>
          </cell>
          <cell r="AO869" t="str">
            <v>A</v>
          </cell>
          <cell r="AP869">
            <v>9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</row>
        <row r="870">
          <cell r="D870" t="str">
            <v>prenukap</v>
          </cell>
          <cell r="E870">
            <v>207302454</v>
          </cell>
          <cell r="F870" t="str">
            <v>A</v>
          </cell>
          <cell r="G870" t="str">
            <v>BLUE</v>
          </cell>
          <cell r="H870" t="str">
            <v>FULL_TIME</v>
          </cell>
          <cell r="I870" t="str">
            <v>P03231</v>
          </cell>
          <cell r="K870" t="str">
            <v>RENUKA PRASANNA P</v>
          </cell>
          <cell r="L870" t="str">
            <v>FC Associate III</v>
          </cell>
          <cell r="M870" t="str">
            <v>Operations Supervisor</v>
          </cell>
          <cell r="N870" t="str">
            <v>umaghas</v>
          </cell>
          <cell r="O870">
            <v>1299</v>
          </cell>
          <cell r="P870" t="str">
            <v>AUH1</v>
          </cell>
          <cell r="Q870" t="str">
            <v>ARE</v>
          </cell>
          <cell r="R870" t="str">
            <v>FC034</v>
          </cell>
          <cell r="S870" t="str">
            <v>Day Shift</v>
          </cell>
          <cell r="T870">
            <v>3</v>
          </cell>
          <cell r="U870" t="str">
            <v>MENA_UAE_FC</v>
          </cell>
          <cell r="X870">
            <v>46257.333333333336</v>
          </cell>
          <cell r="Y870">
            <v>46257.75</v>
          </cell>
          <cell r="Z870" t="str">
            <v>Rest Day</v>
          </cell>
          <cell r="AA870" t="str">
            <v>Not Scheduled</v>
          </cell>
          <cell r="AB870" t="str">
            <v>Not Present</v>
          </cell>
          <cell r="AC870" t="str">
            <v>Vendor returns</v>
          </cell>
          <cell r="AD870" t="str">
            <v>Vendor Returns</v>
          </cell>
          <cell r="AE870" t="str">
            <v>Vendor returns</v>
          </cell>
          <cell r="AF870" t="str">
            <v>Saturday</v>
          </cell>
          <cell r="AG870" t="str">
            <v>Sunday</v>
          </cell>
          <cell r="AH870">
            <v>24</v>
          </cell>
          <cell r="AJ870">
            <v>46166</v>
          </cell>
          <cell r="AM870" t="str">
            <v>FC</v>
          </cell>
          <cell r="AN870" t="str">
            <v>Regular Full Time</v>
          </cell>
          <cell r="AO870" t="str">
            <v>A</v>
          </cell>
          <cell r="AP870">
            <v>9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</row>
        <row r="871">
          <cell r="D871" t="str">
            <v>prerosel</v>
          </cell>
          <cell r="E871">
            <v>205996136</v>
          </cell>
          <cell r="F871" t="str">
            <v>A</v>
          </cell>
          <cell r="G871" t="str">
            <v>GREEN</v>
          </cell>
          <cell r="H871" t="str">
            <v>FULL_TIME</v>
          </cell>
          <cell r="I871">
            <v>900234</v>
          </cell>
          <cell r="J871" t="str">
            <v>Fastlink Outsourcing</v>
          </cell>
          <cell r="K871" t="str">
            <v>ROSELYN PRECIOUS KULIMA</v>
          </cell>
          <cell r="L871" t="str">
            <v>Warehouse Associate (TEMP)</v>
          </cell>
          <cell r="M871" t="str">
            <v>Warehouse Associate 12M</v>
          </cell>
          <cell r="N871" t="str">
            <v>scariav</v>
          </cell>
          <cell r="O871">
            <v>1299</v>
          </cell>
          <cell r="P871" t="str">
            <v>AUH1</v>
          </cell>
          <cell r="Q871" t="str">
            <v>ARE</v>
          </cell>
          <cell r="R871" t="str">
            <v>FC059</v>
          </cell>
          <cell r="S871" t="str">
            <v>Day Shift</v>
          </cell>
          <cell r="T871">
            <v>99</v>
          </cell>
          <cell r="U871" t="str">
            <v>MENA_UAE_FC</v>
          </cell>
          <cell r="X871">
            <v>46257.333333333336</v>
          </cell>
          <cell r="Y871">
            <v>46257.75</v>
          </cell>
          <cell r="Z871" t="str">
            <v>Rest Day</v>
          </cell>
          <cell r="AA871" t="str">
            <v>Not Scheduled</v>
          </cell>
          <cell r="AB871" t="str">
            <v>Not Present</v>
          </cell>
          <cell r="AC871" t="str">
            <v>Outbound</v>
          </cell>
          <cell r="AD871" t="str">
            <v>Picking</v>
          </cell>
          <cell r="AE871" t="str">
            <v>Pick</v>
          </cell>
          <cell r="AF871" t="str">
            <v>Sunday</v>
          </cell>
          <cell r="AG871" t="str">
            <v>Monday</v>
          </cell>
          <cell r="AH871">
            <v>13</v>
          </cell>
          <cell r="AJ871">
            <v>45914</v>
          </cell>
          <cell r="AM871" t="str">
            <v>TEMP</v>
          </cell>
          <cell r="AN871" t="str">
            <v>3P Onsite Worker</v>
          </cell>
          <cell r="AO871" t="str">
            <v>A</v>
          </cell>
          <cell r="AP871">
            <v>9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</row>
        <row r="872">
          <cell r="D872" t="str">
            <v>princeor</v>
          </cell>
          <cell r="E872">
            <v>202238249</v>
          </cell>
          <cell r="F872" t="str">
            <v>A</v>
          </cell>
          <cell r="G872" t="str">
            <v>GREEN</v>
          </cell>
          <cell r="H872" t="str">
            <v>FULL_TIME</v>
          </cell>
          <cell r="I872">
            <v>900234</v>
          </cell>
          <cell r="J872" t="str">
            <v>Quesscorp</v>
          </cell>
          <cell r="K872" t="str">
            <v>Prince Oheneba Jackson</v>
          </cell>
          <cell r="L872" t="str">
            <v>Warehouse Associate (TEMP)</v>
          </cell>
          <cell r="M872" t="str">
            <v>Warehouse Associate 24M</v>
          </cell>
          <cell r="N872" t="str">
            <v>bavameer</v>
          </cell>
          <cell r="O872">
            <v>1299</v>
          </cell>
          <cell r="P872" t="str">
            <v>AUH1</v>
          </cell>
          <cell r="Q872" t="str">
            <v>ARE</v>
          </cell>
          <cell r="R872" t="str">
            <v>FC059</v>
          </cell>
          <cell r="S872" t="str">
            <v>Day Shift</v>
          </cell>
          <cell r="T872">
            <v>99</v>
          </cell>
          <cell r="U872" t="str">
            <v>MENA_UAE_FC</v>
          </cell>
          <cell r="X872">
            <v>46257.333333333336</v>
          </cell>
          <cell r="Y872">
            <v>46257.75</v>
          </cell>
          <cell r="Z872" t="str">
            <v>Rest Day</v>
          </cell>
          <cell r="AA872" t="str">
            <v>Not Scheduled</v>
          </cell>
          <cell r="AB872" t="str">
            <v>Not Present</v>
          </cell>
          <cell r="AC872" t="str">
            <v>Customer returns</v>
          </cell>
          <cell r="AD872" t="str">
            <v>Customer Returns</v>
          </cell>
          <cell r="AE872" t="str">
            <v>Customer returns</v>
          </cell>
          <cell r="AF872" t="str">
            <v>Sunday</v>
          </cell>
          <cell r="AG872" t="str">
            <v>Monday</v>
          </cell>
          <cell r="AH872">
            <v>22</v>
          </cell>
          <cell r="AJ872">
            <v>45585</v>
          </cell>
          <cell r="AM872" t="str">
            <v>TEMP</v>
          </cell>
          <cell r="AN872" t="str">
            <v>3P Onsite Worker</v>
          </cell>
          <cell r="AO872" t="str">
            <v>A</v>
          </cell>
          <cell r="AP872">
            <v>9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</row>
        <row r="873">
          <cell r="D873" t="str">
            <v>prisarpo</v>
          </cell>
          <cell r="E873">
            <v>204967145</v>
          </cell>
          <cell r="F873" t="str">
            <v>A</v>
          </cell>
          <cell r="G873" t="str">
            <v>GREEN</v>
          </cell>
          <cell r="H873" t="str">
            <v>FULL_TIME</v>
          </cell>
          <cell r="I873">
            <v>900234</v>
          </cell>
          <cell r="J873" t="str">
            <v>Dulsco L.L.C.</v>
          </cell>
          <cell r="K873" t="str">
            <v>PRINCE SARPONG</v>
          </cell>
          <cell r="L873" t="str">
            <v>Warehouse Associate (TEMP)</v>
          </cell>
          <cell r="M873" t="str">
            <v>Warehouse Associate 24M</v>
          </cell>
          <cell r="N873" t="str">
            <v>mnarshad</v>
          </cell>
          <cell r="O873">
            <v>1299</v>
          </cell>
          <cell r="P873" t="str">
            <v>AUH1</v>
          </cell>
          <cell r="Q873" t="str">
            <v>ARE</v>
          </cell>
          <cell r="R873" t="str">
            <v>LK014</v>
          </cell>
          <cell r="S873" t="str">
            <v>Night Shift</v>
          </cell>
          <cell r="T873">
            <v>99</v>
          </cell>
          <cell r="U873" t="str">
            <v>MENA_UAE_FC</v>
          </cell>
          <cell r="V873">
            <v>46257.756249999999</v>
          </cell>
          <cell r="X873">
            <v>46257.756944444445</v>
          </cell>
          <cell r="Y873">
            <v>46258.173611111109</v>
          </cell>
          <cell r="AA873" t="str">
            <v>Scheduled</v>
          </cell>
          <cell r="AB873" t="str">
            <v>Present</v>
          </cell>
          <cell r="AC873" t="str">
            <v>Outbound</v>
          </cell>
          <cell r="AD873" t="str">
            <v>Pack - Single</v>
          </cell>
          <cell r="AE873" t="str">
            <v>Pack</v>
          </cell>
          <cell r="AF873" t="str">
            <v>Monday</v>
          </cell>
          <cell r="AG873" t="str">
            <v>Tuesday</v>
          </cell>
          <cell r="AH873">
            <v>18</v>
          </cell>
          <cell r="AJ873">
            <v>45718</v>
          </cell>
          <cell r="AM873" t="str">
            <v>TEMP</v>
          </cell>
          <cell r="AN873" t="str">
            <v>3P Onsite Worker</v>
          </cell>
          <cell r="AO873" t="str">
            <v>A</v>
          </cell>
          <cell r="AP873">
            <v>9</v>
          </cell>
          <cell r="AQ873">
            <v>0</v>
          </cell>
          <cell r="AR873">
            <v>1</v>
          </cell>
          <cell r="AS873">
            <v>1</v>
          </cell>
          <cell r="AT873">
            <v>0</v>
          </cell>
          <cell r="AU873">
            <v>0</v>
          </cell>
        </row>
        <row r="874">
          <cell r="D874" t="str">
            <v>priszmaw</v>
          </cell>
          <cell r="E874">
            <v>203512946</v>
          </cell>
          <cell r="F874" t="str">
            <v>A</v>
          </cell>
          <cell r="G874" t="str">
            <v>GREEN</v>
          </cell>
          <cell r="H874" t="str">
            <v>FULL_TIME</v>
          </cell>
          <cell r="I874">
            <v>900234</v>
          </cell>
          <cell r="J874" t="str">
            <v>Fastlink Outsourcing</v>
          </cell>
          <cell r="K874" t="str">
            <v>Priscilla Mawusi</v>
          </cell>
          <cell r="L874" t="str">
            <v>Warehouse Associate (TEMP)</v>
          </cell>
          <cell r="M874" t="str">
            <v>Warehouse Associate 12M</v>
          </cell>
          <cell r="N874" t="str">
            <v>ansammar</v>
          </cell>
          <cell r="O874">
            <v>1299</v>
          </cell>
          <cell r="P874" t="str">
            <v>AUH1</v>
          </cell>
          <cell r="Q874" t="str">
            <v>ARE</v>
          </cell>
          <cell r="R874" t="str">
            <v>FC009</v>
          </cell>
          <cell r="S874" t="str">
            <v>Day Shift</v>
          </cell>
          <cell r="T874">
            <v>99</v>
          </cell>
          <cell r="U874" t="str">
            <v>MENA_UAE_FC</v>
          </cell>
          <cell r="V874">
            <v>46257.331250000003</v>
          </cell>
          <cell r="W874">
            <v>46257.747916666667</v>
          </cell>
          <cell r="X874">
            <v>46257.333333333336</v>
          </cell>
          <cell r="Y874">
            <v>46257.75</v>
          </cell>
          <cell r="AA874" t="str">
            <v>Scheduled</v>
          </cell>
          <cell r="AB874" t="str">
            <v>Present</v>
          </cell>
          <cell r="AC874" t="str">
            <v>Outbound</v>
          </cell>
          <cell r="AD874" t="str">
            <v>Picking</v>
          </cell>
          <cell r="AE874" t="str">
            <v>Pick</v>
          </cell>
          <cell r="AF874" t="str">
            <v>Friday</v>
          </cell>
          <cell r="AG874" t="str">
            <v>Saturday</v>
          </cell>
          <cell r="AH874">
            <v>13</v>
          </cell>
          <cell r="AJ874">
            <v>45462</v>
          </cell>
          <cell r="AM874" t="str">
            <v>TEMP</v>
          </cell>
          <cell r="AN874" t="str">
            <v>3P Onsite Worker</v>
          </cell>
          <cell r="AO874" t="str">
            <v>A</v>
          </cell>
          <cell r="AP874">
            <v>9</v>
          </cell>
          <cell r="AQ874">
            <v>0</v>
          </cell>
          <cell r="AR874">
            <v>1</v>
          </cell>
          <cell r="AS874">
            <v>1</v>
          </cell>
          <cell r="AT874">
            <v>0</v>
          </cell>
          <cell r="AU874">
            <v>0</v>
          </cell>
        </row>
        <row r="875">
          <cell r="D875" t="str">
            <v>prosarth</v>
          </cell>
          <cell r="E875">
            <v>202189563</v>
          </cell>
          <cell r="F875" t="str">
            <v>A</v>
          </cell>
          <cell r="G875" t="str">
            <v>GREEN</v>
          </cell>
          <cell r="H875" t="str">
            <v>FULL_TIME</v>
          </cell>
          <cell r="I875">
            <v>900234</v>
          </cell>
          <cell r="J875" t="str">
            <v>Fastlink Outsourcing</v>
          </cell>
          <cell r="K875" t="str">
            <v>Prosper Arthur</v>
          </cell>
          <cell r="L875" t="str">
            <v>Warehouse Associate (TEMP)</v>
          </cell>
          <cell r="M875" t="str">
            <v>Warehouse Associate 12M</v>
          </cell>
          <cell r="N875" t="str">
            <v>ansammar</v>
          </cell>
          <cell r="O875">
            <v>1299</v>
          </cell>
          <cell r="P875" t="str">
            <v>AUH1</v>
          </cell>
          <cell r="Q875" t="str">
            <v>ARE</v>
          </cell>
          <cell r="R875" t="str">
            <v>FC109</v>
          </cell>
          <cell r="S875" t="str">
            <v>Day Shift</v>
          </cell>
          <cell r="T875">
            <v>99</v>
          </cell>
          <cell r="U875" t="str">
            <v>MENA_UAE_FC</v>
          </cell>
          <cell r="V875">
            <v>46257.327777777777</v>
          </cell>
          <cell r="W875">
            <v>46257.75</v>
          </cell>
          <cell r="X875">
            <v>46257.333333333336</v>
          </cell>
          <cell r="Y875">
            <v>46257.75</v>
          </cell>
          <cell r="AA875" t="str">
            <v>Scheduled</v>
          </cell>
          <cell r="AB875" t="str">
            <v>Present</v>
          </cell>
          <cell r="AC875" t="str">
            <v>Outbound</v>
          </cell>
          <cell r="AD875" t="str">
            <v>Sort - Batch</v>
          </cell>
          <cell r="AE875" t="str">
            <v>Sort</v>
          </cell>
          <cell r="AF875" t="str">
            <v>Tuesday</v>
          </cell>
          <cell r="AG875" t="str">
            <v>Wednesday</v>
          </cell>
          <cell r="AH875">
            <v>15</v>
          </cell>
          <cell r="AJ875">
            <v>45536</v>
          </cell>
          <cell r="AM875" t="str">
            <v>TEMP</v>
          </cell>
          <cell r="AN875" t="str">
            <v>3P Onsite Worker</v>
          </cell>
          <cell r="AO875" t="str">
            <v>A</v>
          </cell>
          <cell r="AP875">
            <v>9</v>
          </cell>
          <cell r="AQ875">
            <v>0</v>
          </cell>
          <cell r="AR875">
            <v>1</v>
          </cell>
          <cell r="AS875">
            <v>1</v>
          </cell>
          <cell r="AT875">
            <v>0</v>
          </cell>
          <cell r="AU875">
            <v>0</v>
          </cell>
        </row>
        <row r="876">
          <cell r="D876" t="str">
            <v>proskwak</v>
          </cell>
          <cell r="E876">
            <v>203965523</v>
          </cell>
          <cell r="F876" t="str">
            <v>A</v>
          </cell>
          <cell r="G876" t="str">
            <v>GREEN</v>
          </cell>
          <cell r="H876" t="str">
            <v>FULL_TIME</v>
          </cell>
          <cell r="I876">
            <v>900234</v>
          </cell>
          <cell r="J876" t="str">
            <v>Fastlink Outsourcing</v>
          </cell>
          <cell r="K876" t="str">
            <v>Prosper Kwaku Boateng</v>
          </cell>
          <cell r="L876" t="str">
            <v>Warehouse Associate (TEMP)</v>
          </cell>
          <cell r="M876" t="str">
            <v>Warehouse Associate 12M</v>
          </cell>
          <cell r="N876" t="str">
            <v>vkkatyal</v>
          </cell>
          <cell r="O876">
            <v>1299</v>
          </cell>
          <cell r="P876" t="str">
            <v>AUH1</v>
          </cell>
          <cell r="Q876" t="str">
            <v>ARE</v>
          </cell>
          <cell r="R876" t="str">
            <v>FC034</v>
          </cell>
          <cell r="S876" t="str">
            <v>Day Shift</v>
          </cell>
          <cell r="T876">
            <v>99</v>
          </cell>
          <cell r="U876" t="str">
            <v>MENA_UAE_FC</v>
          </cell>
          <cell r="X876">
            <v>46257.333333333336</v>
          </cell>
          <cell r="Y876">
            <v>46257.75</v>
          </cell>
          <cell r="Z876" t="str">
            <v>Rest Day</v>
          </cell>
          <cell r="AA876" t="str">
            <v>Not Scheduled</v>
          </cell>
          <cell r="AB876" t="str">
            <v>Not Present</v>
          </cell>
          <cell r="AC876" t="str">
            <v>Inbound</v>
          </cell>
          <cell r="AD876" t="str">
            <v>Replenishment</v>
          </cell>
          <cell r="AE876" t="str">
            <v>Stow</v>
          </cell>
          <cell r="AF876" t="str">
            <v>Saturday</v>
          </cell>
          <cell r="AG876" t="str">
            <v>Sunday</v>
          </cell>
          <cell r="AH876">
            <v>4</v>
          </cell>
          <cell r="AJ876">
            <v>45543</v>
          </cell>
          <cell r="AM876" t="str">
            <v>TEMP</v>
          </cell>
          <cell r="AN876" t="str">
            <v>3P Onsite Worker</v>
          </cell>
          <cell r="AO876" t="str">
            <v>A</v>
          </cell>
          <cell r="AP876">
            <v>9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</row>
        <row r="877">
          <cell r="D877" t="str">
            <v>psharonc</v>
          </cell>
          <cell r="E877">
            <v>205647825</v>
          </cell>
          <cell r="F877" t="str">
            <v>A</v>
          </cell>
          <cell r="G877" t="str">
            <v>GREEN</v>
          </cell>
          <cell r="H877" t="str">
            <v>FULL_TIME</v>
          </cell>
          <cell r="I877">
            <v>900234</v>
          </cell>
          <cell r="J877" t="str">
            <v>EFS Facilities Services</v>
          </cell>
          <cell r="K877" t="str">
            <v>Sharon Cherono Psaima</v>
          </cell>
          <cell r="L877" t="str">
            <v>Warehouse Associate (TEMP)</v>
          </cell>
          <cell r="M877" t="str">
            <v>Warehouse Associate 8W</v>
          </cell>
          <cell r="N877" t="str">
            <v>bavameer</v>
          </cell>
          <cell r="O877">
            <v>1299</v>
          </cell>
          <cell r="P877" t="str">
            <v>AUH1</v>
          </cell>
          <cell r="Q877" t="str">
            <v>ARE</v>
          </cell>
          <cell r="R877" t="str">
            <v>FC159</v>
          </cell>
          <cell r="S877" t="str">
            <v>Day Shift</v>
          </cell>
          <cell r="T877">
            <v>99</v>
          </cell>
          <cell r="U877" t="str">
            <v>MENA_UAE_FC</v>
          </cell>
          <cell r="V877">
            <v>46257.334027777775</v>
          </cell>
          <cell r="W877">
            <v>46257.75</v>
          </cell>
          <cell r="X877">
            <v>46257.333333333336</v>
          </cell>
          <cell r="Y877">
            <v>46257.75</v>
          </cell>
          <cell r="AA877" t="str">
            <v>Scheduled</v>
          </cell>
          <cell r="AB877" t="str">
            <v>Present</v>
          </cell>
          <cell r="AC877" t="str">
            <v>Customer returns</v>
          </cell>
          <cell r="AD877" t="str">
            <v>Customer Returns</v>
          </cell>
          <cell r="AE877" t="str">
            <v>Customer returns</v>
          </cell>
          <cell r="AF877" t="str">
            <v>Thursday</v>
          </cell>
          <cell r="AG877" t="str">
            <v>Friday</v>
          </cell>
          <cell r="AH877">
            <v>22</v>
          </cell>
          <cell r="AJ877">
            <v>45851</v>
          </cell>
          <cell r="AM877" t="str">
            <v>TEMP</v>
          </cell>
          <cell r="AN877" t="str">
            <v>3P Onsite Worker</v>
          </cell>
          <cell r="AO877" t="str">
            <v>A</v>
          </cell>
          <cell r="AP877">
            <v>9</v>
          </cell>
          <cell r="AQ877">
            <v>0</v>
          </cell>
          <cell r="AR877">
            <v>1</v>
          </cell>
          <cell r="AS877">
            <v>1</v>
          </cell>
          <cell r="AT877">
            <v>0</v>
          </cell>
          <cell r="AU877">
            <v>0</v>
          </cell>
        </row>
        <row r="878">
          <cell r="D878" t="str">
            <v>puchebiw</v>
          </cell>
          <cell r="E878">
            <v>205854084</v>
          </cell>
          <cell r="F878" t="str">
            <v>A</v>
          </cell>
          <cell r="G878" t="str">
            <v>GREEN</v>
          </cell>
          <cell r="H878" t="str">
            <v>FULL_TIME</v>
          </cell>
          <cell r="I878">
            <v>900234</v>
          </cell>
          <cell r="J878" t="str">
            <v>EFS Facilities Services</v>
          </cell>
          <cell r="K878" t="str">
            <v>PURITY CHEBIWOT</v>
          </cell>
          <cell r="L878" t="str">
            <v>Warehouse Associate (TEMP)</v>
          </cell>
          <cell r="M878" t="str">
            <v>Warehouse Associate 12M</v>
          </cell>
          <cell r="N878" t="str">
            <v>scariav</v>
          </cell>
          <cell r="O878">
            <v>1299</v>
          </cell>
          <cell r="P878" t="str">
            <v>AUH1</v>
          </cell>
          <cell r="Q878" t="str">
            <v>ARE</v>
          </cell>
          <cell r="R878" t="str">
            <v>LK015</v>
          </cell>
          <cell r="S878" t="str">
            <v>Night Shift</v>
          </cell>
          <cell r="T878">
            <v>99</v>
          </cell>
          <cell r="U878" t="str">
            <v>MENA_UAE_FC</v>
          </cell>
          <cell r="V878">
            <v>46257.755555555559</v>
          </cell>
          <cell r="X878">
            <v>46257.756944444445</v>
          </cell>
          <cell r="Y878">
            <v>46258.173611111109</v>
          </cell>
          <cell r="AA878" t="str">
            <v>Scheduled</v>
          </cell>
          <cell r="AB878" t="str">
            <v>Present</v>
          </cell>
          <cell r="AC878" t="str">
            <v>Outbound</v>
          </cell>
          <cell r="AD878" t="str">
            <v>Picking</v>
          </cell>
          <cell r="AE878" t="str">
            <v>Pick</v>
          </cell>
          <cell r="AF878" t="str">
            <v>Tuesday</v>
          </cell>
          <cell r="AG878" t="str">
            <v>Wednesday</v>
          </cell>
          <cell r="AH878">
            <v>13</v>
          </cell>
          <cell r="AJ878">
            <v>45893</v>
          </cell>
          <cell r="AM878" t="str">
            <v>TEMP</v>
          </cell>
          <cell r="AN878" t="str">
            <v>3P Onsite Worker</v>
          </cell>
          <cell r="AO878" t="str">
            <v>A</v>
          </cell>
          <cell r="AP878">
            <v>9</v>
          </cell>
          <cell r="AQ878">
            <v>0</v>
          </cell>
          <cell r="AR878">
            <v>1</v>
          </cell>
          <cell r="AS878">
            <v>1</v>
          </cell>
          <cell r="AT878">
            <v>0</v>
          </cell>
          <cell r="AU878">
            <v>0</v>
          </cell>
        </row>
        <row r="879">
          <cell r="D879" t="str">
            <v>purakkal</v>
          </cell>
          <cell r="E879">
            <v>102205456</v>
          </cell>
          <cell r="F879" t="str">
            <v>A</v>
          </cell>
          <cell r="G879" t="str">
            <v>BLUE</v>
          </cell>
          <cell r="H879" t="str">
            <v>FULL_TIME</v>
          </cell>
          <cell r="I879" t="str">
            <v>P03251</v>
          </cell>
          <cell r="K879" t="str">
            <v>Muhammed Faisal</v>
          </cell>
          <cell r="L879" t="str">
            <v>FC Associate I</v>
          </cell>
          <cell r="M879" t="str">
            <v>FC Associate I</v>
          </cell>
          <cell r="N879" t="str">
            <v>aanso</v>
          </cell>
          <cell r="O879">
            <v>1299</v>
          </cell>
          <cell r="P879" t="str">
            <v>AUH1</v>
          </cell>
          <cell r="Q879" t="str">
            <v>ARE</v>
          </cell>
          <cell r="R879" t="str">
            <v>FC159</v>
          </cell>
          <cell r="S879" t="str">
            <v>Day Shift</v>
          </cell>
          <cell r="T879">
            <v>1</v>
          </cell>
          <cell r="U879" t="str">
            <v>MENA_UAE_FC</v>
          </cell>
          <cell r="V879">
            <v>46257.330555555556</v>
          </cell>
          <cell r="W879">
            <v>46257.753472222219</v>
          </cell>
          <cell r="X879">
            <v>46257.333333333336</v>
          </cell>
          <cell r="Y879">
            <v>46257.75</v>
          </cell>
          <cell r="AA879" t="str">
            <v>Scheduled</v>
          </cell>
          <cell r="AB879" t="str">
            <v>Present</v>
          </cell>
          <cell r="AC879" t="str">
            <v>Customer returns</v>
          </cell>
          <cell r="AD879" t="str">
            <v>Customer Returns</v>
          </cell>
          <cell r="AE879" t="str">
            <v>Customer returns</v>
          </cell>
          <cell r="AF879" t="str">
            <v>Thursday</v>
          </cell>
          <cell r="AG879" t="str">
            <v>Friday</v>
          </cell>
          <cell r="AH879">
            <v>22</v>
          </cell>
          <cell r="AJ879">
            <v>42867</v>
          </cell>
          <cell r="AM879" t="str">
            <v>FC</v>
          </cell>
          <cell r="AN879" t="str">
            <v>Regular Full Time</v>
          </cell>
          <cell r="AO879" t="str">
            <v>A</v>
          </cell>
          <cell r="AP879">
            <v>9</v>
          </cell>
          <cell r="AQ879">
            <v>0</v>
          </cell>
          <cell r="AR879">
            <v>1</v>
          </cell>
          <cell r="AS879">
            <v>1</v>
          </cell>
          <cell r="AT879">
            <v>0</v>
          </cell>
          <cell r="AU879">
            <v>0</v>
          </cell>
        </row>
        <row r="880">
          <cell r="D880" t="str">
            <v>puthanvv</v>
          </cell>
          <cell r="E880">
            <v>203965011</v>
          </cell>
          <cell r="F880" t="str">
            <v>A</v>
          </cell>
          <cell r="G880" t="str">
            <v>GREEN</v>
          </cell>
          <cell r="H880" t="str">
            <v>FULL_TIME</v>
          </cell>
          <cell r="I880">
            <v>900234</v>
          </cell>
          <cell r="J880" t="str">
            <v>Adecco</v>
          </cell>
          <cell r="K880" t="str">
            <v>Vibin Puthanpurakkal</v>
          </cell>
          <cell r="L880" t="str">
            <v>Warehouse Associate (TEMP)</v>
          </cell>
          <cell r="M880" t="str">
            <v>Warehouse Associate 24M</v>
          </cell>
          <cell r="N880" t="str">
            <v>mnarshad</v>
          </cell>
          <cell r="O880">
            <v>1299</v>
          </cell>
          <cell r="P880" t="str">
            <v>AUH1</v>
          </cell>
          <cell r="Q880" t="str">
            <v>ARE</v>
          </cell>
          <cell r="R880" t="str">
            <v>LK012</v>
          </cell>
          <cell r="S880" t="str">
            <v>Night Shift</v>
          </cell>
          <cell r="T880">
            <v>99</v>
          </cell>
          <cell r="U880" t="str">
            <v>MENA_UAE_FC</v>
          </cell>
          <cell r="X880">
            <v>46257.756944444445</v>
          </cell>
          <cell r="Y880">
            <v>46258.173611111109</v>
          </cell>
          <cell r="Z880" t="str">
            <v>Rest Day</v>
          </cell>
          <cell r="AA880" t="str">
            <v>Not Scheduled</v>
          </cell>
          <cell r="AB880" t="str">
            <v>Not Present</v>
          </cell>
          <cell r="AC880" t="str">
            <v>Outbound</v>
          </cell>
          <cell r="AD880" t="str">
            <v>Picking</v>
          </cell>
          <cell r="AE880" t="str">
            <v>Pick</v>
          </cell>
          <cell r="AF880" t="str">
            <v>Saturday</v>
          </cell>
          <cell r="AG880" t="str">
            <v>Sunday</v>
          </cell>
          <cell r="AH880">
            <v>13</v>
          </cell>
          <cell r="AJ880">
            <v>45543</v>
          </cell>
          <cell r="AM880" t="str">
            <v>TEMP</v>
          </cell>
          <cell r="AN880" t="str">
            <v>3P Onsite Worker</v>
          </cell>
          <cell r="AO880" t="str">
            <v>A</v>
          </cell>
          <cell r="AP880">
            <v>9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</row>
        <row r="881">
          <cell r="D881" t="str">
            <v>pyaeomau</v>
          </cell>
          <cell r="E881">
            <v>203470082</v>
          </cell>
          <cell r="F881" t="str">
            <v>A</v>
          </cell>
          <cell r="G881" t="str">
            <v>GREEN</v>
          </cell>
          <cell r="H881" t="str">
            <v>FULL_TIME</v>
          </cell>
          <cell r="I881">
            <v>900234</v>
          </cell>
          <cell r="J881" t="str">
            <v>Adecco</v>
          </cell>
          <cell r="K881" t="str">
            <v>Pyae Maung</v>
          </cell>
          <cell r="L881" t="str">
            <v>Warehouse Associate (TEMP)</v>
          </cell>
          <cell r="M881" t="str">
            <v>Warehouse Associate 24M</v>
          </cell>
          <cell r="N881" t="str">
            <v>kebedeed</v>
          </cell>
          <cell r="O881">
            <v>1299</v>
          </cell>
          <cell r="P881" t="str">
            <v>AUH1</v>
          </cell>
          <cell r="Q881" t="str">
            <v>ARE</v>
          </cell>
          <cell r="R881" t="str">
            <v>LK015</v>
          </cell>
          <cell r="S881" t="str">
            <v>Night Shift</v>
          </cell>
          <cell r="T881">
            <v>99</v>
          </cell>
          <cell r="U881" t="str">
            <v>MENA_UAE_FC</v>
          </cell>
          <cell r="V881">
            <v>46257.754166666666</v>
          </cell>
          <cell r="X881">
            <v>46257.75</v>
          </cell>
          <cell r="Y881">
            <v>46258.166666666664</v>
          </cell>
          <cell r="AA881" t="str">
            <v>Scheduled</v>
          </cell>
          <cell r="AB881" t="str">
            <v>Present</v>
          </cell>
          <cell r="AC881" t="str">
            <v>ICQA</v>
          </cell>
          <cell r="AD881" t="str">
            <v>IC/QA/CS</v>
          </cell>
          <cell r="AE881" t="str">
            <v>Support</v>
          </cell>
          <cell r="AF881" t="str">
            <v>Tuesday</v>
          </cell>
          <cell r="AG881" t="str">
            <v>Wednesday</v>
          </cell>
          <cell r="AH881">
            <v>27</v>
          </cell>
          <cell r="AJ881">
            <v>45455</v>
          </cell>
          <cell r="AM881" t="str">
            <v>TEMP</v>
          </cell>
          <cell r="AN881" t="str">
            <v>3P Onsite Worker</v>
          </cell>
          <cell r="AO881" t="str">
            <v>A</v>
          </cell>
          <cell r="AP881">
            <v>9</v>
          </cell>
          <cell r="AQ881">
            <v>0</v>
          </cell>
          <cell r="AR881">
            <v>1</v>
          </cell>
          <cell r="AS881">
            <v>1</v>
          </cell>
          <cell r="AT881">
            <v>0</v>
          </cell>
          <cell r="AU881">
            <v>0</v>
          </cell>
        </row>
        <row r="882">
          <cell r="D882" t="str">
            <v>pyaminso</v>
          </cell>
          <cell r="E882">
            <v>203709884</v>
          </cell>
          <cell r="F882" t="str">
            <v>A</v>
          </cell>
          <cell r="G882" t="str">
            <v>GREEN</v>
          </cell>
          <cell r="H882" t="str">
            <v>FULL_TIME</v>
          </cell>
          <cell r="I882">
            <v>900234</v>
          </cell>
          <cell r="J882" t="str">
            <v>Adecco</v>
          </cell>
          <cell r="K882" t="str">
            <v>Yamin Soe</v>
          </cell>
          <cell r="L882" t="str">
            <v>Warehouse Associate (TEMP)</v>
          </cell>
          <cell r="M882" t="str">
            <v>Warehouse Associate 24M</v>
          </cell>
          <cell r="N882" t="str">
            <v>kebedeed</v>
          </cell>
          <cell r="O882">
            <v>1299</v>
          </cell>
          <cell r="P882" t="str">
            <v>AUH1</v>
          </cell>
          <cell r="Q882" t="str">
            <v>ARE</v>
          </cell>
          <cell r="R882" t="str">
            <v>FC034</v>
          </cell>
          <cell r="S882" t="str">
            <v>Day Shift</v>
          </cell>
          <cell r="T882">
            <v>99</v>
          </cell>
          <cell r="U882" t="str">
            <v>MENA_UAE_FC</v>
          </cell>
          <cell r="X882">
            <v>46257.333333333336</v>
          </cell>
          <cell r="Y882">
            <v>46257.75</v>
          </cell>
          <cell r="Z882" t="str">
            <v>Rest Day</v>
          </cell>
          <cell r="AA882" t="str">
            <v>Not Scheduled</v>
          </cell>
          <cell r="AB882" t="str">
            <v>Not Present</v>
          </cell>
          <cell r="AC882" t="str">
            <v>Support</v>
          </cell>
          <cell r="AD882" t="str">
            <v>Facilities</v>
          </cell>
          <cell r="AE882" t="str">
            <v>Support</v>
          </cell>
          <cell r="AF882" t="str">
            <v>Saturday</v>
          </cell>
          <cell r="AG882" t="str">
            <v>Sunday</v>
          </cell>
          <cell r="AH882">
            <v>28</v>
          </cell>
          <cell r="AJ882">
            <v>45494</v>
          </cell>
          <cell r="AM882" t="str">
            <v>TEMP</v>
          </cell>
          <cell r="AN882" t="str">
            <v>3P Onsite Worker</v>
          </cell>
          <cell r="AO882" t="str">
            <v>A</v>
          </cell>
          <cell r="AP882">
            <v>9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</row>
        <row r="883">
          <cell r="D883" t="str">
            <v>pyisikib</v>
          </cell>
          <cell r="E883">
            <v>206200807</v>
          </cell>
          <cell r="F883" t="str">
            <v>A</v>
          </cell>
          <cell r="G883" t="str">
            <v>GREEN</v>
          </cell>
          <cell r="H883" t="str">
            <v>FULL_TIME</v>
          </cell>
          <cell r="I883">
            <v>900234</v>
          </cell>
          <cell r="J883" t="str">
            <v>Fastlink Outsourcing</v>
          </cell>
          <cell r="K883" t="str">
            <v>PILATE YISIKIBA MBENKUM</v>
          </cell>
          <cell r="L883" t="str">
            <v>Warehouse Associate (TEMP)</v>
          </cell>
          <cell r="M883" t="str">
            <v>Warehouse Associate 12M</v>
          </cell>
          <cell r="N883" t="str">
            <v>helrashd</v>
          </cell>
          <cell r="O883">
            <v>1299</v>
          </cell>
          <cell r="P883" t="str">
            <v>AUH1</v>
          </cell>
          <cell r="Q883" t="str">
            <v>ARE</v>
          </cell>
          <cell r="R883" t="str">
            <v>FC059</v>
          </cell>
          <cell r="S883" t="str">
            <v>Day Shift</v>
          </cell>
          <cell r="T883">
            <v>99</v>
          </cell>
          <cell r="U883" t="str">
            <v>MENA_UAE_FC</v>
          </cell>
          <cell r="X883">
            <v>46257.333333333336</v>
          </cell>
          <cell r="Y883">
            <v>46257.75</v>
          </cell>
          <cell r="Z883" t="str">
            <v>Rest Day</v>
          </cell>
          <cell r="AA883" t="str">
            <v>Not Scheduled</v>
          </cell>
          <cell r="AB883" t="str">
            <v>Not Present</v>
          </cell>
          <cell r="AC883" t="str">
            <v>Outbound</v>
          </cell>
          <cell r="AD883" t="str">
            <v>Picking</v>
          </cell>
          <cell r="AE883" t="str">
            <v>Pick</v>
          </cell>
          <cell r="AF883" t="str">
            <v>Sunday</v>
          </cell>
          <cell r="AG883" t="str">
            <v>Monday</v>
          </cell>
          <cell r="AH883">
            <v>13</v>
          </cell>
          <cell r="AJ883">
            <v>45935</v>
          </cell>
          <cell r="AM883" t="str">
            <v>TEMP</v>
          </cell>
          <cell r="AN883" t="str">
            <v>3P Onsite Worker</v>
          </cell>
          <cell r="AO883" t="str">
            <v>A</v>
          </cell>
          <cell r="AP883">
            <v>9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</row>
        <row r="884">
          <cell r="D884" t="str">
            <v>qamzamur</v>
          </cell>
          <cell r="E884">
            <v>106268302</v>
          </cell>
          <cell r="F884" t="str">
            <v>A</v>
          </cell>
          <cell r="G884" t="str">
            <v>BLUE</v>
          </cell>
          <cell r="H884" t="str">
            <v>FULL_TIME</v>
          </cell>
          <cell r="I884" t="str">
            <v>P03231</v>
          </cell>
          <cell r="K884" t="str">
            <v>Zamurd Abbas</v>
          </cell>
          <cell r="L884" t="str">
            <v>FC Associate III</v>
          </cell>
          <cell r="M884" t="str">
            <v>Operations Supervisor</v>
          </cell>
          <cell r="N884" t="str">
            <v>ansammar</v>
          </cell>
          <cell r="O884">
            <v>1299</v>
          </cell>
          <cell r="P884" t="str">
            <v>AUH1</v>
          </cell>
          <cell r="Q884" t="str">
            <v>ARE</v>
          </cell>
          <cell r="R884" t="str">
            <v>FC009</v>
          </cell>
          <cell r="S884" t="str">
            <v>Day Shift</v>
          </cell>
          <cell r="T884">
            <v>3</v>
          </cell>
          <cell r="U884" t="str">
            <v>MENA_UAE_FC</v>
          </cell>
          <cell r="V884">
            <v>46257.323611111111</v>
          </cell>
          <cell r="W884">
            <v>46257.751388888886</v>
          </cell>
          <cell r="X884">
            <v>46257.333333333336</v>
          </cell>
          <cell r="Y884">
            <v>46257.75</v>
          </cell>
          <cell r="AA884" t="str">
            <v>Scheduled</v>
          </cell>
          <cell r="AB884" t="str">
            <v>Present</v>
          </cell>
          <cell r="AC884" t="str">
            <v>Outbound</v>
          </cell>
          <cell r="AD884" t="str">
            <v>OB Lead/PA</v>
          </cell>
          <cell r="AE884" t="str">
            <v>Pack</v>
          </cell>
          <cell r="AF884" t="str">
            <v>Friday</v>
          </cell>
          <cell r="AG884" t="str">
            <v>Saturday</v>
          </cell>
          <cell r="AH884">
            <v>19</v>
          </cell>
          <cell r="AJ884">
            <v>44838</v>
          </cell>
          <cell r="AM884" t="str">
            <v>FC</v>
          </cell>
          <cell r="AN884" t="str">
            <v>Regular Full Time</v>
          </cell>
          <cell r="AO884" t="str">
            <v>A</v>
          </cell>
          <cell r="AP884">
            <v>9</v>
          </cell>
          <cell r="AQ884">
            <v>0</v>
          </cell>
          <cell r="AR884">
            <v>1</v>
          </cell>
          <cell r="AS884">
            <v>1</v>
          </cell>
          <cell r="AT884">
            <v>0</v>
          </cell>
          <cell r="AU884">
            <v>0</v>
          </cell>
        </row>
        <row r="885">
          <cell r="D885" t="str">
            <v>qcatampa</v>
          </cell>
          <cell r="E885">
            <v>203342654</v>
          </cell>
          <cell r="F885" t="str">
            <v>A</v>
          </cell>
          <cell r="G885" t="str">
            <v>GREEN</v>
          </cell>
          <cell r="H885" t="str">
            <v>FULL_TIME</v>
          </cell>
          <cell r="I885">
            <v>900234</v>
          </cell>
          <cell r="J885" t="str">
            <v>Adecco</v>
          </cell>
          <cell r="K885" t="str">
            <v>CARINTINE TAMPA</v>
          </cell>
          <cell r="L885" t="str">
            <v>Warehouse Associate (TEMP)</v>
          </cell>
          <cell r="M885" t="str">
            <v>Warehouse Associate 24M</v>
          </cell>
          <cell r="N885" t="str">
            <v>amanmish</v>
          </cell>
          <cell r="O885">
            <v>1299</v>
          </cell>
          <cell r="P885" t="str">
            <v>AUH1</v>
          </cell>
          <cell r="Q885" t="str">
            <v>ARE</v>
          </cell>
          <cell r="R885" t="str">
            <v>FC034</v>
          </cell>
          <cell r="S885" t="str">
            <v>Day Shift</v>
          </cell>
          <cell r="T885">
            <v>99</v>
          </cell>
          <cell r="U885" t="str">
            <v>MENA_UAE_FC</v>
          </cell>
          <cell r="X885">
            <v>46257.333333333336</v>
          </cell>
          <cell r="Y885">
            <v>46257.75</v>
          </cell>
          <cell r="Z885" t="str">
            <v>Rest Day</v>
          </cell>
          <cell r="AA885" t="str">
            <v>Not Scheduled</v>
          </cell>
          <cell r="AB885" t="str">
            <v>Not Present</v>
          </cell>
          <cell r="AC885" t="str">
            <v>Outbound</v>
          </cell>
          <cell r="AD885" t="str">
            <v>Sort - Batch</v>
          </cell>
          <cell r="AE885" t="str">
            <v>Sort</v>
          </cell>
          <cell r="AF885" t="str">
            <v>Saturday</v>
          </cell>
          <cell r="AG885" t="str">
            <v>Sunday</v>
          </cell>
          <cell r="AH885">
            <v>15</v>
          </cell>
          <cell r="AJ885">
            <v>45431</v>
          </cell>
          <cell r="AM885" t="str">
            <v>TEMP</v>
          </cell>
          <cell r="AN885" t="str">
            <v>3P Onsite Worker</v>
          </cell>
          <cell r="AO885" t="str">
            <v>A</v>
          </cell>
          <cell r="AP885">
            <v>9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</row>
        <row r="886">
          <cell r="D886" t="str">
            <v>qkejulie</v>
          </cell>
          <cell r="E886">
            <v>206004604</v>
          </cell>
          <cell r="F886" t="str">
            <v>A</v>
          </cell>
          <cell r="G886" t="str">
            <v>GREEN</v>
          </cell>
          <cell r="H886" t="str">
            <v>FULL_TIME</v>
          </cell>
          <cell r="I886">
            <v>900234</v>
          </cell>
          <cell r="J886" t="str">
            <v>Fastlink Outsourcing</v>
          </cell>
          <cell r="K886" t="str">
            <v>JULIET KENEMA</v>
          </cell>
          <cell r="L886" t="str">
            <v>Warehouse Associate (TEMP)</v>
          </cell>
          <cell r="M886" t="str">
            <v>Warehouse Associate 12M</v>
          </cell>
          <cell r="N886" t="str">
            <v>nnahla</v>
          </cell>
          <cell r="O886">
            <v>1299</v>
          </cell>
          <cell r="P886" t="str">
            <v>AUH1</v>
          </cell>
          <cell r="Q886" t="str">
            <v>ARE</v>
          </cell>
          <cell r="R886" t="str">
            <v>FC059</v>
          </cell>
          <cell r="S886" t="str">
            <v>Day Shift</v>
          </cell>
          <cell r="T886">
            <v>99</v>
          </cell>
          <cell r="U886" t="str">
            <v>MENA_UAE_FC</v>
          </cell>
          <cell r="X886">
            <v>46257.333333333336</v>
          </cell>
          <cell r="Y886">
            <v>46257.75</v>
          </cell>
          <cell r="Z886" t="str">
            <v>Rest Day</v>
          </cell>
          <cell r="AA886" t="str">
            <v>Not Scheduled</v>
          </cell>
          <cell r="AB886" t="str">
            <v>Not Present</v>
          </cell>
          <cell r="AC886" t="str">
            <v>Inbound</v>
          </cell>
          <cell r="AD886" t="str">
            <v>Vendor Receive</v>
          </cell>
          <cell r="AE886" t="str">
            <v>Receive</v>
          </cell>
          <cell r="AF886" t="str">
            <v>Sunday</v>
          </cell>
          <cell r="AG886" t="str">
            <v>Monday</v>
          </cell>
          <cell r="AH886">
            <v>1</v>
          </cell>
          <cell r="AJ886">
            <v>45914</v>
          </cell>
          <cell r="AM886" t="str">
            <v>TEMP</v>
          </cell>
          <cell r="AN886" t="str">
            <v>3P Onsite Worker</v>
          </cell>
          <cell r="AO886" t="str">
            <v>A</v>
          </cell>
          <cell r="AP886">
            <v>9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</row>
        <row r="887">
          <cell r="D887" t="str">
            <v>qkhinmek</v>
          </cell>
          <cell r="E887">
            <v>203709876</v>
          </cell>
          <cell r="F887" t="str">
            <v>A</v>
          </cell>
          <cell r="G887" t="str">
            <v>GREEN</v>
          </cell>
          <cell r="H887" t="str">
            <v>FULL_TIME</v>
          </cell>
          <cell r="I887">
            <v>900234</v>
          </cell>
          <cell r="J887" t="str">
            <v>Adecco</v>
          </cell>
          <cell r="K887" t="str">
            <v>Khin Me Ko</v>
          </cell>
          <cell r="L887" t="str">
            <v>Warehouse Associate (TEMP)</v>
          </cell>
          <cell r="M887" t="str">
            <v>Warehouse Associate 24M</v>
          </cell>
          <cell r="N887" t="str">
            <v>kebedeed</v>
          </cell>
          <cell r="O887">
            <v>1299</v>
          </cell>
          <cell r="P887" t="str">
            <v>AUH1</v>
          </cell>
          <cell r="Q887" t="str">
            <v>ARE</v>
          </cell>
          <cell r="R887" t="str">
            <v>FC009</v>
          </cell>
          <cell r="S887" t="str">
            <v>Day Shift</v>
          </cell>
          <cell r="T887">
            <v>99</v>
          </cell>
          <cell r="U887" t="str">
            <v>MENA_UAE_FC</v>
          </cell>
          <cell r="V887">
            <v>46257.331944444442</v>
          </cell>
          <cell r="W887">
            <v>46257.748611111114</v>
          </cell>
          <cell r="X887">
            <v>46257.333333333336</v>
          </cell>
          <cell r="Y887">
            <v>46257.75</v>
          </cell>
          <cell r="AA887" t="str">
            <v>Scheduled</v>
          </cell>
          <cell r="AB887" t="str">
            <v>Present</v>
          </cell>
          <cell r="AC887" t="str">
            <v>ICQA</v>
          </cell>
          <cell r="AD887" t="str">
            <v>IC/QA/CS</v>
          </cell>
          <cell r="AE887" t="str">
            <v>Support</v>
          </cell>
          <cell r="AF887" t="str">
            <v>Friday</v>
          </cell>
          <cell r="AG887" t="str">
            <v>Saturday</v>
          </cell>
          <cell r="AH887">
            <v>27</v>
          </cell>
          <cell r="AJ887">
            <v>45494</v>
          </cell>
          <cell r="AM887" t="str">
            <v>TEMP</v>
          </cell>
          <cell r="AN887" t="str">
            <v>3P Onsite Worker</v>
          </cell>
          <cell r="AO887" t="str">
            <v>A</v>
          </cell>
          <cell r="AP887">
            <v>9</v>
          </cell>
          <cell r="AQ887">
            <v>0</v>
          </cell>
          <cell r="AR887">
            <v>1</v>
          </cell>
          <cell r="AS887">
            <v>1</v>
          </cell>
          <cell r="AT887">
            <v>0</v>
          </cell>
          <cell r="AU887">
            <v>0</v>
          </cell>
        </row>
        <row r="888">
          <cell r="D888" t="str">
            <v>qmichtut</v>
          </cell>
          <cell r="E888">
            <v>203521132</v>
          </cell>
          <cell r="F888" t="str">
            <v>A</v>
          </cell>
          <cell r="G888" t="str">
            <v>GREEN</v>
          </cell>
          <cell r="H888" t="str">
            <v>FULL_TIME</v>
          </cell>
          <cell r="I888">
            <v>900234</v>
          </cell>
          <cell r="J888" t="str">
            <v>Fastlink Outsourcing</v>
          </cell>
          <cell r="K888" t="str">
            <v>Michael Tutu</v>
          </cell>
          <cell r="L888" t="str">
            <v>Warehouse Associate (TEMP)</v>
          </cell>
          <cell r="M888" t="str">
            <v>Warehouse Associate 12M</v>
          </cell>
          <cell r="N888" t="str">
            <v>nnahla</v>
          </cell>
          <cell r="O888">
            <v>1299</v>
          </cell>
          <cell r="P888" t="str">
            <v>AUH1</v>
          </cell>
          <cell r="Q888" t="str">
            <v>ARE</v>
          </cell>
          <cell r="R888" t="str">
            <v>FC059</v>
          </cell>
          <cell r="S888" t="str">
            <v>Day Shift</v>
          </cell>
          <cell r="T888">
            <v>99</v>
          </cell>
          <cell r="U888" t="str">
            <v>MENA_UAE_FC</v>
          </cell>
          <cell r="X888">
            <v>46257.333333333336</v>
          </cell>
          <cell r="Y888">
            <v>46257.75</v>
          </cell>
          <cell r="Z888" t="str">
            <v>Rest Day</v>
          </cell>
          <cell r="AA888" t="str">
            <v>Not Scheduled</v>
          </cell>
          <cell r="AB888" t="str">
            <v>Not Present</v>
          </cell>
          <cell r="AC888" t="str">
            <v>Inbound</v>
          </cell>
          <cell r="AD888" t="str">
            <v>IB Problem Solve</v>
          </cell>
          <cell r="AE888" t="str">
            <v>Receive</v>
          </cell>
          <cell r="AF888" t="str">
            <v>Sunday</v>
          </cell>
          <cell r="AG888" t="str">
            <v>Monday</v>
          </cell>
          <cell r="AH888">
            <v>6</v>
          </cell>
          <cell r="AJ888">
            <v>45462</v>
          </cell>
          <cell r="AM888" t="str">
            <v>TEMP</v>
          </cell>
          <cell r="AN888" t="str">
            <v>3P Onsite Worker</v>
          </cell>
          <cell r="AO888" t="str">
            <v>A</v>
          </cell>
          <cell r="AP888">
            <v>9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</row>
        <row r="889">
          <cell r="D889" t="str">
            <v>qmukalaz</v>
          </cell>
          <cell r="E889">
            <v>204010090</v>
          </cell>
          <cell r="F889" t="str">
            <v>A</v>
          </cell>
          <cell r="G889" t="str">
            <v>GREEN</v>
          </cell>
          <cell r="H889" t="str">
            <v>FULL_TIME</v>
          </cell>
          <cell r="I889">
            <v>900234</v>
          </cell>
          <cell r="J889" t="str">
            <v>Dulsco L.L.C.</v>
          </cell>
          <cell r="K889" t="str">
            <v>JACOB MUKALAZI</v>
          </cell>
          <cell r="L889" t="str">
            <v>Warehouse Associate (TEMP)</v>
          </cell>
          <cell r="M889" t="str">
            <v>Warehouse Associate 24M</v>
          </cell>
          <cell r="N889" t="str">
            <v>ansammar</v>
          </cell>
          <cell r="O889">
            <v>1299</v>
          </cell>
          <cell r="P889" t="str">
            <v>AUH1</v>
          </cell>
          <cell r="Q889" t="str">
            <v>ARE</v>
          </cell>
          <cell r="R889" t="str">
            <v>FC059</v>
          </cell>
          <cell r="S889" t="str">
            <v>Day Shift</v>
          </cell>
          <cell r="T889">
            <v>99</v>
          </cell>
          <cell r="U889" t="str">
            <v>MENA_UAE_FC</v>
          </cell>
          <cell r="X889">
            <v>46257.333333333336</v>
          </cell>
          <cell r="Y889">
            <v>46257.75</v>
          </cell>
          <cell r="Z889" t="str">
            <v>Rest Day</v>
          </cell>
          <cell r="AA889" t="str">
            <v>Not Scheduled</v>
          </cell>
          <cell r="AB889" t="str">
            <v>Not Present</v>
          </cell>
          <cell r="AC889" t="str">
            <v>Outbound</v>
          </cell>
          <cell r="AD889" t="str">
            <v>Sort - Batch</v>
          </cell>
          <cell r="AE889" t="str">
            <v>Sort</v>
          </cell>
          <cell r="AF889" t="str">
            <v>Sunday</v>
          </cell>
          <cell r="AG889" t="str">
            <v>Monday</v>
          </cell>
          <cell r="AH889">
            <v>15</v>
          </cell>
          <cell r="AJ889">
            <v>45550</v>
          </cell>
          <cell r="AM889" t="str">
            <v>TEMP</v>
          </cell>
          <cell r="AN889" t="str">
            <v>3P Onsite Worker</v>
          </cell>
          <cell r="AO889" t="str">
            <v>A</v>
          </cell>
          <cell r="AP889">
            <v>9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</row>
        <row r="890">
          <cell r="D890" t="str">
            <v>qnamacha</v>
          </cell>
          <cell r="E890">
            <v>206953786</v>
          </cell>
          <cell r="F890" t="str">
            <v>A</v>
          </cell>
          <cell r="G890" t="str">
            <v>GREEN</v>
          </cell>
          <cell r="H890" t="str">
            <v>FULL_TIME</v>
          </cell>
          <cell r="I890">
            <v>900234</v>
          </cell>
          <cell r="J890" t="str">
            <v>Dulsco L.L.C.</v>
          </cell>
          <cell r="K890" t="str">
            <v>ASANTHE NAMACHA</v>
          </cell>
          <cell r="L890" t="str">
            <v>Warehouse Associate (TEMP)</v>
          </cell>
          <cell r="M890" t="str">
            <v>Warehouse Associate 8W</v>
          </cell>
          <cell r="N890" t="str">
            <v>aanso</v>
          </cell>
          <cell r="O890">
            <v>1299</v>
          </cell>
          <cell r="P890" t="str">
            <v>AUH1</v>
          </cell>
          <cell r="Q890" t="str">
            <v>ARE</v>
          </cell>
          <cell r="R890" t="str">
            <v>FC059</v>
          </cell>
          <cell r="S890" t="str">
            <v>Day Shift</v>
          </cell>
          <cell r="T890">
            <v>99</v>
          </cell>
          <cell r="U890" t="str">
            <v>MENA_UAE_FC</v>
          </cell>
          <cell r="X890">
            <v>46257.333333333336</v>
          </cell>
          <cell r="Y890">
            <v>46257.75</v>
          </cell>
          <cell r="Z890" t="str">
            <v>Rest Day</v>
          </cell>
          <cell r="AA890" t="str">
            <v>Not Scheduled</v>
          </cell>
          <cell r="AB890" t="str">
            <v>Not Present</v>
          </cell>
          <cell r="AC890" t="str">
            <v>Customer returns</v>
          </cell>
          <cell r="AD890" t="str">
            <v>Customer Returns</v>
          </cell>
          <cell r="AE890" t="str">
            <v>Customer returns</v>
          </cell>
          <cell r="AF890" t="str">
            <v>Sunday</v>
          </cell>
          <cell r="AG890" t="str">
            <v>Monday</v>
          </cell>
          <cell r="AH890">
            <v>22</v>
          </cell>
          <cell r="AJ890">
            <v>46047</v>
          </cell>
          <cell r="AM890" t="str">
            <v>TEMP</v>
          </cell>
          <cell r="AN890" t="str">
            <v>3P Onsite Worker</v>
          </cell>
          <cell r="AO890" t="str">
            <v>A</v>
          </cell>
          <cell r="AP890">
            <v>9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</row>
        <row r="891">
          <cell r="D891" t="str">
            <v>quayeell</v>
          </cell>
          <cell r="E891">
            <v>203469169</v>
          </cell>
          <cell r="F891" t="str">
            <v>A</v>
          </cell>
          <cell r="G891" t="str">
            <v>GREEN</v>
          </cell>
          <cell r="H891" t="str">
            <v>FULL_TIME</v>
          </cell>
          <cell r="I891">
            <v>900234</v>
          </cell>
          <cell r="J891" t="str">
            <v>Fastlink Outsourcing</v>
          </cell>
          <cell r="K891" t="str">
            <v>Lloyd Quaye</v>
          </cell>
          <cell r="L891" t="str">
            <v>Warehouse Associate (TEMP)</v>
          </cell>
          <cell r="M891" t="str">
            <v>Warehouse Associate 12M</v>
          </cell>
          <cell r="N891" t="str">
            <v>bavameer</v>
          </cell>
          <cell r="O891">
            <v>1299</v>
          </cell>
          <cell r="P891" t="str">
            <v>AUH1</v>
          </cell>
          <cell r="Q891" t="str">
            <v>ARE</v>
          </cell>
          <cell r="R891" t="str">
            <v>FC109</v>
          </cell>
          <cell r="S891" t="str">
            <v>Day Shift</v>
          </cell>
          <cell r="T891">
            <v>99</v>
          </cell>
          <cell r="U891" t="str">
            <v>MENA_UAE_FC</v>
          </cell>
          <cell r="V891">
            <v>46257.331250000003</v>
          </cell>
          <cell r="W891">
            <v>46257.749305555553</v>
          </cell>
          <cell r="X891">
            <v>46257.333333333336</v>
          </cell>
          <cell r="Y891">
            <v>46257.75</v>
          </cell>
          <cell r="AA891" t="str">
            <v>Scheduled</v>
          </cell>
          <cell r="AB891" t="str">
            <v>Present</v>
          </cell>
          <cell r="AC891" t="str">
            <v>Customer returns</v>
          </cell>
          <cell r="AD891" t="str">
            <v>Customer Returns</v>
          </cell>
          <cell r="AE891" t="str">
            <v>Customer returns</v>
          </cell>
          <cell r="AF891" t="str">
            <v>Tuesday</v>
          </cell>
          <cell r="AG891" t="str">
            <v>Wednesday</v>
          </cell>
          <cell r="AH891">
            <v>22</v>
          </cell>
          <cell r="AJ891">
            <v>45455</v>
          </cell>
          <cell r="AM891" t="str">
            <v>TEMP</v>
          </cell>
          <cell r="AN891" t="str">
            <v>3P Onsite Worker</v>
          </cell>
          <cell r="AO891" t="str">
            <v>A</v>
          </cell>
          <cell r="AP891">
            <v>9</v>
          </cell>
          <cell r="AQ891">
            <v>0</v>
          </cell>
          <cell r="AR891">
            <v>1</v>
          </cell>
          <cell r="AS891">
            <v>1</v>
          </cell>
          <cell r="AT891">
            <v>0</v>
          </cell>
          <cell r="AU891">
            <v>0</v>
          </cell>
        </row>
        <row r="892">
          <cell r="D892" t="str">
            <v>rachmoya</v>
          </cell>
          <cell r="E892">
            <v>206006426</v>
          </cell>
          <cell r="F892" t="str">
            <v>A</v>
          </cell>
          <cell r="G892" t="str">
            <v>GREEN</v>
          </cell>
          <cell r="H892" t="str">
            <v>FULL_TIME</v>
          </cell>
          <cell r="I892">
            <v>900234</v>
          </cell>
          <cell r="J892" t="str">
            <v>Fastlink Outsourcing</v>
          </cell>
          <cell r="K892" t="str">
            <v>RACHEAL MOYAKO DIALE</v>
          </cell>
          <cell r="L892" t="str">
            <v>Warehouse Associate (TEMP)</v>
          </cell>
          <cell r="M892" t="str">
            <v>Warehouse Associate 12M</v>
          </cell>
          <cell r="N892" t="str">
            <v>helrashd</v>
          </cell>
          <cell r="O892">
            <v>1299</v>
          </cell>
          <cell r="P892" t="str">
            <v>AUH1</v>
          </cell>
          <cell r="Q892" t="str">
            <v>ARE</v>
          </cell>
          <cell r="R892" t="str">
            <v>LK012</v>
          </cell>
          <cell r="S892" t="str">
            <v>Night Shift</v>
          </cell>
          <cell r="T892">
            <v>99</v>
          </cell>
          <cell r="U892" t="str">
            <v>MENA_UAE_FC</v>
          </cell>
          <cell r="X892">
            <v>46257.756944444445</v>
          </cell>
          <cell r="Y892">
            <v>46258.173611111109</v>
          </cell>
          <cell r="Z892" t="str">
            <v>Rest Day</v>
          </cell>
          <cell r="AA892" t="str">
            <v>Not Scheduled</v>
          </cell>
          <cell r="AB892" t="str">
            <v>Not Present</v>
          </cell>
          <cell r="AC892" t="str">
            <v>Outbound</v>
          </cell>
          <cell r="AD892" t="str">
            <v>Picking</v>
          </cell>
          <cell r="AE892" t="str">
            <v>Pick</v>
          </cell>
          <cell r="AF892" t="str">
            <v>Saturday</v>
          </cell>
          <cell r="AG892" t="str">
            <v>Sunday</v>
          </cell>
          <cell r="AH892">
            <v>13</v>
          </cell>
          <cell r="AJ892">
            <v>45914</v>
          </cell>
          <cell r="AM892" t="str">
            <v>TEMP</v>
          </cell>
          <cell r="AN892" t="str">
            <v>3P Onsite Worker</v>
          </cell>
          <cell r="AO892" t="str">
            <v>A</v>
          </cell>
          <cell r="AP892">
            <v>9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</row>
        <row r="893">
          <cell r="D893" t="str">
            <v>rahanraj</v>
          </cell>
          <cell r="E893">
            <v>203813085</v>
          </cell>
          <cell r="F893" t="str">
            <v>A</v>
          </cell>
          <cell r="G893" t="str">
            <v>GREEN</v>
          </cell>
          <cell r="H893" t="str">
            <v>FULL_TIME</v>
          </cell>
          <cell r="I893">
            <v>900234</v>
          </cell>
          <cell r="J893" t="str">
            <v>Adecco</v>
          </cell>
          <cell r="K893" t="str">
            <v>RAHAN RAJEEVAN</v>
          </cell>
          <cell r="L893" t="str">
            <v>Warehouse Associate (TEMP)</v>
          </cell>
          <cell r="M893" t="str">
            <v>Warehouse Associate 24M</v>
          </cell>
          <cell r="N893" t="str">
            <v>bavameer</v>
          </cell>
          <cell r="O893">
            <v>1299</v>
          </cell>
          <cell r="P893" t="str">
            <v>AUH1</v>
          </cell>
          <cell r="Q893" t="str">
            <v>ARE</v>
          </cell>
          <cell r="R893" t="str">
            <v>FC084</v>
          </cell>
          <cell r="S893" t="str">
            <v>Day Shift</v>
          </cell>
          <cell r="T893">
            <v>99</v>
          </cell>
          <cell r="U893" t="str">
            <v>MENA_UAE_FC</v>
          </cell>
          <cell r="V893">
            <v>46257.331250000003</v>
          </cell>
          <cell r="W893">
            <v>46257.747916666667</v>
          </cell>
          <cell r="X893">
            <v>46257.333333333336</v>
          </cell>
          <cell r="Y893">
            <v>46257.75</v>
          </cell>
          <cell r="AA893" t="str">
            <v>Scheduled</v>
          </cell>
          <cell r="AB893" t="str">
            <v>Present</v>
          </cell>
          <cell r="AC893" t="str">
            <v>Customer returns</v>
          </cell>
          <cell r="AD893" t="str">
            <v>Customer Returns</v>
          </cell>
          <cell r="AE893" t="str">
            <v>Customer returns</v>
          </cell>
          <cell r="AF893" t="str">
            <v>Monday</v>
          </cell>
          <cell r="AG893" t="str">
            <v>Tuesday</v>
          </cell>
          <cell r="AH893">
            <v>22</v>
          </cell>
          <cell r="AJ893">
            <v>45516</v>
          </cell>
          <cell r="AM893" t="str">
            <v>TEMP</v>
          </cell>
          <cell r="AN893" t="str">
            <v>3P Onsite Worker</v>
          </cell>
          <cell r="AO893" t="str">
            <v>A</v>
          </cell>
          <cell r="AP893">
            <v>9</v>
          </cell>
          <cell r="AQ893">
            <v>0</v>
          </cell>
          <cell r="AR893">
            <v>1</v>
          </cell>
          <cell r="AS893">
            <v>1</v>
          </cell>
          <cell r="AT893">
            <v>0</v>
          </cell>
          <cell r="AU893">
            <v>0</v>
          </cell>
        </row>
        <row r="894">
          <cell r="D894" t="str">
            <v>rajughim</v>
          </cell>
          <cell r="E894">
            <v>103476446</v>
          </cell>
          <cell r="F894" t="str">
            <v>A</v>
          </cell>
          <cell r="G894" t="str">
            <v>BLUE</v>
          </cell>
          <cell r="H894" t="str">
            <v>FULL_TIME</v>
          </cell>
          <cell r="I894" t="str">
            <v>P03251</v>
          </cell>
          <cell r="K894" t="str">
            <v>Raju Ghimire</v>
          </cell>
          <cell r="L894" t="str">
            <v>FC Associate I</v>
          </cell>
          <cell r="M894" t="str">
            <v>FC Associate I</v>
          </cell>
          <cell r="N894" t="str">
            <v>aanso</v>
          </cell>
          <cell r="O894">
            <v>1299</v>
          </cell>
          <cell r="P894" t="str">
            <v>AUH1</v>
          </cell>
          <cell r="Q894" t="str">
            <v>ARE</v>
          </cell>
          <cell r="R894" t="str">
            <v>FC059</v>
          </cell>
          <cell r="S894" t="str">
            <v>Day Shift</v>
          </cell>
          <cell r="T894">
            <v>1</v>
          </cell>
          <cell r="U894" t="str">
            <v>MENA_UAE_FC</v>
          </cell>
          <cell r="X894">
            <v>46257.333333333336</v>
          </cell>
          <cell r="Y894">
            <v>46257.75</v>
          </cell>
          <cell r="Z894" t="str">
            <v>Rest Day</v>
          </cell>
          <cell r="AA894" t="str">
            <v>Not Scheduled</v>
          </cell>
          <cell r="AB894" t="str">
            <v>Not Present</v>
          </cell>
          <cell r="AC894" t="str">
            <v>Customer returns</v>
          </cell>
          <cell r="AD894" t="str">
            <v>Customer Returns</v>
          </cell>
          <cell r="AE894" t="str">
            <v>Customer returns</v>
          </cell>
          <cell r="AF894" t="str">
            <v>Sunday</v>
          </cell>
          <cell r="AG894" t="str">
            <v>Monday</v>
          </cell>
          <cell r="AH894">
            <v>22</v>
          </cell>
          <cell r="AJ894">
            <v>43305</v>
          </cell>
          <cell r="AM894" t="str">
            <v>FC</v>
          </cell>
          <cell r="AN894" t="str">
            <v>Regular Full Time</v>
          </cell>
          <cell r="AO894" t="str">
            <v>A</v>
          </cell>
          <cell r="AP894">
            <v>9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</row>
        <row r="895">
          <cell r="D895" t="str">
            <v>ramaafid</v>
          </cell>
          <cell r="E895">
            <v>206875144</v>
          </cell>
          <cell r="F895" t="str">
            <v>A</v>
          </cell>
          <cell r="G895" t="str">
            <v>GREEN</v>
          </cell>
          <cell r="H895" t="str">
            <v>FULL_TIME</v>
          </cell>
          <cell r="I895">
            <v>900234</v>
          </cell>
          <cell r="J895" t="str">
            <v>Dulsco L.L.C.</v>
          </cell>
          <cell r="K895" t="str">
            <v>AFIDHU SWAMADU RAMADHANI</v>
          </cell>
          <cell r="L895" t="str">
            <v>Warehouse Associate (TEMP)</v>
          </cell>
          <cell r="M895" t="str">
            <v>Warehouse Associate 8W</v>
          </cell>
          <cell r="N895" t="str">
            <v>aanso</v>
          </cell>
          <cell r="O895">
            <v>1299</v>
          </cell>
          <cell r="P895" t="str">
            <v>AUH1</v>
          </cell>
          <cell r="Q895" t="str">
            <v>ARE</v>
          </cell>
          <cell r="R895" t="str">
            <v>LK013</v>
          </cell>
          <cell r="S895" t="str">
            <v>Night Shift</v>
          </cell>
          <cell r="T895">
            <v>99</v>
          </cell>
          <cell r="U895" t="str">
            <v>MENA_UAE_FC</v>
          </cell>
          <cell r="X895">
            <v>46257.756944444445</v>
          </cell>
          <cell r="Y895">
            <v>46258.173611111109</v>
          </cell>
          <cell r="Z895" t="str">
            <v>Rest Day</v>
          </cell>
          <cell r="AA895" t="str">
            <v>Not Scheduled</v>
          </cell>
          <cell r="AB895" t="str">
            <v>Not Present</v>
          </cell>
          <cell r="AC895" t="str">
            <v>Customer returns</v>
          </cell>
          <cell r="AD895" t="str">
            <v>Customer Returns</v>
          </cell>
          <cell r="AE895" t="str">
            <v>Customer returns</v>
          </cell>
          <cell r="AF895" t="str">
            <v>Sunday</v>
          </cell>
          <cell r="AG895" t="str">
            <v>Monday</v>
          </cell>
          <cell r="AH895">
            <v>22</v>
          </cell>
          <cell r="AJ895">
            <v>46019</v>
          </cell>
          <cell r="AM895" t="str">
            <v>TEMP</v>
          </cell>
          <cell r="AN895" t="str">
            <v>3P Onsite Worker</v>
          </cell>
          <cell r="AO895" t="str">
            <v>A</v>
          </cell>
          <cell r="AP895">
            <v>9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</row>
        <row r="896">
          <cell r="D896" t="str">
            <v>ramjbang</v>
          </cell>
          <cell r="E896">
            <v>203522194</v>
          </cell>
          <cell r="F896" t="str">
            <v>A</v>
          </cell>
          <cell r="G896" t="str">
            <v>GREEN</v>
          </cell>
          <cell r="H896" t="str">
            <v>FULL_TIME</v>
          </cell>
          <cell r="I896">
            <v>900234</v>
          </cell>
          <cell r="J896" t="str">
            <v>Adecco</v>
          </cell>
          <cell r="K896" t="str">
            <v>Ramatu Bangura</v>
          </cell>
          <cell r="L896" t="str">
            <v>Warehouse Associate (TEMP)</v>
          </cell>
          <cell r="M896" t="str">
            <v>Warehouse Associate 24M</v>
          </cell>
          <cell r="N896" t="str">
            <v>ansammar</v>
          </cell>
          <cell r="O896">
            <v>1299</v>
          </cell>
          <cell r="P896" t="str">
            <v>AUH1</v>
          </cell>
          <cell r="Q896" t="str">
            <v>ARE</v>
          </cell>
          <cell r="R896" t="str">
            <v>LK014</v>
          </cell>
          <cell r="S896" t="str">
            <v>Night Shift</v>
          </cell>
          <cell r="T896">
            <v>99</v>
          </cell>
          <cell r="U896" t="str">
            <v>MENA_UAE_FC</v>
          </cell>
          <cell r="V896">
            <v>46257.755555555559</v>
          </cell>
          <cell r="X896">
            <v>46257.756944444445</v>
          </cell>
          <cell r="Y896">
            <v>46258.173611111109</v>
          </cell>
          <cell r="AA896" t="str">
            <v>Scheduled</v>
          </cell>
          <cell r="AB896" t="str">
            <v>Present</v>
          </cell>
          <cell r="AC896" t="str">
            <v>Outbound</v>
          </cell>
          <cell r="AD896" t="str">
            <v>Pack - Single</v>
          </cell>
          <cell r="AE896" t="str">
            <v>Pack</v>
          </cell>
          <cell r="AF896" t="str">
            <v>Monday</v>
          </cell>
          <cell r="AG896" t="str">
            <v>Tuesday</v>
          </cell>
          <cell r="AH896">
            <v>18</v>
          </cell>
          <cell r="AJ896">
            <v>45462</v>
          </cell>
          <cell r="AM896" t="str">
            <v>TEMP</v>
          </cell>
          <cell r="AN896" t="str">
            <v>3P Onsite Worker</v>
          </cell>
          <cell r="AO896" t="str">
            <v>A</v>
          </cell>
          <cell r="AP896">
            <v>9</v>
          </cell>
          <cell r="AQ896">
            <v>0</v>
          </cell>
          <cell r="AR896">
            <v>1</v>
          </cell>
          <cell r="AS896">
            <v>1</v>
          </cell>
          <cell r="AT896">
            <v>0</v>
          </cell>
          <cell r="AU896">
            <v>0</v>
          </cell>
        </row>
        <row r="897">
          <cell r="D897" t="str">
            <v>ramsemap</v>
          </cell>
          <cell r="E897">
            <v>203796750</v>
          </cell>
          <cell r="F897" t="str">
            <v>A</v>
          </cell>
          <cell r="G897" t="str">
            <v>GREEN</v>
          </cell>
          <cell r="H897" t="str">
            <v>FULL_TIME</v>
          </cell>
          <cell r="I897">
            <v>900234</v>
          </cell>
          <cell r="J897" t="str">
            <v>Fastlink Outsourcing</v>
          </cell>
          <cell r="K897" t="str">
            <v>RAMDHAN SEMAJONGI</v>
          </cell>
          <cell r="L897" t="str">
            <v>Warehouse Associate (TEMP)</v>
          </cell>
          <cell r="M897" t="str">
            <v>Warehouse Associate 12M</v>
          </cell>
          <cell r="N897" t="str">
            <v>vkkatyal</v>
          </cell>
          <cell r="O897">
            <v>1299</v>
          </cell>
          <cell r="P897" t="str">
            <v>AUH1</v>
          </cell>
          <cell r="Q897" t="str">
            <v>ARE</v>
          </cell>
          <cell r="R897" t="str">
            <v>FC009</v>
          </cell>
          <cell r="S897" t="str">
            <v>Day Shift</v>
          </cell>
          <cell r="T897">
            <v>99</v>
          </cell>
          <cell r="U897" t="str">
            <v>MENA_UAE_FC</v>
          </cell>
          <cell r="V897">
            <v>46257.333333333336</v>
          </cell>
          <cell r="W897">
            <v>46257.751388888886</v>
          </cell>
          <cell r="X897">
            <v>46257.333333333336</v>
          </cell>
          <cell r="Y897">
            <v>46257.75</v>
          </cell>
          <cell r="AA897" t="str">
            <v>Scheduled</v>
          </cell>
          <cell r="AB897" t="str">
            <v>Present</v>
          </cell>
          <cell r="AC897" t="str">
            <v>Inbound</v>
          </cell>
          <cell r="AD897" t="str">
            <v>Inbound Stow</v>
          </cell>
          <cell r="AE897" t="str">
            <v>Stow</v>
          </cell>
          <cell r="AF897" t="str">
            <v>Friday</v>
          </cell>
          <cell r="AG897" t="str">
            <v>Saturday</v>
          </cell>
          <cell r="AH897">
            <v>3</v>
          </cell>
          <cell r="AJ897">
            <v>45515</v>
          </cell>
          <cell r="AM897" t="str">
            <v>TEMP</v>
          </cell>
          <cell r="AN897" t="str">
            <v>3P Onsite Worker</v>
          </cell>
          <cell r="AO897" t="str">
            <v>A</v>
          </cell>
          <cell r="AP897">
            <v>9</v>
          </cell>
          <cell r="AQ897">
            <v>0</v>
          </cell>
          <cell r="AR897">
            <v>1</v>
          </cell>
          <cell r="AS897">
            <v>1</v>
          </cell>
          <cell r="AT897">
            <v>0</v>
          </cell>
          <cell r="AU897">
            <v>0</v>
          </cell>
        </row>
        <row r="898">
          <cell r="D898" t="str">
            <v>ramugeny</v>
          </cell>
          <cell r="E898">
            <v>206873871</v>
          </cell>
          <cell r="F898" t="str">
            <v>A</v>
          </cell>
          <cell r="G898" t="str">
            <v>GREEN</v>
          </cell>
          <cell r="H898" t="str">
            <v>FULL_TIME</v>
          </cell>
          <cell r="I898">
            <v>900234</v>
          </cell>
          <cell r="J898" t="str">
            <v>Dulsco L.L.C.</v>
          </cell>
          <cell r="K898" t="str">
            <v>MUGENYI RAYMOND</v>
          </cell>
          <cell r="L898" t="str">
            <v>Warehouse Associate (TEMP)</v>
          </cell>
          <cell r="M898" t="str">
            <v>Warehouse Associate 8W</v>
          </cell>
          <cell r="N898" t="str">
            <v>vkkatyal</v>
          </cell>
          <cell r="O898">
            <v>1299</v>
          </cell>
          <cell r="P898" t="str">
            <v>AUH1</v>
          </cell>
          <cell r="Q898" t="str">
            <v>ARE</v>
          </cell>
          <cell r="R898" t="str">
            <v>FC059</v>
          </cell>
          <cell r="S898" t="str">
            <v>Day Shift</v>
          </cell>
          <cell r="T898">
            <v>99</v>
          </cell>
          <cell r="U898" t="str">
            <v>MENA_UAE_FC</v>
          </cell>
          <cell r="X898">
            <v>46257.333333333336</v>
          </cell>
          <cell r="Y898">
            <v>46257.75</v>
          </cell>
          <cell r="Z898" t="str">
            <v>Rest Day</v>
          </cell>
          <cell r="AA898" t="str">
            <v>Not Scheduled</v>
          </cell>
          <cell r="AB898" t="str">
            <v>Not Present</v>
          </cell>
          <cell r="AC898" t="str">
            <v>Inbound</v>
          </cell>
          <cell r="AD898" t="str">
            <v>Inbound Stow</v>
          </cell>
          <cell r="AE898" t="str">
            <v>Stow</v>
          </cell>
          <cell r="AF898" t="str">
            <v>Sunday</v>
          </cell>
          <cell r="AG898" t="str">
            <v>Monday</v>
          </cell>
          <cell r="AH898">
            <v>3</v>
          </cell>
          <cell r="AJ898">
            <v>46019</v>
          </cell>
          <cell r="AM898" t="str">
            <v>TEMP</v>
          </cell>
          <cell r="AN898" t="str">
            <v>3P Onsite Worker</v>
          </cell>
          <cell r="AO898" t="str">
            <v>A</v>
          </cell>
          <cell r="AP898">
            <v>9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</row>
        <row r="899">
          <cell r="D899" t="str">
            <v>randniia</v>
          </cell>
          <cell r="E899">
            <v>205996131</v>
          </cell>
          <cell r="F899" t="str">
            <v>A</v>
          </cell>
          <cell r="G899" t="str">
            <v>GREEN</v>
          </cell>
          <cell r="H899" t="str">
            <v>FULL_TIME</v>
          </cell>
          <cell r="I899">
            <v>900234</v>
          </cell>
          <cell r="J899" t="str">
            <v>Fastlink Outsourcing</v>
          </cell>
          <cell r="K899" t="str">
            <v>RANDY NII ARYEETY</v>
          </cell>
          <cell r="L899" t="str">
            <v>Warehouse Associate (TEMP)</v>
          </cell>
          <cell r="M899" t="str">
            <v>Warehouse Associate 12M</v>
          </cell>
          <cell r="N899" t="str">
            <v>scariav</v>
          </cell>
          <cell r="O899">
            <v>1299</v>
          </cell>
          <cell r="P899" t="str">
            <v>AUH1</v>
          </cell>
          <cell r="Q899" t="str">
            <v>ARE</v>
          </cell>
          <cell r="R899" t="str">
            <v>LK013</v>
          </cell>
          <cell r="S899" t="str">
            <v>Night Shift</v>
          </cell>
          <cell r="T899">
            <v>99</v>
          </cell>
          <cell r="U899" t="str">
            <v>MENA_UAE_FC</v>
          </cell>
          <cell r="X899">
            <v>46257.756944444445</v>
          </cell>
          <cell r="Y899">
            <v>46258.173611111109</v>
          </cell>
          <cell r="Z899" t="str">
            <v>Rest Day</v>
          </cell>
          <cell r="AA899" t="str">
            <v>Not Scheduled</v>
          </cell>
          <cell r="AB899" t="str">
            <v>Not Present</v>
          </cell>
          <cell r="AC899" t="str">
            <v>Outbound</v>
          </cell>
          <cell r="AD899" t="str">
            <v>Picking</v>
          </cell>
          <cell r="AE899" t="str">
            <v>Pick</v>
          </cell>
          <cell r="AF899" t="str">
            <v>Sunday</v>
          </cell>
          <cell r="AG899" t="str">
            <v>Monday</v>
          </cell>
          <cell r="AH899">
            <v>13</v>
          </cell>
          <cell r="AJ899">
            <v>45914</v>
          </cell>
          <cell r="AM899" t="str">
            <v>TEMP</v>
          </cell>
          <cell r="AN899" t="str">
            <v>3P Onsite Worker</v>
          </cell>
          <cell r="AO899" t="str">
            <v>A</v>
          </cell>
          <cell r="AP899">
            <v>9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</row>
        <row r="900">
          <cell r="D900" t="str">
            <v>razaxmo</v>
          </cell>
          <cell r="E900">
            <v>205280538</v>
          </cell>
          <cell r="F900" t="str">
            <v>A</v>
          </cell>
          <cell r="G900" t="str">
            <v>GREEN</v>
          </cell>
          <cell r="H900" t="str">
            <v>FULL_TIME</v>
          </cell>
          <cell r="I900">
            <v>900234</v>
          </cell>
          <cell r="J900" t="str">
            <v>EFS Facilities Services</v>
          </cell>
          <cell r="K900" t="str">
            <v>Mohammad Khalid Raza</v>
          </cell>
          <cell r="L900" t="str">
            <v>Warehouse Associate (TEMP)</v>
          </cell>
          <cell r="M900" t="str">
            <v>Warehouse Associate 8W</v>
          </cell>
          <cell r="N900" t="str">
            <v>bizthoma</v>
          </cell>
          <cell r="O900">
            <v>1299</v>
          </cell>
          <cell r="P900" t="str">
            <v>AUH1</v>
          </cell>
          <cell r="Q900" t="str">
            <v>ARE</v>
          </cell>
          <cell r="R900" t="str">
            <v>LK012</v>
          </cell>
          <cell r="S900" t="str">
            <v>Night Shift</v>
          </cell>
          <cell r="T900">
            <v>99</v>
          </cell>
          <cell r="U900" t="str">
            <v>MENA_UAE_FC</v>
          </cell>
          <cell r="X900">
            <v>46257.756944444445</v>
          </cell>
          <cell r="Y900">
            <v>46258.173611111109</v>
          </cell>
          <cell r="Z900" t="str">
            <v>Rest Day</v>
          </cell>
          <cell r="AA900" t="str">
            <v>Not Scheduled</v>
          </cell>
          <cell r="AB900" t="str">
            <v>Not Present</v>
          </cell>
          <cell r="AC900" t="str">
            <v>Outbound</v>
          </cell>
          <cell r="AD900" t="str">
            <v>Picking</v>
          </cell>
          <cell r="AE900" t="str">
            <v>Pick</v>
          </cell>
          <cell r="AF900" t="str">
            <v>Saturday</v>
          </cell>
          <cell r="AG900" t="str">
            <v>Sunday</v>
          </cell>
          <cell r="AH900">
            <v>13</v>
          </cell>
          <cell r="AJ900">
            <v>45894</v>
          </cell>
          <cell r="AM900" t="str">
            <v>TEMP</v>
          </cell>
          <cell r="AN900" t="str">
            <v>3P Onsite Worker</v>
          </cell>
          <cell r="AO900" t="str">
            <v>A</v>
          </cell>
          <cell r="AP900">
            <v>9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</row>
        <row r="901">
          <cell r="D901" t="str">
            <v>rberinea</v>
          </cell>
          <cell r="E901">
            <v>204117188</v>
          </cell>
          <cell r="F901" t="str">
            <v>A</v>
          </cell>
          <cell r="G901" t="str">
            <v>GREEN</v>
          </cell>
          <cell r="H901" t="str">
            <v>FULL_TIME</v>
          </cell>
          <cell r="I901">
            <v>900234</v>
          </cell>
          <cell r="J901" t="str">
            <v>Quesscorp</v>
          </cell>
          <cell r="K901" t="str">
            <v>Berine Amoh Lanyang</v>
          </cell>
          <cell r="L901" t="str">
            <v>Warehouse Associate (TEMP)</v>
          </cell>
          <cell r="M901" t="str">
            <v>Warehouse Associate 24M</v>
          </cell>
          <cell r="N901" t="str">
            <v>bizthoma</v>
          </cell>
          <cell r="O901">
            <v>1299</v>
          </cell>
          <cell r="P901" t="str">
            <v>AUH1</v>
          </cell>
          <cell r="Q901" t="str">
            <v>ARE</v>
          </cell>
          <cell r="R901" t="str">
            <v>LK016</v>
          </cell>
          <cell r="S901" t="str">
            <v>Night Shift</v>
          </cell>
          <cell r="T901">
            <v>99</v>
          </cell>
          <cell r="U901" t="str">
            <v>MENA_UAE_FC</v>
          </cell>
          <cell r="V901">
            <v>46257.333333333336</v>
          </cell>
          <cell r="W901">
            <v>46257.75</v>
          </cell>
          <cell r="X901">
            <v>46257.333333333336</v>
          </cell>
          <cell r="Y901">
            <v>46257.75</v>
          </cell>
          <cell r="AA901" t="str">
            <v>Scheduled</v>
          </cell>
          <cell r="AB901" t="str">
            <v>Present</v>
          </cell>
          <cell r="AC901" t="str">
            <v>Outbound</v>
          </cell>
          <cell r="AD901" t="str">
            <v>Pack - Batch</v>
          </cell>
          <cell r="AE901" t="str">
            <v>Pack</v>
          </cell>
          <cell r="AF901" t="str">
            <v>Wednesday</v>
          </cell>
          <cell r="AG901" t="str">
            <v>Thursday</v>
          </cell>
          <cell r="AH901">
            <v>17</v>
          </cell>
          <cell r="AJ901">
            <v>45560</v>
          </cell>
          <cell r="AM901" t="str">
            <v>TEMP</v>
          </cell>
          <cell r="AN901" t="str">
            <v>3P Onsite Worker</v>
          </cell>
          <cell r="AO901" t="str">
            <v>A</v>
          </cell>
          <cell r="AP901">
            <v>9</v>
          </cell>
          <cell r="AQ901">
            <v>0</v>
          </cell>
          <cell r="AR901">
            <v>1</v>
          </cell>
          <cell r="AS901">
            <v>1</v>
          </cell>
          <cell r="AT901">
            <v>0</v>
          </cell>
          <cell r="AU901">
            <v>0</v>
          </cell>
        </row>
        <row r="902">
          <cell r="D902" t="str">
            <v>reginkum</v>
          </cell>
          <cell r="E902">
            <v>203468747</v>
          </cell>
          <cell r="F902" t="str">
            <v>A</v>
          </cell>
          <cell r="G902" t="str">
            <v>GREEN</v>
          </cell>
          <cell r="H902" t="str">
            <v>FULL_TIME</v>
          </cell>
          <cell r="I902">
            <v>900234</v>
          </cell>
          <cell r="J902" t="str">
            <v>Fastlink Outsourcing</v>
          </cell>
          <cell r="K902" t="str">
            <v>Regina Kumi</v>
          </cell>
          <cell r="L902" t="str">
            <v>Warehouse Associate (TEMP)</v>
          </cell>
          <cell r="M902" t="str">
            <v>Warehouse Associate 12M</v>
          </cell>
          <cell r="N902" t="str">
            <v>mnarshad</v>
          </cell>
          <cell r="O902">
            <v>1299</v>
          </cell>
          <cell r="P902" t="str">
            <v>AUH1</v>
          </cell>
          <cell r="Q902" t="str">
            <v>ARE</v>
          </cell>
          <cell r="R902" t="str">
            <v>LK012</v>
          </cell>
          <cell r="S902" t="str">
            <v>Night Shift</v>
          </cell>
          <cell r="T902">
            <v>99</v>
          </cell>
          <cell r="U902" t="str">
            <v>MENA_UAE_FC</v>
          </cell>
          <cell r="V902">
            <v>46257.332638888889</v>
          </cell>
          <cell r="W902">
            <v>46257.75</v>
          </cell>
          <cell r="X902">
            <v>46257.333333333336</v>
          </cell>
          <cell r="Y902">
            <v>46257.75</v>
          </cell>
          <cell r="AA902" t="str">
            <v>Scheduled</v>
          </cell>
          <cell r="AB902" t="str">
            <v>Present</v>
          </cell>
          <cell r="AC902" t="str">
            <v>Outbound</v>
          </cell>
          <cell r="AD902" t="str">
            <v>Pack - Single</v>
          </cell>
          <cell r="AE902" t="str">
            <v>Pack</v>
          </cell>
          <cell r="AF902" t="str">
            <v>Saturday</v>
          </cell>
          <cell r="AG902" t="str">
            <v>Sunday</v>
          </cell>
          <cell r="AH902">
            <v>18</v>
          </cell>
          <cell r="AJ902">
            <v>45455</v>
          </cell>
          <cell r="AM902" t="str">
            <v>TEMP</v>
          </cell>
          <cell r="AN902" t="str">
            <v>3P Onsite Worker</v>
          </cell>
          <cell r="AO902" t="str">
            <v>A</v>
          </cell>
          <cell r="AP902">
            <v>9</v>
          </cell>
          <cell r="AQ902">
            <v>0</v>
          </cell>
          <cell r="AR902">
            <v>1</v>
          </cell>
          <cell r="AS902">
            <v>1</v>
          </cell>
          <cell r="AT902">
            <v>0</v>
          </cell>
          <cell r="AU902">
            <v>0</v>
          </cell>
        </row>
        <row r="903">
          <cell r="D903" t="str">
            <v>reginodj</v>
          </cell>
          <cell r="E903">
            <v>206129614</v>
          </cell>
          <cell r="F903" t="str">
            <v>A</v>
          </cell>
          <cell r="G903" t="str">
            <v>GREEN</v>
          </cell>
          <cell r="H903" t="str">
            <v>FULL_TIME</v>
          </cell>
          <cell r="I903">
            <v>900234</v>
          </cell>
          <cell r="J903" t="str">
            <v>Fastlink Outsourcing</v>
          </cell>
          <cell r="K903" t="str">
            <v>Odjam Regina Narkie</v>
          </cell>
          <cell r="L903" t="str">
            <v>Warehouse Associate (TEMP)</v>
          </cell>
          <cell r="M903" t="str">
            <v>Warehouse Associate 12M</v>
          </cell>
          <cell r="N903" t="str">
            <v>ansammar</v>
          </cell>
          <cell r="O903">
            <v>1299</v>
          </cell>
          <cell r="P903" t="str">
            <v>AUH1</v>
          </cell>
          <cell r="Q903" t="str">
            <v>ARE</v>
          </cell>
          <cell r="R903" t="str">
            <v>LK017</v>
          </cell>
          <cell r="S903" t="str">
            <v>Night Shift</v>
          </cell>
          <cell r="T903">
            <v>99</v>
          </cell>
          <cell r="U903" t="str">
            <v>MENA_UAE_FC</v>
          </cell>
          <cell r="V903">
            <v>46257.331944444442</v>
          </cell>
          <cell r="W903">
            <v>46257.75</v>
          </cell>
          <cell r="X903">
            <v>46257.333333333336</v>
          </cell>
          <cell r="Y903">
            <v>46257.75</v>
          </cell>
          <cell r="AA903" t="str">
            <v>Scheduled</v>
          </cell>
          <cell r="AB903" t="str">
            <v>Present</v>
          </cell>
          <cell r="AC903" t="str">
            <v>Outbound</v>
          </cell>
          <cell r="AD903" t="str">
            <v>Picking</v>
          </cell>
          <cell r="AE903" t="str">
            <v>Pick</v>
          </cell>
          <cell r="AF903" t="str">
            <v>Thursday</v>
          </cell>
          <cell r="AG903" t="str">
            <v>Friday</v>
          </cell>
          <cell r="AH903">
            <v>13</v>
          </cell>
          <cell r="AJ903">
            <v>45928</v>
          </cell>
          <cell r="AM903" t="str">
            <v>TEMP</v>
          </cell>
          <cell r="AN903" t="str">
            <v>3P Onsite Worker</v>
          </cell>
          <cell r="AO903" t="str">
            <v>A</v>
          </cell>
          <cell r="AP903">
            <v>9</v>
          </cell>
          <cell r="AQ903">
            <v>0</v>
          </cell>
          <cell r="AR903">
            <v>1</v>
          </cell>
          <cell r="AS903">
            <v>1</v>
          </cell>
          <cell r="AT903">
            <v>0</v>
          </cell>
          <cell r="AU903">
            <v>0</v>
          </cell>
        </row>
        <row r="904">
          <cell r="D904" t="str">
            <v>rejinaae</v>
          </cell>
          <cell r="E904">
            <v>205496019</v>
          </cell>
          <cell r="F904" t="str">
            <v>A</v>
          </cell>
          <cell r="G904" t="str">
            <v>GREEN</v>
          </cell>
          <cell r="H904" t="str">
            <v>FULL_TIME</v>
          </cell>
          <cell r="I904">
            <v>900234</v>
          </cell>
          <cell r="J904" t="str">
            <v>EFS Facilities Services</v>
          </cell>
          <cell r="K904" t="str">
            <v>REJINA  ABA ANNAN</v>
          </cell>
          <cell r="L904" t="str">
            <v>Warehouse Associate (TEMP)</v>
          </cell>
          <cell r="M904" t="str">
            <v>Warehouse Associate 8W</v>
          </cell>
          <cell r="N904" t="str">
            <v>vkkatyal</v>
          </cell>
          <cell r="O904">
            <v>1299</v>
          </cell>
          <cell r="P904" t="str">
            <v>AUH1</v>
          </cell>
          <cell r="Q904" t="str">
            <v>ARE</v>
          </cell>
          <cell r="R904" t="str">
            <v>FC059</v>
          </cell>
          <cell r="S904" t="str">
            <v>Day Shift</v>
          </cell>
          <cell r="T904">
            <v>99</v>
          </cell>
          <cell r="U904" t="str">
            <v>MENA_UAE_FC</v>
          </cell>
          <cell r="X904">
            <v>46257.333333333336</v>
          </cell>
          <cell r="Y904">
            <v>46257.75</v>
          </cell>
          <cell r="Z904" t="str">
            <v>Rest Day</v>
          </cell>
          <cell r="AA904" t="str">
            <v>Not Scheduled</v>
          </cell>
          <cell r="AB904" t="str">
            <v>Not Present</v>
          </cell>
          <cell r="AC904" t="str">
            <v>Inbound</v>
          </cell>
          <cell r="AD904" t="str">
            <v>Inbound Stow</v>
          </cell>
          <cell r="AE904" t="str">
            <v>Stow</v>
          </cell>
          <cell r="AF904" t="str">
            <v>Sunday</v>
          </cell>
          <cell r="AG904" t="str">
            <v>Monday</v>
          </cell>
          <cell r="AH904">
            <v>3</v>
          </cell>
          <cell r="AJ904">
            <v>45830</v>
          </cell>
          <cell r="AM904" t="str">
            <v>TEMP</v>
          </cell>
          <cell r="AN904" t="str">
            <v>3P Onsite Worker</v>
          </cell>
          <cell r="AO904" t="str">
            <v>A</v>
          </cell>
          <cell r="AP904">
            <v>9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</row>
        <row r="905">
          <cell r="D905" t="str">
            <v>remmanai</v>
          </cell>
          <cell r="E905">
            <v>203741317</v>
          </cell>
          <cell r="F905" t="str">
            <v>A</v>
          </cell>
          <cell r="G905" t="str">
            <v>GREEN</v>
          </cell>
          <cell r="H905" t="str">
            <v>FULL_TIME</v>
          </cell>
          <cell r="I905">
            <v>900234</v>
          </cell>
          <cell r="J905" t="str">
            <v>Fastlink Outsourcing</v>
          </cell>
          <cell r="K905" t="str">
            <v>Emmanuel Aidoo</v>
          </cell>
          <cell r="L905" t="str">
            <v>Warehouse Associate (TEMP)</v>
          </cell>
          <cell r="M905" t="str">
            <v>Warehouse Associate 12M</v>
          </cell>
          <cell r="N905" t="str">
            <v>pparsin</v>
          </cell>
          <cell r="O905">
            <v>1299</v>
          </cell>
          <cell r="P905" t="str">
            <v>AUH1</v>
          </cell>
          <cell r="Q905" t="str">
            <v>ARE</v>
          </cell>
          <cell r="R905" t="str">
            <v>LK016</v>
          </cell>
          <cell r="S905" t="str">
            <v>Night Shift</v>
          </cell>
          <cell r="T905">
            <v>99</v>
          </cell>
          <cell r="U905" t="str">
            <v>MENA_UAE_FC</v>
          </cell>
          <cell r="V905">
            <v>46257.757638888892</v>
          </cell>
          <cell r="X905">
            <v>46257.756944444445</v>
          </cell>
          <cell r="Y905">
            <v>46258.173611111109</v>
          </cell>
          <cell r="AA905" t="str">
            <v>Scheduled</v>
          </cell>
          <cell r="AB905" t="str">
            <v>Present</v>
          </cell>
          <cell r="AC905" t="str">
            <v>Inbound</v>
          </cell>
          <cell r="AD905" t="str">
            <v>Inbound Stow</v>
          </cell>
          <cell r="AE905" t="str">
            <v>Stow</v>
          </cell>
          <cell r="AF905" t="str">
            <v>Wednesday</v>
          </cell>
          <cell r="AG905" t="str">
            <v>Thursday</v>
          </cell>
          <cell r="AH905">
            <v>3</v>
          </cell>
          <cell r="AJ905">
            <v>45501</v>
          </cell>
          <cell r="AM905" t="str">
            <v>TEMP</v>
          </cell>
          <cell r="AN905" t="str">
            <v>3P Onsite Worker</v>
          </cell>
          <cell r="AO905" t="str">
            <v>A</v>
          </cell>
          <cell r="AP905">
            <v>9</v>
          </cell>
          <cell r="AQ905">
            <v>0</v>
          </cell>
          <cell r="AR905">
            <v>1</v>
          </cell>
          <cell r="AS905">
            <v>1</v>
          </cell>
          <cell r="AT905">
            <v>0</v>
          </cell>
          <cell r="AU905">
            <v>0</v>
          </cell>
        </row>
        <row r="906">
          <cell r="D906" t="str">
            <v>remmanda</v>
          </cell>
          <cell r="E906">
            <v>206129606</v>
          </cell>
          <cell r="F906" t="str">
            <v>A</v>
          </cell>
          <cell r="G906" t="str">
            <v>GREEN</v>
          </cell>
          <cell r="H906" t="str">
            <v>FULL_TIME</v>
          </cell>
          <cell r="I906">
            <v>900234</v>
          </cell>
          <cell r="J906" t="str">
            <v>Fastlink Outsourcing</v>
          </cell>
          <cell r="K906" t="str">
            <v>Emmanuel Dapaa</v>
          </cell>
          <cell r="L906" t="str">
            <v>Warehouse Associate (TEMP)</v>
          </cell>
          <cell r="M906" t="str">
            <v>Warehouse Associate 12M</v>
          </cell>
          <cell r="N906" t="str">
            <v>mnarshad</v>
          </cell>
          <cell r="O906">
            <v>1299</v>
          </cell>
          <cell r="P906" t="str">
            <v>AUH1</v>
          </cell>
          <cell r="Q906" t="str">
            <v>ARE</v>
          </cell>
          <cell r="R906" t="str">
            <v>FC134</v>
          </cell>
          <cell r="S906" t="str">
            <v>Day Shift</v>
          </cell>
          <cell r="T906">
            <v>99</v>
          </cell>
          <cell r="U906" t="str">
            <v>MENA_UAE_FC</v>
          </cell>
          <cell r="V906">
            <v>46257.333333333336</v>
          </cell>
          <cell r="W906">
            <v>46257.746527777781</v>
          </cell>
          <cell r="X906">
            <v>46257.333333333336</v>
          </cell>
          <cell r="Y906">
            <v>46257.75</v>
          </cell>
          <cell r="AA906" t="str">
            <v>Scheduled</v>
          </cell>
          <cell r="AB906" t="str">
            <v>Present</v>
          </cell>
          <cell r="AC906" t="str">
            <v>Outbound</v>
          </cell>
          <cell r="AD906" t="str">
            <v>Picking</v>
          </cell>
          <cell r="AE906" t="str">
            <v>Pick</v>
          </cell>
          <cell r="AF906" t="str">
            <v>Wednesday</v>
          </cell>
          <cell r="AG906" t="str">
            <v>Thursday</v>
          </cell>
          <cell r="AH906">
            <v>13</v>
          </cell>
          <cell r="AJ906">
            <v>45928</v>
          </cell>
          <cell r="AM906" t="str">
            <v>TEMP</v>
          </cell>
          <cell r="AN906" t="str">
            <v>3P Onsite Worker</v>
          </cell>
          <cell r="AO906" t="str">
            <v>A</v>
          </cell>
          <cell r="AP906">
            <v>9</v>
          </cell>
          <cell r="AQ906">
            <v>0</v>
          </cell>
          <cell r="AR906">
            <v>1</v>
          </cell>
          <cell r="AS906">
            <v>1</v>
          </cell>
          <cell r="AT906">
            <v>0</v>
          </cell>
          <cell r="AU906">
            <v>0</v>
          </cell>
        </row>
        <row r="907">
          <cell r="D907" t="str">
            <v>ribnyame</v>
          </cell>
          <cell r="E907">
            <v>204329123</v>
          </cell>
          <cell r="F907" t="str">
            <v>A</v>
          </cell>
          <cell r="G907" t="str">
            <v>GREEN</v>
          </cell>
          <cell r="H907" t="str">
            <v>FULL_TIME</v>
          </cell>
          <cell r="I907">
            <v>900234</v>
          </cell>
          <cell r="J907" t="str">
            <v>Quesscorp</v>
          </cell>
          <cell r="K907" t="str">
            <v>Richmond Nyame</v>
          </cell>
          <cell r="L907" t="str">
            <v>Warehouse Associate (TEMP)</v>
          </cell>
          <cell r="M907" t="str">
            <v>Warehouse Associate 24M</v>
          </cell>
          <cell r="N907" t="str">
            <v>bavameer</v>
          </cell>
          <cell r="O907">
            <v>1299</v>
          </cell>
          <cell r="P907" t="str">
            <v>AUH1</v>
          </cell>
          <cell r="Q907" t="str">
            <v>ARE</v>
          </cell>
          <cell r="R907" t="str">
            <v>LK012</v>
          </cell>
          <cell r="S907" t="str">
            <v>Night Shift</v>
          </cell>
          <cell r="T907">
            <v>99</v>
          </cell>
          <cell r="U907" t="str">
            <v>MENA_UAE_FC</v>
          </cell>
          <cell r="X907">
            <v>46257.756944444445</v>
          </cell>
          <cell r="Y907">
            <v>46258.173611111109</v>
          </cell>
          <cell r="Z907" t="str">
            <v>Rest Day</v>
          </cell>
          <cell r="AA907" t="str">
            <v>Not Scheduled</v>
          </cell>
          <cell r="AB907" t="str">
            <v>Not Present</v>
          </cell>
          <cell r="AC907" t="str">
            <v>Customer returns</v>
          </cell>
          <cell r="AD907" t="str">
            <v>Customer Returns</v>
          </cell>
          <cell r="AE907" t="str">
            <v>Customer returns</v>
          </cell>
          <cell r="AF907" t="str">
            <v>Saturday</v>
          </cell>
          <cell r="AG907" t="str">
            <v>Sunday</v>
          </cell>
          <cell r="AH907">
            <v>22</v>
          </cell>
          <cell r="AJ907">
            <v>45588</v>
          </cell>
          <cell r="AM907" t="str">
            <v>TEMP</v>
          </cell>
          <cell r="AN907" t="str">
            <v>3P Onsite Worker</v>
          </cell>
          <cell r="AO907" t="str">
            <v>A</v>
          </cell>
          <cell r="AP907">
            <v>9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</row>
        <row r="908">
          <cell r="D908" t="str">
            <v>ricowusp</v>
          </cell>
          <cell r="E908">
            <v>203965457</v>
          </cell>
          <cell r="F908" t="str">
            <v>A</v>
          </cell>
          <cell r="G908" t="str">
            <v>GREEN</v>
          </cell>
          <cell r="H908" t="str">
            <v>FULL_TIME</v>
          </cell>
          <cell r="I908">
            <v>900234</v>
          </cell>
          <cell r="J908" t="str">
            <v>Fastlink Outsourcing</v>
          </cell>
          <cell r="K908" t="str">
            <v>Richard Owusu</v>
          </cell>
          <cell r="L908" t="str">
            <v>Warehouse Associate (TEMP)</v>
          </cell>
          <cell r="M908" t="str">
            <v>Warehouse Associate 12M</v>
          </cell>
          <cell r="N908" t="str">
            <v>scariav</v>
          </cell>
          <cell r="O908">
            <v>1299</v>
          </cell>
          <cell r="P908" t="str">
            <v>AUH1</v>
          </cell>
          <cell r="Q908" t="str">
            <v>ARE</v>
          </cell>
          <cell r="R908" t="str">
            <v>LK011</v>
          </cell>
          <cell r="S908" t="str">
            <v>Night Shift</v>
          </cell>
          <cell r="T908">
            <v>99</v>
          </cell>
          <cell r="U908" t="str">
            <v>MENA_UAE_FC</v>
          </cell>
          <cell r="V908">
            <v>46257.755555555559</v>
          </cell>
          <cell r="X908">
            <v>46257.756944444445</v>
          </cell>
          <cell r="Y908">
            <v>46258.173611111109</v>
          </cell>
          <cell r="AA908" t="str">
            <v>Scheduled</v>
          </cell>
          <cell r="AB908" t="str">
            <v>Present</v>
          </cell>
          <cell r="AC908" t="str">
            <v>Outbound</v>
          </cell>
          <cell r="AD908" t="str">
            <v>Picking</v>
          </cell>
          <cell r="AE908" t="str">
            <v>Pick</v>
          </cell>
          <cell r="AF908" t="str">
            <v>Friday</v>
          </cell>
          <cell r="AG908" t="str">
            <v>Saturday</v>
          </cell>
          <cell r="AH908">
            <v>13</v>
          </cell>
          <cell r="AJ908">
            <v>45543</v>
          </cell>
          <cell r="AM908" t="str">
            <v>TEMP</v>
          </cell>
          <cell r="AN908" t="str">
            <v>3P Onsite Worker</v>
          </cell>
          <cell r="AO908" t="str">
            <v>A</v>
          </cell>
          <cell r="AP908">
            <v>9</v>
          </cell>
          <cell r="AQ908">
            <v>0</v>
          </cell>
          <cell r="AR908">
            <v>1</v>
          </cell>
          <cell r="AS908">
            <v>1</v>
          </cell>
          <cell r="AT908">
            <v>0</v>
          </cell>
          <cell r="AU908">
            <v>0</v>
          </cell>
        </row>
        <row r="909">
          <cell r="D909" t="str">
            <v>rictorac</v>
          </cell>
          <cell r="E909">
            <v>203850898</v>
          </cell>
          <cell r="F909" t="str">
            <v>A</v>
          </cell>
          <cell r="G909" t="str">
            <v>GREEN</v>
          </cell>
          <cell r="H909" t="str">
            <v>FULL_TIME</v>
          </cell>
          <cell r="I909">
            <v>900234</v>
          </cell>
          <cell r="J909" t="str">
            <v>Dulsco L.L.C.</v>
          </cell>
          <cell r="K909" t="str">
            <v>Richard Torach</v>
          </cell>
          <cell r="L909" t="str">
            <v>Warehouse Associate (TEMP)</v>
          </cell>
          <cell r="M909" t="str">
            <v>Warehouse Associate 24M</v>
          </cell>
          <cell r="N909" t="str">
            <v>scariav</v>
          </cell>
          <cell r="O909">
            <v>1299</v>
          </cell>
          <cell r="P909" t="str">
            <v>AUH1</v>
          </cell>
          <cell r="Q909" t="str">
            <v>ARE</v>
          </cell>
          <cell r="R909" t="str">
            <v>LK011</v>
          </cell>
          <cell r="S909" t="str">
            <v>Night Shift</v>
          </cell>
          <cell r="T909">
            <v>99</v>
          </cell>
          <cell r="U909" t="str">
            <v>MENA_UAE_FC</v>
          </cell>
          <cell r="V909">
            <v>46257.756249999999</v>
          </cell>
          <cell r="X909">
            <v>46257.756944444445</v>
          </cell>
          <cell r="Y909">
            <v>46258.173611111109</v>
          </cell>
          <cell r="AA909" t="str">
            <v>Scheduled</v>
          </cell>
          <cell r="AB909" t="str">
            <v>Present</v>
          </cell>
          <cell r="AC909" t="str">
            <v>Outbound</v>
          </cell>
          <cell r="AD909" t="str">
            <v>Picking</v>
          </cell>
          <cell r="AE909" t="str">
            <v>Pick</v>
          </cell>
          <cell r="AF909" t="str">
            <v>Friday</v>
          </cell>
          <cell r="AG909" t="str">
            <v>Saturday</v>
          </cell>
          <cell r="AH909">
            <v>13</v>
          </cell>
          <cell r="AJ909">
            <v>45523</v>
          </cell>
          <cell r="AM909" t="str">
            <v>TEMP</v>
          </cell>
          <cell r="AN909" t="str">
            <v>3P Onsite Worker</v>
          </cell>
          <cell r="AO909" t="str">
            <v>A</v>
          </cell>
          <cell r="AP909">
            <v>9</v>
          </cell>
          <cell r="AQ909">
            <v>0</v>
          </cell>
          <cell r="AR909">
            <v>1</v>
          </cell>
          <cell r="AS909">
            <v>1</v>
          </cell>
          <cell r="AT909">
            <v>0</v>
          </cell>
          <cell r="AU909">
            <v>0</v>
          </cell>
        </row>
        <row r="910">
          <cell r="D910" t="str">
            <v>ridadzid</v>
          </cell>
          <cell r="E910">
            <v>204868859</v>
          </cell>
          <cell r="F910" t="str">
            <v>A</v>
          </cell>
          <cell r="G910" t="str">
            <v>GREEN</v>
          </cell>
          <cell r="H910" t="str">
            <v>FULL_TIME</v>
          </cell>
          <cell r="I910">
            <v>900234</v>
          </cell>
          <cell r="J910" t="str">
            <v>Quesscorp</v>
          </cell>
          <cell r="K910" t="str">
            <v>Richard Dadzie</v>
          </cell>
          <cell r="L910" t="str">
            <v>Warehouse Associate (TEMP)</v>
          </cell>
          <cell r="M910" t="str">
            <v>Warehouse Associate 24M</v>
          </cell>
          <cell r="N910" t="str">
            <v>vkkatyal</v>
          </cell>
          <cell r="O910">
            <v>1299</v>
          </cell>
          <cell r="P910" t="str">
            <v>AUH1</v>
          </cell>
          <cell r="Q910" t="str">
            <v>ARE</v>
          </cell>
          <cell r="R910" t="str">
            <v>FC109</v>
          </cell>
          <cell r="S910" t="str">
            <v>Day Shift</v>
          </cell>
          <cell r="T910">
            <v>99</v>
          </cell>
          <cell r="U910" t="str">
            <v>MENA_UAE_FC</v>
          </cell>
          <cell r="V910">
            <v>46257.333333333336</v>
          </cell>
          <cell r="W910">
            <v>46257.750694444447</v>
          </cell>
          <cell r="X910">
            <v>46257.333333333336</v>
          </cell>
          <cell r="Y910">
            <v>46257.75</v>
          </cell>
          <cell r="AA910" t="str">
            <v>Scheduled</v>
          </cell>
          <cell r="AB910" t="str">
            <v>Present</v>
          </cell>
          <cell r="AC910" t="str">
            <v>Inbound</v>
          </cell>
          <cell r="AD910" t="str">
            <v>Inbound Stow</v>
          </cell>
          <cell r="AE910" t="str">
            <v>Stow</v>
          </cell>
          <cell r="AF910" t="str">
            <v>Tuesday</v>
          </cell>
          <cell r="AG910" t="str">
            <v>Wednesday</v>
          </cell>
          <cell r="AH910">
            <v>3</v>
          </cell>
          <cell r="AJ910">
            <v>45690</v>
          </cell>
          <cell r="AM910" t="str">
            <v>TEMP</v>
          </cell>
          <cell r="AN910" t="str">
            <v>3P Onsite Worker</v>
          </cell>
          <cell r="AO910" t="str">
            <v>A</v>
          </cell>
          <cell r="AP910">
            <v>9</v>
          </cell>
          <cell r="AQ910">
            <v>0</v>
          </cell>
          <cell r="AR910">
            <v>1</v>
          </cell>
          <cell r="AS910">
            <v>1</v>
          </cell>
          <cell r="AT910">
            <v>0</v>
          </cell>
          <cell r="AU910">
            <v>0</v>
          </cell>
        </row>
        <row r="911">
          <cell r="D911" t="str">
            <v>risahrmb</v>
          </cell>
          <cell r="E911">
            <v>204467948</v>
          </cell>
          <cell r="F911" t="str">
            <v>A</v>
          </cell>
          <cell r="G911" t="str">
            <v>GREEN</v>
          </cell>
          <cell r="H911" t="str">
            <v>FULL_TIME</v>
          </cell>
          <cell r="I911">
            <v>900234</v>
          </cell>
          <cell r="J911" t="str">
            <v>Quesscorp</v>
          </cell>
          <cell r="K911" t="str">
            <v>Richard Sahr M'Bayo</v>
          </cell>
          <cell r="L911" t="str">
            <v>Warehouse Associate (TEMP)</v>
          </cell>
          <cell r="M911" t="str">
            <v>Warehouse Associate 24M</v>
          </cell>
          <cell r="N911" t="str">
            <v>mnarshad</v>
          </cell>
          <cell r="O911">
            <v>1299</v>
          </cell>
          <cell r="P911" t="str">
            <v>AUH1</v>
          </cell>
          <cell r="Q911" t="str">
            <v>ARE</v>
          </cell>
          <cell r="R911" t="str">
            <v>FC134</v>
          </cell>
          <cell r="S911" t="str">
            <v>Day Shift</v>
          </cell>
          <cell r="T911">
            <v>99</v>
          </cell>
          <cell r="U911" t="str">
            <v>MENA_UAE_FC</v>
          </cell>
          <cell r="V911">
            <v>46257.330555555556</v>
          </cell>
          <cell r="W911">
            <v>46257.749305555553</v>
          </cell>
          <cell r="X911">
            <v>46257.333333333336</v>
          </cell>
          <cell r="Y911">
            <v>46257.75</v>
          </cell>
          <cell r="AA911" t="str">
            <v>Scheduled</v>
          </cell>
          <cell r="AB911" t="str">
            <v>Present</v>
          </cell>
          <cell r="AC911" t="str">
            <v>Outbound</v>
          </cell>
          <cell r="AD911" t="str">
            <v>Picking</v>
          </cell>
          <cell r="AE911" t="str">
            <v>Pick</v>
          </cell>
          <cell r="AF911" t="str">
            <v>Wednesday</v>
          </cell>
          <cell r="AG911" t="str">
            <v>Thursday</v>
          </cell>
          <cell r="AH911">
            <v>13</v>
          </cell>
          <cell r="AJ911">
            <v>45602</v>
          </cell>
          <cell r="AM911" t="str">
            <v>TEMP</v>
          </cell>
          <cell r="AN911" t="str">
            <v>3P Onsite Worker</v>
          </cell>
          <cell r="AO911" t="str">
            <v>A</v>
          </cell>
          <cell r="AP911">
            <v>9</v>
          </cell>
          <cell r="AQ911">
            <v>0</v>
          </cell>
          <cell r="AR911">
            <v>1</v>
          </cell>
          <cell r="AS911">
            <v>1</v>
          </cell>
          <cell r="AT911">
            <v>0</v>
          </cell>
          <cell r="AU911">
            <v>0</v>
          </cell>
        </row>
        <row r="912">
          <cell r="D912" t="str">
            <v>ritakawe</v>
          </cell>
          <cell r="E912">
            <v>203011024</v>
          </cell>
          <cell r="F912" t="str">
            <v>A</v>
          </cell>
          <cell r="G912" t="str">
            <v>GREEN</v>
          </cell>
          <cell r="H912" t="str">
            <v>FULL_TIME</v>
          </cell>
          <cell r="I912">
            <v>900234</v>
          </cell>
          <cell r="J912" t="str">
            <v>Fastlink Outsourcing</v>
          </cell>
          <cell r="K912" t="str">
            <v>Rita Kawe Nformi</v>
          </cell>
          <cell r="L912" t="str">
            <v>Warehouse Associate (TEMP)</v>
          </cell>
          <cell r="M912" t="str">
            <v>Warehouse Associate 12M</v>
          </cell>
          <cell r="N912" t="str">
            <v>bizthoma</v>
          </cell>
          <cell r="O912">
            <v>1299</v>
          </cell>
          <cell r="P912" t="str">
            <v>AUH1</v>
          </cell>
          <cell r="Q912" t="str">
            <v>ARE</v>
          </cell>
          <cell r="R912" t="str">
            <v>LK011</v>
          </cell>
          <cell r="S912" t="str">
            <v>Night Shift</v>
          </cell>
          <cell r="T912">
            <v>99</v>
          </cell>
          <cell r="U912" t="str">
            <v>MENA_UAE_FC</v>
          </cell>
          <cell r="V912">
            <v>46257.754861111112</v>
          </cell>
          <cell r="X912">
            <v>46257.756944444445</v>
          </cell>
          <cell r="Y912">
            <v>46258.173611111109</v>
          </cell>
          <cell r="AA912" t="str">
            <v>Scheduled</v>
          </cell>
          <cell r="AB912" t="str">
            <v>Present</v>
          </cell>
          <cell r="AC912" t="str">
            <v>Outbound</v>
          </cell>
          <cell r="AD912" t="str">
            <v>Picking</v>
          </cell>
          <cell r="AE912" t="str">
            <v>Pick</v>
          </cell>
          <cell r="AF912" t="str">
            <v>Friday</v>
          </cell>
          <cell r="AG912" t="str">
            <v>Saturday</v>
          </cell>
          <cell r="AH912">
            <v>13</v>
          </cell>
          <cell r="AJ912">
            <v>45602</v>
          </cell>
          <cell r="AM912" t="str">
            <v>TEMP</v>
          </cell>
          <cell r="AN912" t="str">
            <v>3P Onsite Worker</v>
          </cell>
          <cell r="AO912" t="str">
            <v>A</v>
          </cell>
          <cell r="AP912">
            <v>9</v>
          </cell>
          <cell r="AQ912">
            <v>0</v>
          </cell>
          <cell r="AR912">
            <v>1</v>
          </cell>
          <cell r="AS912">
            <v>1</v>
          </cell>
          <cell r="AT912">
            <v>0</v>
          </cell>
          <cell r="AU912">
            <v>0</v>
          </cell>
        </row>
        <row r="913">
          <cell r="D913" t="str">
            <v>ritjuoke</v>
          </cell>
          <cell r="E913">
            <v>206926976</v>
          </cell>
          <cell r="F913" t="str">
            <v>A</v>
          </cell>
          <cell r="G913" t="str">
            <v>GREEN</v>
          </cell>
          <cell r="H913" t="str">
            <v>REDUCED</v>
          </cell>
          <cell r="I913">
            <v>900234</v>
          </cell>
          <cell r="J913" t="str">
            <v>Fastlink Outsourcing</v>
          </cell>
          <cell r="K913" t="str">
            <v>RITA JUO KEDZE</v>
          </cell>
          <cell r="L913" t="str">
            <v>Warehouse Associate (TEMP)</v>
          </cell>
          <cell r="M913" t="str">
            <v>Warehouse Associate 8W</v>
          </cell>
          <cell r="N913" t="str">
            <v>bizthoma</v>
          </cell>
          <cell r="O913">
            <v>1299</v>
          </cell>
          <cell r="P913" t="str">
            <v>AUH1</v>
          </cell>
          <cell r="Q913" t="str">
            <v>ARE</v>
          </cell>
          <cell r="R913" t="str">
            <v>FC558</v>
          </cell>
          <cell r="S913" t="str">
            <v>Night Shift</v>
          </cell>
          <cell r="T913">
            <v>99</v>
          </cell>
          <cell r="U913" t="str">
            <v>MENA_UAE_FC</v>
          </cell>
          <cell r="V913">
            <v>46257.756249999999</v>
          </cell>
          <cell r="X913">
            <v>46257.756944444445</v>
          </cell>
          <cell r="Y913">
            <v>46258.090277777781</v>
          </cell>
          <cell r="AA913" t="str">
            <v>Scheduled</v>
          </cell>
          <cell r="AB913" t="str">
            <v>Present</v>
          </cell>
          <cell r="AC913" t="str">
            <v>Outbound</v>
          </cell>
          <cell r="AD913" t="str">
            <v>Pack - Batch</v>
          </cell>
          <cell r="AE913" t="str">
            <v>Pack</v>
          </cell>
          <cell r="AF913" t="str">
            <v>Thursday</v>
          </cell>
          <cell r="AG913" t="str">
            <v>Friday</v>
          </cell>
          <cell r="AH913">
            <v>17</v>
          </cell>
          <cell r="AJ913">
            <v>46251</v>
          </cell>
          <cell r="AM913" t="str">
            <v>TEMP</v>
          </cell>
          <cell r="AN913" t="str">
            <v>3P Onsite Worker</v>
          </cell>
          <cell r="AO913" t="str">
            <v>A</v>
          </cell>
          <cell r="AP913">
            <v>7</v>
          </cell>
          <cell r="AQ913">
            <v>0</v>
          </cell>
          <cell r="AR913">
            <v>1</v>
          </cell>
          <cell r="AS913">
            <v>1</v>
          </cell>
          <cell r="AT913">
            <v>0</v>
          </cell>
          <cell r="AU913">
            <v>0</v>
          </cell>
        </row>
        <row r="914">
          <cell r="D914" t="str">
            <v>rjwanjir</v>
          </cell>
          <cell r="E914">
            <v>206607035</v>
          </cell>
          <cell r="F914" t="str">
            <v>A</v>
          </cell>
          <cell r="G914" t="str">
            <v>GREEN</v>
          </cell>
          <cell r="H914" t="str">
            <v>REDUCED</v>
          </cell>
          <cell r="I914">
            <v>900234</v>
          </cell>
          <cell r="J914" t="str">
            <v>EFS Facilities Services</v>
          </cell>
          <cell r="K914" t="str">
            <v>JOSEPH NJUGUNA WANJIRU</v>
          </cell>
          <cell r="L914" t="str">
            <v>Warehouse Associate (TEMP)</v>
          </cell>
          <cell r="M914" t="str">
            <v>Warehouse Associate 8W</v>
          </cell>
          <cell r="N914" t="str">
            <v>mnarshad</v>
          </cell>
          <cell r="O914">
            <v>1299</v>
          </cell>
          <cell r="P914" t="str">
            <v>AUH1</v>
          </cell>
          <cell r="Q914" t="str">
            <v>ARE</v>
          </cell>
          <cell r="R914" t="str">
            <v>FC554</v>
          </cell>
          <cell r="S914" t="str">
            <v>Night Shift</v>
          </cell>
          <cell r="T914">
            <v>99</v>
          </cell>
          <cell r="U914" t="str">
            <v>MENA_UAE_FC</v>
          </cell>
          <cell r="X914">
            <v>46257.756944444445</v>
          </cell>
          <cell r="Y914">
            <v>46258.090277777781</v>
          </cell>
          <cell r="Z914" t="str">
            <v>Rest Day</v>
          </cell>
          <cell r="AA914" t="str">
            <v>Not Scheduled</v>
          </cell>
          <cell r="AB914" t="str">
            <v>Not Present</v>
          </cell>
          <cell r="AC914" t="str">
            <v>Outbound</v>
          </cell>
          <cell r="AD914" t="str">
            <v>Picking</v>
          </cell>
          <cell r="AE914" t="str">
            <v>Pick</v>
          </cell>
          <cell r="AF914" t="str">
            <v>Sunday</v>
          </cell>
          <cell r="AG914" t="str">
            <v>Monday</v>
          </cell>
          <cell r="AH914">
            <v>13</v>
          </cell>
          <cell r="AJ914">
            <v>46251</v>
          </cell>
          <cell r="AM914" t="str">
            <v>TEMP</v>
          </cell>
          <cell r="AN914" t="str">
            <v>3P Onsite Worker</v>
          </cell>
          <cell r="AO914" t="str">
            <v>A</v>
          </cell>
          <cell r="AP914">
            <v>7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</row>
        <row r="915">
          <cell r="D915" t="str">
            <v>rkatumma</v>
          </cell>
          <cell r="E915">
            <v>203908895</v>
          </cell>
          <cell r="F915" t="str">
            <v>A</v>
          </cell>
          <cell r="G915" t="str">
            <v>GREEN</v>
          </cell>
          <cell r="H915" t="str">
            <v>FULL_TIME</v>
          </cell>
          <cell r="I915">
            <v>900234</v>
          </cell>
          <cell r="J915" t="str">
            <v>Dulsco L.L.C.</v>
          </cell>
          <cell r="K915" t="str">
            <v>MARK KATUMWA</v>
          </cell>
          <cell r="L915" t="str">
            <v>Warehouse Associate (TEMP)</v>
          </cell>
          <cell r="M915" t="str">
            <v>Warehouse Associate 8W</v>
          </cell>
          <cell r="N915" t="str">
            <v>scariav</v>
          </cell>
          <cell r="O915">
            <v>1299</v>
          </cell>
          <cell r="P915" t="str">
            <v>AUH1</v>
          </cell>
          <cell r="Q915" t="str">
            <v>ARE</v>
          </cell>
          <cell r="R915" t="str">
            <v>LK016</v>
          </cell>
          <cell r="S915" t="str">
            <v>Night Shift</v>
          </cell>
          <cell r="T915">
            <v>99</v>
          </cell>
          <cell r="U915" t="str">
            <v>MENA_UAE_FC</v>
          </cell>
          <cell r="V915">
            <v>46257.755555555559</v>
          </cell>
          <cell r="X915">
            <v>46257.756944444445</v>
          </cell>
          <cell r="Y915">
            <v>46258.173611111109</v>
          </cell>
          <cell r="AA915" t="str">
            <v>Scheduled</v>
          </cell>
          <cell r="AB915" t="str">
            <v>Present</v>
          </cell>
          <cell r="AC915" t="str">
            <v>Outbound</v>
          </cell>
          <cell r="AD915" t="str">
            <v>Picking</v>
          </cell>
          <cell r="AE915" t="str">
            <v>Pick</v>
          </cell>
          <cell r="AF915" t="str">
            <v>Wednesday</v>
          </cell>
          <cell r="AG915" t="str">
            <v>Thursday</v>
          </cell>
          <cell r="AH915">
            <v>13</v>
          </cell>
          <cell r="AJ915">
            <v>45536</v>
          </cell>
          <cell r="AM915" t="str">
            <v>TEMP</v>
          </cell>
          <cell r="AN915" t="str">
            <v>3P Onsite Worker</v>
          </cell>
          <cell r="AO915" t="str">
            <v>A</v>
          </cell>
          <cell r="AP915">
            <v>9</v>
          </cell>
          <cell r="AQ915">
            <v>0</v>
          </cell>
          <cell r="AR915">
            <v>1</v>
          </cell>
          <cell r="AS915">
            <v>1</v>
          </cell>
          <cell r="AT915">
            <v>0</v>
          </cell>
          <cell r="AU915">
            <v>0</v>
          </cell>
        </row>
        <row r="916">
          <cell r="D916" t="str">
            <v>rkyeboah</v>
          </cell>
          <cell r="E916">
            <v>204331928</v>
          </cell>
          <cell r="F916" t="str">
            <v>A</v>
          </cell>
          <cell r="G916" t="str">
            <v>GREEN</v>
          </cell>
          <cell r="H916" t="str">
            <v>FULL_TIME</v>
          </cell>
          <cell r="I916">
            <v>900234</v>
          </cell>
          <cell r="J916" t="str">
            <v>Quesscorp</v>
          </cell>
          <cell r="K916" t="str">
            <v>Richard Yeboah</v>
          </cell>
          <cell r="L916" t="str">
            <v>Warehouse Associate (TEMP)</v>
          </cell>
          <cell r="M916" t="str">
            <v>Warehouse Associate 24M</v>
          </cell>
          <cell r="N916" t="str">
            <v>ansammar</v>
          </cell>
          <cell r="O916">
            <v>1299</v>
          </cell>
          <cell r="P916" t="str">
            <v>AUH1</v>
          </cell>
          <cell r="Q916" t="str">
            <v>ARE</v>
          </cell>
          <cell r="R916" t="str">
            <v>LK017</v>
          </cell>
          <cell r="S916" t="str">
            <v>Night Shift</v>
          </cell>
          <cell r="T916">
            <v>99</v>
          </cell>
          <cell r="U916" t="str">
            <v>MENA_UAE_FC</v>
          </cell>
          <cell r="V916">
            <v>46257.759722222225</v>
          </cell>
          <cell r="X916">
            <v>46257.756944444445</v>
          </cell>
          <cell r="Y916">
            <v>46258.173611111109</v>
          </cell>
          <cell r="AA916" t="str">
            <v>Scheduled</v>
          </cell>
          <cell r="AB916" t="str">
            <v>Present</v>
          </cell>
          <cell r="AC916" t="str">
            <v>Outbound</v>
          </cell>
          <cell r="AD916" t="str">
            <v>Picking</v>
          </cell>
          <cell r="AE916" t="str">
            <v>Pick</v>
          </cell>
          <cell r="AF916" t="str">
            <v>Thursday</v>
          </cell>
          <cell r="AG916" t="str">
            <v>Friday</v>
          </cell>
          <cell r="AH916">
            <v>13</v>
          </cell>
          <cell r="AJ916">
            <v>45588</v>
          </cell>
          <cell r="AM916" t="str">
            <v>TEMP</v>
          </cell>
          <cell r="AN916" t="str">
            <v>3P Onsite Worker</v>
          </cell>
          <cell r="AO916" t="str">
            <v>A</v>
          </cell>
          <cell r="AP916">
            <v>9</v>
          </cell>
          <cell r="AQ916">
            <v>0</v>
          </cell>
          <cell r="AR916">
            <v>1</v>
          </cell>
          <cell r="AS916">
            <v>1</v>
          </cell>
          <cell r="AT916">
            <v>0</v>
          </cell>
          <cell r="AU916">
            <v>0</v>
          </cell>
        </row>
        <row r="917">
          <cell r="D917" t="str">
            <v>rmundakk</v>
          </cell>
          <cell r="E917">
            <v>203851002</v>
          </cell>
          <cell r="F917" t="str">
            <v>A</v>
          </cell>
          <cell r="G917" t="str">
            <v>GREEN</v>
          </cell>
          <cell r="H917" t="str">
            <v>FULL_TIME</v>
          </cell>
          <cell r="I917">
            <v>900234</v>
          </cell>
          <cell r="J917" t="str">
            <v>Fastlink Outsourcing</v>
          </cell>
          <cell r="K917" t="str">
            <v>Rohit Mundakkalil</v>
          </cell>
          <cell r="L917" t="str">
            <v>Warehouse Associate (TEMP)</v>
          </cell>
          <cell r="M917" t="str">
            <v>Warehouse Associate 12M</v>
          </cell>
          <cell r="N917" t="str">
            <v>scariav</v>
          </cell>
          <cell r="O917">
            <v>1299</v>
          </cell>
          <cell r="P917" t="str">
            <v>AUH1</v>
          </cell>
          <cell r="Q917" t="str">
            <v>ARE</v>
          </cell>
          <cell r="R917" t="str">
            <v>LK015</v>
          </cell>
          <cell r="S917" t="str">
            <v>Night Shift</v>
          </cell>
          <cell r="T917">
            <v>99</v>
          </cell>
          <cell r="U917" t="str">
            <v>MENA_UAE_FC</v>
          </cell>
          <cell r="V917">
            <v>46257.744444444441</v>
          </cell>
          <cell r="X917">
            <v>46257.756944444445</v>
          </cell>
          <cell r="Y917">
            <v>46258.173611111109</v>
          </cell>
          <cell r="AA917" t="str">
            <v>Scheduled</v>
          </cell>
          <cell r="AB917" t="str">
            <v>Present</v>
          </cell>
          <cell r="AC917" t="str">
            <v>Outbound</v>
          </cell>
          <cell r="AD917" t="str">
            <v>Sort - Batch</v>
          </cell>
          <cell r="AE917" t="str">
            <v>Sort</v>
          </cell>
          <cell r="AF917" t="str">
            <v>Tuesday</v>
          </cell>
          <cell r="AG917" t="str">
            <v>Wednesday</v>
          </cell>
          <cell r="AH917">
            <v>15</v>
          </cell>
          <cell r="AJ917">
            <v>45523</v>
          </cell>
          <cell r="AM917" t="str">
            <v>TEMP</v>
          </cell>
          <cell r="AN917" t="str">
            <v>3P Onsite Worker</v>
          </cell>
          <cell r="AO917" t="str">
            <v>A</v>
          </cell>
          <cell r="AP917">
            <v>9</v>
          </cell>
          <cell r="AQ917">
            <v>0</v>
          </cell>
          <cell r="AR917">
            <v>1</v>
          </cell>
          <cell r="AS917">
            <v>1</v>
          </cell>
          <cell r="AT917">
            <v>0</v>
          </cell>
          <cell r="AU917">
            <v>0</v>
          </cell>
        </row>
        <row r="918">
          <cell r="D918" t="str">
            <v>rmuthosi</v>
          </cell>
          <cell r="E918">
            <v>206604522</v>
          </cell>
          <cell r="F918" t="str">
            <v>A</v>
          </cell>
          <cell r="G918" t="str">
            <v>GREEN</v>
          </cell>
          <cell r="H918" t="str">
            <v>FULL_TIME</v>
          </cell>
          <cell r="I918">
            <v>900234</v>
          </cell>
          <cell r="J918" t="str">
            <v>EFS Facilities Services</v>
          </cell>
          <cell r="K918" t="str">
            <v>SIMON KINYANJUI Muthoni</v>
          </cell>
          <cell r="L918" t="str">
            <v>Warehouse Associate (TEMP)</v>
          </cell>
          <cell r="M918" t="str">
            <v>Warehouse Associate 8W</v>
          </cell>
          <cell r="N918" t="str">
            <v>helrashd</v>
          </cell>
          <cell r="O918">
            <v>1299</v>
          </cell>
          <cell r="P918" t="str">
            <v>AUH1</v>
          </cell>
          <cell r="Q918" t="str">
            <v>ARE</v>
          </cell>
          <cell r="R918" t="str">
            <v>LK014</v>
          </cell>
          <cell r="S918" t="str">
            <v>Night Shift</v>
          </cell>
          <cell r="T918">
            <v>99</v>
          </cell>
          <cell r="U918" t="str">
            <v>MENA_UAE_FC</v>
          </cell>
          <cell r="V918">
            <v>46257.756249999999</v>
          </cell>
          <cell r="X918">
            <v>46257.756944444445</v>
          </cell>
          <cell r="Y918">
            <v>46258.173611111109</v>
          </cell>
          <cell r="AA918" t="str">
            <v>Scheduled</v>
          </cell>
          <cell r="AB918" t="str">
            <v>Present</v>
          </cell>
          <cell r="AC918" t="str">
            <v>Outbound</v>
          </cell>
          <cell r="AD918" t="str">
            <v>Picking</v>
          </cell>
          <cell r="AE918" t="str">
            <v>Pick</v>
          </cell>
          <cell r="AF918" t="str">
            <v>Monday</v>
          </cell>
          <cell r="AG918" t="str">
            <v>Tuesday</v>
          </cell>
          <cell r="AH918">
            <v>13</v>
          </cell>
          <cell r="AJ918">
            <v>45977</v>
          </cell>
          <cell r="AM918" t="str">
            <v>TEMP</v>
          </cell>
          <cell r="AN918" t="str">
            <v>3P Onsite Worker</v>
          </cell>
          <cell r="AO918" t="str">
            <v>A</v>
          </cell>
          <cell r="AP918">
            <v>9</v>
          </cell>
          <cell r="AQ918">
            <v>0</v>
          </cell>
          <cell r="AR918">
            <v>1</v>
          </cell>
          <cell r="AS918">
            <v>1</v>
          </cell>
          <cell r="AT918">
            <v>0</v>
          </cell>
          <cell r="AU918">
            <v>0</v>
          </cell>
        </row>
        <row r="919">
          <cell r="D919" t="str">
            <v>roambili</v>
          </cell>
          <cell r="E919">
            <v>205496017</v>
          </cell>
          <cell r="F919" t="str">
            <v>A</v>
          </cell>
          <cell r="G919" t="str">
            <v>GREEN</v>
          </cell>
          <cell r="H919" t="str">
            <v>FULL_TIME</v>
          </cell>
          <cell r="I919">
            <v>900234</v>
          </cell>
          <cell r="J919" t="str">
            <v>EFS Facilities Services</v>
          </cell>
          <cell r="K919" t="str">
            <v>AMBILIA JEROTICH ROP</v>
          </cell>
          <cell r="L919" t="str">
            <v>Warehouse Associate (TEMP)</v>
          </cell>
          <cell r="M919" t="str">
            <v>Warehouse Associate 8W</v>
          </cell>
          <cell r="N919" t="str">
            <v>aanso</v>
          </cell>
          <cell r="O919">
            <v>1299</v>
          </cell>
          <cell r="P919" t="str">
            <v>AUH1</v>
          </cell>
          <cell r="Q919" t="str">
            <v>ARE</v>
          </cell>
          <cell r="R919" t="str">
            <v>LK015</v>
          </cell>
          <cell r="S919" t="str">
            <v>Night Shift</v>
          </cell>
          <cell r="T919">
            <v>99</v>
          </cell>
          <cell r="U919" t="str">
            <v>MENA_UAE_FC</v>
          </cell>
          <cell r="V919">
            <v>46257.754166666666</v>
          </cell>
          <cell r="X919">
            <v>46257.756944444445</v>
          </cell>
          <cell r="Y919">
            <v>46258.173611111109</v>
          </cell>
          <cell r="AA919" t="str">
            <v>Scheduled</v>
          </cell>
          <cell r="AB919" t="str">
            <v>Present</v>
          </cell>
          <cell r="AC919" t="str">
            <v>Customer returns</v>
          </cell>
          <cell r="AD919" t="str">
            <v>Customer Returns</v>
          </cell>
          <cell r="AE919" t="str">
            <v>Customer returns</v>
          </cell>
          <cell r="AF919" t="str">
            <v>Tuesday</v>
          </cell>
          <cell r="AG919" t="str">
            <v>Wednesday</v>
          </cell>
          <cell r="AH919">
            <v>22</v>
          </cell>
          <cell r="AJ919">
            <v>45830</v>
          </cell>
          <cell r="AM919" t="str">
            <v>TEMP</v>
          </cell>
          <cell r="AN919" t="str">
            <v>3P Onsite Worker</v>
          </cell>
          <cell r="AO919" t="str">
            <v>A</v>
          </cell>
          <cell r="AP919">
            <v>9</v>
          </cell>
          <cell r="AQ919">
            <v>0</v>
          </cell>
          <cell r="AR919">
            <v>1</v>
          </cell>
          <cell r="AS919">
            <v>1</v>
          </cell>
          <cell r="AT919">
            <v>0</v>
          </cell>
          <cell r="AU919">
            <v>0</v>
          </cell>
        </row>
        <row r="920">
          <cell r="D920" t="str">
            <v>roberkig</v>
          </cell>
          <cell r="E920">
            <v>206851163</v>
          </cell>
          <cell r="F920" t="str">
            <v>A</v>
          </cell>
          <cell r="G920" t="str">
            <v>GREEN</v>
          </cell>
          <cell r="H920" t="str">
            <v>FULL_TIME</v>
          </cell>
          <cell r="I920">
            <v>900234</v>
          </cell>
          <cell r="J920" t="str">
            <v>Dulsco L.L.C.</v>
          </cell>
          <cell r="K920" t="str">
            <v>ROBERT KIGGUNDU</v>
          </cell>
          <cell r="L920" t="str">
            <v>Warehouse Associate (TEMP)</v>
          </cell>
          <cell r="M920" t="str">
            <v>Warehouse Associate 8W</v>
          </cell>
          <cell r="N920" t="str">
            <v>bavameer</v>
          </cell>
          <cell r="O920">
            <v>1299</v>
          </cell>
          <cell r="P920" t="str">
            <v>AUH1</v>
          </cell>
          <cell r="Q920" t="str">
            <v>ARE</v>
          </cell>
          <cell r="R920" t="str">
            <v>FC134</v>
          </cell>
          <cell r="S920" t="str">
            <v>Day Shift</v>
          </cell>
          <cell r="T920">
            <v>99</v>
          </cell>
          <cell r="U920" t="str">
            <v>MENA_UAE_FC</v>
          </cell>
          <cell r="V920">
            <v>46257.331944444442</v>
          </cell>
          <cell r="W920">
            <v>46257.747916666667</v>
          </cell>
          <cell r="X920">
            <v>46257.333333333336</v>
          </cell>
          <cell r="Y920">
            <v>46257.75</v>
          </cell>
          <cell r="AA920" t="str">
            <v>Scheduled</v>
          </cell>
          <cell r="AB920" t="str">
            <v>Present</v>
          </cell>
          <cell r="AC920" t="str">
            <v>Customer returns</v>
          </cell>
          <cell r="AD920" t="str">
            <v>Customer Returns</v>
          </cell>
          <cell r="AE920" t="str">
            <v>Customer returns</v>
          </cell>
          <cell r="AF920" t="str">
            <v>Wednesday</v>
          </cell>
          <cell r="AG920" t="str">
            <v>Thursday</v>
          </cell>
          <cell r="AH920">
            <v>22</v>
          </cell>
          <cell r="AJ920">
            <v>46012</v>
          </cell>
          <cell r="AM920" t="str">
            <v>TEMP</v>
          </cell>
          <cell r="AN920" t="str">
            <v>3P Onsite Worker</v>
          </cell>
          <cell r="AO920" t="str">
            <v>A</v>
          </cell>
          <cell r="AP920">
            <v>9</v>
          </cell>
          <cell r="AQ920">
            <v>0</v>
          </cell>
          <cell r="AR920">
            <v>1</v>
          </cell>
          <cell r="AS920">
            <v>1</v>
          </cell>
          <cell r="AT920">
            <v>0</v>
          </cell>
          <cell r="AU920">
            <v>0</v>
          </cell>
        </row>
        <row r="921">
          <cell r="D921" t="str">
            <v>roedieme</v>
          </cell>
          <cell r="E921">
            <v>206015654</v>
          </cell>
          <cell r="F921" t="str">
            <v>A</v>
          </cell>
          <cell r="G921" t="str">
            <v>GREEN</v>
          </cell>
          <cell r="H921" t="str">
            <v>FULL_TIME</v>
          </cell>
          <cell r="I921">
            <v>900234</v>
          </cell>
          <cell r="J921" t="str">
            <v>Fastlink Outsourcing</v>
          </cell>
          <cell r="K921" t="str">
            <v>Roland Ediemejang Muankume</v>
          </cell>
          <cell r="L921" t="str">
            <v>Warehouse Associate (TEMP)</v>
          </cell>
          <cell r="M921" t="str">
            <v>Warehouse Associate 12M</v>
          </cell>
          <cell r="N921" t="str">
            <v>kebedeed</v>
          </cell>
          <cell r="O921">
            <v>1299</v>
          </cell>
          <cell r="P921" t="str">
            <v>AUH1</v>
          </cell>
          <cell r="Q921" t="str">
            <v>ARE</v>
          </cell>
          <cell r="R921" t="str">
            <v>FC084</v>
          </cell>
          <cell r="S921" t="str">
            <v>Day Shift</v>
          </cell>
          <cell r="T921">
            <v>99</v>
          </cell>
          <cell r="U921" t="str">
            <v>MENA_UAE_FC</v>
          </cell>
          <cell r="V921">
            <v>46257.332638888889</v>
          </cell>
          <cell r="W921">
            <v>46257.747916666667</v>
          </cell>
          <cell r="X921">
            <v>46257.333333333336</v>
          </cell>
          <cell r="Y921">
            <v>46257.75</v>
          </cell>
          <cell r="AA921" t="str">
            <v>Scheduled</v>
          </cell>
          <cell r="AB921" t="str">
            <v>Present</v>
          </cell>
          <cell r="AC921" t="str">
            <v>ICQA</v>
          </cell>
          <cell r="AD921" t="str">
            <v>IC/QA/CS</v>
          </cell>
          <cell r="AE921" t="str">
            <v>Support</v>
          </cell>
          <cell r="AF921" t="str">
            <v>Monday</v>
          </cell>
          <cell r="AG921" t="str">
            <v>Tuesday</v>
          </cell>
          <cell r="AH921">
            <v>27</v>
          </cell>
          <cell r="AJ921">
            <v>45914</v>
          </cell>
          <cell r="AM921" t="str">
            <v>TEMP</v>
          </cell>
          <cell r="AN921" t="str">
            <v>3P Onsite Worker</v>
          </cell>
          <cell r="AO921" t="str">
            <v>A</v>
          </cell>
          <cell r="AP921">
            <v>9</v>
          </cell>
          <cell r="AQ921">
            <v>0</v>
          </cell>
          <cell r="AR921">
            <v>1</v>
          </cell>
          <cell r="AS921">
            <v>1</v>
          </cell>
          <cell r="AT921">
            <v>0</v>
          </cell>
          <cell r="AU921">
            <v>0</v>
          </cell>
        </row>
        <row r="922">
          <cell r="D922" t="str">
            <v>rokrumon</v>
          </cell>
          <cell r="E922">
            <v>205997633</v>
          </cell>
          <cell r="F922" t="str">
            <v>A</v>
          </cell>
          <cell r="G922" t="str">
            <v>GREEN</v>
          </cell>
          <cell r="H922" t="str">
            <v>FULL_TIME</v>
          </cell>
          <cell r="I922">
            <v>900234</v>
          </cell>
          <cell r="J922" t="str">
            <v>Fastlink Outsourcing</v>
          </cell>
          <cell r="K922" t="str">
            <v>MONIKA OKRU</v>
          </cell>
          <cell r="L922" t="str">
            <v>Warehouse Associate (TEMP)</v>
          </cell>
          <cell r="M922" t="str">
            <v>Warehouse Associate 12M</v>
          </cell>
          <cell r="N922" t="str">
            <v>lraghava</v>
          </cell>
          <cell r="O922">
            <v>1299</v>
          </cell>
          <cell r="P922" t="str">
            <v>AUH1</v>
          </cell>
          <cell r="Q922" t="str">
            <v>ARE</v>
          </cell>
          <cell r="R922" t="str">
            <v>LK017</v>
          </cell>
          <cell r="S922" t="str">
            <v>Night Shift</v>
          </cell>
          <cell r="T922">
            <v>99</v>
          </cell>
          <cell r="U922" t="str">
            <v>MENA_UAE_FC</v>
          </cell>
          <cell r="V922">
            <v>46257.756249999999</v>
          </cell>
          <cell r="X922">
            <v>46257.756944444445</v>
          </cell>
          <cell r="Y922">
            <v>46258.173611111109</v>
          </cell>
          <cell r="AA922" t="str">
            <v>Scheduled</v>
          </cell>
          <cell r="AB922" t="str">
            <v>Present</v>
          </cell>
          <cell r="AC922" t="str">
            <v>Outbound</v>
          </cell>
          <cell r="AD922" t="str">
            <v>Picking</v>
          </cell>
          <cell r="AE922" t="str">
            <v>Pick</v>
          </cell>
          <cell r="AF922" t="str">
            <v>Thursday</v>
          </cell>
          <cell r="AG922" t="str">
            <v>Friday</v>
          </cell>
          <cell r="AH922">
            <v>13</v>
          </cell>
          <cell r="AJ922">
            <v>45914</v>
          </cell>
          <cell r="AM922" t="str">
            <v>TEMP</v>
          </cell>
          <cell r="AN922" t="str">
            <v>3P Onsite Worker</v>
          </cell>
          <cell r="AO922" t="str">
            <v>A</v>
          </cell>
          <cell r="AP922">
            <v>9</v>
          </cell>
          <cell r="AQ922">
            <v>0</v>
          </cell>
          <cell r="AR922">
            <v>1</v>
          </cell>
          <cell r="AS922">
            <v>1</v>
          </cell>
          <cell r="AT922">
            <v>0</v>
          </cell>
          <cell r="AU922">
            <v>0</v>
          </cell>
        </row>
        <row r="923">
          <cell r="D923" t="str">
            <v>ronalsse</v>
          </cell>
          <cell r="E923">
            <v>203850926</v>
          </cell>
          <cell r="F923" t="str">
            <v>A</v>
          </cell>
          <cell r="G923" t="str">
            <v>GREEN</v>
          </cell>
          <cell r="H923" t="str">
            <v>FULL_TIME</v>
          </cell>
          <cell r="I923">
            <v>900234</v>
          </cell>
          <cell r="J923" t="str">
            <v>Dulsco L.L.C.</v>
          </cell>
          <cell r="K923" t="str">
            <v>Ronald Ssebukyu</v>
          </cell>
          <cell r="L923" t="str">
            <v>Warehouse Associate (TEMP)</v>
          </cell>
          <cell r="M923" t="str">
            <v>Warehouse Associate 24M</v>
          </cell>
          <cell r="N923" t="str">
            <v>scariav</v>
          </cell>
          <cell r="O923">
            <v>1299</v>
          </cell>
          <cell r="P923" t="str">
            <v>AUH1</v>
          </cell>
          <cell r="Q923" t="str">
            <v>ARE</v>
          </cell>
          <cell r="R923" t="str">
            <v>FC084</v>
          </cell>
          <cell r="S923" t="str">
            <v>Day Shift</v>
          </cell>
          <cell r="T923">
            <v>99</v>
          </cell>
          <cell r="U923" t="str">
            <v>MENA_UAE_FC</v>
          </cell>
          <cell r="V923">
            <v>46257.330555555556</v>
          </cell>
          <cell r="W923">
            <v>46257.751388888886</v>
          </cell>
          <cell r="X923">
            <v>46257.333333333336</v>
          </cell>
          <cell r="Y923">
            <v>46257.75</v>
          </cell>
          <cell r="AA923" t="str">
            <v>Scheduled</v>
          </cell>
          <cell r="AB923" t="str">
            <v>Present</v>
          </cell>
          <cell r="AC923" t="str">
            <v>Outbound</v>
          </cell>
          <cell r="AD923" t="str">
            <v>Sort - Batch</v>
          </cell>
          <cell r="AE923" t="str">
            <v>Sort</v>
          </cell>
          <cell r="AF923" t="str">
            <v>Monday</v>
          </cell>
          <cell r="AG923" t="str">
            <v>Tuesday</v>
          </cell>
          <cell r="AH923">
            <v>15</v>
          </cell>
          <cell r="AJ923">
            <v>45523</v>
          </cell>
          <cell r="AM923" t="str">
            <v>TEMP</v>
          </cell>
          <cell r="AN923" t="str">
            <v>3P Onsite Worker</v>
          </cell>
          <cell r="AO923" t="str">
            <v>A</v>
          </cell>
          <cell r="AP923">
            <v>9</v>
          </cell>
          <cell r="AQ923">
            <v>0</v>
          </cell>
          <cell r="AR923">
            <v>1</v>
          </cell>
          <cell r="AS923">
            <v>1</v>
          </cell>
          <cell r="AT923">
            <v>0</v>
          </cell>
          <cell r="AU923">
            <v>0</v>
          </cell>
        </row>
        <row r="924">
          <cell r="D924" t="str">
            <v>rosadamu</v>
          </cell>
          <cell r="E924">
            <v>204869098</v>
          </cell>
          <cell r="F924" t="str">
            <v>A</v>
          </cell>
          <cell r="G924" t="str">
            <v>GREEN</v>
          </cell>
          <cell r="H924" t="str">
            <v>FULL_TIME</v>
          </cell>
          <cell r="I924">
            <v>900234</v>
          </cell>
          <cell r="J924" t="str">
            <v>Quesscorp</v>
          </cell>
          <cell r="K924" t="str">
            <v>Rose Adams</v>
          </cell>
          <cell r="L924" t="str">
            <v>Warehouse Associate (TEMP)</v>
          </cell>
          <cell r="M924" t="str">
            <v>Warehouse Associate 8W</v>
          </cell>
          <cell r="N924" t="str">
            <v>aanso</v>
          </cell>
          <cell r="O924">
            <v>1299</v>
          </cell>
          <cell r="P924" t="str">
            <v>AUH1</v>
          </cell>
          <cell r="Q924" t="str">
            <v>ARE</v>
          </cell>
          <cell r="R924" t="str">
            <v>LK011</v>
          </cell>
          <cell r="S924" t="str">
            <v>Night Shift</v>
          </cell>
          <cell r="T924">
            <v>99</v>
          </cell>
          <cell r="U924" t="str">
            <v>MENA_UAE_FC</v>
          </cell>
          <cell r="V924">
            <v>46257.756249999999</v>
          </cell>
          <cell r="X924">
            <v>46257.756944444445</v>
          </cell>
          <cell r="Y924">
            <v>46258.173611111109</v>
          </cell>
          <cell r="AA924" t="str">
            <v>Scheduled</v>
          </cell>
          <cell r="AB924" t="str">
            <v>Present</v>
          </cell>
          <cell r="AC924" t="str">
            <v>Customer returns</v>
          </cell>
          <cell r="AD924" t="str">
            <v>Customer Returns</v>
          </cell>
          <cell r="AE924" t="str">
            <v>Customer returns</v>
          </cell>
          <cell r="AF924" t="str">
            <v>Friday</v>
          </cell>
          <cell r="AG924" t="str">
            <v>Saturday</v>
          </cell>
          <cell r="AH924">
            <v>22</v>
          </cell>
          <cell r="AJ924">
            <v>45690</v>
          </cell>
          <cell r="AM924" t="str">
            <v>TEMP</v>
          </cell>
          <cell r="AN924" t="str">
            <v>3P Onsite Worker</v>
          </cell>
          <cell r="AO924" t="str">
            <v>A</v>
          </cell>
          <cell r="AP924">
            <v>9</v>
          </cell>
          <cell r="AQ924">
            <v>0</v>
          </cell>
          <cell r="AR924">
            <v>1</v>
          </cell>
          <cell r="AS924">
            <v>1</v>
          </cell>
          <cell r="AT924">
            <v>0</v>
          </cell>
          <cell r="AU924">
            <v>0</v>
          </cell>
        </row>
        <row r="925">
          <cell r="D925" t="str">
            <v>rosethea</v>
          </cell>
          <cell r="E925">
            <v>204246606</v>
          </cell>
          <cell r="F925" t="str">
            <v>A</v>
          </cell>
          <cell r="G925" t="str">
            <v>GREEN</v>
          </cell>
          <cell r="H925" t="str">
            <v>FULL_TIME</v>
          </cell>
          <cell r="I925">
            <v>900234</v>
          </cell>
          <cell r="J925" t="str">
            <v>Quesscorp</v>
          </cell>
          <cell r="K925" t="str">
            <v>Rose Thea</v>
          </cell>
          <cell r="L925" t="str">
            <v>Warehouse Associate (TEMP)</v>
          </cell>
          <cell r="M925" t="str">
            <v>Warehouse Associate 24M</v>
          </cell>
          <cell r="N925" t="str">
            <v>vkkatyal</v>
          </cell>
          <cell r="O925">
            <v>1299</v>
          </cell>
          <cell r="P925" t="str">
            <v>AUH1</v>
          </cell>
          <cell r="Q925" t="str">
            <v>ARE</v>
          </cell>
          <cell r="R925" t="str">
            <v>FC034</v>
          </cell>
          <cell r="S925" t="str">
            <v>Day Shift</v>
          </cell>
          <cell r="T925">
            <v>99</v>
          </cell>
          <cell r="U925" t="str">
            <v>MENA_UAE_FC</v>
          </cell>
          <cell r="X925">
            <v>46257.333333333336</v>
          </cell>
          <cell r="Y925">
            <v>46257.75</v>
          </cell>
          <cell r="Z925" t="str">
            <v>Rest Day</v>
          </cell>
          <cell r="AA925" t="str">
            <v>Not Scheduled</v>
          </cell>
          <cell r="AB925" t="str">
            <v>Not Present</v>
          </cell>
          <cell r="AC925" t="str">
            <v>Inbound</v>
          </cell>
          <cell r="AD925" t="str">
            <v>Inbound Stow</v>
          </cell>
          <cell r="AE925" t="str">
            <v>Stow</v>
          </cell>
          <cell r="AF925" t="str">
            <v>Saturday</v>
          </cell>
          <cell r="AG925" t="str">
            <v>Sunday</v>
          </cell>
          <cell r="AH925">
            <v>3</v>
          </cell>
          <cell r="AJ925">
            <v>45578</v>
          </cell>
          <cell r="AM925" t="str">
            <v>TEMP</v>
          </cell>
          <cell r="AN925" t="str">
            <v>3P Onsite Worker</v>
          </cell>
          <cell r="AO925" t="str">
            <v>A</v>
          </cell>
          <cell r="AP925">
            <v>9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</row>
        <row r="926">
          <cell r="D926" t="str">
            <v>roycshub</v>
          </cell>
          <cell r="E926">
            <v>203964990</v>
          </cell>
          <cell r="F926" t="str">
            <v>A</v>
          </cell>
          <cell r="G926" t="str">
            <v>GREEN</v>
          </cell>
          <cell r="H926" t="str">
            <v>FULL_TIME</v>
          </cell>
          <cell r="I926">
            <v>900234</v>
          </cell>
          <cell r="J926" t="str">
            <v>Adecco</v>
          </cell>
          <cell r="K926" t="str">
            <v>Shubhadeep Roy</v>
          </cell>
          <cell r="L926" t="str">
            <v>Warehouse Associate (TEMP)</v>
          </cell>
          <cell r="M926" t="str">
            <v>Warehouse Associate 24M</v>
          </cell>
          <cell r="N926" t="str">
            <v>ansammar</v>
          </cell>
          <cell r="O926">
            <v>1299</v>
          </cell>
          <cell r="P926" t="str">
            <v>AUH1</v>
          </cell>
          <cell r="Q926" t="str">
            <v>ARE</v>
          </cell>
          <cell r="R926" t="str">
            <v>FC059</v>
          </cell>
          <cell r="S926" t="str">
            <v>Day Shift</v>
          </cell>
          <cell r="T926">
            <v>99</v>
          </cell>
          <cell r="U926" t="str">
            <v>MENA_UAE_FC</v>
          </cell>
          <cell r="V926">
            <v>46257.331250000003</v>
          </cell>
          <cell r="W926">
            <v>46257.75</v>
          </cell>
          <cell r="X926">
            <v>46257.333333333336</v>
          </cell>
          <cell r="Y926">
            <v>46257.75</v>
          </cell>
          <cell r="Z926" t="str">
            <v>Rest Day</v>
          </cell>
          <cell r="AA926" t="str">
            <v>Not Scheduled</v>
          </cell>
          <cell r="AB926" t="str">
            <v>Present</v>
          </cell>
          <cell r="AC926" t="str">
            <v>Outbound</v>
          </cell>
          <cell r="AD926" t="str">
            <v>Picking</v>
          </cell>
          <cell r="AE926" t="str">
            <v>Pick</v>
          </cell>
          <cell r="AF926" t="str">
            <v>Sunday</v>
          </cell>
          <cell r="AG926" t="str">
            <v>Monday</v>
          </cell>
          <cell r="AH926">
            <v>13</v>
          </cell>
          <cell r="AJ926">
            <v>45543</v>
          </cell>
          <cell r="AM926" t="str">
            <v>TEMP</v>
          </cell>
          <cell r="AN926" t="str">
            <v>3P Onsite Worker</v>
          </cell>
          <cell r="AO926" t="str">
            <v>A</v>
          </cell>
          <cell r="AP926">
            <v>9</v>
          </cell>
          <cell r="AQ926">
            <v>1</v>
          </cell>
          <cell r="AR926">
            <v>1</v>
          </cell>
          <cell r="AS926">
            <v>0</v>
          </cell>
          <cell r="AT926">
            <v>0</v>
          </cell>
          <cell r="AU926">
            <v>0</v>
          </cell>
        </row>
        <row r="927">
          <cell r="D927" t="str">
            <v>rpnahabw</v>
          </cell>
          <cell r="E927">
            <v>206953813</v>
          </cell>
          <cell r="F927" t="str">
            <v>A</v>
          </cell>
          <cell r="G927" t="str">
            <v>GREEN</v>
          </cell>
          <cell r="H927" t="str">
            <v>FULL_TIME</v>
          </cell>
          <cell r="I927">
            <v>900234</v>
          </cell>
          <cell r="J927" t="str">
            <v>Dulsco L.L.C.</v>
          </cell>
          <cell r="K927" t="str">
            <v>NAHABWE RODGERS</v>
          </cell>
          <cell r="L927" t="str">
            <v>Warehouse Associate (TEMP)</v>
          </cell>
          <cell r="M927" t="str">
            <v>Warehouse Associate 24M</v>
          </cell>
          <cell r="N927" t="str">
            <v>nnahla</v>
          </cell>
          <cell r="O927">
            <v>1299</v>
          </cell>
          <cell r="P927" t="str">
            <v>AUH1</v>
          </cell>
          <cell r="Q927" t="str">
            <v>ARE</v>
          </cell>
          <cell r="R927" t="str">
            <v>LK013</v>
          </cell>
          <cell r="S927" t="str">
            <v>Night Shift</v>
          </cell>
          <cell r="T927">
            <v>99</v>
          </cell>
          <cell r="U927" t="str">
            <v>MENA_UAE_FC</v>
          </cell>
          <cell r="X927">
            <v>46257.756944444445</v>
          </cell>
          <cell r="Y927">
            <v>46258.173611111109</v>
          </cell>
          <cell r="Z927" t="str">
            <v>Rest Day</v>
          </cell>
          <cell r="AA927" t="str">
            <v>Not Scheduled</v>
          </cell>
          <cell r="AB927" t="str">
            <v>Not Present</v>
          </cell>
          <cell r="AC927" t="str">
            <v>Inbound</v>
          </cell>
          <cell r="AD927" t="str">
            <v>Inbound Stow</v>
          </cell>
          <cell r="AE927" t="str">
            <v>Stow</v>
          </cell>
          <cell r="AF927" t="str">
            <v>Sunday</v>
          </cell>
          <cell r="AG927" t="str">
            <v>Monday</v>
          </cell>
          <cell r="AH927">
            <v>3</v>
          </cell>
          <cell r="AJ927">
            <v>46049</v>
          </cell>
          <cell r="AM927" t="str">
            <v>TEMP</v>
          </cell>
          <cell r="AN927" t="str">
            <v>3P Onsite Worker</v>
          </cell>
          <cell r="AO927" t="str">
            <v>A</v>
          </cell>
          <cell r="AP927">
            <v>9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</row>
        <row r="928">
          <cell r="D928" t="str">
            <v>rseremda</v>
          </cell>
          <cell r="E928">
            <v>205852634</v>
          </cell>
          <cell r="F928" t="str">
            <v>A</v>
          </cell>
          <cell r="G928" t="str">
            <v>GREEN</v>
          </cell>
          <cell r="H928" t="str">
            <v>REDUCED</v>
          </cell>
          <cell r="I928">
            <v>900234</v>
          </cell>
          <cell r="J928" t="str">
            <v>EFS Facilities Services</v>
          </cell>
          <cell r="K928" t="str">
            <v>DAISY CHEPKEMBOI SEREM</v>
          </cell>
          <cell r="L928" t="str">
            <v>Warehouse Associate (TEMP)</v>
          </cell>
          <cell r="M928" t="str">
            <v>Warehouse Associate 8W</v>
          </cell>
          <cell r="N928" t="str">
            <v>scariav</v>
          </cell>
          <cell r="O928">
            <v>1299</v>
          </cell>
          <cell r="P928" t="str">
            <v>AUH1</v>
          </cell>
          <cell r="Q928" t="str">
            <v>ARE</v>
          </cell>
          <cell r="R928" t="str">
            <v>FC552</v>
          </cell>
          <cell r="S928" t="str">
            <v>Night Shift</v>
          </cell>
          <cell r="T928">
            <v>99</v>
          </cell>
          <cell r="U928" t="str">
            <v>MENA_UAE_FC</v>
          </cell>
          <cell r="V928">
            <v>46257.754861111112</v>
          </cell>
          <cell r="X928">
            <v>46257.756944444445</v>
          </cell>
          <cell r="Y928">
            <v>46258.090277777781</v>
          </cell>
          <cell r="AA928" t="str">
            <v>Scheduled</v>
          </cell>
          <cell r="AB928" t="str">
            <v>Present</v>
          </cell>
          <cell r="AC928" t="str">
            <v>Outbound</v>
          </cell>
          <cell r="AD928" t="str">
            <v>Picking</v>
          </cell>
          <cell r="AE928" t="str">
            <v>Pick</v>
          </cell>
          <cell r="AF928" t="str">
            <v>Friday</v>
          </cell>
          <cell r="AG928" t="str">
            <v>Saturday</v>
          </cell>
          <cell r="AH928">
            <v>13</v>
          </cell>
          <cell r="AJ928">
            <v>46251</v>
          </cell>
          <cell r="AM928" t="str">
            <v>TEMP</v>
          </cell>
          <cell r="AN928" t="str">
            <v>3P Onsite Worker</v>
          </cell>
          <cell r="AO928" t="str">
            <v>A</v>
          </cell>
          <cell r="AP928">
            <v>7</v>
          </cell>
          <cell r="AQ928">
            <v>0</v>
          </cell>
          <cell r="AR928">
            <v>1</v>
          </cell>
          <cell r="AS928">
            <v>1</v>
          </cell>
          <cell r="AT928">
            <v>0</v>
          </cell>
          <cell r="AU928">
            <v>0</v>
          </cell>
        </row>
        <row r="929">
          <cell r="D929" t="str">
            <v>rssemand</v>
          </cell>
          <cell r="E929">
            <v>203850923</v>
          </cell>
          <cell r="F929" t="str">
            <v>A</v>
          </cell>
          <cell r="G929" t="str">
            <v>GREEN</v>
          </cell>
          <cell r="H929" t="str">
            <v>FULL_TIME</v>
          </cell>
          <cell r="I929">
            <v>900234</v>
          </cell>
          <cell r="J929" t="str">
            <v>Dulsco L.L.C.</v>
          </cell>
          <cell r="K929" t="str">
            <v>Ronald Ssemanda</v>
          </cell>
          <cell r="L929" t="str">
            <v>Warehouse Associate (TEMP)</v>
          </cell>
          <cell r="M929" t="str">
            <v>Warehouse Associate 24M</v>
          </cell>
          <cell r="N929" t="str">
            <v>scariav</v>
          </cell>
          <cell r="O929">
            <v>1299</v>
          </cell>
          <cell r="P929" t="str">
            <v>AUH1</v>
          </cell>
          <cell r="Q929" t="str">
            <v>ARE</v>
          </cell>
          <cell r="R929" t="str">
            <v>LK016</v>
          </cell>
          <cell r="S929" t="str">
            <v>Night Shift</v>
          </cell>
          <cell r="T929">
            <v>99</v>
          </cell>
          <cell r="U929" t="str">
            <v>MENA_UAE_FC</v>
          </cell>
          <cell r="V929">
            <v>46257.756944444445</v>
          </cell>
          <cell r="X929">
            <v>46257.756944444445</v>
          </cell>
          <cell r="Y929">
            <v>46258.173611111109</v>
          </cell>
          <cell r="AA929" t="str">
            <v>Scheduled</v>
          </cell>
          <cell r="AB929" t="str">
            <v>Present</v>
          </cell>
          <cell r="AC929" t="str">
            <v>Outbound</v>
          </cell>
          <cell r="AD929" t="str">
            <v>Sort - Batch</v>
          </cell>
          <cell r="AE929" t="str">
            <v>Sort</v>
          </cell>
          <cell r="AF929" t="str">
            <v>Wednesday</v>
          </cell>
          <cell r="AG929" t="str">
            <v>Thursday</v>
          </cell>
          <cell r="AH929">
            <v>15</v>
          </cell>
          <cell r="AJ929">
            <v>45523</v>
          </cell>
          <cell r="AM929" t="str">
            <v>TEMP</v>
          </cell>
          <cell r="AN929" t="str">
            <v>3P Onsite Worker</v>
          </cell>
          <cell r="AO929" t="str">
            <v>A</v>
          </cell>
          <cell r="AP929">
            <v>9</v>
          </cell>
          <cell r="AQ929">
            <v>0</v>
          </cell>
          <cell r="AR929">
            <v>1</v>
          </cell>
          <cell r="AS929">
            <v>1</v>
          </cell>
          <cell r="AT929">
            <v>0</v>
          </cell>
          <cell r="AU929">
            <v>0</v>
          </cell>
        </row>
        <row r="930">
          <cell r="D930" t="str">
            <v>rtinoten</v>
          </cell>
          <cell r="E930">
            <v>206129597</v>
          </cell>
          <cell r="F930" t="str">
            <v>A</v>
          </cell>
          <cell r="G930" t="str">
            <v>GREEN</v>
          </cell>
          <cell r="H930" t="str">
            <v>FULL_TIME</v>
          </cell>
          <cell r="I930">
            <v>900234</v>
          </cell>
          <cell r="J930" t="str">
            <v>Fastlink Outsourcing</v>
          </cell>
          <cell r="K930" t="str">
            <v>Ralph Tinotenda Maindidze</v>
          </cell>
          <cell r="L930" t="str">
            <v>Warehouse Associate (TEMP)</v>
          </cell>
          <cell r="M930" t="str">
            <v>Warehouse Associate 12M</v>
          </cell>
          <cell r="N930" t="str">
            <v>ansammar</v>
          </cell>
          <cell r="O930">
            <v>1299</v>
          </cell>
          <cell r="P930" t="str">
            <v>AUH1</v>
          </cell>
          <cell r="Q930" t="str">
            <v>ARE</v>
          </cell>
          <cell r="R930" t="str">
            <v>FC109</v>
          </cell>
          <cell r="S930" t="str">
            <v>Day Shift</v>
          </cell>
          <cell r="T930">
            <v>99</v>
          </cell>
          <cell r="U930" t="str">
            <v>MENA_UAE_FC</v>
          </cell>
          <cell r="V930">
            <v>46257.337500000001</v>
          </cell>
          <cell r="W930">
            <v>46257.749305555553</v>
          </cell>
          <cell r="X930">
            <v>46257.333333333336</v>
          </cell>
          <cell r="Y930">
            <v>46257.75</v>
          </cell>
          <cell r="AA930" t="str">
            <v>Scheduled</v>
          </cell>
          <cell r="AB930" t="str">
            <v>Present</v>
          </cell>
          <cell r="AC930" t="str">
            <v>Outbound</v>
          </cell>
          <cell r="AD930" t="str">
            <v>Picking</v>
          </cell>
          <cell r="AE930" t="str">
            <v>Pick</v>
          </cell>
          <cell r="AF930" t="str">
            <v>Tuesday</v>
          </cell>
          <cell r="AG930" t="str">
            <v>Wednesday</v>
          </cell>
          <cell r="AH930">
            <v>13</v>
          </cell>
          <cell r="AJ930">
            <v>45928</v>
          </cell>
          <cell r="AM930" t="str">
            <v>TEMP</v>
          </cell>
          <cell r="AN930" t="str">
            <v>3P Onsite Worker</v>
          </cell>
          <cell r="AO930" t="str">
            <v>A</v>
          </cell>
          <cell r="AP930">
            <v>9</v>
          </cell>
          <cell r="AQ930">
            <v>0</v>
          </cell>
          <cell r="AR930">
            <v>1</v>
          </cell>
          <cell r="AS930">
            <v>1</v>
          </cell>
          <cell r="AT930">
            <v>0</v>
          </cell>
          <cell r="AU930">
            <v>0</v>
          </cell>
        </row>
        <row r="931">
          <cell r="D931" t="str">
            <v>rumauree</v>
          </cell>
          <cell r="E931">
            <v>205853581</v>
          </cell>
          <cell r="F931" t="str">
            <v>A</v>
          </cell>
          <cell r="G931" t="str">
            <v>GREEN</v>
          </cell>
          <cell r="H931" t="str">
            <v>FULL_TIME</v>
          </cell>
          <cell r="I931">
            <v>900234</v>
          </cell>
          <cell r="J931" t="str">
            <v>EFS Facilities Services</v>
          </cell>
          <cell r="K931" t="str">
            <v>MAUREEN JEPCHUMBA RUTTO</v>
          </cell>
          <cell r="L931" t="str">
            <v>Warehouse Associate (TEMP)</v>
          </cell>
          <cell r="M931" t="str">
            <v>Warehouse Associate 12M</v>
          </cell>
          <cell r="N931" t="str">
            <v>mnarshad</v>
          </cell>
          <cell r="O931">
            <v>1299</v>
          </cell>
          <cell r="P931" t="str">
            <v>AUH1</v>
          </cell>
          <cell r="Q931" t="str">
            <v>ARE</v>
          </cell>
          <cell r="R931" t="str">
            <v>LK016</v>
          </cell>
          <cell r="S931" t="str">
            <v>Night Shift</v>
          </cell>
          <cell r="T931">
            <v>99</v>
          </cell>
          <cell r="U931" t="str">
            <v>MENA_UAE_FC</v>
          </cell>
          <cell r="V931">
            <v>46257.756944444445</v>
          </cell>
          <cell r="X931">
            <v>46257.756944444445</v>
          </cell>
          <cell r="Y931">
            <v>46258.173611111109</v>
          </cell>
          <cell r="AA931" t="str">
            <v>Scheduled</v>
          </cell>
          <cell r="AB931" t="str">
            <v>Present</v>
          </cell>
          <cell r="AC931" t="str">
            <v>Outbound</v>
          </cell>
          <cell r="AD931" t="str">
            <v>Picking</v>
          </cell>
          <cell r="AE931" t="str">
            <v>Pick</v>
          </cell>
          <cell r="AF931" t="str">
            <v>Wednesday</v>
          </cell>
          <cell r="AG931" t="str">
            <v>Thursday</v>
          </cell>
          <cell r="AH931">
            <v>13</v>
          </cell>
          <cell r="AJ931">
            <v>45893</v>
          </cell>
          <cell r="AM931" t="str">
            <v>TEMP</v>
          </cell>
          <cell r="AN931" t="str">
            <v>3P Onsite Worker</v>
          </cell>
          <cell r="AO931" t="str">
            <v>A</v>
          </cell>
          <cell r="AP931">
            <v>9</v>
          </cell>
          <cell r="AQ931">
            <v>0</v>
          </cell>
          <cell r="AR931">
            <v>1</v>
          </cell>
          <cell r="AS931">
            <v>1</v>
          </cell>
          <cell r="AT931">
            <v>0</v>
          </cell>
          <cell r="AU931">
            <v>0</v>
          </cell>
        </row>
        <row r="932">
          <cell r="D932" t="str">
            <v>rustukhs</v>
          </cell>
          <cell r="E932">
            <v>204052506</v>
          </cell>
          <cell r="F932" t="str">
            <v>A</v>
          </cell>
          <cell r="G932" t="str">
            <v>GREEN</v>
          </cell>
          <cell r="H932" t="str">
            <v>FULL_TIME</v>
          </cell>
          <cell r="I932">
            <v>900234</v>
          </cell>
          <cell r="J932" t="str">
            <v>Adecco</v>
          </cell>
          <cell r="K932" t="str">
            <v>Rustum Khan</v>
          </cell>
          <cell r="L932" t="str">
            <v>Warehouse Associate (TEMP)</v>
          </cell>
          <cell r="M932" t="str">
            <v>Warehouse Associate 24M</v>
          </cell>
          <cell r="N932" t="str">
            <v>scariav</v>
          </cell>
          <cell r="O932">
            <v>1299</v>
          </cell>
          <cell r="P932" t="str">
            <v>AUH1</v>
          </cell>
          <cell r="Q932" t="str">
            <v>ARE</v>
          </cell>
          <cell r="R932" t="str">
            <v>LK011</v>
          </cell>
          <cell r="S932" t="str">
            <v>Night Shift</v>
          </cell>
          <cell r="T932">
            <v>99</v>
          </cell>
          <cell r="U932" t="str">
            <v>MENA_UAE_FC</v>
          </cell>
          <cell r="V932">
            <v>46257.755555555559</v>
          </cell>
          <cell r="X932">
            <v>46257.756944444445</v>
          </cell>
          <cell r="Y932">
            <v>46258.173611111109</v>
          </cell>
          <cell r="AA932" t="str">
            <v>Scheduled</v>
          </cell>
          <cell r="AB932" t="str">
            <v>Present</v>
          </cell>
          <cell r="AC932" t="str">
            <v>Outbound</v>
          </cell>
          <cell r="AD932" t="str">
            <v>Picking</v>
          </cell>
          <cell r="AE932" t="str">
            <v>Pick</v>
          </cell>
          <cell r="AF932" t="str">
            <v>Friday</v>
          </cell>
          <cell r="AG932" t="str">
            <v>Saturday</v>
          </cell>
          <cell r="AH932">
            <v>13</v>
          </cell>
          <cell r="AJ932">
            <v>45560</v>
          </cell>
          <cell r="AM932" t="str">
            <v>TEMP</v>
          </cell>
          <cell r="AN932" t="str">
            <v>3P Onsite Worker</v>
          </cell>
          <cell r="AO932" t="str">
            <v>A</v>
          </cell>
          <cell r="AP932">
            <v>9</v>
          </cell>
          <cell r="AQ932">
            <v>0</v>
          </cell>
          <cell r="AR932">
            <v>1</v>
          </cell>
          <cell r="AS932">
            <v>1</v>
          </cell>
          <cell r="AT932">
            <v>0</v>
          </cell>
          <cell r="AU932">
            <v>0</v>
          </cell>
        </row>
        <row r="933">
          <cell r="D933" t="str">
            <v>rutenmat</v>
          </cell>
          <cell r="E933">
            <v>204094496</v>
          </cell>
          <cell r="F933" t="str">
            <v>A</v>
          </cell>
          <cell r="G933" t="str">
            <v>GREEN</v>
          </cell>
          <cell r="H933" t="str">
            <v>FULL_TIME</v>
          </cell>
          <cell r="I933">
            <v>900234</v>
          </cell>
          <cell r="J933" t="str">
            <v>Quesscorp</v>
          </cell>
          <cell r="K933" t="str">
            <v>Rutendo Beaulla Mateyo</v>
          </cell>
          <cell r="L933" t="str">
            <v>Warehouse Associate (TEMP)</v>
          </cell>
          <cell r="M933" t="str">
            <v>Warehouse Associate 24M</v>
          </cell>
          <cell r="N933" t="str">
            <v>ansammar</v>
          </cell>
          <cell r="O933">
            <v>1299</v>
          </cell>
          <cell r="P933" t="str">
            <v>AUH1</v>
          </cell>
          <cell r="Q933" t="str">
            <v>ARE</v>
          </cell>
          <cell r="R933" t="str">
            <v>LK015</v>
          </cell>
          <cell r="S933" t="str">
            <v>Night Shift</v>
          </cell>
          <cell r="T933">
            <v>99</v>
          </cell>
          <cell r="U933" t="str">
            <v>MENA_UAE_FC</v>
          </cell>
          <cell r="V933">
            <v>46257.755555555559</v>
          </cell>
          <cell r="X933">
            <v>46257.756944444445</v>
          </cell>
          <cell r="Y933">
            <v>46258.173611111109</v>
          </cell>
          <cell r="AA933" t="str">
            <v>Scheduled</v>
          </cell>
          <cell r="AB933" t="str">
            <v>Present</v>
          </cell>
          <cell r="AC933" t="str">
            <v>Outbound</v>
          </cell>
          <cell r="AD933" t="str">
            <v>Picking</v>
          </cell>
          <cell r="AE933" t="str">
            <v>Pick</v>
          </cell>
          <cell r="AF933" t="str">
            <v>Tuesday</v>
          </cell>
          <cell r="AG933" t="str">
            <v>Wednesday</v>
          </cell>
          <cell r="AH933">
            <v>13</v>
          </cell>
          <cell r="AJ933">
            <v>45560</v>
          </cell>
          <cell r="AM933" t="str">
            <v>TEMP</v>
          </cell>
          <cell r="AN933" t="str">
            <v>3P Onsite Worker</v>
          </cell>
          <cell r="AO933" t="str">
            <v>A</v>
          </cell>
          <cell r="AP933">
            <v>9</v>
          </cell>
          <cell r="AQ933">
            <v>0</v>
          </cell>
          <cell r="AR933">
            <v>1</v>
          </cell>
          <cell r="AS933">
            <v>1</v>
          </cell>
          <cell r="AT933">
            <v>0</v>
          </cell>
          <cell r="AU933">
            <v>0</v>
          </cell>
        </row>
        <row r="934">
          <cell r="D934" t="str">
            <v>ruteshun</v>
          </cell>
          <cell r="E934">
            <v>203679326</v>
          </cell>
          <cell r="F934" t="str">
            <v>A</v>
          </cell>
          <cell r="G934" t="str">
            <v>GREEN</v>
          </cell>
          <cell r="H934" t="str">
            <v>FULL_TIME</v>
          </cell>
          <cell r="I934">
            <v>900234</v>
          </cell>
          <cell r="J934" t="str">
            <v>Fastlink Outsourcing</v>
          </cell>
          <cell r="K934" t="str">
            <v>Ruth Eshun</v>
          </cell>
          <cell r="L934" t="str">
            <v>Warehouse Associate (TEMP)</v>
          </cell>
          <cell r="M934" t="str">
            <v>Warehouse Associate 12M</v>
          </cell>
          <cell r="N934" t="str">
            <v>bavameer</v>
          </cell>
          <cell r="O934">
            <v>1299</v>
          </cell>
          <cell r="P934" t="str">
            <v>AUH1</v>
          </cell>
          <cell r="Q934" t="str">
            <v>ARE</v>
          </cell>
          <cell r="R934" t="str">
            <v>FC034</v>
          </cell>
          <cell r="S934" t="str">
            <v>Day Shift</v>
          </cell>
          <cell r="T934">
            <v>99</v>
          </cell>
          <cell r="U934" t="str">
            <v>MENA_UAE_FC</v>
          </cell>
          <cell r="X934">
            <v>46257.333333333336</v>
          </cell>
          <cell r="Y934">
            <v>46257.75</v>
          </cell>
          <cell r="Z934" t="str">
            <v>Rest Day</v>
          </cell>
          <cell r="AA934" t="str">
            <v>Not Scheduled</v>
          </cell>
          <cell r="AB934" t="str">
            <v>Not Present</v>
          </cell>
          <cell r="AC934" t="str">
            <v>Customer returns</v>
          </cell>
          <cell r="AD934" t="str">
            <v>Customer Returns</v>
          </cell>
          <cell r="AE934" t="str">
            <v>Customer returns</v>
          </cell>
          <cell r="AF934" t="str">
            <v>Saturday</v>
          </cell>
          <cell r="AG934" t="str">
            <v>Sunday</v>
          </cell>
          <cell r="AH934">
            <v>22</v>
          </cell>
          <cell r="AJ934">
            <v>45487</v>
          </cell>
          <cell r="AM934" t="str">
            <v>TEMP</v>
          </cell>
          <cell r="AN934" t="str">
            <v>3P Onsite Worker</v>
          </cell>
          <cell r="AO934" t="str">
            <v>A</v>
          </cell>
          <cell r="AP934">
            <v>9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</row>
        <row r="935">
          <cell r="D935" t="str">
            <v>rutjepke</v>
          </cell>
          <cell r="E935">
            <v>206886512</v>
          </cell>
          <cell r="F935" t="str">
            <v>A</v>
          </cell>
          <cell r="G935" t="str">
            <v>GREEN</v>
          </cell>
          <cell r="H935" t="str">
            <v>FULL_TIME</v>
          </cell>
          <cell r="I935">
            <v>900234</v>
          </cell>
          <cell r="J935" t="str">
            <v>EFS Facilities Services</v>
          </cell>
          <cell r="K935" t="str">
            <v>RUTH JEPKEMBOI</v>
          </cell>
          <cell r="L935" t="str">
            <v>Warehouse Associate (TEMP)</v>
          </cell>
          <cell r="M935" t="str">
            <v>Warehouse Associate 8W</v>
          </cell>
          <cell r="N935" t="str">
            <v>vkkatyal</v>
          </cell>
          <cell r="O935">
            <v>1299</v>
          </cell>
          <cell r="P935" t="str">
            <v>AUH1</v>
          </cell>
          <cell r="Q935" t="str">
            <v>ARE</v>
          </cell>
          <cell r="R935" t="str">
            <v>FC109</v>
          </cell>
          <cell r="S935" t="str">
            <v>Day Shift</v>
          </cell>
          <cell r="T935">
            <v>99</v>
          </cell>
          <cell r="U935" t="str">
            <v>MENA_UAE_FC</v>
          </cell>
          <cell r="V935">
            <v>46257.331250000003</v>
          </cell>
          <cell r="W935">
            <v>46257.747916666667</v>
          </cell>
          <cell r="X935">
            <v>46257.333333333336</v>
          </cell>
          <cell r="Y935">
            <v>46257.75</v>
          </cell>
          <cell r="AA935" t="str">
            <v>Scheduled</v>
          </cell>
          <cell r="AB935" t="str">
            <v>Present</v>
          </cell>
          <cell r="AC935" t="str">
            <v>Outbound</v>
          </cell>
          <cell r="AD935" t="str">
            <v>Picking</v>
          </cell>
          <cell r="AE935" t="str">
            <v>Pick</v>
          </cell>
          <cell r="AF935" t="str">
            <v>Tuesday</v>
          </cell>
          <cell r="AG935" t="str">
            <v>Wednesday</v>
          </cell>
          <cell r="AH935">
            <v>13</v>
          </cell>
          <cell r="AJ935">
            <v>46026</v>
          </cell>
          <cell r="AM935" t="str">
            <v>TEMP</v>
          </cell>
          <cell r="AN935" t="str">
            <v>3P Onsite Worker</v>
          </cell>
          <cell r="AO935" t="str">
            <v>A</v>
          </cell>
          <cell r="AP935">
            <v>9</v>
          </cell>
          <cell r="AQ935">
            <v>0</v>
          </cell>
          <cell r="AR935">
            <v>1</v>
          </cell>
          <cell r="AS935">
            <v>1</v>
          </cell>
          <cell r="AT935">
            <v>0</v>
          </cell>
          <cell r="AU935">
            <v>0</v>
          </cell>
        </row>
        <row r="936">
          <cell r="D936" t="str">
            <v>rveetil</v>
          </cell>
          <cell r="E936">
            <v>102207652</v>
          </cell>
          <cell r="F936" t="str">
            <v>A</v>
          </cell>
          <cell r="G936" t="str">
            <v>BLUE</v>
          </cell>
          <cell r="H936" t="str">
            <v>FULL_TIME</v>
          </cell>
          <cell r="I936" t="str">
            <v>P03251</v>
          </cell>
          <cell r="K936" t="str">
            <v>Rafeek Theruvathveettil</v>
          </cell>
          <cell r="L936" t="str">
            <v>FC Associate I</v>
          </cell>
          <cell r="M936" t="str">
            <v>FC Associate I</v>
          </cell>
          <cell r="N936" t="str">
            <v>aanso</v>
          </cell>
          <cell r="O936">
            <v>1299</v>
          </cell>
          <cell r="P936" t="str">
            <v>AUH1</v>
          </cell>
          <cell r="Q936" t="str">
            <v>ARE</v>
          </cell>
          <cell r="R936" t="str">
            <v>LK017</v>
          </cell>
          <cell r="S936" t="str">
            <v>Night Shift</v>
          </cell>
          <cell r="T936">
            <v>1</v>
          </cell>
          <cell r="U936" t="str">
            <v>MENA_UAE_FC</v>
          </cell>
          <cell r="V936">
            <v>46257.754166666666</v>
          </cell>
          <cell r="X936">
            <v>46257.756944444445</v>
          </cell>
          <cell r="Y936">
            <v>46258.173611111109</v>
          </cell>
          <cell r="AA936" t="str">
            <v>Scheduled</v>
          </cell>
          <cell r="AB936" t="str">
            <v>Present</v>
          </cell>
          <cell r="AC936" t="str">
            <v>Customer returns</v>
          </cell>
          <cell r="AD936" t="str">
            <v>Customer Returns</v>
          </cell>
          <cell r="AE936" t="str">
            <v>Customer returns</v>
          </cell>
          <cell r="AF936" t="str">
            <v>Thursday</v>
          </cell>
          <cell r="AG936" t="str">
            <v>Friday</v>
          </cell>
          <cell r="AH936">
            <v>22</v>
          </cell>
          <cell r="AJ936">
            <v>42867</v>
          </cell>
          <cell r="AM936" t="str">
            <v>FC</v>
          </cell>
          <cell r="AN936" t="str">
            <v>Regular Full Time</v>
          </cell>
          <cell r="AO936" t="str">
            <v>A</v>
          </cell>
          <cell r="AP936">
            <v>9</v>
          </cell>
          <cell r="AQ936">
            <v>0</v>
          </cell>
          <cell r="AR936">
            <v>1</v>
          </cell>
          <cell r="AS936">
            <v>1</v>
          </cell>
          <cell r="AT936">
            <v>0</v>
          </cell>
          <cell r="AU936">
            <v>0</v>
          </cell>
        </row>
        <row r="937">
          <cell r="D937" t="str">
            <v>rzcolema</v>
          </cell>
          <cell r="E937">
            <v>205227534</v>
          </cell>
          <cell r="F937" t="str">
            <v>A</v>
          </cell>
          <cell r="G937" t="str">
            <v>GREEN</v>
          </cell>
          <cell r="H937" t="str">
            <v>FULL_TIME</v>
          </cell>
          <cell r="I937">
            <v>900234</v>
          </cell>
          <cell r="J937" t="str">
            <v>Dulsco L.L.C.</v>
          </cell>
          <cell r="K937" t="str">
            <v>ROBERT COLEMAN</v>
          </cell>
          <cell r="L937" t="str">
            <v>Warehouse Associate (TEMP)</v>
          </cell>
          <cell r="M937" t="str">
            <v>Warehouse Associate 8W</v>
          </cell>
          <cell r="N937" t="str">
            <v>mnarshad</v>
          </cell>
          <cell r="O937">
            <v>1299</v>
          </cell>
          <cell r="P937" t="str">
            <v>AUH1</v>
          </cell>
          <cell r="Q937" t="str">
            <v>ARE</v>
          </cell>
          <cell r="R937" t="str">
            <v>LK017</v>
          </cell>
          <cell r="S937" t="str">
            <v>Night Shift</v>
          </cell>
          <cell r="T937">
            <v>99</v>
          </cell>
          <cell r="U937" t="str">
            <v>MENA_UAE_FC</v>
          </cell>
          <cell r="V937">
            <v>46257.756944444445</v>
          </cell>
          <cell r="X937">
            <v>46257.756944444445</v>
          </cell>
          <cell r="Y937">
            <v>46258.173611111109</v>
          </cell>
          <cell r="AA937" t="str">
            <v>Scheduled</v>
          </cell>
          <cell r="AB937" t="str">
            <v>Present</v>
          </cell>
          <cell r="AC937" t="str">
            <v>Outbound</v>
          </cell>
          <cell r="AD937" t="str">
            <v>Picking</v>
          </cell>
          <cell r="AE937" t="str">
            <v>Pick</v>
          </cell>
          <cell r="AF937" t="str">
            <v>Thursday</v>
          </cell>
          <cell r="AG937" t="str">
            <v>Friday</v>
          </cell>
          <cell r="AH937">
            <v>13</v>
          </cell>
          <cell r="AJ937">
            <v>45788</v>
          </cell>
          <cell r="AM937" t="str">
            <v>TEMP</v>
          </cell>
          <cell r="AN937" t="str">
            <v>3P Onsite Worker</v>
          </cell>
          <cell r="AO937" t="str">
            <v>A</v>
          </cell>
          <cell r="AP937">
            <v>9</v>
          </cell>
          <cell r="AQ937">
            <v>0</v>
          </cell>
          <cell r="AR937">
            <v>1</v>
          </cell>
          <cell r="AS937">
            <v>1</v>
          </cell>
          <cell r="AT937">
            <v>0</v>
          </cell>
          <cell r="AU937">
            <v>0</v>
          </cell>
        </row>
        <row r="938">
          <cell r="D938" t="str">
            <v>saberhet</v>
          </cell>
          <cell r="E938">
            <v>206139179</v>
          </cell>
          <cell r="F938" t="str">
            <v>A</v>
          </cell>
          <cell r="G938" t="str">
            <v>GREEN</v>
          </cell>
          <cell r="H938" t="str">
            <v>FULL_TIME</v>
          </cell>
          <cell r="I938">
            <v>900234</v>
          </cell>
          <cell r="J938" t="str">
            <v>Fastlink Outsourcing</v>
          </cell>
          <cell r="K938" t="str">
            <v>SAMIAL BERHE TEKLEHAYMANOT</v>
          </cell>
          <cell r="L938" t="str">
            <v>Warehouse Associate (TEMP)</v>
          </cell>
          <cell r="M938" t="str">
            <v>Warehouse Associate 12M</v>
          </cell>
          <cell r="N938" t="str">
            <v>scariav</v>
          </cell>
          <cell r="O938">
            <v>1299</v>
          </cell>
          <cell r="P938" t="str">
            <v>AUH1</v>
          </cell>
          <cell r="Q938" t="str">
            <v>ARE</v>
          </cell>
          <cell r="R938" t="str">
            <v>FC009</v>
          </cell>
          <cell r="S938" t="str">
            <v>Day Shift</v>
          </cell>
          <cell r="T938">
            <v>99</v>
          </cell>
          <cell r="U938" t="str">
            <v>MENA_UAE_FC</v>
          </cell>
          <cell r="V938">
            <v>46257.333333333336</v>
          </cell>
          <cell r="W938">
            <v>46257.75</v>
          </cell>
          <cell r="X938">
            <v>46257.333333333336</v>
          </cell>
          <cell r="Y938">
            <v>46257.75</v>
          </cell>
          <cell r="AA938" t="str">
            <v>Scheduled</v>
          </cell>
          <cell r="AB938" t="str">
            <v>Present</v>
          </cell>
          <cell r="AC938" t="str">
            <v>Outbound</v>
          </cell>
          <cell r="AD938" t="str">
            <v>Picking</v>
          </cell>
          <cell r="AE938" t="str">
            <v>Pick</v>
          </cell>
          <cell r="AF938" t="str">
            <v>Friday</v>
          </cell>
          <cell r="AG938" t="str">
            <v>Saturday</v>
          </cell>
          <cell r="AH938">
            <v>13</v>
          </cell>
          <cell r="AJ938">
            <v>45928</v>
          </cell>
          <cell r="AM938" t="str">
            <v>TEMP</v>
          </cell>
          <cell r="AN938" t="str">
            <v>3P Onsite Worker</v>
          </cell>
          <cell r="AO938" t="str">
            <v>A</v>
          </cell>
          <cell r="AP938">
            <v>9</v>
          </cell>
          <cell r="AQ938">
            <v>0</v>
          </cell>
          <cell r="AR938">
            <v>1</v>
          </cell>
          <cell r="AS938">
            <v>1</v>
          </cell>
          <cell r="AT938">
            <v>0</v>
          </cell>
          <cell r="AU938">
            <v>0</v>
          </cell>
        </row>
        <row r="939">
          <cell r="D939" t="str">
            <v>sadatayu</v>
          </cell>
          <cell r="E939">
            <v>203521426</v>
          </cell>
          <cell r="F939" t="str">
            <v>A</v>
          </cell>
          <cell r="G939" t="str">
            <v>GREEN</v>
          </cell>
          <cell r="H939" t="str">
            <v>FULL_TIME</v>
          </cell>
          <cell r="I939">
            <v>900234</v>
          </cell>
          <cell r="J939" t="str">
            <v>Fastlink Outsourcing</v>
          </cell>
          <cell r="K939" t="str">
            <v>Sadat Ayuba</v>
          </cell>
          <cell r="L939" t="str">
            <v>Warehouse Associate (TEMP)</v>
          </cell>
          <cell r="M939" t="str">
            <v>Warehouse Associate 12M</v>
          </cell>
          <cell r="N939" t="str">
            <v>nnahla</v>
          </cell>
          <cell r="O939">
            <v>1299</v>
          </cell>
          <cell r="P939" t="str">
            <v>AUH1</v>
          </cell>
          <cell r="Q939" t="str">
            <v>ARE</v>
          </cell>
          <cell r="R939" t="str">
            <v>FC059</v>
          </cell>
          <cell r="S939" t="str">
            <v>Day Shift</v>
          </cell>
          <cell r="T939">
            <v>99</v>
          </cell>
          <cell r="U939" t="str">
            <v>MENA_UAE_FC</v>
          </cell>
          <cell r="X939">
            <v>46257.333333333336</v>
          </cell>
          <cell r="Y939">
            <v>46257.75</v>
          </cell>
          <cell r="Z939" t="str">
            <v>Rest Day</v>
          </cell>
          <cell r="AA939" t="str">
            <v>Not Scheduled</v>
          </cell>
          <cell r="AB939" t="str">
            <v>Not Present</v>
          </cell>
          <cell r="AC939" t="str">
            <v>Inbound</v>
          </cell>
          <cell r="AD939" t="str">
            <v>Receive Dock</v>
          </cell>
          <cell r="AE939" t="str">
            <v>Receive</v>
          </cell>
          <cell r="AF939" t="str">
            <v>Sunday</v>
          </cell>
          <cell r="AG939" t="str">
            <v>Monday</v>
          </cell>
          <cell r="AH939">
            <v>2</v>
          </cell>
          <cell r="AJ939">
            <v>45462</v>
          </cell>
          <cell r="AM939" t="str">
            <v>TEMP</v>
          </cell>
          <cell r="AN939" t="str">
            <v>3P Onsite Worker</v>
          </cell>
          <cell r="AO939" t="str">
            <v>A</v>
          </cell>
          <cell r="AP939">
            <v>9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</row>
        <row r="940">
          <cell r="D940" t="str">
            <v>sadubeas</v>
          </cell>
          <cell r="E940">
            <v>202199036</v>
          </cell>
          <cell r="F940" t="str">
            <v>A</v>
          </cell>
          <cell r="G940" t="str">
            <v>GREEN</v>
          </cell>
          <cell r="H940" t="str">
            <v>FULL_TIME</v>
          </cell>
          <cell r="I940">
            <v>900234</v>
          </cell>
          <cell r="J940" t="str">
            <v>Quesscorp</v>
          </cell>
          <cell r="K940" t="str">
            <v>Sarah Adubea</v>
          </cell>
          <cell r="L940" t="str">
            <v>Warehouse Associate (TEMP)</v>
          </cell>
          <cell r="M940" t="str">
            <v>Warehouse Associate 24M</v>
          </cell>
          <cell r="N940" t="str">
            <v>amanmish</v>
          </cell>
          <cell r="O940">
            <v>1299</v>
          </cell>
          <cell r="P940" t="str">
            <v>AUH1</v>
          </cell>
          <cell r="Q940" t="str">
            <v>ARE</v>
          </cell>
          <cell r="R940" t="str">
            <v>LK012</v>
          </cell>
          <cell r="S940" t="str">
            <v>Night Shift</v>
          </cell>
          <cell r="T940">
            <v>99</v>
          </cell>
          <cell r="U940" t="str">
            <v>MENA_UAE_FC</v>
          </cell>
          <cell r="X940">
            <v>46257.756944444445</v>
          </cell>
          <cell r="Y940">
            <v>46258.173611111109</v>
          </cell>
          <cell r="Z940" t="str">
            <v>Rest Day</v>
          </cell>
          <cell r="AA940" t="str">
            <v>Not Scheduled</v>
          </cell>
          <cell r="AB940" t="str">
            <v>Not Present</v>
          </cell>
          <cell r="AC940" t="str">
            <v>Outbound</v>
          </cell>
          <cell r="AD940" t="str">
            <v>Picking</v>
          </cell>
          <cell r="AE940" t="str">
            <v>Pick</v>
          </cell>
          <cell r="AF940" t="str">
            <v>Saturday</v>
          </cell>
          <cell r="AG940" t="str">
            <v>Sunday</v>
          </cell>
          <cell r="AH940">
            <v>13</v>
          </cell>
          <cell r="AJ940">
            <v>45560</v>
          </cell>
          <cell r="AM940" t="str">
            <v>TEMP</v>
          </cell>
          <cell r="AN940" t="str">
            <v>3P Onsite Worker</v>
          </cell>
          <cell r="AO940" t="str">
            <v>A</v>
          </cell>
          <cell r="AP940">
            <v>9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</row>
        <row r="941">
          <cell r="D941" t="str">
            <v>sagsumaq</v>
          </cell>
          <cell r="E941">
            <v>206953817</v>
          </cell>
          <cell r="F941" t="str">
            <v>A</v>
          </cell>
          <cell r="G941" t="str">
            <v>GREEN</v>
          </cell>
          <cell r="H941" t="str">
            <v>FULL_TIME</v>
          </cell>
          <cell r="I941">
            <v>900234</v>
          </cell>
          <cell r="J941" t="str">
            <v>Dulsco L.L.C.</v>
          </cell>
          <cell r="K941" t="str">
            <v>SUMAN SAG</v>
          </cell>
          <cell r="L941" t="str">
            <v>Warehouse Associate (TEMP)</v>
          </cell>
          <cell r="M941" t="str">
            <v>Warehouse Associate 24M</v>
          </cell>
          <cell r="N941" t="str">
            <v>pparsin</v>
          </cell>
          <cell r="O941">
            <v>1299</v>
          </cell>
          <cell r="P941" t="str">
            <v>AUH1</v>
          </cell>
          <cell r="Q941" t="str">
            <v>ARE</v>
          </cell>
          <cell r="R941" t="str">
            <v>FC059</v>
          </cell>
          <cell r="S941" t="str">
            <v>Day Shift</v>
          </cell>
          <cell r="T941">
            <v>99</v>
          </cell>
          <cell r="U941" t="str">
            <v>MENA_UAE_FC</v>
          </cell>
          <cell r="X941">
            <v>46257.333333333336</v>
          </cell>
          <cell r="Y941">
            <v>46257.75</v>
          </cell>
          <cell r="Z941" t="str">
            <v>Rest Day</v>
          </cell>
          <cell r="AA941" t="str">
            <v>Not Scheduled</v>
          </cell>
          <cell r="AB941" t="str">
            <v>Not Present</v>
          </cell>
          <cell r="AC941" t="str">
            <v>Inbound</v>
          </cell>
          <cell r="AD941" t="str">
            <v>Inbound Stow</v>
          </cell>
          <cell r="AE941" t="str">
            <v>Stow</v>
          </cell>
          <cell r="AF941" t="str">
            <v>Sunday</v>
          </cell>
          <cell r="AG941" t="str">
            <v>Monday</v>
          </cell>
          <cell r="AH941">
            <v>3</v>
          </cell>
          <cell r="AJ941">
            <v>46049</v>
          </cell>
          <cell r="AM941" t="str">
            <v>TEMP</v>
          </cell>
          <cell r="AN941" t="str">
            <v>3P Onsite Worker</v>
          </cell>
          <cell r="AO941" t="str">
            <v>A</v>
          </cell>
          <cell r="AP941">
            <v>9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</row>
        <row r="942">
          <cell r="D942" t="str">
            <v>sahaviny</v>
          </cell>
          <cell r="E942">
            <v>204172225</v>
          </cell>
          <cell r="F942" t="str">
            <v>A</v>
          </cell>
          <cell r="G942" t="str">
            <v>GREEN</v>
          </cell>
          <cell r="H942" t="str">
            <v>FULL_TIME</v>
          </cell>
          <cell r="I942">
            <v>900234</v>
          </cell>
          <cell r="J942" t="str">
            <v>Dulsco L.L.C.</v>
          </cell>
          <cell r="K942" t="str">
            <v>AVINASH SAH</v>
          </cell>
          <cell r="L942" t="str">
            <v>Warehouse Associate (TEMP)</v>
          </cell>
          <cell r="M942" t="str">
            <v>Warehouse Associate 8W</v>
          </cell>
          <cell r="N942" t="str">
            <v>lraghava</v>
          </cell>
          <cell r="O942">
            <v>1299</v>
          </cell>
          <cell r="P942" t="str">
            <v>AUH1</v>
          </cell>
          <cell r="Q942" t="str">
            <v>ARE</v>
          </cell>
          <cell r="R942" t="str">
            <v>FC134</v>
          </cell>
          <cell r="S942" t="str">
            <v>Day Shift</v>
          </cell>
          <cell r="T942">
            <v>99</v>
          </cell>
          <cell r="U942" t="str">
            <v>MENA_UAE_FC</v>
          </cell>
          <cell r="V942">
            <v>46257.332638888889</v>
          </cell>
          <cell r="W942">
            <v>46257.75</v>
          </cell>
          <cell r="X942">
            <v>46257.333333333336</v>
          </cell>
          <cell r="Y942">
            <v>46257.75</v>
          </cell>
          <cell r="AA942" t="str">
            <v>Scheduled</v>
          </cell>
          <cell r="AB942" t="str">
            <v>Present</v>
          </cell>
          <cell r="AC942" t="str">
            <v>Outbound</v>
          </cell>
          <cell r="AD942" t="str">
            <v>Picking</v>
          </cell>
          <cell r="AE942" t="str">
            <v>Pick</v>
          </cell>
          <cell r="AF942" t="str">
            <v>Wednesday</v>
          </cell>
          <cell r="AG942" t="str">
            <v>Thursday</v>
          </cell>
          <cell r="AH942">
            <v>13</v>
          </cell>
          <cell r="AJ942">
            <v>45567</v>
          </cell>
          <cell r="AM942" t="str">
            <v>TEMP</v>
          </cell>
          <cell r="AN942" t="str">
            <v>3P Onsite Worker</v>
          </cell>
          <cell r="AO942" t="str">
            <v>A</v>
          </cell>
          <cell r="AP942">
            <v>9</v>
          </cell>
          <cell r="AQ942">
            <v>0</v>
          </cell>
          <cell r="AR942">
            <v>1</v>
          </cell>
          <cell r="AS942">
            <v>1</v>
          </cell>
          <cell r="AT942">
            <v>0</v>
          </cell>
          <cell r="AU942">
            <v>0</v>
          </cell>
        </row>
        <row r="943">
          <cell r="D943" t="str">
            <v>sakuttan</v>
          </cell>
          <cell r="E943">
            <v>203736775</v>
          </cell>
          <cell r="F943" t="str">
            <v>A</v>
          </cell>
          <cell r="G943" t="str">
            <v>GREEN</v>
          </cell>
          <cell r="H943" t="str">
            <v>FULL_TIME</v>
          </cell>
          <cell r="I943">
            <v>900234</v>
          </cell>
          <cell r="J943" t="str">
            <v>Adecco</v>
          </cell>
          <cell r="K943" t="str">
            <v>Sanoj Kuttan</v>
          </cell>
          <cell r="L943" t="str">
            <v>Warehouse Associate (TEMP)</v>
          </cell>
          <cell r="M943" t="str">
            <v>Warehouse Associate 24M</v>
          </cell>
          <cell r="N943" t="str">
            <v>ansammar</v>
          </cell>
          <cell r="O943">
            <v>1299</v>
          </cell>
          <cell r="P943" t="str">
            <v>AUH1</v>
          </cell>
          <cell r="Q943" t="str">
            <v>ARE</v>
          </cell>
          <cell r="R943" t="str">
            <v>FC034</v>
          </cell>
          <cell r="S943" t="str">
            <v>Day Shift</v>
          </cell>
          <cell r="T943">
            <v>99</v>
          </cell>
          <cell r="U943" t="str">
            <v>MENA_UAE_FC</v>
          </cell>
          <cell r="X943">
            <v>46257.333333333336</v>
          </cell>
          <cell r="Y943">
            <v>46257.75</v>
          </cell>
          <cell r="Z943" t="str">
            <v>Rest Day</v>
          </cell>
          <cell r="AA943" t="str">
            <v>Not Scheduled</v>
          </cell>
          <cell r="AB943" t="str">
            <v>Not Present</v>
          </cell>
          <cell r="AC943" t="str">
            <v>Outbound</v>
          </cell>
          <cell r="AD943" t="str">
            <v>Picking</v>
          </cell>
          <cell r="AE943" t="str">
            <v>Pick</v>
          </cell>
          <cell r="AF943" t="str">
            <v>Saturday</v>
          </cell>
          <cell r="AG943" t="str">
            <v>Sunday</v>
          </cell>
          <cell r="AH943">
            <v>13</v>
          </cell>
          <cell r="AJ943">
            <v>45501</v>
          </cell>
          <cell r="AM943" t="str">
            <v>TEMP</v>
          </cell>
          <cell r="AN943" t="str">
            <v>3P Onsite Worker</v>
          </cell>
          <cell r="AO943" t="str">
            <v>A</v>
          </cell>
          <cell r="AP943">
            <v>9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</row>
        <row r="944">
          <cell r="D944" t="str">
            <v>sakycric</v>
          </cell>
          <cell r="E944">
            <v>201487409</v>
          </cell>
          <cell r="F944" t="str">
            <v>A</v>
          </cell>
          <cell r="G944" t="str">
            <v>GREEN</v>
          </cell>
          <cell r="H944" t="str">
            <v>FULL_TIME</v>
          </cell>
          <cell r="I944">
            <v>900234</v>
          </cell>
          <cell r="J944" t="str">
            <v>Fastlink Outsourcing</v>
          </cell>
          <cell r="K944" t="str">
            <v>Richard Sakyi</v>
          </cell>
          <cell r="L944" t="str">
            <v>Warehouse Associate (TEMP)</v>
          </cell>
          <cell r="M944" t="str">
            <v>Warehouse Associate 12M</v>
          </cell>
          <cell r="N944" t="str">
            <v>scariav</v>
          </cell>
          <cell r="O944">
            <v>1299</v>
          </cell>
          <cell r="P944" t="str">
            <v>AUH1</v>
          </cell>
          <cell r="Q944" t="str">
            <v>ARE</v>
          </cell>
          <cell r="R944" t="str">
            <v>LK011</v>
          </cell>
          <cell r="S944" t="str">
            <v>Night Shift</v>
          </cell>
          <cell r="T944">
            <v>99</v>
          </cell>
          <cell r="U944" t="str">
            <v>MENA_UAE_FC</v>
          </cell>
          <cell r="V944">
            <v>46257.758333333331</v>
          </cell>
          <cell r="X944">
            <v>46257.756944444445</v>
          </cell>
          <cell r="Y944">
            <v>46258.173611111109</v>
          </cell>
          <cell r="AA944" t="str">
            <v>Scheduled</v>
          </cell>
          <cell r="AB944" t="str">
            <v>Present</v>
          </cell>
          <cell r="AC944" t="str">
            <v>Outbound</v>
          </cell>
          <cell r="AD944" t="str">
            <v>Pack - Batch</v>
          </cell>
          <cell r="AE944" t="str">
            <v>Pack</v>
          </cell>
          <cell r="AF944" t="str">
            <v>Friday</v>
          </cell>
          <cell r="AG944" t="str">
            <v>Saturday</v>
          </cell>
          <cell r="AH944">
            <v>17</v>
          </cell>
          <cell r="AJ944">
            <v>45560</v>
          </cell>
          <cell r="AM944" t="str">
            <v>TEMP</v>
          </cell>
          <cell r="AN944" t="str">
            <v>3P Onsite Worker</v>
          </cell>
          <cell r="AO944" t="str">
            <v>A</v>
          </cell>
          <cell r="AP944">
            <v>9</v>
          </cell>
          <cell r="AQ944">
            <v>0</v>
          </cell>
          <cell r="AR944">
            <v>1</v>
          </cell>
          <cell r="AS944">
            <v>1</v>
          </cell>
          <cell r="AT944">
            <v>0</v>
          </cell>
          <cell r="AU944">
            <v>0</v>
          </cell>
        </row>
        <row r="945">
          <cell r="D945" t="str">
            <v>samargrl</v>
          </cell>
          <cell r="E945">
            <v>203512951</v>
          </cell>
          <cell r="F945" t="str">
            <v>A</v>
          </cell>
          <cell r="G945" t="str">
            <v>GREEN</v>
          </cell>
          <cell r="H945" t="str">
            <v>FULL_TIME</v>
          </cell>
          <cell r="I945">
            <v>900234</v>
          </cell>
          <cell r="J945" t="str">
            <v>Fastlink Outsourcing</v>
          </cell>
          <cell r="K945" t="str">
            <v>Margretta Saytue</v>
          </cell>
          <cell r="L945" t="str">
            <v>Warehouse Associate (TEMP)</v>
          </cell>
          <cell r="M945" t="str">
            <v>Warehouse Associate 12M</v>
          </cell>
          <cell r="N945" t="str">
            <v>ansammar</v>
          </cell>
          <cell r="O945">
            <v>1299</v>
          </cell>
          <cell r="P945" t="str">
            <v>AUH1</v>
          </cell>
          <cell r="Q945" t="str">
            <v>ARE</v>
          </cell>
          <cell r="R945" t="str">
            <v>FC034</v>
          </cell>
          <cell r="S945" t="str">
            <v>Day Shift</v>
          </cell>
          <cell r="T945">
            <v>99</v>
          </cell>
          <cell r="U945" t="str">
            <v>MENA_UAE_FC</v>
          </cell>
          <cell r="X945">
            <v>46257.333333333336</v>
          </cell>
          <cell r="Y945">
            <v>46257.75</v>
          </cell>
          <cell r="Z945" t="str">
            <v>Rest Day</v>
          </cell>
          <cell r="AA945" t="str">
            <v>Not Scheduled</v>
          </cell>
          <cell r="AB945" t="str">
            <v>Not Present</v>
          </cell>
          <cell r="AC945" t="str">
            <v>Outbound</v>
          </cell>
          <cell r="AD945" t="str">
            <v>Picking</v>
          </cell>
          <cell r="AE945" t="str">
            <v>Pick</v>
          </cell>
          <cell r="AF945" t="str">
            <v>Saturday</v>
          </cell>
          <cell r="AG945" t="str">
            <v>Sunday</v>
          </cell>
          <cell r="AH945">
            <v>13</v>
          </cell>
          <cell r="AJ945">
            <v>45462</v>
          </cell>
          <cell r="AM945" t="str">
            <v>TEMP</v>
          </cell>
          <cell r="AN945" t="str">
            <v>3P Onsite Worker</v>
          </cell>
          <cell r="AO945" t="str">
            <v>A</v>
          </cell>
          <cell r="AP945">
            <v>9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</row>
        <row r="946">
          <cell r="D946" t="str">
            <v>samlisaa</v>
          </cell>
          <cell r="E946">
            <v>203521425</v>
          </cell>
          <cell r="F946" t="str">
            <v>A</v>
          </cell>
          <cell r="G946" t="str">
            <v>GREEN</v>
          </cell>
          <cell r="H946" t="str">
            <v>FULL_TIME</v>
          </cell>
          <cell r="I946">
            <v>900234</v>
          </cell>
          <cell r="J946" t="str">
            <v>Fastlink Outsourcing</v>
          </cell>
          <cell r="K946" t="str">
            <v>Isaac Sam</v>
          </cell>
          <cell r="L946" t="str">
            <v>Warehouse Associate (TEMP)</v>
          </cell>
          <cell r="M946" t="str">
            <v>Warehouse Associate 12M</v>
          </cell>
          <cell r="N946" t="str">
            <v>abbaszoo</v>
          </cell>
          <cell r="O946">
            <v>1299</v>
          </cell>
          <cell r="P946" t="str">
            <v>AUH1</v>
          </cell>
          <cell r="Q946" t="str">
            <v>ARE</v>
          </cell>
          <cell r="R946" t="str">
            <v>FC009</v>
          </cell>
          <cell r="S946" t="str">
            <v>Day Shift</v>
          </cell>
          <cell r="T946">
            <v>99</v>
          </cell>
          <cell r="U946" t="str">
            <v>MENA_UAE_FC</v>
          </cell>
          <cell r="V946">
            <v>46257.32916666667</v>
          </cell>
          <cell r="W946">
            <v>46257.75277777778</v>
          </cell>
          <cell r="X946">
            <v>46257.333333333336</v>
          </cell>
          <cell r="Y946">
            <v>46257.75</v>
          </cell>
          <cell r="AA946" t="str">
            <v>Scheduled</v>
          </cell>
          <cell r="AB946" t="str">
            <v>Present</v>
          </cell>
          <cell r="AC946" t="str">
            <v>Inbound</v>
          </cell>
          <cell r="AD946" t="str">
            <v>Vendor Receive</v>
          </cell>
          <cell r="AE946" t="str">
            <v>Receive</v>
          </cell>
          <cell r="AF946" t="str">
            <v>Friday</v>
          </cell>
          <cell r="AG946" t="str">
            <v>Saturday</v>
          </cell>
          <cell r="AH946">
            <v>1</v>
          </cell>
          <cell r="AJ946">
            <v>45462</v>
          </cell>
          <cell r="AM946" t="str">
            <v>TEMP</v>
          </cell>
          <cell r="AN946" t="str">
            <v>3P Onsite Worker</v>
          </cell>
          <cell r="AO946" t="str">
            <v>A</v>
          </cell>
          <cell r="AP946">
            <v>9</v>
          </cell>
          <cell r="AQ946">
            <v>0</v>
          </cell>
          <cell r="AR946">
            <v>1</v>
          </cell>
          <cell r="AS946">
            <v>1</v>
          </cell>
          <cell r="AT946">
            <v>0</v>
          </cell>
          <cell r="AU946">
            <v>0</v>
          </cell>
        </row>
        <row r="947">
          <cell r="D947" t="str">
            <v>samnuama</v>
          </cell>
          <cell r="E947">
            <v>201204303</v>
          </cell>
          <cell r="F947" t="str">
            <v>A</v>
          </cell>
          <cell r="G947" t="str">
            <v>GREEN</v>
          </cell>
          <cell r="H947" t="str">
            <v>FULL_TIME</v>
          </cell>
          <cell r="I947">
            <v>900234</v>
          </cell>
          <cell r="J947" t="str">
            <v>Fastlink Outsourcing</v>
          </cell>
          <cell r="K947" t="str">
            <v>Sampson Nuamah</v>
          </cell>
          <cell r="L947" t="str">
            <v>Warehouse Associate (TEMP)</v>
          </cell>
          <cell r="M947" t="str">
            <v>Warehouse Associate 12M</v>
          </cell>
          <cell r="N947" t="str">
            <v>ansammar</v>
          </cell>
          <cell r="O947">
            <v>1299</v>
          </cell>
          <cell r="P947" t="str">
            <v>AUH1</v>
          </cell>
          <cell r="Q947" t="str">
            <v>ARE</v>
          </cell>
          <cell r="R947" t="str">
            <v>FC134</v>
          </cell>
          <cell r="S947" t="str">
            <v>Day Shift</v>
          </cell>
          <cell r="T947">
            <v>99</v>
          </cell>
          <cell r="U947" t="str">
            <v>MENA_UAE_FC</v>
          </cell>
          <cell r="V947">
            <v>46257.330555555556</v>
          </cell>
          <cell r="W947">
            <v>46257.751388888886</v>
          </cell>
          <cell r="X947">
            <v>46257.333333333336</v>
          </cell>
          <cell r="Y947">
            <v>46257.75</v>
          </cell>
          <cell r="AA947" t="str">
            <v>Scheduled</v>
          </cell>
          <cell r="AB947" t="str">
            <v>Present</v>
          </cell>
          <cell r="AC947" t="str">
            <v>Outbound</v>
          </cell>
          <cell r="AD947" t="str">
            <v>Picking</v>
          </cell>
          <cell r="AE947" t="str">
            <v>Pick</v>
          </cell>
          <cell r="AF947" t="str">
            <v>Wednesday</v>
          </cell>
          <cell r="AG947" t="str">
            <v>Thursday</v>
          </cell>
          <cell r="AH947">
            <v>13</v>
          </cell>
          <cell r="AJ947">
            <v>45543</v>
          </cell>
          <cell r="AM947" t="str">
            <v>TEMP</v>
          </cell>
          <cell r="AN947" t="str">
            <v>3P Onsite Worker</v>
          </cell>
          <cell r="AO947" t="str">
            <v>A</v>
          </cell>
          <cell r="AP947">
            <v>9</v>
          </cell>
          <cell r="AQ947">
            <v>0</v>
          </cell>
          <cell r="AR947">
            <v>1</v>
          </cell>
          <cell r="AS947">
            <v>1</v>
          </cell>
          <cell r="AT947">
            <v>0</v>
          </cell>
          <cell r="AU947">
            <v>0</v>
          </cell>
        </row>
        <row r="948">
          <cell r="D948" t="str">
            <v>samoluwa</v>
          </cell>
          <cell r="E948">
            <v>206250613</v>
          </cell>
          <cell r="F948" t="str">
            <v>A</v>
          </cell>
          <cell r="G948" t="str">
            <v>GREEN</v>
          </cell>
          <cell r="H948" t="str">
            <v>REDUCED</v>
          </cell>
          <cell r="I948">
            <v>900234</v>
          </cell>
          <cell r="J948" t="str">
            <v>Fastlink Outsourcing</v>
          </cell>
          <cell r="K948" t="str">
            <v>SAMUEL OLUWALE LANGLEY</v>
          </cell>
          <cell r="L948" t="str">
            <v>Warehouse Associate (TEMP)</v>
          </cell>
          <cell r="M948" t="str">
            <v>Warehouse Associate 8W</v>
          </cell>
          <cell r="N948" t="str">
            <v>bizthoma</v>
          </cell>
          <cell r="O948">
            <v>1299</v>
          </cell>
          <cell r="P948" t="str">
            <v>AUH1</v>
          </cell>
          <cell r="Q948" t="str">
            <v>ARE</v>
          </cell>
          <cell r="R948" t="str">
            <v>FC552</v>
          </cell>
          <cell r="S948" t="str">
            <v>Night Shift</v>
          </cell>
          <cell r="T948">
            <v>99</v>
          </cell>
          <cell r="U948" t="str">
            <v>MENA_UAE_FC</v>
          </cell>
          <cell r="V948">
            <v>46257.756249999999</v>
          </cell>
          <cell r="X948">
            <v>46257.756944444445</v>
          </cell>
          <cell r="Y948">
            <v>46258.090277777781</v>
          </cell>
          <cell r="AA948" t="str">
            <v>Scheduled</v>
          </cell>
          <cell r="AB948" t="str">
            <v>Present</v>
          </cell>
          <cell r="AC948" t="str">
            <v>Outbound</v>
          </cell>
          <cell r="AD948" t="str">
            <v>Pack - Batch</v>
          </cell>
          <cell r="AE948" t="str">
            <v>Pack</v>
          </cell>
          <cell r="AF948" t="str">
            <v>Friday</v>
          </cell>
          <cell r="AG948" t="str">
            <v>Saturday</v>
          </cell>
          <cell r="AH948">
            <v>17</v>
          </cell>
          <cell r="AJ948">
            <v>46251</v>
          </cell>
          <cell r="AM948" t="str">
            <v>TEMP</v>
          </cell>
          <cell r="AN948" t="str">
            <v>3P Onsite Worker</v>
          </cell>
          <cell r="AO948" t="str">
            <v>A</v>
          </cell>
          <cell r="AP948">
            <v>7</v>
          </cell>
          <cell r="AQ948">
            <v>0</v>
          </cell>
          <cell r="AR948">
            <v>1</v>
          </cell>
          <cell r="AS948">
            <v>1</v>
          </cell>
          <cell r="AT948">
            <v>0</v>
          </cell>
          <cell r="AU948">
            <v>0</v>
          </cell>
        </row>
        <row r="949">
          <cell r="D949" t="str">
            <v>samssema</v>
          </cell>
          <cell r="E949">
            <v>206952968</v>
          </cell>
          <cell r="F949" t="str">
            <v>A</v>
          </cell>
          <cell r="G949" t="str">
            <v>GREEN</v>
          </cell>
          <cell r="H949" t="str">
            <v>FULL_TIME</v>
          </cell>
          <cell r="I949">
            <v>900234</v>
          </cell>
          <cell r="J949" t="str">
            <v>Dulsco L.L.C.</v>
          </cell>
          <cell r="K949" t="str">
            <v>SSEMAKULA SAM</v>
          </cell>
          <cell r="L949" t="str">
            <v>Warehouse Associate (TEMP)</v>
          </cell>
          <cell r="M949" t="str">
            <v>Warehouse Associate 24M</v>
          </cell>
          <cell r="N949" t="str">
            <v>bavameer</v>
          </cell>
          <cell r="O949">
            <v>1299</v>
          </cell>
          <cell r="P949" t="str">
            <v>AUH1</v>
          </cell>
          <cell r="Q949" t="str">
            <v>ARE</v>
          </cell>
          <cell r="R949" t="str">
            <v>FC109</v>
          </cell>
          <cell r="S949" t="str">
            <v>Day Shift</v>
          </cell>
          <cell r="T949">
            <v>99</v>
          </cell>
          <cell r="U949" t="str">
            <v>MENA_UAE_FC</v>
          </cell>
          <cell r="V949">
            <v>46257.332638888889</v>
          </cell>
          <cell r="W949">
            <v>46257.749305555553</v>
          </cell>
          <cell r="X949">
            <v>46257.333333333336</v>
          </cell>
          <cell r="Y949">
            <v>46257.75</v>
          </cell>
          <cell r="AA949" t="str">
            <v>Scheduled</v>
          </cell>
          <cell r="AB949" t="str">
            <v>Present</v>
          </cell>
          <cell r="AC949" t="str">
            <v>Customer returns</v>
          </cell>
          <cell r="AD949" t="str">
            <v>Customer Returns</v>
          </cell>
          <cell r="AE949" t="str">
            <v>Customer returns</v>
          </cell>
          <cell r="AF949" t="str">
            <v>Tuesday</v>
          </cell>
          <cell r="AG949" t="str">
            <v>Wednesday</v>
          </cell>
          <cell r="AH949">
            <v>22</v>
          </cell>
          <cell r="AJ949">
            <v>46047</v>
          </cell>
          <cell r="AM949" t="str">
            <v>TEMP</v>
          </cell>
          <cell r="AN949" t="str">
            <v>3P Onsite Worker</v>
          </cell>
          <cell r="AO949" t="str">
            <v>A</v>
          </cell>
          <cell r="AP949">
            <v>9</v>
          </cell>
          <cell r="AQ949">
            <v>0</v>
          </cell>
          <cell r="AR949">
            <v>1</v>
          </cell>
          <cell r="AS949">
            <v>1</v>
          </cell>
          <cell r="AT949">
            <v>0</v>
          </cell>
          <cell r="AU949">
            <v>0</v>
          </cell>
        </row>
        <row r="950">
          <cell r="D950" t="str">
            <v>samukasz</v>
          </cell>
          <cell r="E950">
            <v>206873658</v>
          </cell>
          <cell r="F950" t="str">
            <v>A</v>
          </cell>
          <cell r="G950" t="str">
            <v>GREEN</v>
          </cell>
          <cell r="H950" t="str">
            <v>FULL_TIME</v>
          </cell>
          <cell r="I950">
            <v>900234</v>
          </cell>
          <cell r="J950" t="str">
            <v>Fastlink Outsourcing</v>
          </cell>
          <cell r="K950" t="str">
            <v>SAMUEL KASSAH</v>
          </cell>
          <cell r="L950" t="str">
            <v>Warehouse Associate (TEMP)</v>
          </cell>
          <cell r="M950" t="str">
            <v>Warehouse Associate 8W</v>
          </cell>
          <cell r="N950" t="str">
            <v>nnahla</v>
          </cell>
          <cell r="O950">
            <v>1299</v>
          </cell>
          <cell r="P950" t="str">
            <v>AUH1</v>
          </cell>
          <cell r="Q950" t="str">
            <v>ARE</v>
          </cell>
          <cell r="R950" t="str">
            <v>FC009</v>
          </cell>
          <cell r="S950" t="str">
            <v>Day Shift</v>
          </cell>
          <cell r="T950">
            <v>99</v>
          </cell>
          <cell r="U950" t="str">
            <v>MENA_UAE_FC</v>
          </cell>
          <cell r="V950">
            <v>46257.333333333336</v>
          </cell>
          <cell r="W950">
            <v>46257.747916666667</v>
          </cell>
          <cell r="X950">
            <v>46257.333333333336</v>
          </cell>
          <cell r="Y950">
            <v>46257.75</v>
          </cell>
          <cell r="AA950" t="str">
            <v>Scheduled</v>
          </cell>
          <cell r="AB950" t="str">
            <v>Present</v>
          </cell>
          <cell r="AC950" t="str">
            <v>Inbound</v>
          </cell>
          <cell r="AD950" t="str">
            <v>Inbound Stow</v>
          </cell>
          <cell r="AE950" t="str">
            <v>Stow</v>
          </cell>
          <cell r="AF950" t="str">
            <v>Friday</v>
          </cell>
          <cell r="AG950" t="str">
            <v>Saturday</v>
          </cell>
          <cell r="AH950">
            <v>3</v>
          </cell>
          <cell r="AJ950">
            <v>46019</v>
          </cell>
          <cell r="AM950" t="str">
            <v>TEMP</v>
          </cell>
          <cell r="AN950" t="str">
            <v>3P Onsite Worker</v>
          </cell>
          <cell r="AO950" t="str">
            <v>A</v>
          </cell>
          <cell r="AP950">
            <v>9</v>
          </cell>
          <cell r="AQ950">
            <v>0</v>
          </cell>
          <cell r="AR950">
            <v>1</v>
          </cell>
          <cell r="AS950">
            <v>1</v>
          </cell>
          <cell r="AT950">
            <v>0</v>
          </cell>
          <cell r="AU950">
            <v>0</v>
          </cell>
        </row>
        <row r="951">
          <cell r="D951" t="str">
            <v>samutofo</v>
          </cell>
          <cell r="E951">
            <v>203881695</v>
          </cell>
          <cell r="F951" t="str">
            <v>A</v>
          </cell>
          <cell r="G951" t="str">
            <v>GREEN</v>
          </cell>
          <cell r="H951" t="str">
            <v>FULL_TIME</v>
          </cell>
          <cell r="I951">
            <v>900234</v>
          </cell>
          <cell r="J951" t="str">
            <v>Fastlink Outsourcing</v>
          </cell>
          <cell r="K951" t="str">
            <v>Samuel Ofori</v>
          </cell>
          <cell r="L951" t="str">
            <v>Warehouse Associate (TEMP)</v>
          </cell>
          <cell r="M951" t="str">
            <v>Warehouse Associate 12M</v>
          </cell>
          <cell r="N951" t="str">
            <v>scariav</v>
          </cell>
          <cell r="O951">
            <v>1299</v>
          </cell>
          <cell r="P951" t="str">
            <v>AUH1</v>
          </cell>
          <cell r="Q951" t="str">
            <v>ARE</v>
          </cell>
          <cell r="R951" t="str">
            <v>LK017</v>
          </cell>
          <cell r="S951" t="str">
            <v>Night Shift</v>
          </cell>
          <cell r="T951">
            <v>99</v>
          </cell>
          <cell r="U951" t="str">
            <v>MENA_UAE_FC</v>
          </cell>
          <cell r="V951">
            <v>46257.758333333331</v>
          </cell>
          <cell r="X951">
            <v>46257.756944444445</v>
          </cell>
          <cell r="Y951">
            <v>46258.173611111109</v>
          </cell>
          <cell r="AA951" t="str">
            <v>Scheduled</v>
          </cell>
          <cell r="AB951" t="str">
            <v>Present</v>
          </cell>
          <cell r="AC951" t="str">
            <v>Outbound</v>
          </cell>
          <cell r="AD951" t="str">
            <v>Pack - Single</v>
          </cell>
          <cell r="AE951" t="str">
            <v>Pack</v>
          </cell>
          <cell r="AF951" t="str">
            <v>Thursday</v>
          </cell>
          <cell r="AG951" t="str">
            <v>Friday</v>
          </cell>
          <cell r="AH951">
            <v>18</v>
          </cell>
          <cell r="AJ951">
            <v>45529</v>
          </cell>
          <cell r="AM951" t="str">
            <v>TEMP</v>
          </cell>
          <cell r="AN951" t="str">
            <v>3P Onsite Worker</v>
          </cell>
          <cell r="AO951" t="str">
            <v>A</v>
          </cell>
          <cell r="AP951">
            <v>9</v>
          </cell>
          <cell r="AQ951">
            <v>0</v>
          </cell>
          <cell r="AR951">
            <v>1</v>
          </cell>
          <cell r="AS951">
            <v>1</v>
          </cell>
          <cell r="AT951">
            <v>0</v>
          </cell>
          <cell r="AU951">
            <v>0</v>
          </cell>
        </row>
        <row r="952">
          <cell r="D952" t="str">
            <v>sandrnam</v>
          </cell>
          <cell r="E952">
            <v>206890214</v>
          </cell>
          <cell r="F952" t="str">
            <v>A</v>
          </cell>
          <cell r="G952" t="str">
            <v>GREEN</v>
          </cell>
          <cell r="H952" t="str">
            <v>REDUCED</v>
          </cell>
          <cell r="I952">
            <v>900234</v>
          </cell>
          <cell r="J952" t="str">
            <v>EFS Facilities Services</v>
          </cell>
          <cell r="K952" t="str">
            <v>Sandra Namara</v>
          </cell>
          <cell r="L952" t="str">
            <v>Warehouse Associate (TEMP)</v>
          </cell>
          <cell r="M952" t="str">
            <v>Warehouse Associate 8W</v>
          </cell>
          <cell r="N952" t="str">
            <v>ansammar</v>
          </cell>
          <cell r="O952">
            <v>1299</v>
          </cell>
          <cell r="P952" t="str">
            <v>AUH1</v>
          </cell>
          <cell r="Q952" t="str">
            <v>ARE</v>
          </cell>
          <cell r="R952" t="str">
            <v>FC559</v>
          </cell>
          <cell r="S952" t="str">
            <v>Night Shift</v>
          </cell>
          <cell r="T952">
            <v>99</v>
          </cell>
          <cell r="U952" t="str">
            <v>MENA_UAE_FC</v>
          </cell>
          <cell r="X952">
            <v>46257.756944444445</v>
          </cell>
          <cell r="Y952">
            <v>46258.090277777781</v>
          </cell>
          <cell r="Z952" t="str">
            <v>Rest Day</v>
          </cell>
          <cell r="AA952" t="str">
            <v>Not Scheduled</v>
          </cell>
          <cell r="AB952" t="str">
            <v>Not Present</v>
          </cell>
          <cell r="AC952" t="str">
            <v>Outbound</v>
          </cell>
          <cell r="AD952" t="str">
            <v>Picking</v>
          </cell>
          <cell r="AE952" t="str">
            <v>Pick</v>
          </cell>
          <cell r="AF952" t="str">
            <v>Saturday</v>
          </cell>
          <cell r="AG952" t="str">
            <v>Sunday</v>
          </cell>
          <cell r="AH952">
            <v>13</v>
          </cell>
          <cell r="AJ952">
            <v>46246</v>
          </cell>
          <cell r="AM952" t="str">
            <v>TEMP</v>
          </cell>
          <cell r="AN952" t="str">
            <v>3P Onsite Worker</v>
          </cell>
          <cell r="AO952" t="str">
            <v>A</v>
          </cell>
          <cell r="AP952">
            <v>7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</row>
        <row r="953">
          <cell r="D953" t="str">
            <v>sanjajev</v>
          </cell>
          <cell r="E953">
            <v>205939862</v>
          </cell>
          <cell r="F953" t="str">
            <v>A</v>
          </cell>
          <cell r="G953" t="str">
            <v>GREEN</v>
          </cell>
          <cell r="H953" t="str">
            <v>FULL_TIME</v>
          </cell>
          <cell r="I953">
            <v>900234</v>
          </cell>
          <cell r="J953" t="str">
            <v>EFS Facilities Services</v>
          </cell>
          <cell r="K953" t="str">
            <v>SANJAY JERALD</v>
          </cell>
          <cell r="L953" t="str">
            <v>Warehouse Associate (TEMP)</v>
          </cell>
          <cell r="M953" t="str">
            <v>Warehouse Associate 8W</v>
          </cell>
          <cell r="N953" t="str">
            <v>scariav</v>
          </cell>
          <cell r="O953">
            <v>1299</v>
          </cell>
          <cell r="P953" t="str">
            <v>AUH1</v>
          </cell>
          <cell r="Q953" t="str">
            <v>ARE</v>
          </cell>
          <cell r="R953" t="str">
            <v>FC059</v>
          </cell>
          <cell r="S953" t="str">
            <v>Day Shift</v>
          </cell>
          <cell r="T953">
            <v>99</v>
          </cell>
          <cell r="U953" t="str">
            <v>MENA_UAE_FC</v>
          </cell>
          <cell r="X953">
            <v>46257.333333333336</v>
          </cell>
          <cell r="Y953">
            <v>46257.75</v>
          </cell>
          <cell r="Z953" t="str">
            <v>Rest Day</v>
          </cell>
          <cell r="AA953" t="str">
            <v>Not Scheduled</v>
          </cell>
          <cell r="AB953" t="str">
            <v>Not Present</v>
          </cell>
          <cell r="AC953" t="str">
            <v>Outbound</v>
          </cell>
          <cell r="AD953" t="str">
            <v>Picking</v>
          </cell>
          <cell r="AE953" t="str">
            <v>Pick</v>
          </cell>
          <cell r="AF953" t="str">
            <v>Sunday</v>
          </cell>
          <cell r="AG953" t="str">
            <v>Monday</v>
          </cell>
          <cell r="AH953">
            <v>13</v>
          </cell>
          <cell r="AJ953">
            <v>45907</v>
          </cell>
          <cell r="AM953" t="str">
            <v>TEMP</v>
          </cell>
          <cell r="AN953" t="str">
            <v>3P Onsite Worker</v>
          </cell>
          <cell r="AO953" t="str">
            <v>A</v>
          </cell>
          <cell r="AP953">
            <v>9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</row>
        <row r="954">
          <cell r="D954" t="str">
            <v>sankosam</v>
          </cell>
          <cell r="E954">
            <v>203881659</v>
          </cell>
          <cell r="F954" t="str">
            <v>A</v>
          </cell>
          <cell r="G954" t="str">
            <v>GREEN</v>
          </cell>
          <cell r="H954" t="str">
            <v>FULL_TIME</v>
          </cell>
          <cell r="I954">
            <v>900234</v>
          </cell>
          <cell r="J954" t="str">
            <v>Fastlink Outsourcing</v>
          </cell>
          <cell r="K954" t="str">
            <v>Sampha Sankoh</v>
          </cell>
          <cell r="L954" t="str">
            <v>Warehouse Associate (TEMP)</v>
          </cell>
          <cell r="M954" t="str">
            <v>Warehouse Associate 12M</v>
          </cell>
          <cell r="N954" t="str">
            <v>scariav</v>
          </cell>
          <cell r="O954">
            <v>1299</v>
          </cell>
          <cell r="P954" t="str">
            <v>AUH1</v>
          </cell>
          <cell r="Q954" t="str">
            <v>ARE</v>
          </cell>
          <cell r="R954" t="str">
            <v>LK014</v>
          </cell>
          <cell r="S954" t="str">
            <v>Night Shift</v>
          </cell>
          <cell r="T954">
            <v>99</v>
          </cell>
          <cell r="U954" t="str">
            <v>MENA_UAE_FC</v>
          </cell>
          <cell r="V954">
            <v>46257.745833333334</v>
          </cell>
          <cell r="X954">
            <v>46257.756944444445</v>
          </cell>
          <cell r="Y954">
            <v>46258.173611111109</v>
          </cell>
          <cell r="AA954" t="str">
            <v>Scheduled</v>
          </cell>
          <cell r="AB954" t="str">
            <v>Present</v>
          </cell>
          <cell r="AC954" t="str">
            <v>Outbound</v>
          </cell>
          <cell r="AD954" t="str">
            <v>Picking</v>
          </cell>
          <cell r="AE954" t="str">
            <v>Pick</v>
          </cell>
          <cell r="AF954" t="str">
            <v>Monday</v>
          </cell>
          <cell r="AG954" t="str">
            <v>Tuesday</v>
          </cell>
          <cell r="AH954">
            <v>13</v>
          </cell>
          <cell r="AJ954">
            <v>45529</v>
          </cell>
          <cell r="AM954" t="str">
            <v>TEMP</v>
          </cell>
          <cell r="AN954" t="str">
            <v>3P Onsite Worker</v>
          </cell>
          <cell r="AO954" t="str">
            <v>A</v>
          </cell>
          <cell r="AP954">
            <v>9</v>
          </cell>
          <cell r="AQ954">
            <v>0</v>
          </cell>
          <cell r="AR954">
            <v>1</v>
          </cell>
          <cell r="AS954">
            <v>1</v>
          </cell>
          <cell r="AT954">
            <v>0</v>
          </cell>
          <cell r="AU954">
            <v>0</v>
          </cell>
        </row>
        <row r="955">
          <cell r="D955" t="str">
            <v>sarpoatt</v>
          </cell>
          <cell r="E955">
            <v>205609430</v>
          </cell>
          <cell r="F955" t="str">
            <v>A</v>
          </cell>
          <cell r="G955" t="str">
            <v>GREEN</v>
          </cell>
          <cell r="H955" t="str">
            <v>FULL_TIME</v>
          </cell>
          <cell r="I955">
            <v>900234</v>
          </cell>
          <cell r="J955" t="str">
            <v>Dulsco L.L.C.</v>
          </cell>
          <cell r="K955" t="str">
            <v>ATTA AGYEKUM SARPONG</v>
          </cell>
          <cell r="L955" t="str">
            <v>Warehouse Associate (TEMP)</v>
          </cell>
          <cell r="M955" t="str">
            <v>Warehouse Associate 8W</v>
          </cell>
          <cell r="N955" t="str">
            <v>aanso</v>
          </cell>
          <cell r="O955">
            <v>1299</v>
          </cell>
          <cell r="P955" t="str">
            <v>AUH1</v>
          </cell>
          <cell r="Q955" t="str">
            <v>ARE</v>
          </cell>
          <cell r="R955" t="str">
            <v>LK014</v>
          </cell>
          <cell r="S955" t="str">
            <v>Night Shift</v>
          </cell>
          <cell r="T955">
            <v>99</v>
          </cell>
          <cell r="U955" t="str">
            <v>MENA_UAE_FC</v>
          </cell>
          <cell r="V955">
            <v>46257.756249999999</v>
          </cell>
          <cell r="X955">
            <v>46257.756944444445</v>
          </cell>
          <cell r="Y955">
            <v>46258.173611111109</v>
          </cell>
          <cell r="AA955" t="str">
            <v>Scheduled</v>
          </cell>
          <cell r="AB955" t="str">
            <v>Present</v>
          </cell>
          <cell r="AC955" t="str">
            <v>Customer returns</v>
          </cell>
          <cell r="AD955" t="str">
            <v>Customer Returns</v>
          </cell>
          <cell r="AE955" t="str">
            <v>Customer returns</v>
          </cell>
          <cell r="AF955" t="str">
            <v>Monday</v>
          </cell>
          <cell r="AG955" t="str">
            <v>Tuesday</v>
          </cell>
          <cell r="AH955">
            <v>22</v>
          </cell>
          <cell r="AJ955">
            <v>45844</v>
          </cell>
          <cell r="AM955" t="str">
            <v>TEMP</v>
          </cell>
          <cell r="AN955" t="str">
            <v>3P Onsite Worker</v>
          </cell>
          <cell r="AO955" t="str">
            <v>A</v>
          </cell>
          <cell r="AP955">
            <v>9</v>
          </cell>
          <cell r="AQ955">
            <v>0</v>
          </cell>
          <cell r="AR955">
            <v>1</v>
          </cell>
          <cell r="AS955">
            <v>1</v>
          </cell>
          <cell r="AT955">
            <v>0</v>
          </cell>
          <cell r="AU955">
            <v>0</v>
          </cell>
        </row>
        <row r="956">
          <cell r="D956" t="str">
            <v>sarshcha</v>
          </cell>
          <cell r="E956">
            <v>204373724</v>
          </cell>
          <cell r="F956" t="str">
            <v>A</v>
          </cell>
          <cell r="G956" t="str">
            <v>GREEN</v>
          </cell>
          <cell r="H956" t="str">
            <v>FULL_TIME</v>
          </cell>
          <cell r="I956">
            <v>900234</v>
          </cell>
          <cell r="J956" t="str">
            <v>Adecco</v>
          </cell>
          <cell r="K956" t="str">
            <v>SARSHAN CHARLES</v>
          </cell>
          <cell r="L956" t="str">
            <v>Warehouse Associate (TEMP)</v>
          </cell>
          <cell r="M956" t="str">
            <v>Warehouse Associate 24M</v>
          </cell>
          <cell r="N956" t="str">
            <v>ansammar</v>
          </cell>
          <cell r="O956">
            <v>1299</v>
          </cell>
          <cell r="P956" t="str">
            <v>AUH1</v>
          </cell>
          <cell r="Q956" t="str">
            <v>ARE</v>
          </cell>
          <cell r="R956" t="str">
            <v>FC159</v>
          </cell>
          <cell r="S956" t="str">
            <v>Day Shift</v>
          </cell>
          <cell r="T956">
            <v>99</v>
          </cell>
          <cell r="U956" t="str">
            <v>MENA_UAE_FC</v>
          </cell>
          <cell r="V956">
            <v>46257.333333333336</v>
          </cell>
          <cell r="W956">
            <v>46257.747916666667</v>
          </cell>
          <cell r="X956">
            <v>46257.333333333336</v>
          </cell>
          <cell r="Y956">
            <v>46257.75</v>
          </cell>
          <cell r="AA956" t="str">
            <v>Scheduled</v>
          </cell>
          <cell r="AB956" t="str">
            <v>Present</v>
          </cell>
          <cell r="AC956" t="str">
            <v>Outbound</v>
          </cell>
          <cell r="AD956" t="str">
            <v>Picking</v>
          </cell>
          <cell r="AE956" t="str">
            <v>Pick</v>
          </cell>
          <cell r="AF956" t="str">
            <v>Thursday</v>
          </cell>
          <cell r="AG956" t="str">
            <v>Friday</v>
          </cell>
          <cell r="AH956">
            <v>13</v>
          </cell>
          <cell r="AJ956">
            <v>45592</v>
          </cell>
          <cell r="AM956" t="str">
            <v>TEMP</v>
          </cell>
          <cell r="AN956" t="str">
            <v>3P Onsite Worker</v>
          </cell>
          <cell r="AO956" t="str">
            <v>A</v>
          </cell>
          <cell r="AP956">
            <v>9</v>
          </cell>
          <cell r="AQ956">
            <v>0</v>
          </cell>
          <cell r="AR956">
            <v>1</v>
          </cell>
          <cell r="AS956">
            <v>1</v>
          </cell>
          <cell r="AT956">
            <v>0</v>
          </cell>
          <cell r="AU956">
            <v>0</v>
          </cell>
        </row>
        <row r="957">
          <cell r="D957" t="str">
            <v>sbabucan</v>
          </cell>
          <cell r="E957">
            <v>204013688</v>
          </cell>
          <cell r="F957" t="str">
            <v>A</v>
          </cell>
          <cell r="G957" t="str">
            <v>GREEN</v>
          </cell>
          <cell r="H957" t="str">
            <v>FULL_TIME</v>
          </cell>
          <cell r="I957">
            <v>900234</v>
          </cell>
          <cell r="J957" t="str">
            <v>Fastlink Outsourcing</v>
          </cell>
          <cell r="K957" t="str">
            <v>Babucarr Sowe</v>
          </cell>
          <cell r="L957" t="str">
            <v>Warehouse Associate (TEMP)</v>
          </cell>
          <cell r="M957" t="str">
            <v>Warehouse Associate 12M</v>
          </cell>
          <cell r="N957" t="str">
            <v>bizthoma</v>
          </cell>
          <cell r="O957">
            <v>1299</v>
          </cell>
          <cell r="P957" t="str">
            <v>AUH1</v>
          </cell>
          <cell r="Q957" t="str">
            <v>ARE</v>
          </cell>
          <cell r="R957" t="str">
            <v>LK017</v>
          </cell>
          <cell r="S957" t="str">
            <v>Night Shift</v>
          </cell>
          <cell r="T957">
            <v>99</v>
          </cell>
          <cell r="U957" t="str">
            <v>MENA_UAE_FC</v>
          </cell>
          <cell r="V957">
            <v>46257.756944444445</v>
          </cell>
          <cell r="X957">
            <v>46257.756944444445</v>
          </cell>
          <cell r="Y957">
            <v>46258.173611111109</v>
          </cell>
          <cell r="AA957" t="str">
            <v>Scheduled</v>
          </cell>
          <cell r="AB957" t="str">
            <v>Present</v>
          </cell>
          <cell r="AC957" t="str">
            <v>Outbound</v>
          </cell>
          <cell r="AD957" t="str">
            <v>Picking</v>
          </cell>
          <cell r="AE957" t="str">
            <v>Pick</v>
          </cell>
          <cell r="AF957" t="str">
            <v>Thursday</v>
          </cell>
          <cell r="AG957" t="str">
            <v>Friday</v>
          </cell>
          <cell r="AH957">
            <v>13</v>
          </cell>
          <cell r="AJ957">
            <v>45550</v>
          </cell>
          <cell r="AM957" t="str">
            <v>TEMP</v>
          </cell>
          <cell r="AN957" t="str">
            <v>3P Onsite Worker</v>
          </cell>
          <cell r="AO957" t="str">
            <v>A</v>
          </cell>
          <cell r="AP957">
            <v>9</v>
          </cell>
          <cell r="AQ957">
            <v>0</v>
          </cell>
          <cell r="AR957">
            <v>1</v>
          </cell>
          <cell r="AS957">
            <v>1</v>
          </cell>
          <cell r="AT957">
            <v>0</v>
          </cell>
          <cell r="AU957">
            <v>0</v>
          </cell>
        </row>
        <row r="958">
          <cell r="D958" t="str">
            <v>scarktin</v>
          </cell>
          <cell r="E958">
            <v>106262687</v>
          </cell>
          <cell r="F958" t="str">
            <v>A</v>
          </cell>
          <cell r="G958" t="str">
            <v>BLUE</v>
          </cell>
          <cell r="H958" t="str">
            <v>FULL_TIME</v>
          </cell>
          <cell r="I958" t="str">
            <v>P03231</v>
          </cell>
          <cell r="K958" t="str">
            <v>Tino Mangottil Scaria</v>
          </cell>
          <cell r="L958" t="str">
            <v>FC Associate III</v>
          </cell>
          <cell r="M958" t="str">
            <v>Operations Supervisor</v>
          </cell>
          <cell r="N958" t="str">
            <v>bizthoma</v>
          </cell>
          <cell r="O958">
            <v>1299</v>
          </cell>
          <cell r="P958" t="str">
            <v>AUH1</v>
          </cell>
          <cell r="Q958" t="str">
            <v>ARE</v>
          </cell>
          <cell r="R958" t="str">
            <v>FC059</v>
          </cell>
          <cell r="S958" t="str">
            <v>Day Shift</v>
          </cell>
          <cell r="T958">
            <v>3</v>
          </cell>
          <cell r="U958" t="str">
            <v>MENA_UAE_FC</v>
          </cell>
          <cell r="V958">
            <v>46257.323611111111</v>
          </cell>
          <cell r="W958">
            <v>46257.754861111112</v>
          </cell>
          <cell r="X958">
            <v>46257.333333333336</v>
          </cell>
          <cell r="Y958">
            <v>46257.75</v>
          </cell>
          <cell r="Z958" t="str">
            <v>Rest Day</v>
          </cell>
          <cell r="AA958" t="str">
            <v>Not Scheduled</v>
          </cell>
          <cell r="AB958" t="str">
            <v>Present</v>
          </cell>
          <cell r="AC958" t="str">
            <v>Outbound</v>
          </cell>
          <cell r="AD958" t="str">
            <v>Sort - Batch</v>
          </cell>
          <cell r="AE958" t="str">
            <v>Sort</v>
          </cell>
          <cell r="AF958" t="str">
            <v>Sunday</v>
          </cell>
          <cell r="AG958" t="str">
            <v>Monday</v>
          </cell>
          <cell r="AH958">
            <v>15</v>
          </cell>
          <cell r="AJ958">
            <v>44756</v>
          </cell>
          <cell r="AM958" t="str">
            <v>FC</v>
          </cell>
          <cell r="AN958" t="str">
            <v>Regular Full Time</v>
          </cell>
          <cell r="AO958" t="str">
            <v>A</v>
          </cell>
          <cell r="AP958">
            <v>9</v>
          </cell>
          <cell r="AQ958">
            <v>1</v>
          </cell>
          <cell r="AR958">
            <v>1</v>
          </cell>
          <cell r="AS958">
            <v>0</v>
          </cell>
          <cell r="AT958">
            <v>0</v>
          </cell>
          <cell r="AU958">
            <v>0</v>
          </cell>
        </row>
        <row r="959">
          <cell r="D959" t="str">
            <v>schelanw</v>
          </cell>
          <cell r="E959">
            <v>206886513</v>
          </cell>
          <cell r="F959" t="str">
            <v>A</v>
          </cell>
          <cell r="G959" t="str">
            <v>GREEN</v>
          </cell>
          <cell r="H959" t="str">
            <v>FULL_TIME</v>
          </cell>
          <cell r="I959">
            <v>900234</v>
          </cell>
          <cell r="J959" t="str">
            <v>EFS Facilities Services</v>
          </cell>
          <cell r="K959" t="str">
            <v>SHARON CHELANGAT</v>
          </cell>
          <cell r="L959" t="str">
            <v>Warehouse Associate (TEMP)</v>
          </cell>
          <cell r="M959" t="str">
            <v>Warehouse Associate 8W</v>
          </cell>
          <cell r="N959" t="str">
            <v>mnarshad</v>
          </cell>
          <cell r="O959">
            <v>1299</v>
          </cell>
          <cell r="P959" t="str">
            <v>AUH1</v>
          </cell>
          <cell r="Q959" t="str">
            <v>ARE</v>
          </cell>
          <cell r="R959" t="str">
            <v>LK016</v>
          </cell>
          <cell r="S959" t="str">
            <v>Night Shift</v>
          </cell>
          <cell r="T959">
            <v>99</v>
          </cell>
          <cell r="U959" t="str">
            <v>MENA_UAE_FC</v>
          </cell>
          <cell r="V959">
            <v>46257.754861111112</v>
          </cell>
          <cell r="X959">
            <v>46257.756944444445</v>
          </cell>
          <cell r="Y959">
            <v>46258.173611111109</v>
          </cell>
          <cell r="AA959" t="str">
            <v>Scheduled</v>
          </cell>
          <cell r="AB959" t="str">
            <v>Present</v>
          </cell>
          <cell r="AC959" t="str">
            <v>Outbound</v>
          </cell>
          <cell r="AD959" t="str">
            <v>Picking</v>
          </cell>
          <cell r="AE959" t="str">
            <v>Pick</v>
          </cell>
          <cell r="AF959" t="str">
            <v>Wednesday</v>
          </cell>
          <cell r="AG959" t="str">
            <v>Thursday</v>
          </cell>
          <cell r="AH959">
            <v>13</v>
          </cell>
          <cell r="AJ959">
            <v>46026</v>
          </cell>
          <cell r="AM959" t="str">
            <v>TEMP</v>
          </cell>
          <cell r="AN959" t="str">
            <v>3P Onsite Worker</v>
          </cell>
          <cell r="AO959" t="str">
            <v>A</v>
          </cell>
          <cell r="AP959">
            <v>9</v>
          </cell>
          <cell r="AQ959">
            <v>0</v>
          </cell>
          <cell r="AR959">
            <v>1</v>
          </cell>
          <cell r="AS959">
            <v>1</v>
          </cell>
          <cell r="AT959">
            <v>0</v>
          </cell>
          <cell r="AU959">
            <v>0</v>
          </cell>
        </row>
        <row r="960">
          <cell r="D960" t="str">
            <v>sedbakoh</v>
          </cell>
          <cell r="E960">
            <v>203635501</v>
          </cell>
          <cell r="F960" t="str">
            <v>A</v>
          </cell>
          <cell r="G960" t="str">
            <v>GREEN</v>
          </cell>
          <cell r="H960" t="str">
            <v>FULL_TIME</v>
          </cell>
          <cell r="I960">
            <v>900234</v>
          </cell>
          <cell r="J960" t="str">
            <v>Fastlink Outsourcing</v>
          </cell>
          <cell r="K960" t="str">
            <v>Sedoline Bakoh</v>
          </cell>
          <cell r="L960" t="str">
            <v>Warehouse Associate (TEMP)</v>
          </cell>
          <cell r="M960" t="str">
            <v>Warehouse Associate 12M</v>
          </cell>
          <cell r="N960" t="str">
            <v>nnahla</v>
          </cell>
          <cell r="O960">
            <v>1299</v>
          </cell>
          <cell r="P960" t="str">
            <v>AUH1</v>
          </cell>
          <cell r="Q960" t="str">
            <v>ARE</v>
          </cell>
          <cell r="R960" t="str">
            <v>FC059</v>
          </cell>
          <cell r="S960" t="str">
            <v>Day Shift</v>
          </cell>
          <cell r="T960">
            <v>99</v>
          </cell>
          <cell r="U960" t="str">
            <v>MENA_UAE_FC</v>
          </cell>
          <cell r="X960">
            <v>46257.333333333336</v>
          </cell>
          <cell r="Y960">
            <v>46257.75</v>
          </cell>
          <cell r="Z960" t="str">
            <v>Rest Day</v>
          </cell>
          <cell r="AA960" t="str">
            <v>Not Scheduled</v>
          </cell>
          <cell r="AB960" t="str">
            <v>Not Present</v>
          </cell>
          <cell r="AC960" t="str">
            <v>Inbound</v>
          </cell>
          <cell r="AD960" t="str">
            <v>Inbound Stow</v>
          </cell>
          <cell r="AE960" t="str">
            <v>Stow</v>
          </cell>
          <cell r="AF960" t="str">
            <v>Sunday</v>
          </cell>
          <cell r="AG960" t="str">
            <v>Monday</v>
          </cell>
          <cell r="AH960">
            <v>3</v>
          </cell>
          <cell r="AJ960">
            <v>45480</v>
          </cell>
          <cell r="AM960" t="str">
            <v>TEMP</v>
          </cell>
          <cell r="AN960" t="str">
            <v>3P Onsite Worker</v>
          </cell>
          <cell r="AO960" t="str">
            <v>A</v>
          </cell>
          <cell r="AP960">
            <v>9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</row>
        <row r="961">
          <cell r="D961" t="str">
            <v>sekamdib</v>
          </cell>
          <cell r="E961">
            <v>203993450</v>
          </cell>
          <cell r="F961" t="str">
            <v>A</v>
          </cell>
          <cell r="G961" t="str">
            <v>GREEN</v>
          </cell>
          <cell r="H961" t="str">
            <v>FULL_TIME</v>
          </cell>
          <cell r="I961">
            <v>900234</v>
          </cell>
          <cell r="J961" t="str">
            <v>Dulsco L.L.C.</v>
          </cell>
          <cell r="K961" t="str">
            <v>IBRAHIM SEKAMWA</v>
          </cell>
          <cell r="L961" t="str">
            <v>Warehouse Associate (TEMP)</v>
          </cell>
          <cell r="M961" t="str">
            <v>Warehouse Associate 24M</v>
          </cell>
          <cell r="N961" t="str">
            <v>bizthoma</v>
          </cell>
          <cell r="O961">
            <v>1299</v>
          </cell>
          <cell r="P961" t="str">
            <v>AUH1</v>
          </cell>
          <cell r="Q961" t="str">
            <v>ARE</v>
          </cell>
          <cell r="R961" t="str">
            <v>LK012</v>
          </cell>
          <cell r="S961" t="str">
            <v>Night Shift</v>
          </cell>
          <cell r="T961">
            <v>99</v>
          </cell>
          <cell r="U961" t="str">
            <v>MENA_UAE_FC</v>
          </cell>
          <cell r="X961">
            <v>46257.756944444445</v>
          </cell>
          <cell r="Y961">
            <v>46258.173611111109</v>
          </cell>
          <cell r="Z961" t="str">
            <v>Rest Day</v>
          </cell>
          <cell r="AA961" t="str">
            <v>Not Scheduled</v>
          </cell>
          <cell r="AB961" t="str">
            <v>Not Present</v>
          </cell>
          <cell r="AC961" t="str">
            <v>Outbound</v>
          </cell>
          <cell r="AD961" t="str">
            <v>Pack - Batch</v>
          </cell>
          <cell r="AE961" t="str">
            <v>Pack</v>
          </cell>
          <cell r="AF961" t="str">
            <v>Saturday</v>
          </cell>
          <cell r="AG961" t="str">
            <v>Sunday</v>
          </cell>
          <cell r="AH961">
            <v>17</v>
          </cell>
          <cell r="AJ961">
            <v>45546</v>
          </cell>
          <cell r="AM961" t="str">
            <v>TEMP</v>
          </cell>
          <cell r="AN961" t="str">
            <v>3P Onsite Worker</v>
          </cell>
          <cell r="AO961" t="str">
            <v>A</v>
          </cell>
          <cell r="AP961">
            <v>9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</row>
        <row r="962">
          <cell r="D962" t="str">
            <v>selaryea</v>
          </cell>
          <cell r="E962">
            <v>204967051</v>
          </cell>
          <cell r="F962" t="str">
            <v>A</v>
          </cell>
          <cell r="G962" t="str">
            <v>GREEN</v>
          </cell>
          <cell r="H962" t="str">
            <v>FULL_TIME</v>
          </cell>
          <cell r="I962">
            <v>900234</v>
          </cell>
          <cell r="J962" t="str">
            <v>Dulsco L.L.C.</v>
          </cell>
          <cell r="K962" t="str">
            <v>SETH LARYEA</v>
          </cell>
          <cell r="L962" t="str">
            <v>Warehouse Associate (TEMP)</v>
          </cell>
          <cell r="M962" t="str">
            <v>Warehouse Associate 8W</v>
          </cell>
          <cell r="N962" t="str">
            <v>vkkatyal</v>
          </cell>
          <cell r="O962">
            <v>1299</v>
          </cell>
          <cell r="P962" t="str">
            <v>AUH1</v>
          </cell>
          <cell r="Q962" t="str">
            <v>ARE</v>
          </cell>
          <cell r="R962" t="str">
            <v>LK013</v>
          </cell>
          <cell r="S962" t="str">
            <v>Night Shift</v>
          </cell>
          <cell r="T962">
            <v>99</v>
          </cell>
          <cell r="U962" t="str">
            <v>MENA_UAE_FC</v>
          </cell>
          <cell r="X962">
            <v>46257.756944444445</v>
          </cell>
          <cell r="Y962">
            <v>46258.173611111109</v>
          </cell>
          <cell r="Z962" t="str">
            <v>Rest Day</v>
          </cell>
          <cell r="AA962" t="str">
            <v>Not Scheduled</v>
          </cell>
          <cell r="AB962" t="str">
            <v>Not Present</v>
          </cell>
          <cell r="AC962" t="str">
            <v>Inbound</v>
          </cell>
          <cell r="AD962" t="str">
            <v>Inbound Stow</v>
          </cell>
          <cell r="AE962" t="str">
            <v>Stow</v>
          </cell>
          <cell r="AF962" t="str">
            <v>Sunday</v>
          </cell>
          <cell r="AG962" t="str">
            <v>Monday</v>
          </cell>
          <cell r="AH962">
            <v>3</v>
          </cell>
          <cell r="AJ962">
            <v>45825</v>
          </cell>
          <cell r="AM962" t="str">
            <v>TEMP</v>
          </cell>
          <cell r="AN962" t="str">
            <v>3P Onsite Worker</v>
          </cell>
          <cell r="AO962" t="str">
            <v>A</v>
          </cell>
          <cell r="AP962">
            <v>9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</row>
        <row r="963">
          <cell r="D963" t="str">
            <v>senncube</v>
          </cell>
          <cell r="E963">
            <v>204299908</v>
          </cell>
          <cell r="F963" t="str">
            <v>A</v>
          </cell>
          <cell r="G963" t="str">
            <v>GREEN</v>
          </cell>
          <cell r="H963" t="str">
            <v>FULL_TIME</v>
          </cell>
          <cell r="I963">
            <v>900234</v>
          </cell>
          <cell r="J963" t="str">
            <v>Quesscorp</v>
          </cell>
          <cell r="K963" t="str">
            <v>Senzo Ncube</v>
          </cell>
          <cell r="L963" t="str">
            <v>Warehouse Associate (TEMP)</v>
          </cell>
          <cell r="M963" t="str">
            <v>Warehouse Associate 24M</v>
          </cell>
          <cell r="N963" t="str">
            <v>bavameer</v>
          </cell>
          <cell r="O963">
            <v>1299</v>
          </cell>
          <cell r="P963" t="str">
            <v>AUH1</v>
          </cell>
          <cell r="Q963" t="str">
            <v>ARE</v>
          </cell>
          <cell r="R963" t="str">
            <v>LK012</v>
          </cell>
          <cell r="S963" t="str">
            <v>Night Shift</v>
          </cell>
          <cell r="T963">
            <v>99</v>
          </cell>
          <cell r="U963" t="str">
            <v>MENA_UAE_FC</v>
          </cell>
          <cell r="X963">
            <v>46257.756944444445</v>
          </cell>
          <cell r="Y963">
            <v>46258.173611111109</v>
          </cell>
          <cell r="Z963" t="str">
            <v>Rest Day</v>
          </cell>
          <cell r="AA963" t="str">
            <v>Not Scheduled</v>
          </cell>
          <cell r="AB963" t="str">
            <v>Not Present</v>
          </cell>
          <cell r="AC963" t="str">
            <v>Customer returns</v>
          </cell>
          <cell r="AD963" t="str">
            <v>Customer Returns</v>
          </cell>
          <cell r="AE963" t="str">
            <v>Customer returns</v>
          </cell>
          <cell r="AF963" t="str">
            <v>Saturday</v>
          </cell>
          <cell r="AG963" t="str">
            <v>Sunday</v>
          </cell>
          <cell r="AH963">
            <v>22</v>
          </cell>
          <cell r="AJ963">
            <v>45588</v>
          </cell>
          <cell r="AM963" t="str">
            <v>TEMP</v>
          </cell>
          <cell r="AN963" t="str">
            <v>3P Onsite Worker</v>
          </cell>
          <cell r="AO963" t="str">
            <v>A</v>
          </cell>
          <cell r="AP963">
            <v>9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</row>
        <row r="964">
          <cell r="D964" t="str">
            <v>sentshaf</v>
          </cell>
          <cell r="E964">
            <v>205647585</v>
          </cell>
          <cell r="F964" t="str">
            <v>A</v>
          </cell>
          <cell r="G964" t="str">
            <v>GREEN</v>
          </cell>
          <cell r="H964" t="str">
            <v>FULL_TIME</v>
          </cell>
          <cell r="I964">
            <v>900234</v>
          </cell>
          <cell r="J964" t="str">
            <v>EFS Facilities Services</v>
          </cell>
          <cell r="K964" t="str">
            <v>Shafik Sentongo</v>
          </cell>
          <cell r="L964" t="str">
            <v>Warehouse Associate (TEMP)</v>
          </cell>
          <cell r="M964" t="str">
            <v>Warehouse Associate 8W</v>
          </cell>
          <cell r="N964" t="str">
            <v>bavameer</v>
          </cell>
          <cell r="O964">
            <v>1299</v>
          </cell>
          <cell r="P964" t="str">
            <v>AUH1</v>
          </cell>
          <cell r="Q964" t="str">
            <v>ARE</v>
          </cell>
          <cell r="R964" t="str">
            <v>FC009</v>
          </cell>
          <cell r="S964" t="str">
            <v>Day Shift</v>
          </cell>
          <cell r="T964">
            <v>99</v>
          </cell>
          <cell r="U964" t="str">
            <v>MENA_UAE_FC</v>
          </cell>
          <cell r="V964">
            <v>46257.329861111109</v>
          </cell>
          <cell r="W964">
            <v>46257.748611111114</v>
          </cell>
          <cell r="X964">
            <v>46257.333333333336</v>
          </cell>
          <cell r="Y964">
            <v>46257.75</v>
          </cell>
          <cell r="AA964" t="str">
            <v>Scheduled</v>
          </cell>
          <cell r="AB964" t="str">
            <v>Present</v>
          </cell>
          <cell r="AC964" t="str">
            <v>Customer returns</v>
          </cell>
          <cell r="AD964" t="str">
            <v>Customer Returns</v>
          </cell>
          <cell r="AE964" t="str">
            <v>Customer returns</v>
          </cell>
          <cell r="AF964" t="str">
            <v>Friday</v>
          </cell>
          <cell r="AG964" t="str">
            <v>Saturday</v>
          </cell>
          <cell r="AH964">
            <v>22</v>
          </cell>
          <cell r="AJ964">
            <v>45851</v>
          </cell>
          <cell r="AM964" t="str">
            <v>TEMP</v>
          </cell>
          <cell r="AN964" t="str">
            <v>3P Onsite Worker</v>
          </cell>
          <cell r="AO964" t="str">
            <v>A</v>
          </cell>
          <cell r="AP964">
            <v>9</v>
          </cell>
          <cell r="AQ964">
            <v>0</v>
          </cell>
          <cell r="AR964">
            <v>1</v>
          </cell>
          <cell r="AS964">
            <v>1</v>
          </cell>
          <cell r="AT964">
            <v>0</v>
          </cell>
          <cell r="AU964">
            <v>0</v>
          </cell>
        </row>
        <row r="965">
          <cell r="D965" t="str">
            <v>sesakadi</v>
          </cell>
          <cell r="E965">
            <v>204319796</v>
          </cell>
          <cell r="F965" t="str">
            <v>A</v>
          </cell>
          <cell r="G965" t="str">
            <v>GREEN</v>
          </cell>
          <cell r="H965" t="str">
            <v>FULL_TIME</v>
          </cell>
          <cell r="I965">
            <v>900234</v>
          </cell>
          <cell r="J965" t="str">
            <v>Quesscorp</v>
          </cell>
          <cell r="K965" t="str">
            <v>Kadiatu Sesay</v>
          </cell>
          <cell r="L965" t="str">
            <v>Warehouse Associate (TEMP)</v>
          </cell>
          <cell r="M965" t="str">
            <v>Warehouse Associate 24M</v>
          </cell>
          <cell r="N965" t="str">
            <v>mnarshad</v>
          </cell>
          <cell r="O965">
            <v>1299</v>
          </cell>
          <cell r="P965" t="str">
            <v>AUH1</v>
          </cell>
          <cell r="Q965" t="str">
            <v>ARE</v>
          </cell>
          <cell r="R965" t="str">
            <v>LK016</v>
          </cell>
          <cell r="S965" t="str">
            <v>Night Shift</v>
          </cell>
          <cell r="T965">
            <v>99</v>
          </cell>
          <cell r="U965" t="str">
            <v>MENA_UAE_FC</v>
          </cell>
          <cell r="V965">
            <v>46257.332638888889</v>
          </cell>
          <cell r="W965">
            <v>46257.748611111114</v>
          </cell>
          <cell r="X965">
            <v>46257.333333333336</v>
          </cell>
          <cell r="Y965">
            <v>46257.75</v>
          </cell>
          <cell r="AA965" t="str">
            <v>Scheduled</v>
          </cell>
          <cell r="AB965" t="str">
            <v>Present</v>
          </cell>
          <cell r="AC965" t="str">
            <v>Outbound</v>
          </cell>
          <cell r="AD965" t="str">
            <v>Pack - Single</v>
          </cell>
          <cell r="AE965" t="str">
            <v>Pack</v>
          </cell>
          <cell r="AF965" t="str">
            <v>Wednesday</v>
          </cell>
          <cell r="AG965" t="str">
            <v>Thursday</v>
          </cell>
          <cell r="AH965">
            <v>18</v>
          </cell>
          <cell r="AJ965">
            <v>45588</v>
          </cell>
          <cell r="AM965" t="str">
            <v>TEMP</v>
          </cell>
          <cell r="AN965" t="str">
            <v>3P Onsite Worker</v>
          </cell>
          <cell r="AO965" t="str">
            <v>A</v>
          </cell>
          <cell r="AP965">
            <v>9</v>
          </cell>
          <cell r="AQ965">
            <v>0</v>
          </cell>
          <cell r="AR965">
            <v>1</v>
          </cell>
          <cell r="AS965">
            <v>1</v>
          </cell>
          <cell r="AT965">
            <v>0</v>
          </cell>
          <cell r="AU965">
            <v>0</v>
          </cell>
        </row>
        <row r="966">
          <cell r="D966" t="str">
            <v>seugrace</v>
          </cell>
          <cell r="E966">
            <v>204869087</v>
          </cell>
          <cell r="F966" t="str">
            <v>A</v>
          </cell>
          <cell r="G966" t="str">
            <v>GREEN</v>
          </cell>
          <cell r="H966" t="str">
            <v>FULL_TIME</v>
          </cell>
          <cell r="I966">
            <v>900234</v>
          </cell>
          <cell r="J966" t="str">
            <v>Quesscorp</v>
          </cell>
          <cell r="K966" t="str">
            <v>Grace Serwaa</v>
          </cell>
          <cell r="L966" t="str">
            <v>Warehouse Associate (TEMP)</v>
          </cell>
          <cell r="M966" t="str">
            <v>Warehouse Associate 24M</v>
          </cell>
          <cell r="N966" t="str">
            <v>nnahla</v>
          </cell>
          <cell r="O966">
            <v>1299</v>
          </cell>
          <cell r="P966" t="str">
            <v>AUH1</v>
          </cell>
          <cell r="Q966" t="str">
            <v>ARE</v>
          </cell>
          <cell r="R966" t="str">
            <v>FC059</v>
          </cell>
          <cell r="S966" t="str">
            <v>Day Shift</v>
          </cell>
          <cell r="T966">
            <v>99</v>
          </cell>
          <cell r="U966" t="str">
            <v>MENA_UAE_FC</v>
          </cell>
          <cell r="X966">
            <v>46257.333333333336</v>
          </cell>
          <cell r="Y966">
            <v>46257.75</v>
          </cell>
          <cell r="Z966" t="str">
            <v>Rest Day</v>
          </cell>
          <cell r="AA966" t="str">
            <v>Not Scheduled</v>
          </cell>
          <cell r="AB966" t="str">
            <v>Not Present</v>
          </cell>
          <cell r="AC966" t="str">
            <v>Inbound</v>
          </cell>
          <cell r="AD966" t="str">
            <v>Inbound Stow</v>
          </cell>
          <cell r="AE966" t="str">
            <v>Stow</v>
          </cell>
          <cell r="AF966" t="str">
            <v>Sunday</v>
          </cell>
          <cell r="AG966" t="str">
            <v>Monday</v>
          </cell>
          <cell r="AH966">
            <v>3</v>
          </cell>
          <cell r="AJ966">
            <v>45690</v>
          </cell>
          <cell r="AM966" t="str">
            <v>TEMP</v>
          </cell>
          <cell r="AN966" t="str">
            <v>3P Onsite Worker</v>
          </cell>
          <cell r="AO966" t="str">
            <v>A</v>
          </cell>
          <cell r="AP966">
            <v>9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</row>
        <row r="967">
          <cell r="D967" t="str">
            <v>shaandhk</v>
          </cell>
          <cell r="E967">
            <v>205845550</v>
          </cell>
          <cell r="F967" t="str">
            <v>A</v>
          </cell>
          <cell r="G967" t="str">
            <v>GREEN</v>
          </cell>
          <cell r="H967" t="str">
            <v>FULL_TIME</v>
          </cell>
          <cell r="I967">
            <v>900234</v>
          </cell>
          <cell r="J967" t="str">
            <v>Dulsco L.L.C.</v>
          </cell>
          <cell r="K967" t="str">
            <v>SHAFIC ANDHI</v>
          </cell>
          <cell r="L967" t="str">
            <v>Warehouse Associate (TEMP)</v>
          </cell>
          <cell r="M967" t="str">
            <v>Warehouse Associate 8W</v>
          </cell>
          <cell r="N967" t="str">
            <v>ansammar</v>
          </cell>
          <cell r="O967">
            <v>1299</v>
          </cell>
          <cell r="P967" t="str">
            <v>AUH1</v>
          </cell>
          <cell r="Q967" t="str">
            <v>ARE</v>
          </cell>
          <cell r="R967" t="str">
            <v>LK015</v>
          </cell>
          <cell r="S967" t="str">
            <v>Night Shift</v>
          </cell>
          <cell r="T967">
            <v>99</v>
          </cell>
          <cell r="U967" t="str">
            <v>MENA_UAE_FC</v>
          </cell>
          <cell r="V967">
            <v>46257.331250000003</v>
          </cell>
          <cell r="W967">
            <v>46257.747916666667</v>
          </cell>
          <cell r="X967">
            <v>46257.333333333336</v>
          </cell>
          <cell r="Y967">
            <v>46257.75</v>
          </cell>
          <cell r="AA967" t="str">
            <v>Scheduled</v>
          </cell>
          <cell r="AB967" t="str">
            <v>Present</v>
          </cell>
          <cell r="AC967" t="str">
            <v>Outbound</v>
          </cell>
          <cell r="AD967" t="str">
            <v>Picking</v>
          </cell>
          <cell r="AE967" t="str">
            <v>Pick</v>
          </cell>
          <cell r="AF967" t="str">
            <v>Tuesday</v>
          </cell>
          <cell r="AG967" t="str">
            <v>Wednesday</v>
          </cell>
          <cell r="AH967">
            <v>13</v>
          </cell>
          <cell r="AJ967">
            <v>45893</v>
          </cell>
          <cell r="AM967" t="str">
            <v>TEMP</v>
          </cell>
          <cell r="AN967" t="str">
            <v>3P Onsite Worker</v>
          </cell>
          <cell r="AO967" t="str">
            <v>A</v>
          </cell>
          <cell r="AP967">
            <v>9</v>
          </cell>
          <cell r="AQ967">
            <v>0</v>
          </cell>
          <cell r="AR967">
            <v>1</v>
          </cell>
          <cell r="AS967">
            <v>1</v>
          </cell>
          <cell r="AT967">
            <v>0</v>
          </cell>
          <cell r="AU967">
            <v>0</v>
          </cell>
        </row>
        <row r="968">
          <cell r="D968" t="str">
            <v>shadraat</v>
          </cell>
          <cell r="E968">
            <v>205199830</v>
          </cell>
          <cell r="F968" t="str">
            <v>A</v>
          </cell>
          <cell r="G968" t="str">
            <v>GREEN</v>
          </cell>
          <cell r="H968" t="str">
            <v>FULL_TIME</v>
          </cell>
          <cell r="I968">
            <v>900234</v>
          </cell>
          <cell r="J968" t="str">
            <v>EFS Facilities Services</v>
          </cell>
          <cell r="K968" t="str">
            <v>Shadrack Atela</v>
          </cell>
          <cell r="L968" t="str">
            <v>Warehouse Associate (TEMP)</v>
          </cell>
          <cell r="M968" t="str">
            <v>Warehouse Associate 12M</v>
          </cell>
          <cell r="N968" t="str">
            <v>ansammar</v>
          </cell>
          <cell r="O968">
            <v>1299</v>
          </cell>
          <cell r="P968" t="str">
            <v>AUH1</v>
          </cell>
          <cell r="Q968" t="str">
            <v>ARE</v>
          </cell>
          <cell r="R968" t="str">
            <v>LK011</v>
          </cell>
          <cell r="S968" t="str">
            <v>Night Shift</v>
          </cell>
          <cell r="T968">
            <v>99</v>
          </cell>
          <cell r="U968" t="str">
            <v>MENA_UAE_FC</v>
          </cell>
          <cell r="V968">
            <v>46257.756249999999</v>
          </cell>
          <cell r="X968">
            <v>46257.756944444445</v>
          </cell>
          <cell r="Y968">
            <v>46258.173611111109</v>
          </cell>
          <cell r="AA968" t="str">
            <v>Scheduled</v>
          </cell>
          <cell r="AB968" t="str">
            <v>Present</v>
          </cell>
          <cell r="AC968" t="str">
            <v>Outbound</v>
          </cell>
          <cell r="AD968" t="str">
            <v>Picking</v>
          </cell>
          <cell r="AE968" t="str">
            <v>Pick</v>
          </cell>
          <cell r="AF968" t="str">
            <v>Friday</v>
          </cell>
          <cell r="AG968" t="str">
            <v>Saturday</v>
          </cell>
          <cell r="AH968">
            <v>13</v>
          </cell>
          <cell r="AJ968">
            <v>45774</v>
          </cell>
          <cell r="AM968" t="str">
            <v>TEMP</v>
          </cell>
          <cell r="AN968" t="str">
            <v>3P Onsite Worker</v>
          </cell>
          <cell r="AO968" t="str">
            <v>A</v>
          </cell>
          <cell r="AP968">
            <v>9</v>
          </cell>
          <cell r="AQ968">
            <v>0</v>
          </cell>
          <cell r="AR968">
            <v>1</v>
          </cell>
          <cell r="AS968">
            <v>1</v>
          </cell>
          <cell r="AT968">
            <v>0</v>
          </cell>
          <cell r="AU968">
            <v>0</v>
          </cell>
        </row>
        <row r="969">
          <cell r="D969" t="str">
            <v>shadraob</v>
          </cell>
          <cell r="E969">
            <v>205127496</v>
          </cell>
          <cell r="F969" t="str">
            <v>A</v>
          </cell>
          <cell r="G969" t="str">
            <v>GREEN</v>
          </cell>
          <cell r="H969" t="str">
            <v>FULL_TIME</v>
          </cell>
          <cell r="I969">
            <v>900234</v>
          </cell>
          <cell r="J969" t="str">
            <v>EFS Facilities Services</v>
          </cell>
          <cell r="K969" t="str">
            <v>Shadrack Obi</v>
          </cell>
          <cell r="L969" t="str">
            <v>Warehouse Associate (TEMP)</v>
          </cell>
          <cell r="M969" t="str">
            <v>Warehouse Associate 8W</v>
          </cell>
          <cell r="N969" t="str">
            <v>helrashd</v>
          </cell>
          <cell r="O969">
            <v>1299</v>
          </cell>
          <cell r="P969" t="str">
            <v>AUH1</v>
          </cell>
          <cell r="Q969" t="str">
            <v>ARE</v>
          </cell>
          <cell r="R969" t="str">
            <v>LK016</v>
          </cell>
          <cell r="S969" t="str">
            <v>Night Shift</v>
          </cell>
          <cell r="T969">
            <v>99</v>
          </cell>
          <cell r="U969" t="str">
            <v>MENA_UAE_FC</v>
          </cell>
          <cell r="V969">
            <v>46257.755555555559</v>
          </cell>
          <cell r="X969">
            <v>46257.756944444445</v>
          </cell>
          <cell r="Y969">
            <v>46258.173611111109</v>
          </cell>
          <cell r="AA969" t="str">
            <v>Scheduled</v>
          </cell>
          <cell r="AB969" t="str">
            <v>Present</v>
          </cell>
          <cell r="AC969" t="str">
            <v>Outbound</v>
          </cell>
          <cell r="AD969" t="str">
            <v>Picking</v>
          </cell>
          <cell r="AE969" t="str">
            <v>Pick</v>
          </cell>
          <cell r="AF969" t="str">
            <v>Wednesday</v>
          </cell>
          <cell r="AG969" t="str">
            <v>Thursday</v>
          </cell>
          <cell r="AH969">
            <v>13</v>
          </cell>
          <cell r="AJ969">
            <v>45756</v>
          </cell>
          <cell r="AM969" t="str">
            <v>TEMP</v>
          </cell>
          <cell r="AN969" t="str">
            <v>3P Onsite Worker</v>
          </cell>
          <cell r="AO969" t="str">
            <v>A</v>
          </cell>
          <cell r="AP969">
            <v>9</v>
          </cell>
          <cell r="AQ969">
            <v>0</v>
          </cell>
          <cell r="AR969">
            <v>1</v>
          </cell>
          <cell r="AS969">
            <v>1</v>
          </cell>
          <cell r="AT969">
            <v>0</v>
          </cell>
          <cell r="AU969">
            <v>0</v>
          </cell>
        </row>
        <row r="970">
          <cell r="D970" t="str">
            <v>shadrkwa</v>
          </cell>
          <cell r="E970">
            <v>203468744</v>
          </cell>
          <cell r="F970" t="str">
            <v>A</v>
          </cell>
          <cell r="G970" t="str">
            <v>GREEN</v>
          </cell>
          <cell r="H970" t="str">
            <v>FULL_TIME</v>
          </cell>
          <cell r="I970">
            <v>900234</v>
          </cell>
          <cell r="J970" t="str">
            <v>Fastlink Outsourcing</v>
          </cell>
          <cell r="K970" t="str">
            <v>Shadrack Kwarteng</v>
          </cell>
          <cell r="L970" t="str">
            <v>Warehouse Associate (TEMP)</v>
          </cell>
          <cell r="M970" t="str">
            <v>Warehouse Associate 12M</v>
          </cell>
          <cell r="N970" t="str">
            <v>bizthoma</v>
          </cell>
          <cell r="O970">
            <v>1299</v>
          </cell>
          <cell r="P970" t="str">
            <v>AUH1</v>
          </cell>
          <cell r="Q970" t="str">
            <v>ARE</v>
          </cell>
          <cell r="R970" t="str">
            <v>LK012</v>
          </cell>
          <cell r="S970" t="str">
            <v>Night Shift</v>
          </cell>
          <cell r="T970">
            <v>99</v>
          </cell>
          <cell r="U970" t="str">
            <v>MENA_UAE_FC</v>
          </cell>
          <cell r="X970">
            <v>46257.756944444445</v>
          </cell>
          <cell r="Y970">
            <v>46258.173611111109</v>
          </cell>
          <cell r="Z970" t="str">
            <v>Rest Day</v>
          </cell>
          <cell r="AA970" t="str">
            <v>Not Scheduled</v>
          </cell>
          <cell r="AB970" t="str">
            <v>Not Present</v>
          </cell>
          <cell r="AC970" t="str">
            <v>Outbound</v>
          </cell>
          <cell r="AD970" t="str">
            <v>Pack - Single</v>
          </cell>
          <cell r="AE970" t="str">
            <v>Pack</v>
          </cell>
          <cell r="AF970" t="str">
            <v>Saturday</v>
          </cell>
          <cell r="AG970" t="str">
            <v>Sunday</v>
          </cell>
          <cell r="AH970">
            <v>18</v>
          </cell>
          <cell r="AJ970">
            <v>45455</v>
          </cell>
          <cell r="AM970" t="str">
            <v>TEMP</v>
          </cell>
          <cell r="AN970" t="str">
            <v>3P Onsite Worker</v>
          </cell>
          <cell r="AO970" t="str">
            <v>A</v>
          </cell>
          <cell r="AP970">
            <v>9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</row>
        <row r="971">
          <cell r="D971" t="str">
            <v>shafinda</v>
          </cell>
          <cell r="E971">
            <v>203737252</v>
          </cell>
          <cell r="F971" t="str">
            <v>A</v>
          </cell>
          <cell r="G971" t="str">
            <v>GREEN</v>
          </cell>
          <cell r="H971" t="str">
            <v>FULL_TIME</v>
          </cell>
          <cell r="I971">
            <v>900234</v>
          </cell>
          <cell r="J971" t="str">
            <v>Dulsco L.L.C.</v>
          </cell>
          <cell r="K971" t="str">
            <v>SHAFIK NDAWULA</v>
          </cell>
          <cell r="L971" t="str">
            <v>Warehouse Associate (TEMP)</v>
          </cell>
          <cell r="M971" t="str">
            <v>Warehouse Associate 24M</v>
          </cell>
          <cell r="N971" t="str">
            <v>nnahla</v>
          </cell>
          <cell r="O971">
            <v>1299</v>
          </cell>
          <cell r="P971" t="str">
            <v>AUH1</v>
          </cell>
          <cell r="Q971" t="str">
            <v>ARE</v>
          </cell>
          <cell r="R971" t="str">
            <v>FC159</v>
          </cell>
          <cell r="S971" t="str">
            <v>Day Shift</v>
          </cell>
          <cell r="T971">
            <v>99</v>
          </cell>
          <cell r="U971" t="str">
            <v>MENA_UAE_FC</v>
          </cell>
          <cell r="V971">
            <v>46257.329861111109</v>
          </cell>
          <cell r="W971">
            <v>46257.748611111114</v>
          </cell>
          <cell r="X971">
            <v>46257.333333333336</v>
          </cell>
          <cell r="Y971">
            <v>46257.75</v>
          </cell>
          <cell r="AA971" t="str">
            <v>Scheduled</v>
          </cell>
          <cell r="AB971" t="str">
            <v>Present</v>
          </cell>
          <cell r="AC971" t="str">
            <v>Inbound</v>
          </cell>
          <cell r="AD971" t="str">
            <v>Inbound Stow</v>
          </cell>
          <cell r="AE971" t="str">
            <v>Stow</v>
          </cell>
          <cell r="AF971" t="str">
            <v>Thursday</v>
          </cell>
          <cell r="AG971" t="str">
            <v>Friday</v>
          </cell>
          <cell r="AH971">
            <v>3</v>
          </cell>
          <cell r="AJ971">
            <v>45501</v>
          </cell>
          <cell r="AM971" t="str">
            <v>TEMP</v>
          </cell>
          <cell r="AN971" t="str">
            <v>3P Onsite Worker</v>
          </cell>
          <cell r="AO971" t="str">
            <v>A</v>
          </cell>
          <cell r="AP971">
            <v>9</v>
          </cell>
          <cell r="AQ971">
            <v>0</v>
          </cell>
          <cell r="AR971">
            <v>1</v>
          </cell>
          <cell r="AS971">
            <v>1</v>
          </cell>
          <cell r="AT971">
            <v>0</v>
          </cell>
          <cell r="AU971">
            <v>0</v>
          </cell>
        </row>
        <row r="972">
          <cell r="D972" t="str">
            <v>shahidgm</v>
          </cell>
          <cell r="E972">
            <v>203736772</v>
          </cell>
          <cell r="F972" t="str">
            <v>A</v>
          </cell>
          <cell r="G972" t="str">
            <v>GREEN</v>
          </cell>
          <cell r="H972" t="str">
            <v>FULL_TIME</v>
          </cell>
          <cell r="I972">
            <v>900234</v>
          </cell>
          <cell r="J972" t="str">
            <v>Adecco</v>
          </cell>
          <cell r="K972" t="str">
            <v>MOHAMMAD SHAHID</v>
          </cell>
          <cell r="L972" t="str">
            <v>Warehouse Associate (TEMP)</v>
          </cell>
          <cell r="M972" t="str">
            <v>Warehouse Associate 24M</v>
          </cell>
          <cell r="N972" t="str">
            <v>vkkatyal</v>
          </cell>
          <cell r="O972">
            <v>1299</v>
          </cell>
          <cell r="P972" t="str">
            <v>AUH1</v>
          </cell>
          <cell r="Q972" t="str">
            <v>ARE</v>
          </cell>
          <cell r="R972" t="str">
            <v>FC159</v>
          </cell>
          <cell r="S972" t="str">
            <v>Day Shift</v>
          </cell>
          <cell r="T972">
            <v>99</v>
          </cell>
          <cell r="U972" t="str">
            <v>MENA_UAE_FC</v>
          </cell>
          <cell r="V972">
            <v>46257.32916666667</v>
          </cell>
          <cell r="W972">
            <v>46257.752083333333</v>
          </cell>
          <cell r="X972">
            <v>46257.333333333336</v>
          </cell>
          <cell r="Y972">
            <v>46257.75</v>
          </cell>
          <cell r="AA972" t="str">
            <v>Scheduled</v>
          </cell>
          <cell r="AB972" t="str">
            <v>Present</v>
          </cell>
          <cell r="AC972" t="str">
            <v>Inbound</v>
          </cell>
          <cell r="AD972" t="str">
            <v>Inbound Stow</v>
          </cell>
          <cell r="AE972" t="str">
            <v>Stow</v>
          </cell>
          <cell r="AF972" t="str">
            <v>Thursday</v>
          </cell>
          <cell r="AG972" t="str">
            <v>Friday</v>
          </cell>
          <cell r="AH972">
            <v>3</v>
          </cell>
          <cell r="AJ972">
            <v>45501</v>
          </cell>
          <cell r="AM972" t="str">
            <v>TEMP</v>
          </cell>
          <cell r="AN972" t="str">
            <v>3P Onsite Worker</v>
          </cell>
          <cell r="AO972" t="str">
            <v>A</v>
          </cell>
          <cell r="AP972">
            <v>9</v>
          </cell>
          <cell r="AQ972">
            <v>0</v>
          </cell>
          <cell r="AR972">
            <v>1</v>
          </cell>
          <cell r="AS972">
            <v>1</v>
          </cell>
          <cell r="AT972">
            <v>0</v>
          </cell>
          <cell r="AU972">
            <v>0</v>
          </cell>
        </row>
        <row r="973">
          <cell r="D973" t="str">
            <v>shamumbe</v>
          </cell>
          <cell r="E973">
            <v>204009358</v>
          </cell>
          <cell r="F973" t="str">
            <v>A</v>
          </cell>
          <cell r="G973" t="str">
            <v>GREEN</v>
          </cell>
          <cell r="H973" t="str">
            <v>FULL_TIME</v>
          </cell>
          <cell r="I973">
            <v>900234</v>
          </cell>
          <cell r="J973" t="str">
            <v>Dulsco L.L.C.</v>
          </cell>
          <cell r="K973" t="str">
            <v>SHAFFI MUMBERE</v>
          </cell>
          <cell r="L973" t="str">
            <v>Warehouse Associate (TEMP)</v>
          </cell>
          <cell r="M973" t="str">
            <v>Warehouse Associate 24M</v>
          </cell>
          <cell r="N973" t="str">
            <v>ansammar</v>
          </cell>
          <cell r="O973">
            <v>1299</v>
          </cell>
          <cell r="P973" t="str">
            <v>AUH1</v>
          </cell>
          <cell r="Q973" t="str">
            <v>ARE</v>
          </cell>
          <cell r="R973" t="str">
            <v>FC159</v>
          </cell>
          <cell r="S973" t="str">
            <v>Day Shift</v>
          </cell>
          <cell r="T973">
            <v>99</v>
          </cell>
          <cell r="U973" t="str">
            <v>MENA_UAE_FC</v>
          </cell>
          <cell r="V973">
            <v>46257.333333333336</v>
          </cell>
          <cell r="W973">
            <v>46257.748611111114</v>
          </cell>
          <cell r="X973">
            <v>46257.333333333336</v>
          </cell>
          <cell r="Y973">
            <v>46257.75</v>
          </cell>
          <cell r="AA973" t="str">
            <v>Scheduled</v>
          </cell>
          <cell r="AB973" t="str">
            <v>Present</v>
          </cell>
          <cell r="AC973" t="str">
            <v>Outbound</v>
          </cell>
          <cell r="AD973" t="str">
            <v>Picking</v>
          </cell>
          <cell r="AE973" t="str">
            <v>Pick</v>
          </cell>
          <cell r="AF973" t="str">
            <v>Thursday</v>
          </cell>
          <cell r="AG973" t="str">
            <v>Friday</v>
          </cell>
          <cell r="AH973">
            <v>13</v>
          </cell>
          <cell r="AJ973">
            <v>45550</v>
          </cell>
          <cell r="AM973" t="str">
            <v>TEMP</v>
          </cell>
          <cell r="AN973" t="str">
            <v>3P Onsite Worker</v>
          </cell>
          <cell r="AO973" t="str">
            <v>A</v>
          </cell>
          <cell r="AP973">
            <v>9</v>
          </cell>
          <cell r="AQ973">
            <v>0</v>
          </cell>
          <cell r="AR973">
            <v>1</v>
          </cell>
          <cell r="AS973">
            <v>1</v>
          </cell>
          <cell r="AT973">
            <v>0</v>
          </cell>
          <cell r="AU973">
            <v>0</v>
          </cell>
        </row>
        <row r="974">
          <cell r="D974" t="str">
            <v>sharmugw</v>
          </cell>
          <cell r="E974">
            <v>205853886</v>
          </cell>
          <cell r="F974" t="str">
            <v>A</v>
          </cell>
          <cell r="G974" t="str">
            <v>GREEN</v>
          </cell>
          <cell r="H974" t="str">
            <v>FULL_TIME</v>
          </cell>
          <cell r="I974">
            <v>900234</v>
          </cell>
          <cell r="J974" t="str">
            <v>EFS Facilities Services</v>
          </cell>
          <cell r="K974" t="str">
            <v>SHARIFU ALI MUGWANYA</v>
          </cell>
          <cell r="L974" t="str">
            <v>Warehouse Associate (TEMP)</v>
          </cell>
          <cell r="M974" t="str">
            <v>Warehouse Associate 8W</v>
          </cell>
          <cell r="N974" t="str">
            <v>ansammar</v>
          </cell>
          <cell r="O974">
            <v>1299</v>
          </cell>
          <cell r="P974" t="str">
            <v>AUH1</v>
          </cell>
          <cell r="Q974" t="str">
            <v>ARE</v>
          </cell>
          <cell r="R974" t="str">
            <v>FC009</v>
          </cell>
          <cell r="S974" t="str">
            <v>Day Shift</v>
          </cell>
          <cell r="T974">
            <v>99</v>
          </cell>
          <cell r="U974" t="str">
            <v>MENA_UAE_FC</v>
          </cell>
          <cell r="V974">
            <v>46257.331250000003</v>
          </cell>
          <cell r="W974">
            <v>46257.748611111114</v>
          </cell>
          <cell r="X974">
            <v>46257.333333333336</v>
          </cell>
          <cell r="Y974">
            <v>46257.75</v>
          </cell>
          <cell r="AA974" t="str">
            <v>Scheduled</v>
          </cell>
          <cell r="AB974" t="str">
            <v>Present</v>
          </cell>
          <cell r="AC974" t="str">
            <v>Outbound</v>
          </cell>
          <cell r="AD974" t="str">
            <v>Picking</v>
          </cell>
          <cell r="AE974" t="str">
            <v>Pick</v>
          </cell>
          <cell r="AF974" t="str">
            <v>Friday</v>
          </cell>
          <cell r="AG974" t="str">
            <v>Saturday</v>
          </cell>
          <cell r="AH974">
            <v>13</v>
          </cell>
          <cell r="AJ974">
            <v>45893</v>
          </cell>
          <cell r="AM974" t="str">
            <v>TEMP</v>
          </cell>
          <cell r="AN974" t="str">
            <v>3P Onsite Worker</v>
          </cell>
          <cell r="AO974" t="str">
            <v>A</v>
          </cell>
          <cell r="AP974">
            <v>9</v>
          </cell>
          <cell r="AQ974">
            <v>0</v>
          </cell>
          <cell r="AR974">
            <v>1</v>
          </cell>
          <cell r="AS974">
            <v>1</v>
          </cell>
          <cell r="AT974">
            <v>0</v>
          </cell>
          <cell r="AU974">
            <v>0</v>
          </cell>
        </row>
        <row r="975">
          <cell r="D975" t="str">
            <v>sharrifn</v>
          </cell>
          <cell r="E975">
            <v>206873780</v>
          </cell>
          <cell r="F975" t="str">
            <v>A</v>
          </cell>
          <cell r="G975" t="str">
            <v>GREEN</v>
          </cell>
          <cell r="H975" t="str">
            <v>FULL_TIME</v>
          </cell>
          <cell r="I975">
            <v>900234</v>
          </cell>
          <cell r="J975" t="str">
            <v>Dulsco L.L.C.</v>
          </cell>
          <cell r="K975" t="str">
            <v>NAJJIBU SHARRIFU</v>
          </cell>
          <cell r="L975" t="str">
            <v>Warehouse Associate (TEMP)</v>
          </cell>
          <cell r="M975" t="str">
            <v>Warehouse Associate 8W</v>
          </cell>
          <cell r="N975" t="str">
            <v>nnahla</v>
          </cell>
          <cell r="O975">
            <v>1299</v>
          </cell>
          <cell r="P975" t="str">
            <v>AUH1</v>
          </cell>
          <cell r="Q975" t="str">
            <v>ARE</v>
          </cell>
          <cell r="R975" t="str">
            <v>LK013</v>
          </cell>
          <cell r="S975" t="str">
            <v>Night Shift</v>
          </cell>
          <cell r="T975">
            <v>99</v>
          </cell>
          <cell r="U975" t="str">
            <v>MENA_UAE_FC</v>
          </cell>
          <cell r="X975">
            <v>46257.756944444445</v>
          </cell>
          <cell r="Y975">
            <v>46258.173611111109</v>
          </cell>
          <cell r="Z975" t="str">
            <v>Rest Day</v>
          </cell>
          <cell r="AA975" t="str">
            <v>Not Scheduled</v>
          </cell>
          <cell r="AB975" t="str">
            <v>Not Present</v>
          </cell>
          <cell r="AC975" t="str">
            <v>Inbound</v>
          </cell>
          <cell r="AD975" t="str">
            <v>Inbound Stow</v>
          </cell>
          <cell r="AE975" t="str">
            <v>Stow</v>
          </cell>
          <cell r="AF975" t="str">
            <v>Sunday</v>
          </cell>
          <cell r="AG975" t="str">
            <v>Monday</v>
          </cell>
          <cell r="AH975">
            <v>3</v>
          </cell>
          <cell r="AJ975">
            <v>46019</v>
          </cell>
          <cell r="AM975" t="str">
            <v>TEMP</v>
          </cell>
          <cell r="AN975" t="str">
            <v>3P Onsite Worker</v>
          </cell>
          <cell r="AO975" t="str">
            <v>A</v>
          </cell>
          <cell r="AP975">
            <v>9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</row>
        <row r="976">
          <cell r="D976" t="str">
            <v>shrashif</v>
          </cell>
          <cell r="E976">
            <v>204009348</v>
          </cell>
          <cell r="F976" t="str">
            <v>A</v>
          </cell>
          <cell r="G976" t="str">
            <v>GREEN</v>
          </cell>
          <cell r="H976" t="str">
            <v>FULL_TIME</v>
          </cell>
          <cell r="I976">
            <v>900234</v>
          </cell>
          <cell r="J976" t="str">
            <v>Dulsco L.L.C.</v>
          </cell>
          <cell r="K976" t="str">
            <v>ASHISH SHRESTHA</v>
          </cell>
          <cell r="L976" t="str">
            <v>Warehouse Associate (TEMP)</v>
          </cell>
          <cell r="M976" t="str">
            <v>Warehouse Associate 24M</v>
          </cell>
          <cell r="N976" t="str">
            <v>bizthoma</v>
          </cell>
          <cell r="O976">
            <v>1299</v>
          </cell>
          <cell r="P976" t="str">
            <v>AUH1</v>
          </cell>
          <cell r="Q976" t="str">
            <v>ARE</v>
          </cell>
          <cell r="R976" t="str">
            <v>LK017</v>
          </cell>
          <cell r="S976" t="str">
            <v>Night Shift</v>
          </cell>
          <cell r="T976">
            <v>99</v>
          </cell>
          <cell r="U976" t="str">
            <v>MENA_UAE_FC</v>
          </cell>
          <cell r="V976">
            <v>46257.754861111112</v>
          </cell>
          <cell r="X976">
            <v>46257.756944444445</v>
          </cell>
          <cell r="Y976">
            <v>46258.173611111109</v>
          </cell>
          <cell r="AA976" t="str">
            <v>Scheduled</v>
          </cell>
          <cell r="AB976" t="str">
            <v>Present</v>
          </cell>
          <cell r="AC976" t="str">
            <v>Outbound</v>
          </cell>
          <cell r="AD976" t="str">
            <v>Picking</v>
          </cell>
          <cell r="AE976" t="str">
            <v>Pick</v>
          </cell>
          <cell r="AF976" t="str">
            <v>Thursday</v>
          </cell>
          <cell r="AG976" t="str">
            <v>Friday</v>
          </cell>
          <cell r="AH976">
            <v>13</v>
          </cell>
          <cell r="AJ976">
            <v>45550</v>
          </cell>
          <cell r="AM976" t="str">
            <v>TEMP</v>
          </cell>
          <cell r="AN976" t="str">
            <v>3P Onsite Worker</v>
          </cell>
          <cell r="AO976" t="str">
            <v>A</v>
          </cell>
          <cell r="AP976">
            <v>9</v>
          </cell>
          <cell r="AQ976">
            <v>0</v>
          </cell>
          <cell r="AR976">
            <v>1</v>
          </cell>
          <cell r="AS976">
            <v>1</v>
          </cell>
          <cell r="AT976">
            <v>0</v>
          </cell>
          <cell r="AU976">
            <v>0</v>
          </cell>
        </row>
        <row r="977">
          <cell r="D977" t="str">
            <v>shrehpra</v>
          </cell>
          <cell r="E977">
            <v>204072305</v>
          </cell>
          <cell r="F977" t="str">
            <v>A</v>
          </cell>
          <cell r="G977" t="str">
            <v>GREEN</v>
          </cell>
          <cell r="H977" t="str">
            <v>FULL_TIME</v>
          </cell>
          <cell r="I977">
            <v>900234</v>
          </cell>
          <cell r="J977" t="str">
            <v>Dulsco L.L.C.</v>
          </cell>
          <cell r="K977" t="str">
            <v>PRADHUMNA SHRESTHA</v>
          </cell>
          <cell r="L977" t="str">
            <v>Warehouse Associate (TEMP)</v>
          </cell>
          <cell r="M977" t="str">
            <v>Warehouse Associate 24M</v>
          </cell>
          <cell r="N977" t="str">
            <v>ansammar</v>
          </cell>
          <cell r="O977">
            <v>1299</v>
          </cell>
          <cell r="P977" t="str">
            <v>AUH1</v>
          </cell>
          <cell r="Q977" t="str">
            <v>ARE</v>
          </cell>
          <cell r="R977" t="str">
            <v>FC009</v>
          </cell>
          <cell r="S977" t="str">
            <v>Day Shift</v>
          </cell>
          <cell r="T977">
            <v>99</v>
          </cell>
          <cell r="U977" t="str">
            <v>MENA_UAE_FC</v>
          </cell>
          <cell r="V977">
            <v>46257.331250000003</v>
          </cell>
          <cell r="W977">
            <v>46257.751388888886</v>
          </cell>
          <cell r="X977">
            <v>46257.333333333336</v>
          </cell>
          <cell r="Y977">
            <v>46257.75</v>
          </cell>
          <cell r="AA977" t="str">
            <v>Scheduled</v>
          </cell>
          <cell r="AB977" t="str">
            <v>Present</v>
          </cell>
          <cell r="AC977" t="str">
            <v>Outbound</v>
          </cell>
          <cell r="AD977" t="str">
            <v>Picking</v>
          </cell>
          <cell r="AE977" t="str">
            <v>Pick</v>
          </cell>
          <cell r="AF977" t="str">
            <v>Friday</v>
          </cell>
          <cell r="AG977" t="str">
            <v>Saturday</v>
          </cell>
          <cell r="AH977">
            <v>13</v>
          </cell>
          <cell r="AJ977">
            <v>45557</v>
          </cell>
          <cell r="AM977" t="str">
            <v>TEMP</v>
          </cell>
          <cell r="AN977" t="str">
            <v>3P Onsite Worker</v>
          </cell>
          <cell r="AO977" t="str">
            <v>A</v>
          </cell>
          <cell r="AP977">
            <v>9</v>
          </cell>
          <cell r="AQ977">
            <v>0</v>
          </cell>
          <cell r="AR977">
            <v>1</v>
          </cell>
          <cell r="AS977">
            <v>1</v>
          </cell>
          <cell r="AT977">
            <v>0</v>
          </cell>
          <cell r="AU977">
            <v>0</v>
          </cell>
        </row>
        <row r="978">
          <cell r="D978" t="str">
            <v>shrrabib</v>
          </cell>
          <cell r="E978">
            <v>204009949</v>
          </cell>
          <cell r="F978" t="str">
            <v>A</v>
          </cell>
          <cell r="G978" t="str">
            <v>GREEN</v>
          </cell>
          <cell r="H978" t="str">
            <v>FULL_TIME</v>
          </cell>
          <cell r="I978">
            <v>900234</v>
          </cell>
          <cell r="J978" t="str">
            <v>Dulsco L.L.C.</v>
          </cell>
          <cell r="K978" t="str">
            <v>RABIN SHRESTHA</v>
          </cell>
          <cell r="L978" t="str">
            <v>Warehouse Associate (TEMP)</v>
          </cell>
          <cell r="M978" t="str">
            <v>Warehouse Associate 24M</v>
          </cell>
          <cell r="N978" t="str">
            <v>ansammar</v>
          </cell>
          <cell r="O978">
            <v>1299</v>
          </cell>
          <cell r="P978" t="str">
            <v>AUH1</v>
          </cell>
          <cell r="Q978" t="str">
            <v>ARE</v>
          </cell>
          <cell r="R978" t="str">
            <v>FC059</v>
          </cell>
          <cell r="S978" t="str">
            <v>Day Shift</v>
          </cell>
          <cell r="T978">
            <v>99</v>
          </cell>
          <cell r="U978" t="str">
            <v>MENA_UAE_FC</v>
          </cell>
          <cell r="X978">
            <v>46257.333333333336</v>
          </cell>
          <cell r="Y978">
            <v>46257.75</v>
          </cell>
          <cell r="Z978" t="str">
            <v>Rest Day</v>
          </cell>
          <cell r="AA978" t="str">
            <v>Not Scheduled</v>
          </cell>
          <cell r="AB978" t="str">
            <v>Not Present</v>
          </cell>
          <cell r="AC978" t="str">
            <v>Outbound</v>
          </cell>
          <cell r="AD978" t="str">
            <v>Picking</v>
          </cell>
          <cell r="AE978" t="str">
            <v>Pick</v>
          </cell>
          <cell r="AF978" t="str">
            <v>Sunday</v>
          </cell>
          <cell r="AG978" t="str">
            <v>Monday</v>
          </cell>
          <cell r="AH978">
            <v>13</v>
          </cell>
          <cell r="AJ978">
            <v>45788</v>
          </cell>
          <cell r="AM978" t="str">
            <v>TEMP</v>
          </cell>
          <cell r="AN978" t="str">
            <v>3P Onsite Worker</v>
          </cell>
          <cell r="AO978" t="str">
            <v>A</v>
          </cell>
          <cell r="AP978">
            <v>9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</row>
        <row r="979">
          <cell r="D979" t="str">
            <v>siasiimw</v>
          </cell>
          <cell r="E979">
            <v>203908332</v>
          </cell>
          <cell r="F979" t="str">
            <v>A</v>
          </cell>
          <cell r="G979" t="str">
            <v>GREEN</v>
          </cell>
          <cell r="H979" t="str">
            <v>FULL_TIME</v>
          </cell>
          <cell r="I979">
            <v>900234</v>
          </cell>
          <cell r="J979" t="str">
            <v>Dulsco L.L.C.</v>
          </cell>
          <cell r="K979" t="str">
            <v>SIMON ASIIMWE</v>
          </cell>
          <cell r="L979" t="str">
            <v>Warehouse Associate (TEMP)</v>
          </cell>
          <cell r="M979" t="str">
            <v>Warehouse Associate 24M</v>
          </cell>
          <cell r="N979" t="str">
            <v>bizthoma</v>
          </cell>
          <cell r="O979">
            <v>1299</v>
          </cell>
          <cell r="P979" t="str">
            <v>AUH1</v>
          </cell>
          <cell r="Q979" t="str">
            <v>ARE</v>
          </cell>
          <cell r="R979" t="str">
            <v>FC034</v>
          </cell>
          <cell r="S979" t="str">
            <v>Day Shift</v>
          </cell>
          <cell r="T979">
            <v>99</v>
          </cell>
          <cell r="U979" t="str">
            <v>MENA_UAE_FC</v>
          </cell>
          <cell r="X979">
            <v>46257.333333333336</v>
          </cell>
          <cell r="Y979">
            <v>46257.75</v>
          </cell>
          <cell r="Z979" t="str">
            <v>Rest Day</v>
          </cell>
          <cell r="AA979" t="str">
            <v>Not Scheduled</v>
          </cell>
          <cell r="AB979" t="str">
            <v>Not Present</v>
          </cell>
          <cell r="AC979" t="str">
            <v>Outbound</v>
          </cell>
          <cell r="AD979" t="str">
            <v>Sort - Batch</v>
          </cell>
          <cell r="AE979" t="str">
            <v>Sort</v>
          </cell>
          <cell r="AF979" t="str">
            <v>Saturday</v>
          </cell>
          <cell r="AG979" t="str">
            <v>Sunday</v>
          </cell>
          <cell r="AH979">
            <v>15</v>
          </cell>
          <cell r="AJ979">
            <v>45536</v>
          </cell>
          <cell r="AM979" t="str">
            <v>TEMP</v>
          </cell>
          <cell r="AN979" t="str">
            <v>3P Onsite Worker</v>
          </cell>
          <cell r="AO979" t="str">
            <v>A</v>
          </cell>
          <cell r="AP979">
            <v>9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</row>
        <row r="980">
          <cell r="D980" t="str">
            <v>sillahei</v>
          </cell>
          <cell r="E980">
            <v>204883095</v>
          </cell>
          <cell r="F980" t="str">
            <v>A</v>
          </cell>
          <cell r="G980" t="str">
            <v>GREEN</v>
          </cell>
          <cell r="H980" t="str">
            <v>FULL_TIME</v>
          </cell>
          <cell r="I980">
            <v>900234</v>
          </cell>
          <cell r="J980" t="str">
            <v>Dulsco L.L.C.</v>
          </cell>
          <cell r="K980" t="str">
            <v>IDRISSA SILLAH</v>
          </cell>
          <cell r="L980" t="str">
            <v>Warehouse Associate (TEMP)</v>
          </cell>
          <cell r="M980" t="str">
            <v>Warehouse Associate 8W</v>
          </cell>
          <cell r="N980" t="str">
            <v>vkkatyal</v>
          </cell>
          <cell r="O980">
            <v>1299</v>
          </cell>
          <cell r="P980" t="str">
            <v>AUH1</v>
          </cell>
          <cell r="Q980" t="str">
            <v>ARE</v>
          </cell>
          <cell r="R980" t="str">
            <v>FC059</v>
          </cell>
          <cell r="S980" t="str">
            <v>Day Shift</v>
          </cell>
          <cell r="T980">
            <v>99</v>
          </cell>
          <cell r="U980" t="str">
            <v>MENA_UAE_FC</v>
          </cell>
          <cell r="X980">
            <v>46257.333333333336</v>
          </cell>
          <cell r="Y980">
            <v>46257.75</v>
          </cell>
          <cell r="Z980" t="str">
            <v>Rest Day</v>
          </cell>
          <cell r="AA980" t="str">
            <v>Not Scheduled</v>
          </cell>
          <cell r="AB980" t="str">
            <v>Not Present</v>
          </cell>
          <cell r="AC980" t="str">
            <v>Inbound</v>
          </cell>
          <cell r="AD980" t="str">
            <v>Inbound Stow</v>
          </cell>
          <cell r="AE980" t="str">
            <v>Stow</v>
          </cell>
          <cell r="AF980" t="str">
            <v>Sunday</v>
          </cell>
          <cell r="AG980" t="str">
            <v>Monday</v>
          </cell>
          <cell r="AH980">
            <v>3</v>
          </cell>
          <cell r="AJ980">
            <v>45825</v>
          </cell>
          <cell r="AM980" t="str">
            <v>TEMP</v>
          </cell>
          <cell r="AN980" t="str">
            <v>3P Onsite Worker</v>
          </cell>
          <cell r="AO980" t="str">
            <v>A</v>
          </cell>
          <cell r="AP980">
            <v>9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</row>
        <row r="981">
          <cell r="D981" t="str">
            <v>simwtimo</v>
          </cell>
          <cell r="E981">
            <v>206949310</v>
          </cell>
          <cell r="F981" t="str">
            <v>A</v>
          </cell>
          <cell r="G981" t="str">
            <v>GREEN</v>
          </cell>
          <cell r="H981" t="str">
            <v>FULL_TIME</v>
          </cell>
          <cell r="I981">
            <v>900234</v>
          </cell>
          <cell r="J981" t="str">
            <v>Dulsco L.L.C.</v>
          </cell>
          <cell r="K981" t="str">
            <v>TIMOTHY SIMWENDE</v>
          </cell>
          <cell r="L981" t="str">
            <v>Warehouse Associate (TEMP)</v>
          </cell>
          <cell r="M981" t="str">
            <v>Warehouse Associate 24M</v>
          </cell>
          <cell r="N981" t="str">
            <v>bavameer</v>
          </cell>
          <cell r="O981">
            <v>1299</v>
          </cell>
          <cell r="P981" t="str">
            <v>AUH1</v>
          </cell>
          <cell r="Q981" t="str">
            <v>ARE</v>
          </cell>
          <cell r="R981" t="str">
            <v>FC109</v>
          </cell>
          <cell r="S981" t="str">
            <v>Day Shift</v>
          </cell>
          <cell r="T981">
            <v>99</v>
          </cell>
          <cell r="U981" t="str">
            <v>MENA_UAE_FC</v>
          </cell>
          <cell r="V981">
            <v>46257.331250000003</v>
          </cell>
          <cell r="W981">
            <v>46257.75</v>
          </cell>
          <cell r="X981">
            <v>46257.333333333336</v>
          </cell>
          <cell r="Y981">
            <v>46257.75</v>
          </cell>
          <cell r="AA981" t="str">
            <v>Scheduled</v>
          </cell>
          <cell r="AB981" t="str">
            <v>Present</v>
          </cell>
          <cell r="AC981" t="str">
            <v>Customer returns</v>
          </cell>
          <cell r="AD981" t="str">
            <v>Customer Returns</v>
          </cell>
          <cell r="AE981" t="str">
            <v>Customer returns</v>
          </cell>
          <cell r="AF981" t="str">
            <v>Tuesday</v>
          </cell>
          <cell r="AG981" t="str">
            <v>Wednesday</v>
          </cell>
          <cell r="AH981">
            <v>22</v>
          </cell>
          <cell r="AJ981">
            <v>46047</v>
          </cell>
          <cell r="AM981" t="str">
            <v>TEMP</v>
          </cell>
          <cell r="AN981" t="str">
            <v>3P Onsite Worker</v>
          </cell>
          <cell r="AO981" t="str">
            <v>A</v>
          </cell>
          <cell r="AP981">
            <v>9</v>
          </cell>
          <cell r="AQ981">
            <v>0</v>
          </cell>
          <cell r="AR981">
            <v>1</v>
          </cell>
          <cell r="AS981">
            <v>1</v>
          </cell>
          <cell r="AT981">
            <v>0</v>
          </cell>
          <cell r="AU981">
            <v>0</v>
          </cell>
        </row>
        <row r="982">
          <cell r="D982" t="str">
            <v>skyeseli</v>
          </cell>
          <cell r="E982">
            <v>204869091</v>
          </cell>
          <cell r="F982" t="str">
            <v>A</v>
          </cell>
          <cell r="G982" t="str">
            <v>GREEN</v>
          </cell>
          <cell r="H982" t="str">
            <v>FULL_TIME</v>
          </cell>
          <cell r="I982">
            <v>900234</v>
          </cell>
          <cell r="J982" t="str">
            <v>Quesscorp</v>
          </cell>
          <cell r="K982" t="str">
            <v>Selina Kyerewaa</v>
          </cell>
          <cell r="L982" t="str">
            <v>Warehouse Associate (TEMP)</v>
          </cell>
          <cell r="M982" t="str">
            <v>Warehouse Associate 8W</v>
          </cell>
          <cell r="N982" t="str">
            <v>bavameer</v>
          </cell>
          <cell r="O982">
            <v>1299</v>
          </cell>
          <cell r="P982" t="str">
            <v>AUH1</v>
          </cell>
          <cell r="Q982" t="str">
            <v>ARE</v>
          </cell>
          <cell r="R982" t="str">
            <v>LK015</v>
          </cell>
          <cell r="S982" t="str">
            <v>Night Shift</v>
          </cell>
          <cell r="T982">
            <v>99</v>
          </cell>
          <cell r="U982" t="str">
            <v>MENA_UAE_FC</v>
          </cell>
          <cell r="V982">
            <v>46257.755555555559</v>
          </cell>
          <cell r="X982">
            <v>46257.756944444445</v>
          </cell>
          <cell r="Y982">
            <v>46258.173611111109</v>
          </cell>
          <cell r="AA982" t="str">
            <v>Scheduled</v>
          </cell>
          <cell r="AB982" t="str">
            <v>Present</v>
          </cell>
          <cell r="AC982" t="str">
            <v>Customer returns</v>
          </cell>
          <cell r="AD982" t="str">
            <v>Customer Returns</v>
          </cell>
          <cell r="AE982" t="str">
            <v>Customer returns</v>
          </cell>
          <cell r="AF982" t="str">
            <v>Tuesday</v>
          </cell>
          <cell r="AG982" t="str">
            <v>Wednesday</v>
          </cell>
          <cell r="AH982">
            <v>22</v>
          </cell>
          <cell r="AJ982">
            <v>45690</v>
          </cell>
          <cell r="AM982" t="str">
            <v>TEMP</v>
          </cell>
          <cell r="AN982" t="str">
            <v>3P Onsite Worker</v>
          </cell>
          <cell r="AO982" t="str">
            <v>A</v>
          </cell>
          <cell r="AP982">
            <v>9</v>
          </cell>
          <cell r="AQ982">
            <v>0</v>
          </cell>
          <cell r="AR982">
            <v>1</v>
          </cell>
          <cell r="AS982">
            <v>1</v>
          </cell>
          <cell r="AT982">
            <v>0</v>
          </cell>
          <cell r="AU982">
            <v>0</v>
          </cell>
        </row>
        <row r="983">
          <cell r="D983" t="str">
            <v>smuhama</v>
          </cell>
          <cell r="E983">
            <v>103775146</v>
          </cell>
          <cell r="F983" t="str">
            <v>A</v>
          </cell>
          <cell r="G983" t="str">
            <v>BLUE</v>
          </cell>
          <cell r="H983" t="str">
            <v>FULL_TIME</v>
          </cell>
          <cell r="I983" t="str">
            <v>P03231</v>
          </cell>
          <cell r="K983" t="str">
            <v>Muhammad Shahzad</v>
          </cell>
          <cell r="L983" t="str">
            <v>FC Associate III</v>
          </cell>
          <cell r="M983" t="str">
            <v>Operations Supervisor</v>
          </cell>
          <cell r="N983" t="str">
            <v>bavameer</v>
          </cell>
          <cell r="O983">
            <v>1299</v>
          </cell>
          <cell r="P983" t="str">
            <v>AUH1</v>
          </cell>
          <cell r="Q983" t="str">
            <v>ARE</v>
          </cell>
          <cell r="R983" t="str">
            <v>FC059</v>
          </cell>
          <cell r="S983" t="str">
            <v>Day Shift</v>
          </cell>
          <cell r="T983">
            <v>3</v>
          </cell>
          <cell r="U983" t="str">
            <v>MENA_UAE_FC</v>
          </cell>
          <cell r="X983">
            <v>46257.333333333336</v>
          </cell>
          <cell r="Y983">
            <v>46257.75</v>
          </cell>
          <cell r="Z983" t="str">
            <v>Rest Day</v>
          </cell>
          <cell r="AA983" t="str">
            <v>Not Scheduled</v>
          </cell>
          <cell r="AB983" t="str">
            <v>Not Present</v>
          </cell>
          <cell r="AC983" t="str">
            <v>Customer returns</v>
          </cell>
          <cell r="AD983" t="str">
            <v>Customer Returns</v>
          </cell>
          <cell r="AE983" t="str">
            <v>Customer returns</v>
          </cell>
          <cell r="AF983" t="str">
            <v>Sunday</v>
          </cell>
          <cell r="AG983" t="str">
            <v>Monday</v>
          </cell>
          <cell r="AH983">
            <v>22</v>
          </cell>
          <cell r="AJ983">
            <v>44066</v>
          </cell>
          <cell r="AM983" t="str">
            <v>FC</v>
          </cell>
          <cell r="AN983" t="str">
            <v>Regular Full Time</v>
          </cell>
          <cell r="AO983" t="str">
            <v>A</v>
          </cell>
          <cell r="AP983">
            <v>9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</row>
        <row r="984">
          <cell r="D984" t="str">
            <v>soebenep</v>
          </cell>
          <cell r="E984">
            <v>203521428</v>
          </cell>
          <cell r="F984" t="str">
            <v>A</v>
          </cell>
          <cell r="G984" t="str">
            <v>GREEN</v>
          </cell>
          <cell r="H984" t="str">
            <v>FULL_TIME</v>
          </cell>
          <cell r="I984">
            <v>900234</v>
          </cell>
          <cell r="J984" t="str">
            <v>Fastlink Outsourcing</v>
          </cell>
          <cell r="K984" t="str">
            <v>Ebenezer Somiah</v>
          </cell>
          <cell r="L984" t="str">
            <v>Warehouse Associate (TEMP)</v>
          </cell>
          <cell r="M984" t="str">
            <v>Warehouse Associate 12M</v>
          </cell>
          <cell r="N984" t="str">
            <v>nnahla</v>
          </cell>
          <cell r="O984">
            <v>1299</v>
          </cell>
          <cell r="P984" t="str">
            <v>AUH1</v>
          </cell>
          <cell r="Q984" t="str">
            <v>ARE</v>
          </cell>
          <cell r="R984" t="str">
            <v>FC059</v>
          </cell>
          <cell r="S984" t="str">
            <v>Day Shift</v>
          </cell>
          <cell r="T984">
            <v>99</v>
          </cell>
          <cell r="U984" t="str">
            <v>MENA_UAE_FC</v>
          </cell>
          <cell r="X984">
            <v>46257.333333333336</v>
          </cell>
          <cell r="Y984">
            <v>46257.75</v>
          </cell>
          <cell r="Z984" t="str">
            <v>Rest Day</v>
          </cell>
          <cell r="AA984" t="str">
            <v>Not Scheduled</v>
          </cell>
          <cell r="AB984" t="str">
            <v>Not Present</v>
          </cell>
          <cell r="AC984" t="str">
            <v>Inbound</v>
          </cell>
          <cell r="AD984" t="str">
            <v>Receive Dock</v>
          </cell>
          <cell r="AE984" t="str">
            <v>Receive</v>
          </cell>
          <cell r="AF984" t="str">
            <v>Sunday</v>
          </cell>
          <cell r="AG984" t="str">
            <v>Monday</v>
          </cell>
          <cell r="AH984">
            <v>2</v>
          </cell>
          <cell r="AJ984">
            <v>45462</v>
          </cell>
          <cell r="AM984" t="str">
            <v>TEMP</v>
          </cell>
          <cell r="AN984" t="str">
            <v>3P Onsite Worker</v>
          </cell>
          <cell r="AO984" t="str">
            <v>A</v>
          </cell>
          <cell r="AP984">
            <v>9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</row>
        <row r="985">
          <cell r="D985" t="str">
            <v>solokorz</v>
          </cell>
          <cell r="E985">
            <v>204013685</v>
          </cell>
          <cell r="F985" t="str">
            <v>A</v>
          </cell>
          <cell r="G985" t="str">
            <v>GREEN</v>
          </cell>
          <cell r="H985" t="str">
            <v>FULL_TIME</v>
          </cell>
          <cell r="I985">
            <v>900234</v>
          </cell>
          <cell r="J985" t="str">
            <v>Fastlink Outsourcing</v>
          </cell>
          <cell r="K985" t="str">
            <v>Solomon Koranteng Nyarko</v>
          </cell>
          <cell r="L985" t="str">
            <v>Warehouse Associate (TEMP)</v>
          </cell>
          <cell r="M985" t="str">
            <v>Warehouse Associate 12M</v>
          </cell>
          <cell r="N985" t="str">
            <v>bizthoma</v>
          </cell>
          <cell r="O985">
            <v>1299</v>
          </cell>
          <cell r="P985" t="str">
            <v>AUH1</v>
          </cell>
          <cell r="Q985" t="str">
            <v>ARE</v>
          </cell>
          <cell r="R985" t="str">
            <v>LK014</v>
          </cell>
          <cell r="S985" t="str">
            <v>Night Shift</v>
          </cell>
          <cell r="T985">
            <v>99</v>
          </cell>
          <cell r="U985" t="str">
            <v>MENA_UAE_FC</v>
          </cell>
          <cell r="V985">
            <v>46257.758333333331</v>
          </cell>
          <cell r="X985">
            <v>46257.756944444445</v>
          </cell>
          <cell r="Y985">
            <v>46258.173611111109</v>
          </cell>
          <cell r="AA985" t="str">
            <v>Scheduled</v>
          </cell>
          <cell r="AB985" t="str">
            <v>Present</v>
          </cell>
          <cell r="AC985" t="str">
            <v>Outbound</v>
          </cell>
          <cell r="AD985" t="str">
            <v>Pack - Batch</v>
          </cell>
          <cell r="AE985" t="str">
            <v>Pack</v>
          </cell>
          <cell r="AF985" t="str">
            <v>Monday</v>
          </cell>
          <cell r="AG985" t="str">
            <v>Tuesday</v>
          </cell>
          <cell r="AH985">
            <v>17</v>
          </cell>
          <cell r="AJ985">
            <v>45550</v>
          </cell>
          <cell r="AM985" t="str">
            <v>TEMP</v>
          </cell>
          <cell r="AN985" t="str">
            <v>3P Onsite Worker</v>
          </cell>
          <cell r="AO985" t="str">
            <v>A</v>
          </cell>
          <cell r="AP985">
            <v>9</v>
          </cell>
          <cell r="AQ985">
            <v>0</v>
          </cell>
          <cell r="AR985">
            <v>1</v>
          </cell>
          <cell r="AS985">
            <v>1</v>
          </cell>
          <cell r="AT985">
            <v>0</v>
          </cell>
          <cell r="AU985">
            <v>0</v>
          </cell>
        </row>
        <row r="986">
          <cell r="D986" t="str">
            <v>sonsiamj</v>
          </cell>
          <cell r="E986">
            <v>204117685</v>
          </cell>
          <cell r="F986" t="str">
            <v>A</v>
          </cell>
          <cell r="G986" t="str">
            <v>GREEN</v>
          </cell>
          <cell r="H986" t="str">
            <v>FULL_TIME</v>
          </cell>
          <cell r="I986">
            <v>900234</v>
          </cell>
          <cell r="J986" t="str">
            <v>Quesscorp</v>
          </cell>
          <cell r="K986" t="str">
            <v>Sia Sonsiama</v>
          </cell>
          <cell r="L986" t="str">
            <v>Warehouse Associate (TEMP)</v>
          </cell>
          <cell r="M986" t="str">
            <v>Warehouse Associate 24M</v>
          </cell>
          <cell r="N986" t="str">
            <v>bizthoma</v>
          </cell>
          <cell r="O986">
            <v>1299</v>
          </cell>
          <cell r="P986" t="str">
            <v>AUH1</v>
          </cell>
          <cell r="Q986" t="str">
            <v>ARE</v>
          </cell>
          <cell r="R986" t="str">
            <v>LK016</v>
          </cell>
          <cell r="S986" t="str">
            <v>Night Shift</v>
          </cell>
          <cell r="T986">
            <v>99</v>
          </cell>
          <cell r="U986" t="str">
            <v>MENA_UAE_FC</v>
          </cell>
          <cell r="V986">
            <v>46257.758333333331</v>
          </cell>
          <cell r="X986">
            <v>46257.756944444445</v>
          </cell>
          <cell r="Y986">
            <v>46258.173611111109</v>
          </cell>
          <cell r="AA986" t="str">
            <v>Scheduled</v>
          </cell>
          <cell r="AB986" t="str">
            <v>Present</v>
          </cell>
          <cell r="AC986" t="str">
            <v>Outbound</v>
          </cell>
          <cell r="AD986" t="str">
            <v>Picking</v>
          </cell>
          <cell r="AE986" t="str">
            <v>Pick</v>
          </cell>
          <cell r="AF986" t="str">
            <v>Wednesday</v>
          </cell>
          <cell r="AG986" t="str">
            <v>Thursday</v>
          </cell>
          <cell r="AH986">
            <v>13</v>
          </cell>
          <cell r="AJ986">
            <v>45560</v>
          </cell>
          <cell r="AM986" t="str">
            <v>TEMP</v>
          </cell>
          <cell r="AN986" t="str">
            <v>3P Onsite Worker</v>
          </cell>
          <cell r="AO986" t="str">
            <v>A</v>
          </cell>
          <cell r="AP986">
            <v>9</v>
          </cell>
          <cell r="AQ986">
            <v>0</v>
          </cell>
          <cell r="AR986">
            <v>1</v>
          </cell>
          <cell r="AS986">
            <v>1</v>
          </cell>
          <cell r="AT986">
            <v>0</v>
          </cell>
          <cell r="AU986">
            <v>0</v>
          </cell>
        </row>
        <row r="987">
          <cell r="D987" t="str">
            <v>ssaamike</v>
          </cell>
          <cell r="E987">
            <v>205199356</v>
          </cell>
          <cell r="F987" t="str">
            <v>A</v>
          </cell>
          <cell r="G987" t="str">
            <v>GREEN</v>
          </cell>
          <cell r="H987" t="str">
            <v>FULL_TIME</v>
          </cell>
          <cell r="I987">
            <v>900234</v>
          </cell>
          <cell r="J987" t="str">
            <v>EFS Facilities Services</v>
          </cell>
          <cell r="K987" t="str">
            <v>Mike Ssaabwe</v>
          </cell>
          <cell r="L987" t="str">
            <v>Warehouse Associate (TEMP)</v>
          </cell>
          <cell r="M987" t="str">
            <v>Warehouse Associate 8W</v>
          </cell>
          <cell r="N987" t="str">
            <v>mnarshad</v>
          </cell>
          <cell r="O987">
            <v>1299</v>
          </cell>
          <cell r="P987" t="str">
            <v>AUH1</v>
          </cell>
          <cell r="Q987" t="str">
            <v>ARE</v>
          </cell>
          <cell r="R987" t="str">
            <v>FC556</v>
          </cell>
          <cell r="S987" t="str">
            <v>Night Shift</v>
          </cell>
          <cell r="T987">
            <v>99</v>
          </cell>
          <cell r="U987" t="str">
            <v>MENA_UAE_FC</v>
          </cell>
          <cell r="V987">
            <v>46257.756944444445</v>
          </cell>
          <cell r="X987">
            <v>46257.756944444445</v>
          </cell>
          <cell r="Y987">
            <v>46258.090277777781</v>
          </cell>
          <cell r="AA987" t="str">
            <v>Scheduled</v>
          </cell>
          <cell r="AB987" t="str">
            <v>Present</v>
          </cell>
          <cell r="AC987" t="str">
            <v>Outbound</v>
          </cell>
          <cell r="AD987" t="str">
            <v>Picking</v>
          </cell>
          <cell r="AE987" t="str">
            <v>Pick</v>
          </cell>
          <cell r="AF987" t="str">
            <v>Tuesday</v>
          </cell>
          <cell r="AG987" t="str">
            <v>Wednesday</v>
          </cell>
          <cell r="AH987">
            <v>13</v>
          </cell>
          <cell r="AJ987">
            <v>46237</v>
          </cell>
          <cell r="AM987" t="str">
            <v>TEMP</v>
          </cell>
          <cell r="AN987" t="str">
            <v>3P Onsite Worker</v>
          </cell>
          <cell r="AO987" t="str">
            <v>A</v>
          </cell>
          <cell r="AP987">
            <v>7</v>
          </cell>
          <cell r="AQ987">
            <v>0</v>
          </cell>
          <cell r="AR987">
            <v>1</v>
          </cell>
          <cell r="AS987">
            <v>1</v>
          </cell>
          <cell r="AT987">
            <v>0</v>
          </cell>
          <cell r="AU987">
            <v>0</v>
          </cell>
        </row>
        <row r="988">
          <cell r="D988" t="str">
            <v>ssebamom</v>
          </cell>
          <cell r="E988">
            <v>206200800</v>
          </cell>
          <cell r="F988" t="str">
            <v>A</v>
          </cell>
          <cell r="G988" t="str">
            <v>GREEN</v>
          </cell>
          <cell r="H988" t="str">
            <v>FULL_TIME</v>
          </cell>
          <cell r="I988">
            <v>900234</v>
          </cell>
          <cell r="J988" t="str">
            <v>Fastlink Outsourcing</v>
          </cell>
          <cell r="K988" t="str">
            <v>Ssebamobe Mike</v>
          </cell>
          <cell r="L988" t="str">
            <v>Warehouse Associate (TEMP)</v>
          </cell>
          <cell r="M988" t="str">
            <v>Warehouse Associate 8W</v>
          </cell>
          <cell r="N988" t="str">
            <v>helrashd</v>
          </cell>
          <cell r="O988">
            <v>1299</v>
          </cell>
          <cell r="P988" t="str">
            <v>AUH1</v>
          </cell>
          <cell r="Q988" t="str">
            <v>ARE</v>
          </cell>
          <cell r="R988" t="str">
            <v>FC034</v>
          </cell>
          <cell r="S988" t="str">
            <v>Day Shift</v>
          </cell>
          <cell r="T988">
            <v>99</v>
          </cell>
          <cell r="U988" t="str">
            <v>MENA_UAE_FC</v>
          </cell>
          <cell r="X988">
            <v>46257.333333333336</v>
          </cell>
          <cell r="Y988">
            <v>46257.75</v>
          </cell>
          <cell r="Z988" t="str">
            <v>Rest Day</v>
          </cell>
          <cell r="AA988" t="str">
            <v>Not Scheduled</v>
          </cell>
          <cell r="AB988" t="str">
            <v>Not Present</v>
          </cell>
          <cell r="AC988" t="str">
            <v>Outbound</v>
          </cell>
          <cell r="AD988" t="str">
            <v>Picking</v>
          </cell>
          <cell r="AE988" t="str">
            <v>Pick</v>
          </cell>
          <cell r="AF988" t="str">
            <v>Saturday</v>
          </cell>
          <cell r="AG988" t="str">
            <v>Sunday</v>
          </cell>
          <cell r="AH988">
            <v>13</v>
          </cell>
          <cell r="AJ988">
            <v>45935</v>
          </cell>
          <cell r="AM988" t="str">
            <v>TEMP</v>
          </cell>
          <cell r="AN988" t="str">
            <v>3P Onsite Worker</v>
          </cell>
          <cell r="AO988" t="str">
            <v>A</v>
          </cell>
          <cell r="AP988">
            <v>9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</row>
        <row r="989">
          <cell r="D989" t="str">
            <v>ssegeoff</v>
          </cell>
          <cell r="E989">
            <v>204010424</v>
          </cell>
          <cell r="F989" t="str">
            <v>A</v>
          </cell>
          <cell r="G989" t="str">
            <v>GREEN</v>
          </cell>
          <cell r="H989" t="str">
            <v>FULL_TIME</v>
          </cell>
          <cell r="I989">
            <v>900234</v>
          </cell>
          <cell r="J989" t="str">
            <v>Dulsco L.L.C.</v>
          </cell>
          <cell r="K989" t="str">
            <v>GEOFFREY SSEMPA</v>
          </cell>
          <cell r="L989" t="str">
            <v>Warehouse Associate (TEMP)</v>
          </cell>
          <cell r="M989" t="str">
            <v>Warehouse Associate 8W</v>
          </cell>
          <cell r="N989" t="str">
            <v>ansammar</v>
          </cell>
          <cell r="O989">
            <v>1299</v>
          </cell>
          <cell r="P989" t="str">
            <v>AUH1</v>
          </cell>
          <cell r="Q989" t="str">
            <v>ARE</v>
          </cell>
          <cell r="R989" t="str">
            <v>LK015</v>
          </cell>
          <cell r="S989" t="str">
            <v>Night Shift</v>
          </cell>
          <cell r="T989">
            <v>99</v>
          </cell>
          <cell r="U989" t="str">
            <v>MENA_UAE_FC</v>
          </cell>
          <cell r="V989">
            <v>46257.756944444445</v>
          </cell>
          <cell r="X989">
            <v>46257.756944444445</v>
          </cell>
          <cell r="Y989">
            <v>46258.173611111109</v>
          </cell>
          <cell r="AA989" t="str">
            <v>Scheduled</v>
          </cell>
          <cell r="AB989" t="str">
            <v>Present</v>
          </cell>
          <cell r="AC989" t="str">
            <v>Outbound</v>
          </cell>
          <cell r="AD989" t="str">
            <v>Picking</v>
          </cell>
          <cell r="AE989" t="str">
            <v>Pick</v>
          </cell>
          <cell r="AF989" t="str">
            <v>Tuesday</v>
          </cell>
          <cell r="AG989" t="str">
            <v>Wednesday</v>
          </cell>
          <cell r="AH989">
            <v>13</v>
          </cell>
          <cell r="AJ989">
            <v>45550</v>
          </cell>
          <cell r="AM989" t="str">
            <v>TEMP</v>
          </cell>
          <cell r="AN989" t="str">
            <v>3P Onsite Worker</v>
          </cell>
          <cell r="AO989" t="str">
            <v>A</v>
          </cell>
          <cell r="AP989">
            <v>9</v>
          </cell>
          <cell r="AQ989">
            <v>0</v>
          </cell>
          <cell r="AR989">
            <v>1</v>
          </cell>
          <cell r="AS989">
            <v>1</v>
          </cell>
          <cell r="AT989">
            <v>0</v>
          </cell>
          <cell r="AU989">
            <v>0</v>
          </cell>
        </row>
        <row r="990">
          <cell r="D990" t="str">
            <v>ssegilbe</v>
          </cell>
          <cell r="E990">
            <v>206504132</v>
          </cell>
          <cell r="F990" t="str">
            <v>A</v>
          </cell>
          <cell r="G990" t="str">
            <v>GREEN</v>
          </cell>
          <cell r="H990" t="str">
            <v>FULL_TIME</v>
          </cell>
          <cell r="I990">
            <v>900234</v>
          </cell>
          <cell r="J990" t="str">
            <v>Dulsco L.L.C.</v>
          </cell>
          <cell r="K990" t="str">
            <v>GILBERT SSEMBOGGA</v>
          </cell>
          <cell r="L990" t="str">
            <v>Warehouse Associate (TEMP)</v>
          </cell>
          <cell r="M990" t="str">
            <v>Warehouse Associate 24M</v>
          </cell>
          <cell r="N990" t="str">
            <v>vkkatyal</v>
          </cell>
          <cell r="O990">
            <v>1299</v>
          </cell>
          <cell r="P990" t="str">
            <v>AUH1</v>
          </cell>
          <cell r="Q990" t="str">
            <v>ARE</v>
          </cell>
          <cell r="R990" t="str">
            <v>FC059</v>
          </cell>
          <cell r="S990" t="str">
            <v>Day Shift</v>
          </cell>
          <cell r="T990">
            <v>99</v>
          </cell>
          <cell r="U990" t="str">
            <v>MENA_UAE_FC</v>
          </cell>
          <cell r="X990">
            <v>46257.333333333336</v>
          </cell>
          <cell r="Y990">
            <v>46257.75</v>
          </cell>
          <cell r="Z990" t="str">
            <v>Rest Day</v>
          </cell>
          <cell r="AA990" t="str">
            <v>Not Scheduled</v>
          </cell>
          <cell r="AB990" t="str">
            <v>Not Present</v>
          </cell>
          <cell r="AC990" t="str">
            <v>Inbound</v>
          </cell>
          <cell r="AD990" t="str">
            <v>Inbound Stow</v>
          </cell>
          <cell r="AE990" t="str">
            <v>Stow</v>
          </cell>
          <cell r="AF990" t="str">
            <v>Sunday</v>
          </cell>
          <cell r="AG990" t="str">
            <v>Monday</v>
          </cell>
          <cell r="AH990">
            <v>3</v>
          </cell>
          <cell r="AJ990">
            <v>45970</v>
          </cell>
          <cell r="AM990" t="str">
            <v>TEMP</v>
          </cell>
          <cell r="AN990" t="str">
            <v>3P Onsite Worker</v>
          </cell>
          <cell r="AO990" t="str">
            <v>A</v>
          </cell>
          <cell r="AP990">
            <v>9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</row>
        <row r="991">
          <cell r="D991" t="str">
            <v>ssekanje</v>
          </cell>
          <cell r="E991">
            <v>206875598</v>
          </cell>
          <cell r="F991" t="str">
            <v>A</v>
          </cell>
          <cell r="G991" t="str">
            <v>GREEN</v>
          </cell>
          <cell r="H991" t="str">
            <v>FULL_TIME</v>
          </cell>
          <cell r="I991">
            <v>900234</v>
          </cell>
          <cell r="J991" t="str">
            <v>Dulsco L.L.C.</v>
          </cell>
          <cell r="K991" t="str">
            <v>JOSEPH SSEKANDI</v>
          </cell>
          <cell r="L991" t="str">
            <v>Warehouse Associate (TEMP)</v>
          </cell>
          <cell r="M991" t="str">
            <v>Warehouse Associate 8W</v>
          </cell>
          <cell r="N991" t="str">
            <v>aanso</v>
          </cell>
          <cell r="O991">
            <v>1299</v>
          </cell>
          <cell r="P991" t="str">
            <v>AUH1</v>
          </cell>
          <cell r="Q991" t="str">
            <v>ARE</v>
          </cell>
          <cell r="R991" t="str">
            <v>FC034</v>
          </cell>
          <cell r="S991" t="str">
            <v>Day Shift</v>
          </cell>
          <cell r="T991">
            <v>99</v>
          </cell>
          <cell r="U991" t="str">
            <v>MENA_UAE_FC</v>
          </cell>
          <cell r="X991">
            <v>46257.333333333336</v>
          </cell>
          <cell r="Y991">
            <v>46257.75</v>
          </cell>
          <cell r="Z991" t="str">
            <v>Rest Day</v>
          </cell>
          <cell r="AA991" t="str">
            <v>Not Scheduled</v>
          </cell>
          <cell r="AB991" t="str">
            <v>Not Present</v>
          </cell>
          <cell r="AC991" t="str">
            <v>Customer returns</v>
          </cell>
          <cell r="AD991" t="str">
            <v>Customer Returns</v>
          </cell>
          <cell r="AE991" t="str">
            <v>Customer returns</v>
          </cell>
          <cell r="AF991" t="str">
            <v>Saturday</v>
          </cell>
          <cell r="AG991" t="str">
            <v>Sunday</v>
          </cell>
          <cell r="AH991">
            <v>22</v>
          </cell>
          <cell r="AJ991">
            <v>46019</v>
          </cell>
          <cell r="AM991" t="str">
            <v>TEMP</v>
          </cell>
          <cell r="AN991" t="str">
            <v>3P Onsite Worker</v>
          </cell>
          <cell r="AO991" t="str">
            <v>A</v>
          </cell>
          <cell r="AP991">
            <v>9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</row>
        <row r="992">
          <cell r="D992" t="str">
            <v>sselugya</v>
          </cell>
          <cell r="E992">
            <v>206897663</v>
          </cell>
          <cell r="F992" t="str">
            <v>A</v>
          </cell>
          <cell r="G992" t="str">
            <v>GREEN</v>
          </cell>
          <cell r="H992" t="str">
            <v>FULL_TIME</v>
          </cell>
          <cell r="I992">
            <v>900234</v>
          </cell>
          <cell r="J992" t="str">
            <v>Fastlink Outsourcing</v>
          </cell>
          <cell r="K992" t="str">
            <v>SADAT SSELUGYA</v>
          </cell>
          <cell r="L992" t="str">
            <v>Warehouse Associate (TEMP)</v>
          </cell>
          <cell r="M992" t="str">
            <v>Warehouse Associate 12M</v>
          </cell>
          <cell r="N992" t="str">
            <v>mnarshad</v>
          </cell>
          <cell r="O992">
            <v>1299</v>
          </cell>
          <cell r="P992" t="str">
            <v>AUH1</v>
          </cell>
          <cell r="Q992" t="str">
            <v>ARE</v>
          </cell>
          <cell r="R992" t="str">
            <v>LK015</v>
          </cell>
          <cell r="S992" t="str">
            <v>Night Shift</v>
          </cell>
          <cell r="T992">
            <v>99</v>
          </cell>
          <cell r="U992" t="str">
            <v>MENA_UAE_FC</v>
          </cell>
          <cell r="V992">
            <v>46257.757638888892</v>
          </cell>
          <cell r="X992">
            <v>46257.756944444445</v>
          </cell>
          <cell r="Y992">
            <v>46258.173611111109</v>
          </cell>
          <cell r="AA992" t="str">
            <v>Scheduled</v>
          </cell>
          <cell r="AB992" t="str">
            <v>Present</v>
          </cell>
          <cell r="AC992" t="str">
            <v>Outbound</v>
          </cell>
          <cell r="AD992" t="str">
            <v>Sort - Batch</v>
          </cell>
          <cell r="AE992" t="str">
            <v>Sort</v>
          </cell>
          <cell r="AF992" t="str">
            <v>Tuesday</v>
          </cell>
          <cell r="AG992" t="str">
            <v>Wednesday</v>
          </cell>
          <cell r="AH992">
            <v>15</v>
          </cell>
          <cell r="AJ992">
            <v>46029</v>
          </cell>
          <cell r="AM992" t="str">
            <v>TEMP</v>
          </cell>
          <cell r="AN992" t="str">
            <v>3P Onsite Worker</v>
          </cell>
          <cell r="AO992" t="str">
            <v>A</v>
          </cell>
          <cell r="AP992">
            <v>9</v>
          </cell>
          <cell r="AQ992">
            <v>0</v>
          </cell>
          <cell r="AR992">
            <v>1</v>
          </cell>
          <cell r="AS992">
            <v>1</v>
          </cell>
          <cell r="AT992">
            <v>0</v>
          </cell>
          <cell r="AU992">
            <v>0</v>
          </cell>
        </row>
        <row r="993">
          <cell r="D993" t="str">
            <v>ssemuyai</v>
          </cell>
          <cell r="E993">
            <v>205977117</v>
          </cell>
          <cell r="F993" t="str">
            <v>A</v>
          </cell>
          <cell r="G993" t="str">
            <v>GREEN</v>
          </cell>
          <cell r="H993" t="str">
            <v>FULL_TIME</v>
          </cell>
          <cell r="I993">
            <v>900234</v>
          </cell>
          <cell r="J993" t="str">
            <v>Dulsco L.L.C.</v>
          </cell>
          <cell r="K993" t="str">
            <v>IVAN SSEMUYABA</v>
          </cell>
          <cell r="L993" t="str">
            <v>Warehouse Associate (TEMP)</v>
          </cell>
          <cell r="M993" t="str">
            <v>Warehouse Associate 24M</v>
          </cell>
          <cell r="N993" t="str">
            <v>vkkatyal</v>
          </cell>
          <cell r="O993">
            <v>1299</v>
          </cell>
          <cell r="P993" t="str">
            <v>AUH1</v>
          </cell>
          <cell r="Q993" t="str">
            <v>ARE</v>
          </cell>
          <cell r="R993" t="str">
            <v>FC059</v>
          </cell>
          <cell r="S993" t="str">
            <v>Day Shift</v>
          </cell>
          <cell r="T993">
            <v>99</v>
          </cell>
          <cell r="U993" t="str">
            <v>MENA_UAE_FC</v>
          </cell>
          <cell r="X993">
            <v>46257.333333333336</v>
          </cell>
          <cell r="Y993">
            <v>46257.75</v>
          </cell>
          <cell r="Z993" t="str">
            <v>Rest Day</v>
          </cell>
          <cell r="AA993" t="str">
            <v>Not Scheduled</v>
          </cell>
          <cell r="AB993" t="str">
            <v>Not Present</v>
          </cell>
          <cell r="AC993" t="str">
            <v>Inbound</v>
          </cell>
          <cell r="AD993" t="str">
            <v>Inbound Stow</v>
          </cell>
          <cell r="AE993" t="str">
            <v>Stow</v>
          </cell>
          <cell r="AF993" t="str">
            <v>Sunday</v>
          </cell>
          <cell r="AG993" t="str">
            <v>Monday</v>
          </cell>
          <cell r="AH993">
            <v>3</v>
          </cell>
          <cell r="AJ993">
            <v>45914</v>
          </cell>
          <cell r="AM993" t="str">
            <v>TEMP</v>
          </cell>
          <cell r="AN993" t="str">
            <v>3P Onsite Worker</v>
          </cell>
          <cell r="AO993" t="str">
            <v>A</v>
          </cell>
          <cell r="AP993">
            <v>9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</row>
        <row r="994">
          <cell r="D994" t="str">
            <v>ssentumg</v>
          </cell>
          <cell r="E994">
            <v>206926477</v>
          </cell>
          <cell r="F994" t="str">
            <v>A</v>
          </cell>
          <cell r="G994" t="str">
            <v>GREEN</v>
          </cell>
          <cell r="H994" t="str">
            <v>FULL_TIME</v>
          </cell>
          <cell r="I994">
            <v>900234</v>
          </cell>
          <cell r="J994" t="str">
            <v>Dulsco L.L.C.</v>
          </cell>
          <cell r="K994" t="str">
            <v>GODFREY SSENTUMBWE</v>
          </cell>
          <cell r="L994" t="str">
            <v>Warehouse Associate (TEMP)</v>
          </cell>
          <cell r="M994" t="str">
            <v>Warehouse Associate 24M</v>
          </cell>
          <cell r="N994" t="str">
            <v>aanso</v>
          </cell>
          <cell r="O994">
            <v>1299</v>
          </cell>
          <cell r="P994" t="str">
            <v>AUH1</v>
          </cell>
          <cell r="Q994" t="str">
            <v>ARE</v>
          </cell>
          <cell r="R994" t="str">
            <v>FC034</v>
          </cell>
          <cell r="S994" t="str">
            <v>Day Shift</v>
          </cell>
          <cell r="T994">
            <v>99</v>
          </cell>
          <cell r="U994" t="str">
            <v>MENA_UAE_FC</v>
          </cell>
          <cell r="X994">
            <v>46257.333333333336</v>
          </cell>
          <cell r="Y994">
            <v>46257.75</v>
          </cell>
          <cell r="Z994" t="str">
            <v>Rest Day</v>
          </cell>
          <cell r="AA994" t="str">
            <v>Not Scheduled</v>
          </cell>
          <cell r="AB994" t="str">
            <v>Not Present</v>
          </cell>
          <cell r="AC994" t="str">
            <v>Customer returns</v>
          </cell>
          <cell r="AD994" t="str">
            <v>Customer Returns</v>
          </cell>
          <cell r="AE994" t="str">
            <v>Customer returns</v>
          </cell>
          <cell r="AF994" t="str">
            <v>Saturday</v>
          </cell>
          <cell r="AG994" t="str">
            <v>Sunday</v>
          </cell>
          <cell r="AH994">
            <v>22</v>
          </cell>
          <cell r="AJ994">
            <v>46047</v>
          </cell>
          <cell r="AM994" t="str">
            <v>TEMP</v>
          </cell>
          <cell r="AN994" t="str">
            <v>3P Onsite Worker</v>
          </cell>
          <cell r="AO994" t="str">
            <v>A</v>
          </cell>
          <cell r="AP994">
            <v>9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</row>
        <row r="995">
          <cell r="D995" t="str">
            <v>ssereaga</v>
          </cell>
          <cell r="E995">
            <v>203816757</v>
          </cell>
          <cell r="F995" t="str">
            <v>A</v>
          </cell>
          <cell r="G995" t="str">
            <v>GREEN</v>
          </cell>
          <cell r="H995" t="str">
            <v>FULL_TIME</v>
          </cell>
          <cell r="I995">
            <v>900234</v>
          </cell>
          <cell r="J995" t="str">
            <v>Dulsco L.L.C.</v>
          </cell>
          <cell r="K995" t="str">
            <v>REAGAN SSEMBAJJWE</v>
          </cell>
          <cell r="L995" t="str">
            <v>Warehouse Associate (TEMP)</v>
          </cell>
          <cell r="M995" t="str">
            <v>Warehouse Associate 24M</v>
          </cell>
          <cell r="N995" t="str">
            <v>nnahla</v>
          </cell>
          <cell r="O995">
            <v>1299</v>
          </cell>
          <cell r="P995" t="str">
            <v>AUH1</v>
          </cell>
          <cell r="Q995" t="str">
            <v>ARE</v>
          </cell>
          <cell r="R995" t="str">
            <v>FC059</v>
          </cell>
          <cell r="S995" t="str">
            <v>Day Shift</v>
          </cell>
          <cell r="T995">
            <v>99</v>
          </cell>
          <cell r="U995" t="str">
            <v>MENA_UAE_FC</v>
          </cell>
          <cell r="X995">
            <v>46257.333333333336</v>
          </cell>
          <cell r="Y995">
            <v>46257.75</v>
          </cell>
          <cell r="Z995" t="str">
            <v>Rest Day</v>
          </cell>
          <cell r="AA995" t="str">
            <v>Not Scheduled</v>
          </cell>
          <cell r="AB995" t="str">
            <v>Not Present</v>
          </cell>
          <cell r="AC995" t="str">
            <v>Inbound</v>
          </cell>
          <cell r="AD995" t="str">
            <v>Vendor Receive</v>
          </cell>
          <cell r="AE995" t="str">
            <v>Receive</v>
          </cell>
          <cell r="AF995" t="str">
            <v>Sunday</v>
          </cell>
          <cell r="AG995" t="str">
            <v>Monday</v>
          </cell>
          <cell r="AH995">
            <v>1</v>
          </cell>
          <cell r="AJ995">
            <v>45517</v>
          </cell>
          <cell r="AM995" t="str">
            <v>TEMP</v>
          </cell>
          <cell r="AN995" t="str">
            <v>3P Onsite Worker</v>
          </cell>
          <cell r="AO995" t="str">
            <v>A</v>
          </cell>
          <cell r="AP995">
            <v>9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</row>
        <row r="996">
          <cell r="D996" t="str">
            <v>sserusro</v>
          </cell>
          <cell r="E996">
            <v>206873790</v>
          </cell>
          <cell r="F996" t="str">
            <v>A</v>
          </cell>
          <cell r="G996" t="str">
            <v>GREEN</v>
          </cell>
          <cell r="H996" t="str">
            <v>FULL_TIME</v>
          </cell>
          <cell r="I996">
            <v>900234</v>
          </cell>
          <cell r="J996" t="str">
            <v>Dulsco L.L.C.</v>
          </cell>
          <cell r="K996" t="str">
            <v>SSERUKEERA RONALD</v>
          </cell>
          <cell r="L996" t="str">
            <v>Warehouse Associate (TEMP)</v>
          </cell>
          <cell r="M996" t="str">
            <v>Warehouse Associate 8W</v>
          </cell>
          <cell r="N996" t="str">
            <v>ansammar</v>
          </cell>
          <cell r="O996">
            <v>1299</v>
          </cell>
          <cell r="P996" t="str">
            <v>AUH1</v>
          </cell>
          <cell r="Q996" t="str">
            <v>ARE</v>
          </cell>
          <cell r="R996" t="str">
            <v>LK017</v>
          </cell>
          <cell r="S996" t="str">
            <v>Night Shift</v>
          </cell>
          <cell r="T996">
            <v>99</v>
          </cell>
          <cell r="U996" t="str">
            <v>MENA_UAE_FC</v>
          </cell>
          <cell r="V996">
            <v>46257.754861111112</v>
          </cell>
          <cell r="X996">
            <v>46257.756944444445</v>
          </cell>
          <cell r="Y996">
            <v>46258.173611111109</v>
          </cell>
          <cell r="AA996" t="str">
            <v>Scheduled</v>
          </cell>
          <cell r="AB996" t="str">
            <v>Present</v>
          </cell>
          <cell r="AC996" t="str">
            <v>Outbound</v>
          </cell>
          <cell r="AD996" t="str">
            <v>Picking</v>
          </cell>
          <cell r="AE996" t="str">
            <v>Pick</v>
          </cell>
          <cell r="AF996" t="str">
            <v>Thursday</v>
          </cell>
          <cell r="AG996" t="str">
            <v>Friday</v>
          </cell>
          <cell r="AH996">
            <v>13</v>
          </cell>
          <cell r="AJ996">
            <v>46029</v>
          </cell>
          <cell r="AM996" t="str">
            <v>TEMP</v>
          </cell>
          <cell r="AN996" t="str">
            <v>3P Onsite Worker</v>
          </cell>
          <cell r="AO996" t="str">
            <v>A</v>
          </cell>
          <cell r="AP996">
            <v>9</v>
          </cell>
          <cell r="AQ996">
            <v>0</v>
          </cell>
          <cell r="AR996">
            <v>1</v>
          </cell>
          <cell r="AS996">
            <v>1</v>
          </cell>
          <cell r="AT996">
            <v>0</v>
          </cell>
          <cell r="AU996">
            <v>0</v>
          </cell>
        </row>
        <row r="997">
          <cell r="D997" t="str">
            <v>sserutua</v>
          </cell>
          <cell r="E997">
            <v>203908861</v>
          </cell>
          <cell r="F997" t="str">
            <v>A</v>
          </cell>
          <cell r="G997" t="str">
            <v>GREEN</v>
          </cell>
          <cell r="H997" t="str">
            <v>FULL_TIME</v>
          </cell>
          <cell r="I997">
            <v>900234</v>
          </cell>
          <cell r="J997" t="str">
            <v>Dulsco L.L.C.</v>
          </cell>
          <cell r="K997" t="str">
            <v>ADAM SSERUTUKA</v>
          </cell>
          <cell r="L997" t="str">
            <v>Warehouse Associate (TEMP)</v>
          </cell>
          <cell r="M997" t="str">
            <v>Warehouse Associate 24M</v>
          </cell>
          <cell r="N997" t="str">
            <v>ansammar</v>
          </cell>
          <cell r="O997">
            <v>1299</v>
          </cell>
          <cell r="P997" t="str">
            <v>AUH1</v>
          </cell>
          <cell r="Q997" t="str">
            <v>ARE</v>
          </cell>
          <cell r="R997" t="str">
            <v>FC159</v>
          </cell>
          <cell r="S997" t="str">
            <v>Day Shift</v>
          </cell>
          <cell r="T997">
            <v>99</v>
          </cell>
          <cell r="U997" t="str">
            <v>MENA_UAE_FC</v>
          </cell>
          <cell r="V997">
            <v>46257.332638888889</v>
          </cell>
          <cell r="W997">
            <v>46257.748611111114</v>
          </cell>
          <cell r="X997">
            <v>46257.333333333336</v>
          </cell>
          <cell r="Y997">
            <v>46257.75</v>
          </cell>
          <cell r="AA997" t="str">
            <v>Scheduled</v>
          </cell>
          <cell r="AB997" t="str">
            <v>Present</v>
          </cell>
          <cell r="AC997" t="str">
            <v>Outbound</v>
          </cell>
          <cell r="AD997" t="str">
            <v>Sort - Batch</v>
          </cell>
          <cell r="AE997" t="str">
            <v>Sort</v>
          </cell>
          <cell r="AF997" t="str">
            <v>Thursday</v>
          </cell>
          <cell r="AG997" t="str">
            <v>Friday</v>
          </cell>
          <cell r="AH997">
            <v>15</v>
          </cell>
          <cell r="AJ997">
            <v>45536</v>
          </cell>
          <cell r="AM997" t="str">
            <v>TEMP</v>
          </cell>
          <cell r="AN997" t="str">
            <v>3P Onsite Worker</v>
          </cell>
          <cell r="AO997" t="str">
            <v>A</v>
          </cell>
          <cell r="AP997">
            <v>9</v>
          </cell>
          <cell r="AQ997">
            <v>0</v>
          </cell>
          <cell r="AR997">
            <v>1</v>
          </cell>
          <cell r="AS997">
            <v>1</v>
          </cell>
          <cell r="AT997">
            <v>0</v>
          </cell>
          <cell r="AU997">
            <v>0</v>
          </cell>
        </row>
        <row r="998">
          <cell r="D998" t="str">
            <v>ssettinp</v>
          </cell>
          <cell r="E998">
            <v>205977126</v>
          </cell>
          <cell r="F998" t="str">
            <v>A</v>
          </cell>
          <cell r="G998" t="str">
            <v>GREEN</v>
          </cell>
          <cell r="H998" t="str">
            <v>FULL_TIME</v>
          </cell>
          <cell r="I998">
            <v>900234</v>
          </cell>
          <cell r="J998" t="str">
            <v>Dulsco L.L.C.</v>
          </cell>
          <cell r="K998" t="str">
            <v>PETER SSETTINBA</v>
          </cell>
          <cell r="L998" t="str">
            <v>Warehouse Associate (TEMP)</v>
          </cell>
          <cell r="M998" t="str">
            <v>Warehouse Associate 24M</v>
          </cell>
          <cell r="N998" t="str">
            <v>pparsin</v>
          </cell>
          <cell r="O998">
            <v>1299</v>
          </cell>
          <cell r="P998" t="str">
            <v>AUH1</v>
          </cell>
          <cell r="Q998" t="str">
            <v>ARE</v>
          </cell>
          <cell r="R998" t="str">
            <v>FC059</v>
          </cell>
          <cell r="S998" t="str">
            <v>Day Shift</v>
          </cell>
          <cell r="T998">
            <v>99</v>
          </cell>
          <cell r="U998" t="str">
            <v>MENA_UAE_FC</v>
          </cell>
          <cell r="X998">
            <v>46257.333333333336</v>
          </cell>
          <cell r="Y998">
            <v>46257.75</v>
          </cell>
          <cell r="Z998" t="str">
            <v>Rest Day</v>
          </cell>
          <cell r="AA998" t="str">
            <v>Not Scheduled</v>
          </cell>
          <cell r="AB998" t="str">
            <v>Not Present</v>
          </cell>
          <cell r="AC998" t="str">
            <v>Inbound</v>
          </cell>
          <cell r="AD998" t="str">
            <v>Inbound Stow</v>
          </cell>
          <cell r="AE998" t="str">
            <v>Stow</v>
          </cell>
          <cell r="AF998" t="str">
            <v>Sunday</v>
          </cell>
          <cell r="AG998" t="str">
            <v>Monday</v>
          </cell>
          <cell r="AH998">
            <v>3</v>
          </cell>
          <cell r="AJ998">
            <v>45914</v>
          </cell>
          <cell r="AM998" t="str">
            <v>TEMP</v>
          </cell>
          <cell r="AN998" t="str">
            <v>3P Onsite Worker</v>
          </cell>
          <cell r="AO998" t="str">
            <v>A</v>
          </cell>
          <cell r="AP998">
            <v>9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</row>
        <row r="999">
          <cell r="D999" t="str">
            <v>ssewante</v>
          </cell>
          <cell r="E999">
            <v>205845561</v>
          </cell>
          <cell r="F999" t="str">
            <v>A</v>
          </cell>
          <cell r="G999" t="str">
            <v>GREEN</v>
          </cell>
          <cell r="H999" t="str">
            <v>FULL_TIME</v>
          </cell>
          <cell r="I999">
            <v>900234</v>
          </cell>
          <cell r="J999" t="str">
            <v>Dulsco L.L.C.</v>
          </cell>
          <cell r="K999" t="str">
            <v>TONNY SSEWANTE</v>
          </cell>
          <cell r="L999" t="str">
            <v>Warehouse Associate (TEMP)</v>
          </cell>
          <cell r="M999" t="str">
            <v>Warehouse Associate 24M</v>
          </cell>
          <cell r="N999" t="str">
            <v>ansammar</v>
          </cell>
          <cell r="O999">
            <v>1299</v>
          </cell>
          <cell r="P999" t="str">
            <v>AUH1</v>
          </cell>
          <cell r="Q999" t="str">
            <v>ARE</v>
          </cell>
          <cell r="R999" t="str">
            <v>FC034</v>
          </cell>
          <cell r="S999" t="str">
            <v>Day Shift</v>
          </cell>
          <cell r="T999">
            <v>99</v>
          </cell>
          <cell r="U999" t="str">
            <v>MENA_UAE_FC</v>
          </cell>
          <cell r="X999">
            <v>46257.333333333336</v>
          </cell>
          <cell r="Y999">
            <v>46257.75</v>
          </cell>
          <cell r="Z999" t="str">
            <v>Rest Day</v>
          </cell>
          <cell r="AA999" t="str">
            <v>Not Scheduled</v>
          </cell>
          <cell r="AB999" t="str">
            <v>Not Present</v>
          </cell>
          <cell r="AC999" t="str">
            <v>Outbound</v>
          </cell>
          <cell r="AD999" t="str">
            <v>Picking</v>
          </cell>
          <cell r="AE999" t="str">
            <v>Pick</v>
          </cell>
          <cell r="AF999" t="str">
            <v>Saturday</v>
          </cell>
          <cell r="AG999" t="str">
            <v>Sunday</v>
          </cell>
          <cell r="AH999">
            <v>13</v>
          </cell>
          <cell r="AJ999">
            <v>45893</v>
          </cell>
          <cell r="AM999" t="str">
            <v>TEMP</v>
          </cell>
          <cell r="AN999" t="str">
            <v>3P Onsite Worker</v>
          </cell>
          <cell r="AO999" t="str">
            <v>A</v>
          </cell>
          <cell r="AP999">
            <v>9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</row>
        <row r="1000">
          <cell r="D1000" t="str">
            <v>ssjonatm</v>
          </cell>
          <cell r="E1000">
            <v>206015628</v>
          </cell>
          <cell r="F1000" t="str">
            <v>A</v>
          </cell>
          <cell r="G1000" t="str">
            <v>GREEN</v>
          </cell>
          <cell r="H1000" t="str">
            <v>FULL_TIME</v>
          </cell>
          <cell r="I1000">
            <v>900234</v>
          </cell>
          <cell r="J1000" t="str">
            <v>Fastlink Outsourcing</v>
          </cell>
          <cell r="K1000" t="str">
            <v>Jonathan Ssali</v>
          </cell>
          <cell r="L1000" t="str">
            <v>Warehouse Associate (TEMP)</v>
          </cell>
          <cell r="M1000" t="str">
            <v>Warehouse Associate 12M</v>
          </cell>
          <cell r="N1000" t="str">
            <v>lraghava</v>
          </cell>
          <cell r="O1000">
            <v>1299</v>
          </cell>
          <cell r="P1000" t="str">
            <v>AUH1</v>
          </cell>
          <cell r="Q1000" t="str">
            <v>ARE</v>
          </cell>
          <cell r="R1000" t="str">
            <v>FC009</v>
          </cell>
          <cell r="S1000" t="str">
            <v>Day Shift</v>
          </cell>
          <cell r="T1000">
            <v>99</v>
          </cell>
          <cell r="U1000" t="str">
            <v>MENA_UAE_FC</v>
          </cell>
          <cell r="V1000">
            <v>46257.331250000003</v>
          </cell>
          <cell r="W1000">
            <v>46257.75</v>
          </cell>
          <cell r="X1000">
            <v>46257.333333333336</v>
          </cell>
          <cell r="Y1000">
            <v>46257.75</v>
          </cell>
          <cell r="AA1000" t="str">
            <v>Scheduled</v>
          </cell>
          <cell r="AB1000" t="str">
            <v>Present</v>
          </cell>
          <cell r="AC1000" t="str">
            <v>Outbound</v>
          </cell>
          <cell r="AD1000" t="str">
            <v>Picking</v>
          </cell>
          <cell r="AE1000" t="str">
            <v>Pick</v>
          </cell>
          <cell r="AF1000" t="str">
            <v>Friday</v>
          </cell>
          <cell r="AG1000" t="str">
            <v>Saturday</v>
          </cell>
          <cell r="AH1000">
            <v>13</v>
          </cell>
          <cell r="AJ1000">
            <v>45921</v>
          </cell>
          <cell r="AM1000" t="str">
            <v>TEMP</v>
          </cell>
          <cell r="AN1000" t="str">
            <v>3P Onsite Worker</v>
          </cell>
          <cell r="AO1000" t="str">
            <v>A</v>
          </cell>
          <cell r="AP1000">
            <v>9</v>
          </cell>
          <cell r="AQ1000">
            <v>0</v>
          </cell>
          <cell r="AR1000">
            <v>1</v>
          </cell>
          <cell r="AS1000">
            <v>1</v>
          </cell>
          <cell r="AT1000">
            <v>0</v>
          </cell>
          <cell r="AU1000">
            <v>0</v>
          </cell>
        </row>
        <row r="1001">
          <cell r="D1001" t="str">
            <v>ssqurais</v>
          </cell>
          <cell r="E1001">
            <v>206915472</v>
          </cell>
          <cell r="F1001" t="str">
            <v>A</v>
          </cell>
          <cell r="G1001" t="str">
            <v>GREEN</v>
          </cell>
          <cell r="H1001" t="str">
            <v>FULL_TIME</v>
          </cell>
          <cell r="I1001">
            <v>900234</v>
          </cell>
          <cell r="J1001" t="str">
            <v>Dulsco L.L.C.</v>
          </cell>
          <cell r="K1001" t="str">
            <v>QURAISH SSEMATIMBA</v>
          </cell>
          <cell r="L1001" t="str">
            <v>Warehouse Associate (TEMP)</v>
          </cell>
          <cell r="M1001" t="str">
            <v>Warehouse Associate 8W</v>
          </cell>
          <cell r="N1001" t="str">
            <v>bizthoma</v>
          </cell>
          <cell r="O1001">
            <v>1299</v>
          </cell>
          <cell r="P1001" t="str">
            <v>AUH1</v>
          </cell>
          <cell r="Q1001" t="str">
            <v>ARE</v>
          </cell>
          <cell r="R1001" t="str">
            <v>LK011</v>
          </cell>
          <cell r="S1001" t="str">
            <v>Night Shift</v>
          </cell>
          <cell r="T1001">
            <v>99</v>
          </cell>
          <cell r="U1001" t="str">
            <v>MENA_UAE_FC</v>
          </cell>
          <cell r="V1001">
            <v>46257.756249999999</v>
          </cell>
          <cell r="X1001">
            <v>46257.756944444445</v>
          </cell>
          <cell r="Y1001">
            <v>46258.173611111109</v>
          </cell>
          <cell r="AA1001" t="str">
            <v>Scheduled</v>
          </cell>
          <cell r="AB1001" t="str">
            <v>Present</v>
          </cell>
          <cell r="AC1001" t="str">
            <v>Outbound</v>
          </cell>
          <cell r="AD1001" t="str">
            <v>Picking</v>
          </cell>
          <cell r="AE1001" t="str">
            <v>Pick</v>
          </cell>
          <cell r="AF1001" t="str">
            <v>Friday</v>
          </cell>
          <cell r="AG1001" t="str">
            <v>Saturday</v>
          </cell>
          <cell r="AH1001">
            <v>13</v>
          </cell>
          <cell r="AJ1001">
            <v>46033</v>
          </cell>
          <cell r="AM1001" t="str">
            <v>TEMP</v>
          </cell>
          <cell r="AN1001" t="str">
            <v>3P Onsite Worker</v>
          </cell>
          <cell r="AO1001" t="str">
            <v>A</v>
          </cell>
          <cell r="AP1001">
            <v>9</v>
          </cell>
          <cell r="AQ1001">
            <v>0</v>
          </cell>
          <cell r="AR1001">
            <v>1</v>
          </cell>
          <cell r="AS1001">
            <v>1</v>
          </cell>
          <cell r="AT1001">
            <v>0</v>
          </cell>
          <cell r="AU1001">
            <v>0</v>
          </cell>
        </row>
        <row r="1002">
          <cell r="D1002" t="str">
            <v>stelasar</v>
          </cell>
          <cell r="E1002">
            <v>204868861</v>
          </cell>
          <cell r="F1002" t="str">
            <v>A</v>
          </cell>
          <cell r="G1002" t="str">
            <v>GREEN</v>
          </cell>
          <cell r="H1002" t="str">
            <v>FULL_TIME</v>
          </cell>
          <cell r="I1002">
            <v>900234</v>
          </cell>
          <cell r="J1002" t="str">
            <v>Quesscorp</v>
          </cell>
          <cell r="K1002" t="str">
            <v>Stella Nyarko Asare</v>
          </cell>
          <cell r="L1002" t="str">
            <v>Warehouse Associate (TEMP)</v>
          </cell>
          <cell r="M1002" t="str">
            <v>Warehouse Associate 24M</v>
          </cell>
          <cell r="N1002" t="str">
            <v>pparsin</v>
          </cell>
          <cell r="O1002">
            <v>1299</v>
          </cell>
          <cell r="P1002" t="str">
            <v>AUH1</v>
          </cell>
          <cell r="Q1002" t="str">
            <v>ARE</v>
          </cell>
          <cell r="R1002" t="str">
            <v>FC034</v>
          </cell>
          <cell r="S1002" t="str">
            <v>Day Shift</v>
          </cell>
          <cell r="T1002">
            <v>99</v>
          </cell>
          <cell r="U1002" t="str">
            <v>MENA_UAE_FC</v>
          </cell>
          <cell r="X1002">
            <v>46257.333333333336</v>
          </cell>
          <cell r="Y1002">
            <v>46257.75</v>
          </cell>
          <cell r="Z1002" t="str">
            <v>Rest Day</v>
          </cell>
          <cell r="AA1002" t="str">
            <v>Not Scheduled</v>
          </cell>
          <cell r="AB1002" t="str">
            <v>Not Present</v>
          </cell>
          <cell r="AC1002" t="str">
            <v>Inbound</v>
          </cell>
          <cell r="AD1002" t="str">
            <v>Inbound Stow</v>
          </cell>
          <cell r="AE1002" t="str">
            <v>Stow</v>
          </cell>
          <cell r="AF1002" t="str">
            <v>Saturday</v>
          </cell>
          <cell r="AG1002" t="str">
            <v>Sunday</v>
          </cell>
          <cell r="AH1002">
            <v>3</v>
          </cell>
          <cell r="AJ1002">
            <v>45690</v>
          </cell>
          <cell r="AM1002" t="str">
            <v>TEMP</v>
          </cell>
          <cell r="AN1002" t="str">
            <v>3P Onsite Worker</v>
          </cell>
          <cell r="AO1002" t="str">
            <v>A</v>
          </cell>
          <cell r="AP1002">
            <v>9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</row>
        <row r="1003">
          <cell r="D1003" t="str">
            <v>stepheof</v>
          </cell>
          <cell r="E1003">
            <v>205276100</v>
          </cell>
          <cell r="F1003" t="str">
            <v>A</v>
          </cell>
          <cell r="G1003" t="str">
            <v>GREEN</v>
          </cell>
          <cell r="H1003" t="str">
            <v>FULL_TIME</v>
          </cell>
          <cell r="I1003">
            <v>900234</v>
          </cell>
          <cell r="J1003" t="str">
            <v>Dulsco L.L.C.</v>
          </cell>
          <cell r="K1003" t="str">
            <v>STEPHEN NYADU OFORI</v>
          </cell>
          <cell r="L1003" t="str">
            <v>Warehouse Associate (TEMP)</v>
          </cell>
          <cell r="M1003" t="str">
            <v>Warehouse Associate 8W</v>
          </cell>
          <cell r="N1003" t="str">
            <v>bavameer</v>
          </cell>
          <cell r="O1003">
            <v>1299</v>
          </cell>
          <cell r="P1003" t="str">
            <v>AUH1</v>
          </cell>
          <cell r="Q1003" t="str">
            <v>ARE</v>
          </cell>
          <cell r="R1003" t="str">
            <v>LK012</v>
          </cell>
          <cell r="S1003" t="str">
            <v>Night Shift</v>
          </cell>
          <cell r="T1003">
            <v>99</v>
          </cell>
          <cell r="U1003" t="str">
            <v>MENA_UAE_FC</v>
          </cell>
          <cell r="X1003">
            <v>46257.756944444445</v>
          </cell>
          <cell r="Y1003">
            <v>46258.173611111109</v>
          </cell>
          <cell r="Z1003" t="str">
            <v>Rest Day</v>
          </cell>
          <cell r="AA1003" t="str">
            <v>Not Scheduled</v>
          </cell>
          <cell r="AB1003" t="str">
            <v>Not Present</v>
          </cell>
          <cell r="AC1003" t="str">
            <v>Customer returns</v>
          </cell>
          <cell r="AD1003" t="str">
            <v>Customer Returns</v>
          </cell>
          <cell r="AE1003" t="str">
            <v>Customer returns</v>
          </cell>
          <cell r="AF1003" t="str">
            <v>Saturday</v>
          </cell>
          <cell r="AG1003" t="str">
            <v>Sunday</v>
          </cell>
          <cell r="AH1003">
            <v>22</v>
          </cell>
          <cell r="AJ1003">
            <v>45795</v>
          </cell>
          <cell r="AM1003" t="str">
            <v>TEMP</v>
          </cell>
          <cell r="AN1003" t="str">
            <v>3P Onsite Worker</v>
          </cell>
          <cell r="AO1003" t="str">
            <v>A</v>
          </cell>
          <cell r="AP1003">
            <v>9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</row>
        <row r="1004">
          <cell r="D1004" t="str">
            <v>stephsuh</v>
          </cell>
          <cell r="E1004">
            <v>108019725</v>
          </cell>
          <cell r="F1004" t="str">
            <v>A</v>
          </cell>
          <cell r="G1004" t="str">
            <v>BLUE</v>
          </cell>
          <cell r="H1004" t="str">
            <v>FULL_TIME</v>
          </cell>
          <cell r="I1004" t="str">
            <v>P03231</v>
          </cell>
          <cell r="K1004" t="str">
            <v>Stephen Tante Suh</v>
          </cell>
          <cell r="L1004" t="str">
            <v>FC Associate III</v>
          </cell>
          <cell r="M1004" t="str">
            <v>Operations Supervisor</v>
          </cell>
          <cell r="N1004" t="str">
            <v>scariav</v>
          </cell>
          <cell r="O1004">
            <v>1299</v>
          </cell>
          <cell r="P1004" t="str">
            <v>AUH1</v>
          </cell>
          <cell r="Q1004" t="str">
            <v>ARE</v>
          </cell>
          <cell r="R1004" t="str">
            <v>LK015</v>
          </cell>
          <cell r="S1004" t="str">
            <v>Night Shift</v>
          </cell>
          <cell r="T1004">
            <v>3</v>
          </cell>
          <cell r="U1004" t="str">
            <v>MENA_UAE_FC</v>
          </cell>
          <cell r="V1004">
            <v>46257.743750000001</v>
          </cell>
          <cell r="X1004">
            <v>46257.756944444445</v>
          </cell>
          <cell r="Y1004">
            <v>46258.173611111109</v>
          </cell>
          <cell r="AA1004" t="str">
            <v>Scheduled</v>
          </cell>
          <cell r="AB1004" t="str">
            <v>Present</v>
          </cell>
          <cell r="AC1004" t="str">
            <v>Outbound</v>
          </cell>
          <cell r="AD1004" t="str">
            <v>Picking</v>
          </cell>
          <cell r="AE1004" t="str">
            <v>Pick</v>
          </cell>
          <cell r="AF1004" t="str">
            <v>Tuesday</v>
          </cell>
          <cell r="AG1004" t="str">
            <v>Wednesday</v>
          </cell>
          <cell r="AH1004">
            <v>13</v>
          </cell>
          <cell r="AJ1004">
            <v>44756</v>
          </cell>
          <cell r="AM1004" t="str">
            <v>FC</v>
          </cell>
          <cell r="AN1004" t="str">
            <v>Regular Full Time</v>
          </cell>
          <cell r="AO1004" t="str">
            <v>A</v>
          </cell>
          <cell r="AP1004">
            <v>9</v>
          </cell>
          <cell r="AQ1004">
            <v>0</v>
          </cell>
          <cell r="AR1004">
            <v>1</v>
          </cell>
          <cell r="AS1004">
            <v>1</v>
          </cell>
          <cell r="AT1004">
            <v>0</v>
          </cell>
          <cell r="AU1004">
            <v>0</v>
          </cell>
        </row>
        <row r="1005">
          <cell r="D1005" t="str">
            <v>sudqsonu</v>
          </cell>
          <cell r="E1005">
            <v>203813078</v>
          </cell>
          <cell r="F1005" t="str">
            <v>A</v>
          </cell>
          <cell r="G1005" t="str">
            <v>GREEN</v>
          </cell>
          <cell r="H1005" t="str">
            <v>FULL_TIME</v>
          </cell>
          <cell r="I1005">
            <v>900234</v>
          </cell>
          <cell r="J1005" t="str">
            <v>Adecco</v>
          </cell>
          <cell r="K1005" t="str">
            <v>SONU SUDHA</v>
          </cell>
          <cell r="L1005" t="str">
            <v>Warehouse Associate (TEMP)</v>
          </cell>
          <cell r="M1005" t="str">
            <v>Warehouse Associate 24M</v>
          </cell>
          <cell r="N1005" t="str">
            <v>bavameer</v>
          </cell>
          <cell r="O1005">
            <v>1299</v>
          </cell>
          <cell r="P1005" t="str">
            <v>AUH1</v>
          </cell>
          <cell r="Q1005" t="str">
            <v>ARE</v>
          </cell>
          <cell r="R1005" t="str">
            <v>FC059</v>
          </cell>
          <cell r="S1005" t="str">
            <v>Day Shift</v>
          </cell>
          <cell r="T1005">
            <v>99</v>
          </cell>
          <cell r="U1005" t="str">
            <v>MENA_UAE_FC</v>
          </cell>
          <cell r="X1005">
            <v>46257.333333333336</v>
          </cell>
          <cell r="Y1005">
            <v>46257.75</v>
          </cell>
          <cell r="Z1005" t="str">
            <v>Rest Day</v>
          </cell>
          <cell r="AA1005" t="str">
            <v>Not Scheduled</v>
          </cell>
          <cell r="AB1005" t="str">
            <v>Not Present</v>
          </cell>
          <cell r="AC1005" t="str">
            <v>Customer returns</v>
          </cell>
          <cell r="AD1005" t="str">
            <v>Customer Returns</v>
          </cell>
          <cell r="AE1005" t="str">
            <v>Customer returns</v>
          </cell>
          <cell r="AF1005" t="str">
            <v>Sunday</v>
          </cell>
          <cell r="AG1005" t="str">
            <v>Monday</v>
          </cell>
          <cell r="AH1005">
            <v>22</v>
          </cell>
          <cell r="AJ1005">
            <v>45516</v>
          </cell>
          <cell r="AM1005" t="str">
            <v>TEMP</v>
          </cell>
          <cell r="AN1005" t="str">
            <v>3P Onsite Worker</v>
          </cell>
          <cell r="AO1005" t="str">
            <v>A</v>
          </cell>
          <cell r="AP1005">
            <v>9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</row>
        <row r="1006">
          <cell r="D1006" t="str">
            <v>sunashir</v>
          </cell>
          <cell r="E1006">
            <v>203965521</v>
          </cell>
          <cell r="F1006" t="str">
            <v>A</v>
          </cell>
          <cell r="G1006" t="str">
            <v>GREEN</v>
          </cell>
          <cell r="H1006" t="str">
            <v>FULL_TIME</v>
          </cell>
          <cell r="I1006">
            <v>900234</v>
          </cell>
          <cell r="J1006" t="str">
            <v>Fastlink Outsourcing</v>
          </cell>
          <cell r="K1006" t="str">
            <v>Samsudeen Nashiru</v>
          </cell>
          <cell r="L1006" t="str">
            <v>Warehouse Associate (TEMP)</v>
          </cell>
          <cell r="M1006" t="str">
            <v>Warehouse Associate 12M</v>
          </cell>
          <cell r="N1006" t="str">
            <v>vkkatyal</v>
          </cell>
          <cell r="O1006">
            <v>1299</v>
          </cell>
          <cell r="P1006" t="str">
            <v>AUH1</v>
          </cell>
          <cell r="Q1006" t="str">
            <v>ARE</v>
          </cell>
          <cell r="R1006" t="str">
            <v>FC059</v>
          </cell>
          <cell r="S1006" t="str">
            <v>Day Shift</v>
          </cell>
          <cell r="T1006">
            <v>99</v>
          </cell>
          <cell r="U1006" t="str">
            <v>MENA_UAE_FC</v>
          </cell>
          <cell r="X1006">
            <v>46257.333333333336</v>
          </cell>
          <cell r="Y1006">
            <v>46257.75</v>
          </cell>
          <cell r="Z1006" t="str">
            <v>Rest Day</v>
          </cell>
          <cell r="AA1006" t="str">
            <v>Not Scheduled</v>
          </cell>
          <cell r="AB1006" t="str">
            <v>Not Present</v>
          </cell>
          <cell r="AC1006" t="str">
            <v>Inbound</v>
          </cell>
          <cell r="AD1006" t="str">
            <v>Inbound Stow</v>
          </cell>
          <cell r="AE1006" t="str">
            <v>Stow</v>
          </cell>
          <cell r="AF1006" t="str">
            <v>Sunday</v>
          </cell>
          <cell r="AG1006" t="str">
            <v>Monday</v>
          </cell>
          <cell r="AH1006">
            <v>3</v>
          </cell>
          <cell r="AJ1006">
            <v>45543</v>
          </cell>
          <cell r="AM1006" t="str">
            <v>TEMP</v>
          </cell>
          <cell r="AN1006" t="str">
            <v>3P Onsite Worker</v>
          </cell>
          <cell r="AO1006" t="str">
            <v>A</v>
          </cell>
          <cell r="AP1006">
            <v>9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</row>
        <row r="1007">
          <cell r="D1007" t="str">
            <v>sundabru</v>
          </cell>
          <cell r="E1007">
            <v>204172222</v>
          </cell>
          <cell r="F1007" t="str">
            <v>A</v>
          </cell>
          <cell r="G1007" t="str">
            <v>GREEN</v>
          </cell>
          <cell r="H1007" t="str">
            <v>FULL_TIME</v>
          </cell>
          <cell r="I1007">
            <v>900234</v>
          </cell>
          <cell r="J1007" t="str">
            <v>Dulsco L.L.C.</v>
          </cell>
          <cell r="K1007" t="str">
            <v>Bruce sunday</v>
          </cell>
          <cell r="L1007" t="str">
            <v>Warehouse Associate (TEMP)</v>
          </cell>
          <cell r="M1007" t="str">
            <v>Warehouse Associate 24M</v>
          </cell>
          <cell r="N1007" t="str">
            <v>ansammar</v>
          </cell>
          <cell r="O1007">
            <v>1299</v>
          </cell>
          <cell r="P1007" t="str">
            <v>AUH1</v>
          </cell>
          <cell r="Q1007" t="str">
            <v>ARE</v>
          </cell>
          <cell r="R1007" t="str">
            <v>FC034</v>
          </cell>
          <cell r="S1007" t="str">
            <v>Day Shift</v>
          </cell>
          <cell r="T1007">
            <v>99</v>
          </cell>
          <cell r="U1007" t="str">
            <v>MENA_UAE_FC</v>
          </cell>
          <cell r="X1007">
            <v>46257.333333333336</v>
          </cell>
          <cell r="Y1007">
            <v>46257.75</v>
          </cell>
          <cell r="Z1007" t="str">
            <v>Rest Day</v>
          </cell>
          <cell r="AA1007" t="str">
            <v>Not Scheduled</v>
          </cell>
          <cell r="AB1007" t="str">
            <v>Not Present</v>
          </cell>
          <cell r="AC1007" t="str">
            <v>Outbound</v>
          </cell>
          <cell r="AD1007" t="str">
            <v>Picking</v>
          </cell>
          <cell r="AE1007" t="str">
            <v>Pick</v>
          </cell>
          <cell r="AF1007" t="str">
            <v>Saturday</v>
          </cell>
          <cell r="AG1007" t="str">
            <v>Sunday</v>
          </cell>
          <cell r="AH1007">
            <v>13</v>
          </cell>
          <cell r="AJ1007">
            <v>45567</v>
          </cell>
          <cell r="AM1007" t="str">
            <v>TEMP</v>
          </cell>
          <cell r="AN1007" t="str">
            <v>3P Onsite Worker</v>
          </cell>
          <cell r="AO1007" t="str">
            <v>A</v>
          </cell>
          <cell r="AP1007">
            <v>9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</row>
        <row r="1008">
          <cell r="D1008" t="str">
            <v>sundarad</v>
          </cell>
          <cell r="E1008">
            <v>102207650</v>
          </cell>
          <cell r="F1008" t="str">
            <v>A</v>
          </cell>
          <cell r="G1008" t="str">
            <v>BLUE</v>
          </cell>
          <cell r="H1008" t="str">
            <v>FULL_TIME</v>
          </cell>
          <cell r="I1008" t="str">
            <v>P03251</v>
          </cell>
          <cell r="K1008" t="str">
            <v>Dhakshinamoorthy Sundaramoorthy</v>
          </cell>
          <cell r="L1008" t="str">
            <v>FC Associate I</v>
          </cell>
          <cell r="M1008" t="str">
            <v>FC Associate I</v>
          </cell>
          <cell r="N1008" t="str">
            <v>aanso</v>
          </cell>
          <cell r="O1008">
            <v>1299</v>
          </cell>
          <cell r="P1008" t="str">
            <v>AUH1</v>
          </cell>
          <cell r="Q1008" t="str">
            <v>ARE</v>
          </cell>
          <cell r="R1008" t="str">
            <v>FC134</v>
          </cell>
          <cell r="S1008" t="str">
            <v>Day Shift</v>
          </cell>
          <cell r="T1008">
            <v>1</v>
          </cell>
          <cell r="U1008" t="str">
            <v>MENA_UAE_FC</v>
          </cell>
          <cell r="V1008">
            <v>46257.330555555556</v>
          </cell>
          <cell r="W1008">
            <v>46257.756944444445</v>
          </cell>
          <cell r="X1008">
            <v>46257.333333333336</v>
          </cell>
          <cell r="Y1008">
            <v>46257.75</v>
          </cell>
          <cell r="AA1008" t="str">
            <v>Scheduled</v>
          </cell>
          <cell r="AB1008" t="str">
            <v>Present</v>
          </cell>
          <cell r="AC1008" t="str">
            <v>Customer returns</v>
          </cell>
          <cell r="AD1008" t="str">
            <v>Customer Returns</v>
          </cell>
          <cell r="AE1008" t="str">
            <v>Customer returns</v>
          </cell>
          <cell r="AF1008" t="str">
            <v>Wednesday</v>
          </cell>
          <cell r="AG1008" t="str">
            <v>Thursday</v>
          </cell>
          <cell r="AH1008">
            <v>22</v>
          </cell>
          <cell r="AJ1008">
            <v>42867</v>
          </cell>
          <cell r="AM1008" t="str">
            <v>FC</v>
          </cell>
          <cell r="AN1008" t="str">
            <v>Regular Full Time</v>
          </cell>
          <cell r="AO1008" t="str">
            <v>A</v>
          </cell>
          <cell r="AP1008">
            <v>9</v>
          </cell>
          <cell r="AQ1008">
            <v>0</v>
          </cell>
          <cell r="AR1008">
            <v>1</v>
          </cell>
          <cell r="AS1008">
            <v>1</v>
          </cell>
          <cell r="AT1008">
            <v>0</v>
          </cell>
          <cell r="AU1008">
            <v>0</v>
          </cell>
        </row>
        <row r="1009">
          <cell r="D1009" t="str">
            <v>suwanjik</v>
          </cell>
          <cell r="E1009">
            <v>206953819</v>
          </cell>
          <cell r="F1009" t="str">
            <v>A</v>
          </cell>
          <cell r="G1009" t="str">
            <v>GREEN</v>
          </cell>
          <cell r="H1009" t="str">
            <v>FULL_TIME</v>
          </cell>
          <cell r="I1009">
            <v>900234</v>
          </cell>
          <cell r="J1009" t="str">
            <v>EFS Facilities Services</v>
          </cell>
          <cell r="K1009" t="str">
            <v>SUSAN RUGURU WANJIKU</v>
          </cell>
          <cell r="L1009" t="str">
            <v>Warehouse Associate (TEMP)</v>
          </cell>
          <cell r="M1009" t="str">
            <v>Warehouse Associate 8W</v>
          </cell>
          <cell r="N1009" t="str">
            <v>kebedeed</v>
          </cell>
          <cell r="O1009">
            <v>1299</v>
          </cell>
          <cell r="P1009" t="str">
            <v>AUH1</v>
          </cell>
          <cell r="Q1009" t="str">
            <v>ARE</v>
          </cell>
          <cell r="R1009" t="str">
            <v>FC159</v>
          </cell>
          <cell r="S1009" t="str">
            <v>Day Shift</v>
          </cell>
          <cell r="T1009">
            <v>99</v>
          </cell>
          <cell r="U1009" t="str">
            <v>MENA_UAE_FC</v>
          </cell>
          <cell r="V1009">
            <v>46257.331944444442</v>
          </cell>
          <cell r="W1009">
            <v>46257.747916666667</v>
          </cell>
          <cell r="X1009">
            <v>46257.333333333336</v>
          </cell>
          <cell r="Y1009">
            <v>46257.75</v>
          </cell>
          <cell r="AA1009" t="str">
            <v>Scheduled</v>
          </cell>
          <cell r="AB1009" t="str">
            <v>Present</v>
          </cell>
          <cell r="AC1009" t="str">
            <v>ICQA</v>
          </cell>
          <cell r="AD1009" t="str">
            <v>IC/QA/CS</v>
          </cell>
          <cell r="AE1009" t="str">
            <v>Support</v>
          </cell>
          <cell r="AF1009" t="str">
            <v>Thursday</v>
          </cell>
          <cell r="AG1009" t="str">
            <v>Friday</v>
          </cell>
          <cell r="AH1009">
            <v>27</v>
          </cell>
          <cell r="AJ1009">
            <v>46047</v>
          </cell>
          <cell r="AM1009" t="str">
            <v>TEMP</v>
          </cell>
          <cell r="AN1009" t="str">
            <v>3P Onsite Worker</v>
          </cell>
          <cell r="AO1009" t="str">
            <v>A</v>
          </cell>
          <cell r="AP1009">
            <v>9</v>
          </cell>
          <cell r="AQ1009">
            <v>0</v>
          </cell>
          <cell r="AR1009">
            <v>1</v>
          </cell>
          <cell r="AS1009">
            <v>1</v>
          </cell>
          <cell r="AT1009">
            <v>0</v>
          </cell>
          <cell r="AU1009">
            <v>0</v>
          </cell>
        </row>
        <row r="1010">
          <cell r="D1010" t="str">
            <v>sydoneye</v>
          </cell>
          <cell r="E1010">
            <v>205853884</v>
          </cell>
          <cell r="F1010" t="str">
            <v>A</v>
          </cell>
          <cell r="G1010" t="str">
            <v>GREEN</v>
          </cell>
          <cell r="H1010" t="str">
            <v>REDUCED</v>
          </cell>
          <cell r="I1010">
            <v>900234</v>
          </cell>
          <cell r="J1010" t="str">
            <v>EFS Facilities Services</v>
          </cell>
          <cell r="K1010" t="str">
            <v>SYDONIE EYE TANGE</v>
          </cell>
          <cell r="L1010" t="str">
            <v>Warehouse Associate (TEMP)</v>
          </cell>
          <cell r="M1010" t="str">
            <v>Warehouse Associate 8W</v>
          </cell>
          <cell r="N1010" t="str">
            <v>bizthoma</v>
          </cell>
          <cell r="O1010">
            <v>1299</v>
          </cell>
          <cell r="P1010" t="str">
            <v>AUH1</v>
          </cell>
          <cell r="Q1010" t="str">
            <v>ARE</v>
          </cell>
          <cell r="R1010" t="str">
            <v>FC554</v>
          </cell>
          <cell r="S1010" t="str">
            <v>Night Shift</v>
          </cell>
          <cell r="T1010">
            <v>99</v>
          </cell>
          <cell r="U1010" t="str">
            <v>MENA_UAE_FC</v>
          </cell>
          <cell r="X1010">
            <v>46257.756944444445</v>
          </cell>
          <cell r="Y1010">
            <v>46258.090277777781</v>
          </cell>
          <cell r="Z1010" t="str">
            <v>Rest Day</v>
          </cell>
          <cell r="AA1010" t="str">
            <v>Not Scheduled</v>
          </cell>
          <cell r="AB1010" t="str">
            <v>Not Present</v>
          </cell>
          <cell r="AC1010" t="str">
            <v>Outbound</v>
          </cell>
          <cell r="AD1010" t="str">
            <v>Picking</v>
          </cell>
          <cell r="AE1010" t="str">
            <v>Pick</v>
          </cell>
          <cell r="AF1010" t="str">
            <v>Sunday</v>
          </cell>
          <cell r="AG1010" t="str">
            <v>Monday</v>
          </cell>
          <cell r="AH1010">
            <v>13</v>
          </cell>
          <cell r="AJ1010">
            <v>46251</v>
          </cell>
          <cell r="AM1010" t="str">
            <v>TEMP</v>
          </cell>
          <cell r="AN1010" t="str">
            <v>3P Onsite Worker</v>
          </cell>
          <cell r="AO1010" t="str">
            <v>A</v>
          </cell>
          <cell r="AP1010">
            <v>7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</row>
        <row r="1011">
          <cell r="D1011" t="str">
            <v>taatinde</v>
          </cell>
          <cell r="E1011">
            <v>205651024</v>
          </cell>
          <cell r="F1011" t="str">
            <v>A</v>
          </cell>
          <cell r="G1011" t="str">
            <v>GREEN</v>
          </cell>
          <cell r="H1011" t="str">
            <v>FULL_TIME</v>
          </cell>
          <cell r="I1011">
            <v>900234</v>
          </cell>
          <cell r="J1011" t="str">
            <v>EFS Facilities Services</v>
          </cell>
          <cell r="K1011" t="str">
            <v>Tabitha Monica Atinde</v>
          </cell>
          <cell r="L1011" t="str">
            <v>Warehouse Associate (TEMP)</v>
          </cell>
          <cell r="M1011" t="str">
            <v>Warehouse Associate 8W</v>
          </cell>
          <cell r="N1011" t="str">
            <v>bavameer</v>
          </cell>
          <cell r="O1011">
            <v>1299</v>
          </cell>
          <cell r="P1011" t="str">
            <v>AUH1</v>
          </cell>
          <cell r="Q1011" t="str">
            <v>ARE</v>
          </cell>
          <cell r="R1011" t="str">
            <v>FC009</v>
          </cell>
          <cell r="S1011" t="str">
            <v>Day Shift</v>
          </cell>
          <cell r="T1011">
            <v>99</v>
          </cell>
          <cell r="U1011" t="str">
            <v>MENA_UAE_FC</v>
          </cell>
          <cell r="V1011">
            <v>46257.332638888889</v>
          </cell>
          <cell r="W1011">
            <v>46257.748611111114</v>
          </cell>
          <cell r="X1011">
            <v>46257.333333333336</v>
          </cell>
          <cell r="Y1011">
            <v>46257.75</v>
          </cell>
          <cell r="AA1011" t="str">
            <v>Scheduled</v>
          </cell>
          <cell r="AB1011" t="str">
            <v>Present</v>
          </cell>
          <cell r="AC1011" t="str">
            <v>Customer returns</v>
          </cell>
          <cell r="AD1011" t="str">
            <v>Customer Returns</v>
          </cell>
          <cell r="AE1011" t="str">
            <v>Customer returns</v>
          </cell>
          <cell r="AF1011" t="str">
            <v>Friday</v>
          </cell>
          <cell r="AG1011" t="str">
            <v>Saturday</v>
          </cell>
          <cell r="AH1011">
            <v>22</v>
          </cell>
          <cell r="AJ1011">
            <v>45851</v>
          </cell>
          <cell r="AM1011" t="str">
            <v>TEMP</v>
          </cell>
          <cell r="AN1011" t="str">
            <v>3P Onsite Worker</v>
          </cell>
          <cell r="AO1011" t="str">
            <v>A</v>
          </cell>
          <cell r="AP1011">
            <v>9</v>
          </cell>
          <cell r="AQ1011">
            <v>0</v>
          </cell>
          <cell r="AR1011">
            <v>1</v>
          </cell>
          <cell r="AS1011">
            <v>1</v>
          </cell>
          <cell r="AT1011">
            <v>0</v>
          </cell>
          <cell r="AU1011">
            <v>0</v>
          </cell>
        </row>
        <row r="1012">
          <cell r="D1012" t="str">
            <v>tabiayuj</v>
          </cell>
          <cell r="E1012">
            <v>205276302</v>
          </cell>
          <cell r="F1012" t="str">
            <v>A</v>
          </cell>
          <cell r="G1012" t="str">
            <v>GREEN</v>
          </cell>
          <cell r="H1012" t="str">
            <v>REDUCED</v>
          </cell>
          <cell r="I1012">
            <v>900234</v>
          </cell>
          <cell r="J1012" t="str">
            <v>EFS Facilities Services</v>
          </cell>
          <cell r="K1012" t="str">
            <v>Arrey Tabiayuk Brandon</v>
          </cell>
          <cell r="L1012" t="str">
            <v>Warehouse Associate (TEMP)</v>
          </cell>
          <cell r="M1012" t="str">
            <v>Warehouse Associate 8W</v>
          </cell>
          <cell r="N1012" t="str">
            <v>scariav</v>
          </cell>
          <cell r="O1012">
            <v>1299</v>
          </cell>
          <cell r="P1012" t="str">
            <v>AUH1</v>
          </cell>
          <cell r="Q1012" t="str">
            <v>ARE</v>
          </cell>
          <cell r="R1012" t="str">
            <v>FC557</v>
          </cell>
          <cell r="S1012" t="str">
            <v>Night Shift</v>
          </cell>
          <cell r="T1012">
            <v>99</v>
          </cell>
          <cell r="U1012" t="str">
            <v>MENA_UAE_FC</v>
          </cell>
          <cell r="V1012">
            <v>46257.753472222219</v>
          </cell>
          <cell r="X1012">
            <v>46257.756944444445</v>
          </cell>
          <cell r="Y1012">
            <v>46258.090277777781</v>
          </cell>
          <cell r="AA1012" t="str">
            <v>Scheduled</v>
          </cell>
          <cell r="AB1012" t="str">
            <v>Present</v>
          </cell>
          <cell r="AC1012" t="str">
            <v>Outbound</v>
          </cell>
          <cell r="AD1012" t="str">
            <v>Picking</v>
          </cell>
          <cell r="AE1012" t="str">
            <v>Pick</v>
          </cell>
          <cell r="AF1012" t="str">
            <v>Wednesday</v>
          </cell>
          <cell r="AG1012" t="str">
            <v>Thursday</v>
          </cell>
          <cell r="AH1012">
            <v>13</v>
          </cell>
          <cell r="AJ1012">
            <v>46251</v>
          </cell>
          <cell r="AM1012" t="str">
            <v>TEMP</v>
          </cell>
          <cell r="AN1012" t="str">
            <v>3P Onsite Worker</v>
          </cell>
          <cell r="AO1012" t="str">
            <v>A</v>
          </cell>
          <cell r="AP1012">
            <v>7</v>
          </cell>
          <cell r="AQ1012">
            <v>0</v>
          </cell>
          <cell r="AR1012">
            <v>1</v>
          </cell>
          <cell r="AS1012">
            <v>1</v>
          </cell>
          <cell r="AT1012">
            <v>0</v>
          </cell>
          <cell r="AU1012">
            <v>0</v>
          </cell>
        </row>
        <row r="1013">
          <cell r="D1013" t="str">
            <v>tabifors</v>
          </cell>
          <cell r="E1013">
            <v>204013736</v>
          </cell>
          <cell r="F1013" t="str">
            <v>A</v>
          </cell>
          <cell r="G1013" t="str">
            <v>GREEN</v>
          </cell>
          <cell r="H1013" t="str">
            <v>FULL_TIME</v>
          </cell>
          <cell r="I1013">
            <v>900234</v>
          </cell>
          <cell r="J1013" t="str">
            <v>Fastlink Outsourcing</v>
          </cell>
          <cell r="K1013" t="str">
            <v>Sergeo Tabifor</v>
          </cell>
          <cell r="L1013" t="str">
            <v>Warehouse Associate (TEMP)</v>
          </cell>
          <cell r="M1013" t="str">
            <v>Warehouse Associate 12M</v>
          </cell>
          <cell r="N1013" t="str">
            <v>kebedeed</v>
          </cell>
          <cell r="O1013">
            <v>1299</v>
          </cell>
          <cell r="P1013" t="str">
            <v>AUH1</v>
          </cell>
          <cell r="Q1013" t="str">
            <v>ARE</v>
          </cell>
          <cell r="R1013" t="str">
            <v>LK012</v>
          </cell>
          <cell r="S1013" t="str">
            <v>Night Shift</v>
          </cell>
          <cell r="T1013">
            <v>99</v>
          </cell>
          <cell r="U1013" t="str">
            <v>MENA_UAE_FC</v>
          </cell>
          <cell r="X1013">
            <v>46257.75</v>
          </cell>
          <cell r="Y1013">
            <v>46258.166666666664</v>
          </cell>
          <cell r="Z1013" t="str">
            <v>Rest Day</v>
          </cell>
          <cell r="AA1013" t="str">
            <v>Not Scheduled</v>
          </cell>
          <cell r="AB1013" t="str">
            <v>Not Present</v>
          </cell>
          <cell r="AC1013" t="str">
            <v>Support</v>
          </cell>
          <cell r="AD1013" t="str">
            <v>Facilities</v>
          </cell>
          <cell r="AE1013" t="str">
            <v>Support</v>
          </cell>
          <cell r="AF1013" t="str">
            <v>Saturday</v>
          </cell>
          <cell r="AG1013" t="str">
            <v>Sunday</v>
          </cell>
          <cell r="AH1013">
            <v>28</v>
          </cell>
          <cell r="AJ1013">
            <v>45550</v>
          </cell>
          <cell r="AM1013" t="str">
            <v>TEMP</v>
          </cell>
          <cell r="AN1013" t="str">
            <v>3P Onsite Worker</v>
          </cell>
          <cell r="AO1013" t="str">
            <v>A</v>
          </cell>
          <cell r="AP1013">
            <v>9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</row>
        <row r="1014">
          <cell r="D1014" t="str">
            <v>tabtabi</v>
          </cell>
          <cell r="E1014">
            <v>203469168</v>
          </cell>
          <cell r="F1014" t="str">
            <v>A</v>
          </cell>
          <cell r="G1014" t="str">
            <v>GREEN</v>
          </cell>
          <cell r="H1014" t="str">
            <v>FULL_TIME</v>
          </cell>
          <cell r="I1014">
            <v>900234</v>
          </cell>
          <cell r="J1014" t="str">
            <v>Fastlink Outsourcing</v>
          </cell>
          <cell r="K1014" t="str">
            <v>Tabi Tabi</v>
          </cell>
          <cell r="L1014" t="str">
            <v>Warehouse Associate (TEMP)</v>
          </cell>
          <cell r="M1014" t="str">
            <v>Warehouse Associate 12M</v>
          </cell>
          <cell r="N1014" t="str">
            <v>bavameer</v>
          </cell>
          <cell r="O1014">
            <v>1299</v>
          </cell>
          <cell r="P1014" t="str">
            <v>AUH1</v>
          </cell>
          <cell r="Q1014" t="str">
            <v>ARE</v>
          </cell>
          <cell r="R1014" t="str">
            <v>LK015</v>
          </cell>
          <cell r="S1014" t="str">
            <v>Night Shift</v>
          </cell>
          <cell r="T1014">
            <v>99</v>
          </cell>
          <cell r="U1014" t="str">
            <v>MENA_UAE_FC</v>
          </cell>
          <cell r="V1014">
            <v>46257.755555555559</v>
          </cell>
          <cell r="X1014">
            <v>46257.756944444445</v>
          </cell>
          <cell r="Y1014">
            <v>46258.173611111109</v>
          </cell>
          <cell r="AA1014" t="str">
            <v>Scheduled</v>
          </cell>
          <cell r="AB1014" t="str">
            <v>Present</v>
          </cell>
          <cell r="AC1014" t="str">
            <v>Customer returns</v>
          </cell>
          <cell r="AD1014" t="str">
            <v>Customer Returns</v>
          </cell>
          <cell r="AE1014" t="str">
            <v>Customer returns</v>
          </cell>
          <cell r="AF1014" t="str">
            <v>Tuesday</v>
          </cell>
          <cell r="AG1014" t="str">
            <v>Wednesday</v>
          </cell>
          <cell r="AH1014">
            <v>22</v>
          </cell>
          <cell r="AJ1014">
            <v>45455</v>
          </cell>
          <cell r="AM1014" t="str">
            <v>TEMP</v>
          </cell>
          <cell r="AN1014" t="str">
            <v>3P Onsite Worker</v>
          </cell>
          <cell r="AO1014" t="str">
            <v>A</v>
          </cell>
          <cell r="AP1014">
            <v>9</v>
          </cell>
          <cell r="AQ1014">
            <v>0</v>
          </cell>
          <cell r="AR1014">
            <v>1</v>
          </cell>
          <cell r="AS1014">
            <v>1</v>
          </cell>
          <cell r="AT1014">
            <v>0</v>
          </cell>
          <cell r="AU1014">
            <v>0</v>
          </cell>
        </row>
        <row r="1015">
          <cell r="D1015" t="str">
            <v>tadekizi</v>
          </cell>
          <cell r="E1015">
            <v>206504596</v>
          </cell>
          <cell r="F1015" t="str">
            <v>A</v>
          </cell>
          <cell r="G1015" t="str">
            <v>GREEN</v>
          </cell>
          <cell r="H1015" t="str">
            <v>FULL_TIME</v>
          </cell>
          <cell r="I1015">
            <v>900234</v>
          </cell>
          <cell r="J1015" t="str">
            <v>Dulsco L.L.C.</v>
          </cell>
          <cell r="K1015" t="str">
            <v>TADEO KIZITO</v>
          </cell>
          <cell r="L1015" t="str">
            <v>Warehouse Associate (TEMP)</v>
          </cell>
          <cell r="M1015" t="str">
            <v>Warehouse Associate 8W</v>
          </cell>
          <cell r="N1015" t="str">
            <v>vkkatyal</v>
          </cell>
          <cell r="O1015">
            <v>1299</v>
          </cell>
          <cell r="P1015" t="str">
            <v>AUH1</v>
          </cell>
          <cell r="Q1015" t="str">
            <v>ARE</v>
          </cell>
          <cell r="R1015" t="str">
            <v>FC059</v>
          </cell>
          <cell r="S1015" t="str">
            <v>Day Shift</v>
          </cell>
          <cell r="T1015">
            <v>99</v>
          </cell>
          <cell r="U1015" t="str">
            <v>MENA_UAE_FC</v>
          </cell>
          <cell r="X1015">
            <v>46257.333333333336</v>
          </cell>
          <cell r="Y1015">
            <v>46257.75</v>
          </cell>
          <cell r="Z1015" t="str">
            <v>Rest Day</v>
          </cell>
          <cell r="AA1015" t="str">
            <v>Not Scheduled</v>
          </cell>
          <cell r="AB1015" t="str">
            <v>Not Present</v>
          </cell>
          <cell r="AC1015" t="str">
            <v>Inbound</v>
          </cell>
          <cell r="AD1015" t="str">
            <v>Inbound Stow</v>
          </cell>
          <cell r="AE1015" t="str">
            <v>Stow</v>
          </cell>
          <cell r="AF1015" t="str">
            <v>Sunday</v>
          </cell>
          <cell r="AG1015" t="str">
            <v>Monday</v>
          </cell>
          <cell r="AH1015">
            <v>3</v>
          </cell>
          <cell r="AJ1015">
            <v>45970</v>
          </cell>
          <cell r="AM1015" t="str">
            <v>TEMP</v>
          </cell>
          <cell r="AN1015" t="str">
            <v>3P Onsite Worker</v>
          </cell>
          <cell r="AO1015" t="str">
            <v>A</v>
          </cell>
          <cell r="AP1015">
            <v>9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</row>
        <row r="1016">
          <cell r="D1016" t="str">
            <v>takpalgo</v>
          </cell>
          <cell r="E1016">
            <v>205608625</v>
          </cell>
          <cell r="F1016" t="str">
            <v>A</v>
          </cell>
          <cell r="G1016" t="str">
            <v>GREEN</v>
          </cell>
          <cell r="H1016" t="str">
            <v>FULL_TIME</v>
          </cell>
          <cell r="I1016">
            <v>900234</v>
          </cell>
          <cell r="J1016" t="str">
            <v>Dulsco L.L.C.</v>
          </cell>
          <cell r="K1016" t="str">
            <v>GODWIN AKPALU</v>
          </cell>
          <cell r="L1016" t="str">
            <v>Warehouse Associate (TEMP)</v>
          </cell>
          <cell r="M1016" t="str">
            <v>Warehouse Associate 24M</v>
          </cell>
          <cell r="N1016" t="str">
            <v>pparsin</v>
          </cell>
          <cell r="O1016">
            <v>1299</v>
          </cell>
          <cell r="P1016" t="str">
            <v>AUH1</v>
          </cell>
          <cell r="Q1016" t="str">
            <v>ARE</v>
          </cell>
          <cell r="R1016" t="str">
            <v>LK017</v>
          </cell>
          <cell r="S1016" t="str">
            <v>Night Shift</v>
          </cell>
          <cell r="T1016">
            <v>99</v>
          </cell>
          <cell r="U1016" t="str">
            <v>MENA_UAE_FC</v>
          </cell>
          <cell r="V1016">
            <v>46257.754861111112</v>
          </cell>
          <cell r="X1016">
            <v>46257.756944444445</v>
          </cell>
          <cell r="Y1016">
            <v>46258.173611111109</v>
          </cell>
          <cell r="AA1016" t="str">
            <v>Scheduled</v>
          </cell>
          <cell r="AB1016" t="str">
            <v>Present</v>
          </cell>
          <cell r="AC1016" t="str">
            <v>Inbound</v>
          </cell>
          <cell r="AD1016" t="str">
            <v>Inbound Stow</v>
          </cell>
          <cell r="AE1016" t="str">
            <v>Stow</v>
          </cell>
          <cell r="AF1016" t="str">
            <v>Thursday</v>
          </cell>
          <cell r="AG1016" t="str">
            <v>Friday</v>
          </cell>
          <cell r="AH1016">
            <v>3</v>
          </cell>
          <cell r="AJ1016">
            <v>45844</v>
          </cell>
          <cell r="AM1016" t="str">
            <v>TEMP</v>
          </cell>
          <cell r="AN1016" t="str">
            <v>3P Onsite Worker</v>
          </cell>
          <cell r="AO1016" t="str">
            <v>A</v>
          </cell>
          <cell r="AP1016">
            <v>9</v>
          </cell>
          <cell r="AQ1016">
            <v>0</v>
          </cell>
          <cell r="AR1016">
            <v>1</v>
          </cell>
          <cell r="AS1016">
            <v>1</v>
          </cell>
          <cell r="AT1016">
            <v>0</v>
          </cell>
          <cell r="AU1016">
            <v>0</v>
          </cell>
        </row>
        <row r="1017">
          <cell r="D1017" t="str">
            <v>talenzim</v>
          </cell>
          <cell r="E1017">
            <v>204246613</v>
          </cell>
          <cell r="F1017" t="str">
            <v>A</v>
          </cell>
          <cell r="G1017" t="str">
            <v>GREEN</v>
          </cell>
          <cell r="H1017" t="str">
            <v>FULL_TIME</v>
          </cell>
          <cell r="I1017">
            <v>900234</v>
          </cell>
          <cell r="J1017" t="str">
            <v>Quesscorp</v>
          </cell>
          <cell r="K1017" t="str">
            <v>Talent Zimbuma</v>
          </cell>
          <cell r="L1017" t="str">
            <v>Warehouse Associate (TEMP)</v>
          </cell>
          <cell r="M1017" t="str">
            <v>Warehouse Associate 24M</v>
          </cell>
          <cell r="N1017" t="str">
            <v>vkkatyal</v>
          </cell>
          <cell r="O1017">
            <v>1299</v>
          </cell>
          <cell r="P1017" t="str">
            <v>AUH1</v>
          </cell>
          <cell r="Q1017" t="str">
            <v>ARE</v>
          </cell>
          <cell r="R1017" t="str">
            <v>FC059</v>
          </cell>
          <cell r="S1017" t="str">
            <v>Day Shift</v>
          </cell>
          <cell r="T1017">
            <v>99</v>
          </cell>
          <cell r="U1017" t="str">
            <v>MENA_UAE_FC</v>
          </cell>
          <cell r="X1017">
            <v>46257.333333333336</v>
          </cell>
          <cell r="Y1017">
            <v>46257.75</v>
          </cell>
          <cell r="Z1017" t="str">
            <v>Rest Day</v>
          </cell>
          <cell r="AA1017" t="str">
            <v>Not Scheduled</v>
          </cell>
          <cell r="AB1017" t="str">
            <v>Not Present</v>
          </cell>
          <cell r="AC1017" t="str">
            <v>Inbound</v>
          </cell>
          <cell r="AD1017" t="str">
            <v>Inbound Stow</v>
          </cell>
          <cell r="AE1017" t="str">
            <v>Stow</v>
          </cell>
          <cell r="AF1017" t="str">
            <v>Sunday</v>
          </cell>
          <cell r="AG1017" t="str">
            <v>Monday</v>
          </cell>
          <cell r="AH1017">
            <v>3</v>
          </cell>
          <cell r="AJ1017">
            <v>45578</v>
          </cell>
          <cell r="AM1017" t="str">
            <v>TEMP</v>
          </cell>
          <cell r="AN1017" t="str">
            <v>3P Onsite Worker</v>
          </cell>
          <cell r="AO1017" t="str">
            <v>A</v>
          </cell>
          <cell r="AP1017">
            <v>9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</row>
        <row r="1018">
          <cell r="D1018" t="str">
            <v>tamahdan</v>
          </cell>
          <cell r="E1018">
            <v>204299548</v>
          </cell>
          <cell r="F1018" t="str">
            <v>A</v>
          </cell>
          <cell r="G1018" t="str">
            <v>GREEN</v>
          </cell>
          <cell r="H1018" t="str">
            <v>FULL_TIME</v>
          </cell>
          <cell r="I1018">
            <v>900234</v>
          </cell>
          <cell r="J1018" t="str">
            <v>Quesscorp</v>
          </cell>
          <cell r="K1018" t="str">
            <v>Daniel Kweku Tamah</v>
          </cell>
          <cell r="L1018" t="str">
            <v>Warehouse Associate (TEMP)</v>
          </cell>
          <cell r="M1018" t="str">
            <v>Warehouse Associate 8W</v>
          </cell>
          <cell r="N1018" t="str">
            <v>aanso</v>
          </cell>
          <cell r="O1018">
            <v>1299</v>
          </cell>
          <cell r="P1018" t="str">
            <v>AUH1</v>
          </cell>
          <cell r="Q1018" t="str">
            <v>ARE</v>
          </cell>
          <cell r="R1018" t="str">
            <v>FC034</v>
          </cell>
          <cell r="S1018" t="str">
            <v>Day Shift</v>
          </cell>
          <cell r="T1018">
            <v>99</v>
          </cell>
          <cell r="U1018" t="str">
            <v>MENA_UAE_FC</v>
          </cell>
          <cell r="X1018">
            <v>46257.333333333336</v>
          </cell>
          <cell r="Y1018">
            <v>46257.75</v>
          </cell>
          <cell r="Z1018" t="str">
            <v>Rest Day</v>
          </cell>
          <cell r="AA1018" t="str">
            <v>Not Scheduled</v>
          </cell>
          <cell r="AB1018" t="str">
            <v>Not Present</v>
          </cell>
          <cell r="AC1018" t="str">
            <v>Customer returns</v>
          </cell>
          <cell r="AD1018" t="str">
            <v>Customer Returns</v>
          </cell>
          <cell r="AE1018" t="str">
            <v>Customer returns</v>
          </cell>
          <cell r="AF1018" t="str">
            <v>Saturday</v>
          </cell>
          <cell r="AG1018" t="str">
            <v>Sunday</v>
          </cell>
          <cell r="AH1018">
            <v>22</v>
          </cell>
          <cell r="AJ1018">
            <v>45585</v>
          </cell>
          <cell r="AM1018" t="str">
            <v>TEMP</v>
          </cell>
          <cell r="AN1018" t="str">
            <v>3P Onsite Worker</v>
          </cell>
          <cell r="AO1018" t="str">
            <v>A</v>
          </cell>
          <cell r="AP1018">
            <v>9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</row>
        <row r="1019">
          <cell r="D1019" t="str">
            <v>tamanyet</v>
          </cell>
          <cell r="E1019">
            <v>204246612</v>
          </cell>
          <cell r="F1019" t="str">
            <v>A</v>
          </cell>
          <cell r="G1019" t="str">
            <v>GREEN</v>
          </cell>
          <cell r="H1019" t="str">
            <v>FULL_TIME</v>
          </cell>
          <cell r="I1019">
            <v>900234</v>
          </cell>
          <cell r="J1019" t="str">
            <v>Quesscorp</v>
          </cell>
          <cell r="K1019" t="str">
            <v>Tariro Manyetu</v>
          </cell>
          <cell r="L1019" t="str">
            <v>Warehouse Associate (TEMP)</v>
          </cell>
          <cell r="M1019" t="str">
            <v>Warehouse Associate 24M</v>
          </cell>
          <cell r="N1019" t="str">
            <v>nnahla</v>
          </cell>
          <cell r="O1019">
            <v>1299</v>
          </cell>
          <cell r="P1019" t="str">
            <v>AUH1</v>
          </cell>
          <cell r="Q1019" t="str">
            <v>ARE</v>
          </cell>
          <cell r="R1019" t="str">
            <v>FC009</v>
          </cell>
          <cell r="S1019" t="str">
            <v>Day Shift</v>
          </cell>
          <cell r="T1019">
            <v>99</v>
          </cell>
          <cell r="U1019" t="str">
            <v>MENA_UAE_FC</v>
          </cell>
          <cell r="V1019">
            <v>46257.331944444442</v>
          </cell>
          <cell r="W1019">
            <v>46257.747916666667</v>
          </cell>
          <cell r="X1019">
            <v>46257.333333333336</v>
          </cell>
          <cell r="Y1019">
            <v>46257.75</v>
          </cell>
          <cell r="AA1019" t="str">
            <v>Scheduled</v>
          </cell>
          <cell r="AB1019" t="str">
            <v>Present</v>
          </cell>
          <cell r="AC1019" t="str">
            <v>Inbound</v>
          </cell>
          <cell r="AD1019" t="str">
            <v>Inbound Stow</v>
          </cell>
          <cell r="AE1019" t="str">
            <v>Stow</v>
          </cell>
          <cell r="AF1019" t="str">
            <v>Friday</v>
          </cell>
          <cell r="AG1019" t="str">
            <v>Saturday</v>
          </cell>
          <cell r="AH1019">
            <v>3</v>
          </cell>
          <cell r="AJ1019">
            <v>45578</v>
          </cell>
          <cell r="AM1019" t="str">
            <v>TEMP</v>
          </cell>
          <cell r="AN1019" t="str">
            <v>3P Onsite Worker</v>
          </cell>
          <cell r="AO1019" t="str">
            <v>A</v>
          </cell>
          <cell r="AP1019">
            <v>9</v>
          </cell>
          <cell r="AQ1019">
            <v>0</v>
          </cell>
          <cell r="AR1019">
            <v>1</v>
          </cell>
          <cell r="AS1019">
            <v>1</v>
          </cell>
          <cell r="AT1019">
            <v>0</v>
          </cell>
          <cell r="AU1019">
            <v>0</v>
          </cell>
        </row>
        <row r="1020">
          <cell r="D1020" t="str">
            <v>tamawand</v>
          </cell>
          <cell r="E1020">
            <v>206514852</v>
          </cell>
          <cell r="F1020" t="str">
            <v>A</v>
          </cell>
          <cell r="G1020" t="str">
            <v>GREEN</v>
          </cell>
          <cell r="H1020" t="str">
            <v>FULL_TIME</v>
          </cell>
          <cell r="I1020">
            <v>900234</v>
          </cell>
          <cell r="J1020" t="str">
            <v>Dulsco L.L.C.</v>
          </cell>
          <cell r="K1020" t="str">
            <v>MAWANDA ANDREW KASAGGA</v>
          </cell>
          <cell r="L1020" t="str">
            <v>Warehouse Associate (TEMP)</v>
          </cell>
          <cell r="M1020" t="str">
            <v>Warehouse Associate 8W</v>
          </cell>
          <cell r="N1020" t="str">
            <v>bavameer</v>
          </cell>
          <cell r="O1020">
            <v>1299</v>
          </cell>
          <cell r="P1020" t="str">
            <v>AUH1</v>
          </cell>
          <cell r="Q1020" t="str">
            <v>ARE</v>
          </cell>
          <cell r="R1020" t="str">
            <v>LK014</v>
          </cell>
          <cell r="S1020" t="str">
            <v>Night Shift</v>
          </cell>
          <cell r="T1020">
            <v>99</v>
          </cell>
          <cell r="U1020" t="str">
            <v>MENA_UAE_FC</v>
          </cell>
          <cell r="V1020">
            <v>46257.755555555559</v>
          </cell>
          <cell r="X1020">
            <v>46257.756944444445</v>
          </cell>
          <cell r="Y1020">
            <v>46258.173611111109</v>
          </cell>
          <cell r="AA1020" t="str">
            <v>Scheduled</v>
          </cell>
          <cell r="AB1020" t="str">
            <v>Present</v>
          </cell>
          <cell r="AC1020" t="str">
            <v>Customer returns</v>
          </cell>
          <cell r="AD1020" t="str">
            <v>Customer Returns</v>
          </cell>
          <cell r="AE1020" t="str">
            <v>Customer returns</v>
          </cell>
          <cell r="AF1020" t="str">
            <v>Monday</v>
          </cell>
          <cell r="AG1020" t="str">
            <v>Tuesday</v>
          </cell>
          <cell r="AH1020">
            <v>22</v>
          </cell>
          <cell r="AJ1020">
            <v>45970</v>
          </cell>
          <cell r="AM1020" t="str">
            <v>TEMP</v>
          </cell>
          <cell r="AN1020" t="str">
            <v>3P Onsite Worker</v>
          </cell>
          <cell r="AO1020" t="str">
            <v>A</v>
          </cell>
          <cell r="AP1020">
            <v>9</v>
          </cell>
          <cell r="AQ1020">
            <v>0</v>
          </cell>
          <cell r="AR1020">
            <v>1</v>
          </cell>
          <cell r="AS1020">
            <v>1</v>
          </cell>
          <cell r="AT1020">
            <v>0</v>
          </cell>
          <cell r="AU1020">
            <v>0</v>
          </cell>
        </row>
        <row r="1021">
          <cell r="D1021" t="str">
            <v>tanakasm</v>
          </cell>
          <cell r="E1021">
            <v>204869092</v>
          </cell>
          <cell r="F1021" t="str">
            <v>A</v>
          </cell>
          <cell r="G1021" t="str">
            <v>GREEN</v>
          </cell>
          <cell r="H1021" t="str">
            <v>FULL_TIME</v>
          </cell>
          <cell r="I1021">
            <v>900234</v>
          </cell>
          <cell r="J1021" t="str">
            <v>Quesscorp</v>
          </cell>
          <cell r="K1021" t="str">
            <v>Tanaka Shantel Mbawa</v>
          </cell>
          <cell r="L1021" t="str">
            <v>Warehouse Associate (TEMP)</v>
          </cell>
          <cell r="M1021" t="str">
            <v>Warehouse Associate 24M</v>
          </cell>
          <cell r="N1021" t="str">
            <v>abbaszoo</v>
          </cell>
          <cell r="O1021">
            <v>1299</v>
          </cell>
          <cell r="P1021" t="str">
            <v>AUH1</v>
          </cell>
          <cell r="Q1021" t="str">
            <v>ARE</v>
          </cell>
          <cell r="R1021" t="str">
            <v>FC159</v>
          </cell>
          <cell r="S1021" t="str">
            <v>Day Shift</v>
          </cell>
          <cell r="T1021">
            <v>99</v>
          </cell>
          <cell r="U1021" t="str">
            <v>MENA_UAE_FC</v>
          </cell>
          <cell r="V1021">
            <v>46257.331944444442</v>
          </cell>
          <cell r="W1021">
            <v>46257.750694444447</v>
          </cell>
          <cell r="X1021">
            <v>46257.333333333336</v>
          </cell>
          <cell r="Y1021">
            <v>46257.75</v>
          </cell>
          <cell r="AA1021" t="str">
            <v>Scheduled</v>
          </cell>
          <cell r="AB1021" t="str">
            <v>Present</v>
          </cell>
          <cell r="AC1021" t="str">
            <v>Inbound</v>
          </cell>
          <cell r="AD1021" t="str">
            <v>Vendor Receive</v>
          </cell>
          <cell r="AE1021" t="str">
            <v>Receive</v>
          </cell>
          <cell r="AF1021" t="str">
            <v>Thursday</v>
          </cell>
          <cell r="AG1021" t="str">
            <v>Friday</v>
          </cell>
          <cell r="AH1021">
            <v>1</v>
          </cell>
          <cell r="AJ1021">
            <v>45690</v>
          </cell>
          <cell r="AM1021" t="str">
            <v>TEMP</v>
          </cell>
          <cell r="AN1021" t="str">
            <v>3P Onsite Worker</v>
          </cell>
          <cell r="AO1021" t="str">
            <v>A</v>
          </cell>
          <cell r="AP1021">
            <v>9</v>
          </cell>
          <cell r="AQ1021">
            <v>0</v>
          </cell>
          <cell r="AR1021">
            <v>1</v>
          </cell>
          <cell r="AS1021">
            <v>1</v>
          </cell>
          <cell r="AT1021">
            <v>0</v>
          </cell>
          <cell r="AU1021">
            <v>0</v>
          </cell>
        </row>
        <row r="1022">
          <cell r="D1022" t="str">
            <v>tanguimm</v>
          </cell>
          <cell r="E1022">
            <v>203881657</v>
          </cell>
          <cell r="F1022" t="str">
            <v>A</v>
          </cell>
          <cell r="G1022" t="str">
            <v>GREEN</v>
          </cell>
          <cell r="H1022" t="str">
            <v>FULL_TIME</v>
          </cell>
          <cell r="I1022">
            <v>900234</v>
          </cell>
          <cell r="J1022" t="str">
            <v>Fastlink Outsourcing</v>
          </cell>
          <cell r="K1022" t="str">
            <v>Immaculate Tangu</v>
          </cell>
          <cell r="L1022" t="str">
            <v>Warehouse Associate (TEMP)</v>
          </cell>
          <cell r="M1022" t="str">
            <v>Warehouse Associate 12M</v>
          </cell>
          <cell r="N1022" t="str">
            <v>bizthoma</v>
          </cell>
          <cell r="O1022">
            <v>1299</v>
          </cell>
          <cell r="P1022" t="str">
            <v>AUH1</v>
          </cell>
          <cell r="Q1022" t="str">
            <v>ARE</v>
          </cell>
          <cell r="R1022" t="str">
            <v>LK011</v>
          </cell>
          <cell r="S1022" t="str">
            <v>Night Shift</v>
          </cell>
          <cell r="T1022">
            <v>99</v>
          </cell>
          <cell r="U1022" t="str">
            <v>MENA_UAE_FC</v>
          </cell>
          <cell r="V1022">
            <v>46257.755555555559</v>
          </cell>
          <cell r="X1022">
            <v>46257.756944444445</v>
          </cell>
          <cell r="Y1022">
            <v>46258.173611111109</v>
          </cell>
          <cell r="AA1022" t="str">
            <v>Scheduled</v>
          </cell>
          <cell r="AB1022" t="str">
            <v>Present</v>
          </cell>
          <cell r="AC1022" t="str">
            <v>Outbound</v>
          </cell>
          <cell r="AD1022" t="str">
            <v>Picking</v>
          </cell>
          <cell r="AE1022" t="str">
            <v>Pick</v>
          </cell>
          <cell r="AF1022" t="str">
            <v>Friday</v>
          </cell>
          <cell r="AG1022" t="str">
            <v>Saturday</v>
          </cell>
          <cell r="AH1022">
            <v>13</v>
          </cell>
          <cell r="AJ1022">
            <v>45529</v>
          </cell>
          <cell r="AM1022" t="str">
            <v>TEMP</v>
          </cell>
          <cell r="AN1022" t="str">
            <v>3P Onsite Worker</v>
          </cell>
          <cell r="AO1022" t="str">
            <v>A</v>
          </cell>
          <cell r="AP1022">
            <v>9</v>
          </cell>
          <cell r="AQ1022">
            <v>0</v>
          </cell>
          <cell r="AR1022">
            <v>1</v>
          </cell>
          <cell r="AS1022">
            <v>1</v>
          </cell>
          <cell r="AT1022">
            <v>0</v>
          </cell>
          <cell r="AU1022">
            <v>0</v>
          </cell>
        </row>
        <row r="1023">
          <cell r="D1023" t="str">
            <v>tarkopet</v>
          </cell>
          <cell r="E1023">
            <v>206129267</v>
          </cell>
          <cell r="F1023" t="str">
            <v>A</v>
          </cell>
          <cell r="G1023" t="str">
            <v>GREEN</v>
          </cell>
          <cell r="H1023" t="str">
            <v>FULL_TIME</v>
          </cell>
          <cell r="I1023">
            <v>900234</v>
          </cell>
          <cell r="J1023" t="str">
            <v>Fastlink Outsourcing</v>
          </cell>
          <cell r="K1023" t="str">
            <v>Peterson Tarko</v>
          </cell>
          <cell r="L1023" t="str">
            <v>Warehouse Associate (TEMP)</v>
          </cell>
          <cell r="M1023" t="str">
            <v>Warehouse Associate 12M</v>
          </cell>
          <cell r="N1023" t="str">
            <v>amanmish</v>
          </cell>
          <cell r="O1023">
            <v>1299</v>
          </cell>
          <cell r="P1023" t="str">
            <v>AUH1</v>
          </cell>
          <cell r="Q1023" t="str">
            <v>ARE</v>
          </cell>
          <cell r="R1023" t="str">
            <v>FC059</v>
          </cell>
          <cell r="S1023" t="str">
            <v>Day Shift</v>
          </cell>
          <cell r="T1023">
            <v>99</v>
          </cell>
          <cell r="U1023" t="str">
            <v>MENA_UAE_FC</v>
          </cell>
          <cell r="X1023">
            <v>46257.333333333336</v>
          </cell>
          <cell r="Y1023">
            <v>46257.75</v>
          </cell>
          <cell r="Z1023" t="str">
            <v>Rest Day</v>
          </cell>
          <cell r="AA1023" t="str">
            <v>Not Scheduled</v>
          </cell>
          <cell r="AB1023" t="str">
            <v>Not Present</v>
          </cell>
          <cell r="AC1023" t="str">
            <v>Outbound</v>
          </cell>
          <cell r="AD1023" t="str">
            <v>Picking</v>
          </cell>
          <cell r="AE1023" t="str">
            <v>Pick</v>
          </cell>
          <cell r="AF1023" t="str">
            <v>Sunday</v>
          </cell>
          <cell r="AG1023" t="str">
            <v>Monday</v>
          </cell>
          <cell r="AH1023">
            <v>13</v>
          </cell>
          <cell r="AJ1023">
            <v>45928</v>
          </cell>
          <cell r="AM1023" t="str">
            <v>TEMP</v>
          </cell>
          <cell r="AN1023" t="str">
            <v>3P Onsite Worker</v>
          </cell>
          <cell r="AO1023" t="str">
            <v>A</v>
          </cell>
          <cell r="AP1023">
            <v>9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</row>
        <row r="1024">
          <cell r="D1024" t="str">
            <v>tashindu</v>
          </cell>
          <cell r="E1024">
            <v>203555404</v>
          </cell>
          <cell r="F1024" t="str">
            <v>A</v>
          </cell>
          <cell r="G1024" t="str">
            <v>GREEN</v>
          </cell>
          <cell r="H1024" t="str">
            <v>FULL_TIME</v>
          </cell>
          <cell r="I1024">
            <v>900234</v>
          </cell>
          <cell r="J1024" t="str">
            <v>Fastlink Outsourcing</v>
          </cell>
          <cell r="K1024" t="str">
            <v>Tashinga Dumba</v>
          </cell>
          <cell r="L1024" t="str">
            <v>Warehouse Associate (TEMP)</v>
          </cell>
          <cell r="M1024" t="str">
            <v>Warehouse Associate 12M</v>
          </cell>
          <cell r="N1024" t="str">
            <v>bavameer</v>
          </cell>
          <cell r="O1024">
            <v>1299</v>
          </cell>
          <cell r="P1024" t="str">
            <v>AUH1</v>
          </cell>
          <cell r="Q1024" t="str">
            <v>ARE</v>
          </cell>
          <cell r="R1024" t="str">
            <v>FC159</v>
          </cell>
          <cell r="S1024" t="str">
            <v>Day Shift</v>
          </cell>
          <cell r="T1024">
            <v>99</v>
          </cell>
          <cell r="U1024" t="str">
            <v>MENA_UAE_FC</v>
          </cell>
          <cell r="V1024">
            <v>46257.331944444442</v>
          </cell>
          <cell r="W1024">
            <v>46257.750694444447</v>
          </cell>
          <cell r="X1024">
            <v>46257.333333333336</v>
          </cell>
          <cell r="Y1024">
            <v>46257.75</v>
          </cell>
          <cell r="AA1024" t="str">
            <v>Scheduled</v>
          </cell>
          <cell r="AB1024" t="str">
            <v>Present</v>
          </cell>
          <cell r="AC1024" t="str">
            <v>Customer returns</v>
          </cell>
          <cell r="AD1024" t="str">
            <v>Customer Returns</v>
          </cell>
          <cell r="AE1024" t="str">
            <v>Customer returns</v>
          </cell>
          <cell r="AF1024" t="str">
            <v>Thursday</v>
          </cell>
          <cell r="AG1024" t="str">
            <v>Friday</v>
          </cell>
          <cell r="AH1024">
            <v>22</v>
          </cell>
          <cell r="AJ1024">
            <v>45469</v>
          </cell>
          <cell r="AM1024" t="str">
            <v>TEMP</v>
          </cell>
          <cell r="AN1024" t="str">
            <v>3P Onsite Worker</v>
          </cell>
          <cell r="AO1024" t="str">
            <v>A</v>
          </cell>
          <cell r="AP1024">
            <v>9</v>
          </cell>
          <cell r="AQ1024">
            <v>0</v>
          </cell>
          <cell r="AR1024">
            <v>1</v>
          </cell>
          <cell r="AS1024">
            <v>1</v>
          </cell>
          <cell r="AT1024">
            <v>0</v>
          </cell>
          <cell r="AU1024">
            <v>0</v>
          </cell>
        </row>
        <row r="1025">
          <cell r="D1025" t="str">
            <v>tchilemb</v>
          </cell>
          <cell r="E1025">
            <v>206902845</v>
          </cell>
          <cell r="F1025" t="str">
            <v>A</v>
          </cell>
          <cell r="G1025" t="str">
            <v>GREEN</v>
          </cell>
          <cell r="H1025" t="str">
            <v>FULL_TIME</v>
          </cell>
          <cell r="I1025">
            <v>900234</v>
          </cell>
          <cell r="J1025" t="str">
            <v>Dulsco L.L.C.</v>
          </cell>
          <cell r="K1025" t="str">
            <v>JOSEPH CHILEMBA</v>
          </cell>
          <cell r="L1025" t="str">
            <v>Warehouse Associate (TEMP)</v>
          </cell>
          <cell r="M1025" t="str">
            <v>Warehouse Associate 8W</v>
          </cell>
          <cell r="N1025" t="str">
            <v>lraghava</v>
          </cell>
          <cell r="O1025">
            <v>1299</v>
          </cell>
          <cell r="P1025" t="str">
            <v>AUH1</v>
          </cell>
          <cell r="Q1025" t="str">
            <v>ARE</v>
          </cell>
          <cell r="R1025" t="str">
            <v>LK014</v>
          </cell>
          <cell r="S1025" t="str">
            <v>Night Shift</v>
          </cell>
          <cell r="T1025">
            <v>99</v>
          </cell>
          <cell r="U1025" t="str">
            <v>MENA_UAE_FC</v>
          </cell>
          <cell r="V1025">
            <v>46257.756944444445</v>
          </cell>
          <cell r="X1025">
            <v>46257.756944444445</v>
          </cell>
          <cell r="Y1025">
            <v>46258.173611111109</v>
          </cell>
          <cell r="AA1025" t="str">
            <v>Scheduled</v>
          </cell>
          <cell r="AB1025" t="str">
            <v>Present</v>
          </cell>
          <cell r="AC1025" t="str">
            <v>Outbound</v>
          </cell>
          <cell r="AD1025" t="str">
            <v>Picking</v>
          </cell>
          <cell r="AE1025" t="str">
            <v>Pick</v>
          </cell>
          <cell r="AF1025" t="str">
            <v>Monday</v>
          </cell>
          <cell r="AG1025" t="str">
            <v>Tuesday</v>
          </cell>
          <cell r="AH1025">
            <v>13</v>
          </cell>
          <cell r="AJ1025">
            <v>46029</v>
          </cell>
          <cell r="AM1025" t="str">
            <v>TEMP</v>
          </cell>
          <cell r="AN1025" t="str">
            <v>3P Onsite Worker</v>
          </cell>
          <cell r="AO1025" t="str">
            <v>A</v>
          </cell>
          <cell r="AP1025">
            <v>9</v>
          </cell>
          <cell r="AQ1025">
            <v>0</v>
          </cell>
          <cell r="AR1025">
            <v>1</v>
          </cell>
          <cell r="AS1025">
            <v>1</v>
          </cell>
          <cell r="AT1025">
            <v>0</v>
          </cell>
          <cell r="AU1025">
            <v>0</v>
          </cell>
        </row>
        <row r="1026">
          <cell r="D1026" t="str">
            <v>tchuinok</v>
          </cell>
          <cell r="E1026">
            <v>204246616</v>
          </cell>
          <cell r="F1026" t="str">
            <v>A</v>
          </cell>
          <cell r="G1026" t="str">
            <v>GREEN</v>
          </cell>
          <cell r="H1026" t="str">
            <v>FULL_TIME</v>
          </cell>
          <cell r="I1026">
            <v>900234</v>
          </cell>
          <cell r="J1026" t="str">
            <v>Quesscorp</v>
          </cell>
          <cell r="K1026" t="str">
            <v>Julienne Tchuino Kamche</v>
          </cell>
          <cell r="L1026" t="str">
            <v>Warehouse Associate (TEMP)</v>
          </cell>
          <cell r="M1026" t="str">
            <v>Warehouse Associate 24M</v>
          </cell>
          <cell r="N1026" t="str">
            <v>vkkatyal</v>
          </cell>
          <cell r="O1026">
            <v>1299</v>
          </cell>
          <cell r="P1026" t="str">
            <v>AUH1</v>
          </cell>
          <cell r="Q1026" t="str">
            <v>ARE</v>
          </cell>
          <cell r="R1026" t="str">
            <v>LK013</v>
          </cell>
          <cell r="S1026" t="str">
            <v>Night Shift</v>
          </cell>
          <cell r="T1026">
            <v>99</v>
          </cell>
          <cell r="U1026" t="str">
            <v>MENA_UAE_FC</v>
          </cell>
          <cell r="X1026">
            <v>46257.756944444445</v>
          </cell>
          <cell r="Y1026">
            <v>46258.173611111109</v>
          </cell>
          <cell r="Z1026" t="str">
            <v>Rest Day</v>
          </cell>
          <cell r="AA1026" t="str">
            <v>Not Scheduled</v>
          </cell>
          <cell r="AB1026" t="str">
            <v>Not Present</v>
          </cell>
          <cell r="AC1026" t="str">
            <v>Inbound</v>
          </cell>
          <cell r="AD1026" t="str">
            <v>Inbound Stow</v>
          </cell>
          <cell r="AE1026" t="str">
            <v>Stow</v>
          </cell>
          <cell r="AF1026" t="str">
            <v>Sunday</v>
          </cell>
          <cell r="AG1026" t="str">
            <v>Monday</v>
          </cell>
          <cell r="AH1026">
            <v>3</v>
          </cell>
          <cell r="AJ1026">
            <v>45578</v>
          </cell>
          <cell r="AM1026" t="str">
            <v>TEMP</v>
          </cell>
          <cell r="AN1026" t="str">
            <v>3P Onsite Worker</v>
          </cell>
          <cell r="AO1026" t="str">
            <v>A</v>
          </cell>
          <cell r="AP1026">
            <v>9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</row>
        <row r="1027">
          <cell r="D1027" t="str">
            <v>tckinuth</v>
          </cell>
          <cell r="E1027">
            <v>206136718</v>
          </cell>
          <cell r="F1027" t="str">
            <v>A</v>
          </cell>
          <cell r="G1027" t="str">
            <v>GREEN</v>
          </cell>
          <cell r="H1027" t="str">
            <v>FULL_TIME</v>
          </cell>
          <cell r="I1027">
            <v>900234</v>
          </cell>
          <cell r="J1027" t="str">
            <v>EFS Facilities Services</v>
          </cell>
          <cell r="K1027" t="str">
            <v>Caroline Wachera Kinuthia</v>
          </cell>
          <cell r="L1027" t="str">
            <v>Warehouse Associate (TEMP)</v>
          </cell>
          <cell r="M1027" t="str">
            <v>Warehouse Associate 8W</v>
          </cell>
          <cell r="N1027" t="str">
            <v>mnarshad</v>
          </cell>
          <cell r="O1027">
            <v>1299</v>
          </cell>
          <cell r="P1027" t="str">
            <v>AUH1</v>
          </cell>
          <cell r="Q1027" t="str">
            <v>ARE</v>
          </cell>
          <cell r="R1027" t="str">
            <v>FC556</v>
          </cell>
          <cell r="S1027" t="str">
            <v>Night Shift</v>
          </cell>
          <cell r="T1027">
            <v>99</v>
          </cell>
          <cell r="U1027" t="str">
            <v>MENA_UAE_FC</v>
          </cell>
          <cell r="V1027">
            <v>46257.756944444445</v>
          </cell>
          <cell r="X1027">
            <v>46257.756944444445</v>
          </cell>
          <cell r="Y1027">
            <v>46258.090277777781</v>
          </cell>
          <cell r="AA1027" t="str">
            <v>Scheduled</v>
          </cell>
          <cell r="AB1027" t="str">
            <v>Present</v>
          </cell>
          <cell r="AC1027" t="str">
            <v>Outbound</v>
          </cell>
          <cell r="AD1027" t="str">
            <v>Pack - Single</v>
          </cell>
          <cell r="AE1027" t="str">
            <v>Pack</v>
          </cell>
          <cell r="AF1027" t="str">
            <v>Tuesday</v>
          </cell>
          <cell r="AG1027" t="str">
            <v>Wednesday</v>
          </cell>
          <cell r="AH1027">
            <v>18</v>
          </cell>
          <cell r="AJ1027">
            <v>46237</v>
          </cell>
          <cell r="AM1027" t="str">
            <v>TEMP</v>
          </cell>
          <cell r="AN1027" t="str">
            <v>3P Onsite Worker</v>
          </cell>
          <cell r="AO1027" t="str">
            <v>A</v>
          </cell>
          <cell r="AP1027">
            <v>7</v>
          </cell>
          <cell r="AQ1027">
            <v>0</v>
          </cell>
          <cell r="AR1027">
            <v>1</v>
          </cell>
          <cell r="AS1027">
            <v>1</v>
          </cell>
          <cell r="AT1027">
            <v>0</v>
          </cell>
          <cell r="AU1027">
            <v>0</v>
          </cell>
        </row>
        <row r="1028">
          <cell r="D1028" t="str">
            <v>temmaaku</v>
          </cell>
          <cell r="E1028">
            <v>203468752</v>
          </cell>
          <cell r="F1028" t="str">
            <v>A</v>
          </cell>
          <cell r="G1028" t="str">
            <v>GREEN</v>
          </cell>
          <cell r="H1028" t="str">
            <v>FULL_TIME</v>
          </cell>
          <cell r="I1028">
            <v>900234</v>
          </cell>
          <cell r="J1028" t="str">
            <v>Fastlink Outsourcing</v>
          </cell>
          <cell r="K1028" t="str">
            <v>Emmanuel Akuffo</v>
          </cell>
          <cell r="L1028" t="str">
            <v>Warehouse Associate (TEMP)</v>
          </cell>
          <cell r="M1028" t="str">
            <v>Warehouse Associate 12M</v>
          </cell>
          <cell r="N1028" t="str">
            <v>bizthoma</v>
          </cell>
          <cell r="O1028">
            <v>1299</v>
          </cell>
          <cell r="P1028" t="str">
            <v>AUH1</v>
          </cell>
          <cell r="Q1028" t="str">
            <v>ARE</v>
          </cell>
          <cell r="R1028" t="str">
            <v>LK012</v>
          </cell>
          <cell r="S1028" t="str">
            <v>Night Shift</v>
          </cell>
          <cell r="T1028">
            <v>99</v>
          </cell>
          <cell r="U1028" t="str">
            <v>MENA_UAE_FC</v>
          </cell>
          <cell r="X1028">
            <v>46257.756944444445</v>
          </cell>
          <cell r="Y1028">
            <v>46258.173611111109</v>
          </cell>
          <cell r="Z1028" t="str">
            <v>Rest Day</v>
          </cell>
          <cell r="AA1028" t="str">
            <v>Not Scheduled</v>
          </cell>
          <cell r="AB1028" t="str">
            <v>Not Present</v>
          </cell>
          <cell r="AC1028" t="str">
            <v>Outbound</v>
          </cell>
          <cell r="AD1028" t="str">
            <v>Pack - Single</v>
          </cell>
          <cell r="AE1028" t="str">
            <v>Pack</v>
          </cell>
          <cell r="AF1028" t="str">
            <v>Saturday</v>
          </cell>
          <cell r="AG1028" t="str">
            <v>Sunday</v>
          </cell>
          <cell r="AH1028">
            <v>18</v>
          </cell>
          <cell r="AJ1028">
            <v>45455</v>
          </cell>
          <cell r="AM1028" t="str">
            <v>TEMP</v>
          </cell>
          <cell r="AN1028" t="str">
            <v>3P Onsite Worker</v>
          </cell>
          <cell r="AO1028" t="str">
            <v>A</v>
          </cell>
          <cell r="AP1028">
            <v>9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</row>
        <row r="1029">
          <cell r="D1029" t="str">
            <v>tendoc</v>
          </cell>
          <cell r="E1029">
            <v>108196835</v>
          </cell>
          <cell r="F1029" t="str">
            <v>A</v>
          </cell>
          <cell r="G1029" t="str">
            <v>GREEN</v>
          </cell>
          <cell r="H1029" t="str">
            <v>FULL_TIME</v>
          </cell>
          <cell r="I1029">
            <v>900234</v>
          </cell>
          <cell r="J1029" t="str">
            <v>Quesscorp</v>
          </cell>
          <cell r="K1029" t="str">
            <v>Cedrick Nkemju Tendongmo</v>
          </cell>
          <cell r="L1029" t="str">
            <v>Warehouse Associate (TEMP)</v>
          </cell>
          <cell r="M1029" t="str">
            <v>Warehouse Associate 24M</v>
          </cell>
          <cell r="N1029" t="str">
            <v>bizthoma</v>
          </cell>
          <cell r="O1029">
            <v>1299</v>
          </cell>
          <cell r="P1029" t="str">
            <v>AUH1</v>
          </cell>
          <cell r="Q1029" t="str">
            <v>ARE</v>
          </cell>
          <cell r="R1029" t="str">
            <v>LK013</v>
          </cell>
          <cell r="S1029" t="str">
            <v>Night Shift</v>
          </cell>
          <cell r="T1029">
            <v>99</v>
          </cell>
          <cell r="U1029" t="str">
            <v>MENA_UAE_FC</v>
          </cell>
          <cell r="V1029">
            <v>46257.74722222222</v>
          </cell>
          <cell r="X1029">
            <v>46257.756944444445</v>
          </cell>
          <cell r="Y1029">
            <v>46258.173611111109</v>
          </cell>
          <cell r="Z1029" t="str">
            <v>Rest Day</v>
          </cell>
          <cell r="AA1029" t="str">
            <v>Not Scheduled</v>
          </cell>
          <cell r="AB1029" t="str">
            <v>Present</v>
          </cell>
          <cell r="AC1029" t="str">
            <v>Outbound</v>
          </cell>
          <cell r="AD1029" t="str">
            <v>Pack - Batch</v>
          </cell>
          <cell r="AE1029" t="str">
            <v>Pack</v>
          </cell>
          <cell r="AF1029" t="str">
            <v>Sunday</v>
          </cell>
          <cell r="AG1029" t="str">
            <v>Monday</v>
          </cell>
          <cell r="AH1029">
            <v>17</v>
          </cell>
          <cell r="AJ1029">
            <v>45588</v>
          </cell>
          <cell r="AM1029" t="str">
            <v>TEMP</v>
          </cell>
          <cell r="AN1029" t="str">
            <v>3P Onsite Worker</v>
          </cell>
          <cell r="AO1029" t="str">
            <v>A</v>
          </cell>
          <cell r="AP1029">
            <v>9</v>
          </cell>
          <cell r="AQ1029">
            <v>1</v>
          </cell>
          <cell r="AR1029">
            <v>1</v>
          </cell>
          <cell r="AS1029">
            <v>0</v>
          </cell>
          <cell r="AT1029">
            <v>0</v>
          </cell>
          <cell r="AU1029">
            <v>0</v>
          </cell>
        </row>
        <row r="1030">
          <cell r="D1030" t="str">
            <v>tesadamu</v>
          </cell>
          <cell r="E1030">
            <v>203993454</v>
          </cell>
          <cell r="F1030" t="str">
            <v>A</v>
          </cell>
          <cell r="G1030" t="str">
            <v>GREEN</v>
          </cell>
          <cell r="H1030" t="str">
            <v>FULL_TIME</v>
          </cell>
          <cell r="I1030">
            <v>900234</v>
          </cell>
          <cell r="J1030" t="str">
            <v>Dulsco L.L.C.</v>
          </cell>
          <cell r="K1030" t="str">
            <v>TEBIGWAYO SADAMU</v>
          </cell>
          <cell r="L1030" t="str">
            <v>Warehouse Associate (TEMP)</v>
          </cell>
          <cell r="M1030" t="str">
            <v>Warehouse Associate 24M</v>
          </cell>
          <cell r="N1030" t="str">
            <v>ansammar</v>
          </cell>
          <cell r="O1030">
            <v>1299</v>
          </cell>
          <cell r="P1030" t="str">
            <v>AUH1</v>
          </cell>
          <cell r="Q1030" t="str">
            <v>ARE</v>
          </cell>
          <cell r="R1030" t="str">
            <v>LK017</v>
          </cell>
          <cell r="S1030" t="str">
            <v>Night Shift</v>
          </cell>
          <cell r="T1030">
            <v>99</v>
          </cell>
          <cell r="U1030" t="str">
            <v>MENA_UAE_FC</v>
          </cell>
          <cell r="V1030">
            <v>46257.755555555559</v>
          </cell>
          <cell r="X1030">
            <v>46257.756944444445</v>
          </cell>
          <cell r="Y1030">
            <v>46258.173611111109</v>
          </cell>
          <cell r="AA1030" t="str">
            <v>Scheduled</v>
          </cell>
          <cell r="AB1030" t="str">
            <v>Present</v>
          </cell>
          <cell r="AC1030" t="str">
            <v>Outbound</v>
          </cell>
          <cell r="AD1030" t="str">
            <v>Picking</v>
          </cell>
          <cell r="AE1030" t="str">
            <v>Pick</v>
          </cell>
          <cell r="AF1030" t="str">
            <v>Thursday</v>
          </cell>
          <cell r="AG1030" t="str">
            <v>Friday</v>
          </cell>
          <cell r="AH1030">
            <v>13</v>
          </cell>
          <cell r="AJ1030">
            <v>45550</v>
          </cell>
          <cell r="AM1030" t="str">
            <v>TEMP</v>
          </cell>
          <cell r="AN1030" t="str">
            <v>3P Onsite Worker</v>
          </cell>
          <cell r="AO1030" t="str">
            <v>A</v>
          </cell>
          <cell r="AP1030">
            <v>9</v>
          </cell>
          <cell r="AQ1030">
            <v>0</v>
          </cell>
          <cell r="AR1030">
            <v>1</v>
          </cell>
          <cell r="AS1030">
            <v>1</v>
          </cell>
          <cell r="AT1030">
            <v>0</v>
          </cell>
          <cell r="AU1030">
            <v>0</v>
          </cell>
        </row>
        <row r="1031">
          <cell r="D1031" t="str">
            <v>tewveron</v>
          </cell>
          <cell r="E1031">
            <v>206192491</v>
          </cell>
          <cell r="F1031" t="str">
            <v>A</v>
          </cell>
          <cell r="G1031" t="str">
            <v>GREEN</v>
          </cell>
          <cell r="H1031" t="str">
            <v>FULL_TIME</v>
          </cell>
          <cell r="I1031">
            <v>900234</v>
          </cell>
          <cell r="J1031" t="str">
            <v>EFS Facilities Services</v>
          </cell>
          <cell r="K1031" t="str">
            <v>Veronica Tetteh</v>
          </cell>
          <cell r="L1031" t="str">
            <v>Warehouse Associate (TEMP)</v>
          </cell>
          <cell r="M1031" t="str">
            <v>Warehouse Associate 12M</v>
          </cell>
          <cell r="N1031" t="str">
            <v>kebedeed</v>
          </cell>
          <cell r="O1031">
            <v>1299</v>
          </cell>
          <cell r="P1031" t="str">
            <v>AUH1</v>
          </cell>
          <cell r="Q1031" t="str">
            <v>ARE</v>
          </cell>
          <cell r="R1031" t="str">
            <v>FC134</v>
          </cell>
          <cell r="S1031" t="str">
            <v>Day Shift</v>
          </cell>
          <cell r="T1031">
            <v>99</v>
          </cell>
          <cell r="U1031" t="str">
            <v>MENA_UAE_FC</v>
          </cell>
          <cell r="V1031">
            <v>46257.333333333336</v>
          </cell>
          <cell r="W1031">
            <v>46257.750694444447</v>
          </cell>
          <cell r="X1031">
            <v>46257.333333333336</v>
          </cell>
          <cell r="Y1031">
            <v>46257.75</v>
          </cell>
          <cell r="AA1031" t="str">
            <v>Scheduled</v>
          </cell>
          <cell r="AB1031" t="str">
            <v>Present</v>
          </cell>
          <cell r="AC1031" t="str">
            <v>ICQA</v>
          </cell>
          <cell r="AD1031" t="str">
            <v>IC/QA/CS</v>
          </cell>
          <cell r="AE1031" t="str">
            <v>Support</v>
          </cell>
          <cell r="AF1031" t="str">
            <v>Wednesday</v>
          </cell>
          <cell r="AG1031" t="str">
            <v>Thursday</v>
          </cell>
          <cell r="AH1031">
            <v>27</v>
          </cell>
          <cell r="AJ1031">
            <v>45942</v>
          </cell>
          <cell r="AM1031" t="str">
            <v>TEMP</v>
          </cell>
          <cell r="AN1031" t="str">
            <v>3P Onsite Worker</v>
          </cell>
          <cell r="AO1031" t="str">
            <v>A</v>
          </cell>
          <cell r="AP1031">
            <v>9</v>
          </cell>
          <cell r="AQ1031">
            <v>0</v>
          </cell>
          <cell r="AR1031">
            <v>1</v>
          </cell>
          <cell r="AS1031">
            <v>1</v>
          </cell>
          <cell r="AT1031">
            <v>0</v>
          </cell>
          <cell r="AU1031">
            <v>0</v>
          </cell>
        </row>
        <row r="1032">
          <cell r="D1032" t="str">
            <v>thattyod</v>
          </cell>
          <cell r="E1032">
            <v>102434105</v>
          </cell>
          <cell r="F1032" t="str">
            <v>A</v>
          </cell>
          <cell r="G1032" t="str">
            <v>BLUE</v>
          </cell>
          <cell r="H1032" t="str">
            <v>FULL_TIME</v>
          </cell>
          <cell r="I1032" t="str">
            <v>P03251</v>
          </cell>
          <cell r="K1032" t="str">
            <v>Sarang Thattyodan</v>
          </cell>
          <cell r="L1032" t="str">
            <v>FC Associate I</v>
          </cell>
          <cell r="M1032" t="str">
            <v>FC Associate I</v>
          </cell>
          <cell r="N1032" t="str">
            <v>bavameer</v>
          </cell>
          <cell r="O1032">
            <v>1299</v>
          </cell>
          <cell r="P1032" t="str">
            <v>AUH1</v>
          </cell>
          <cell r="Q1032" t="str">
            <v>ARE</v>
          </cell>
          <cell r="R1032" t="str">
            <v>FC059</v>
          </cell>
          <cell r="S1032" t="str">
            <v>Day Shift</v>
          </cell>
          <cell r="T1032">
            <v>1</v>
          </cell>
          <cell r="U1032" t="str">
            <v>MENA_UAE_FC</v>
          </cell>
          <cell r="X1032">
            <v>46257.333333333336</v>
          </cell>
          <cell r="Y1032">
            <v>46257.75</v>
          </cell>
          <cell r="Z1032" t="str">
            <v>Rest Day</v>
          </cell>
          <cell r="AA1032" t="str">
            <v>Not Scheduled</v>
          </cell>
          <cell r="AB1032" t="str">
            <v>Not Present</v>
          </cell>
          <cell r="AC1032" t="str">
            <v>Customer returns</v>
          </cell>
          <cell r="AD1032" t="str">
            <v>Customer Returns</v>
          </cell>
          <cell r="AE1032" t="str">
            <v>Customer returns</v>
          </cell>
          <cell r="AF1032" t="str">
            <v>Sunday</v>
          </cell>
          <cell r="AG1032" t="str">
            <v>Monday</v>
          </cell>
          <cell r="AH1032">
            <v>22</v>
          </cell>
          <cell r="AJ1032">
            <v>42882</v>
          </cell>
          <cell r="AM1032" t="str">
            <v>FC</v>
          </cell>
          <cell r="AN1032" t="str">
            <v>Regular Full Time</v>
          </cell>
          <cell r="AO1032" t="str">
            <v>A</v>
          </cell>
          <cell r="AP1032">
            <v>9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</row>
        <row r="1033">
          <cell r="D1033" t="str">
            <v>thembjos</v>
          </cell>
          <cell r="E1033">
            <v>205608629</v>
          </cell>
          <cell r="F1033" t="str">
            <v>A</v>
          </cell>
          <cell r="G1033" t="str">
            <v>GREEN</v>
          </cell>
          <cell r="H1033" t="str">
            <v>FULL_TIME</v>
          </cell>
          <cell r="I1033">
            <v>900234</v>
          </cell>
          <cell r="J1033" t="str">
            <v>Dulsco L.L.C.</v>
          </cell>
          <cell r="K1033" t="str">
            <v>JOSEPH MUNEYI THEMBO</v>
          </cell>
          <cell r="L1033" t="str">
            <v>Warehouse Associate (TEMP)</v>
          </cell>
          <cell r="M1033" t="str">
            <v>Warehouse Associate 24M</v>
          </cell>
          <cell r="N1033" t="str">
            <v>pparsin</v>
          </cell>
          <cell r="O1033">
            <v>1299</v>
          </cell>
          <cell r="P1033" t="str">
            <v>AUH1</v>
          </cell>
          <cell r="Q1033" t="str">
            <v>ARE</v>
          </cell>
          <cell r="R1033" t="str">
            <v>LK012</v>
          </cell>
          <cell r="S1033" t="str">
            <v>Night Shift</v>
          </cell>
          <cell r="T1033">
            <v>99</v>
          </cell>
          <cell r="U1033" t="str">
            <v>MENA_UAE_FC</v>
          </cell>
          <cell r="X1033">
            <v>46257.756944444445</v>
          </cell>
          <cell r="Y1033">
            <v>46258.173611111109</v>
          </cell>
          <cell r="Z1033" t="str">
            <v>Rest Day</v>
          </cell>
          <cell r="AA1033" t="str">
            <v>Not Scheduled</v>
          </cell>
          <cell r="AB1033" t="str">
            <v>Not Present</v>
          </cell>
          <cell r="AC1033" t="str">
            <v>Inbound</v>
          </cell>
          <cell r="AD1033" t="str">
            <v>Inbound Stow</v>
          </cell>
          <cell r="AE1033" t="str">
            <v>Stow</v>
          </cell>
          <cell r="AF1033" t="str">
            <v>Saturday</v>
          </cell>
          <cell r="AG1033" t="str">
            <v>Sunday</v>
          </cell>
          <cell r="AH1033">
            <v>3</v>
          </cell>
          <cell r="AJ1033">
            <v>45844</v>
          </cell>
          <cell r="AM1033" t="str">
            <v>TEMP</v>
          </cell>
          <cell r="AN1033" t="str">
            <v>3P Onsite Worker</v>
          </cell>
          <cell r="AO1033" t="str">
            <v>A</v>
          </cell>
          <cell r="AP1033">
            <v>9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</row>
        <row r="1034">
          <cell r="D1034" t="str">
            <v>thoppasi</v>
          </cell>
          <cell r="E1034">
            <v>204052514</v>
          </cell>
          <cell r="F1034" t="str">
            <v>A</v>
          </cell>
          <cell r="G1034" t="str">
            <v>GREEN</v>
          </cell>
          <cell r="H1034" t="str">
            <v>FULL_TIME</v>
          </cell>
          <cell r="I1034">
            <v>900234</v>
          </cell>
          <cell r="J1034" t="str">
            <v>Adecco</v>
          </cell>
          <cell r="K1034" t="str">
            <v>Thopparasu Sivakumar</v>
          </cell>
          <cell r="L1034" t="str">
            <v>Warehouse Associate (TEMP)</v>
          </cell>
          <cell r="M1034" t="str">
            <v>Warehouse Associate 24M</v>
          </cell>
          <cell r="N1034" t="str">
            <v>amanmish</v>
          </cell>
          <cell r="O1034">
            <v>1299</v>
          </cell>
          <cell r="P1034" t="str">
            <v>AUH1</v>
          </cell>
          <cell r="Q1034" t="str">
            <v>ARE</v>
          </cell>
          <cell r="R1034" t="str">
            <v>FC059</v>
          </cell>
          <cell r="S1034" t="str">
            <v>Day Shift</v>
          </cell>
          <cell r="T1034">
            <v>99</v>
          </cell>
          <cell r="U1034" t="str">
            <v>MENA_UAE_FC</v>
          </cell>
          <cell r="X1034">
            <v>46257.333333333336</v>
          </cell>
          <cell r="Y1034">
            <v>46257.75</v>
          </cell>
          <cell r="Z1034" t="str">
            <v>Rest Day</v>
          </cell>
          <cell r="AA1034" t="str">
            <v>Not Scheduled</v>
          </cell>
          <cell r="AB1034" t="str">
            <v>Not Present</v>
          </cell>
          <cell r="AC1034" t="str">
            <v>Outbound</v>
          </cell>
          <cell r="AD1034" t="str">
            <v>Pack - Batch</v>
          </cell>
          <cell r="AE1034" t="str">
            <v>Pack</v>
          </cell>
          <cell r="AF1034" t="str">
            <v>Sunday</v>
          </cell>
          <cell r="AG1034" t="str">
            <v>Monday</v>
          </cell>
          <cell r="AH1034">
            <v>17</v>
          </cell>
          <cell r="AJ1034">
            <v>45557</v>
          </cell>
          <cell r="AM1034" t="str">
            <v>TEMP</v>
          </cell>
          <cell r="AN1034" t="str">
            <v>3P Onsite Worker</v>
          </cell>
          <cell r="AO1034" t="str">
            <v>A</v>
          </cell>
          <cell r="AP1034">
            <v>9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</row>
        <row r="1035">
          <cell r="D1035" t="str">
            <v>thosanjq</v>
          </cell>
          <cell r="E1035">
            <v>203813088</v>
          </cell>
          <cell r="F1035" t="str">
            <v>A</v>
          </cell>
          <cell r="G1035" t="str">
            <v>GREEN</v>
          </cell>
          <cell r="H1035" t="str">
            <v>FULL_TIME</v>
          </cell>
          <cell r="I1035">
            <v>900234</v>
          </cell>
          <cell r="J1035" t="str">
            <v>Adecco</v>
          </cell>
          <cell r="K1035" t="str">
            <v>SANJU THOMAS</v>
          </cell>
          <cell r="L1035" t="str">
            <v>Warehouse Associate (TEMP)</v>
          </cell>
          <cell r="M1035" t="str">
            <v>Warehouse Associate 24M</v>
          </cell>
          <cell r="N1035" t="str">
            <v>bavameer</v>
          </cell>
          <cell r="O1035">
            <v>1299</v>
          </cell>
          <cell r="P1035" t="str">
            <v>AUH1</v>
          </cell>
          <cell r="Q1035" t="str">
            <v>ARE</v>
          </cell>
          <cell r="R1035" t="str">
            <v>LK014</v>
          </cell>
          <cell r="S1035" t="str">
            <v>Night Shift</v>
          </cell>
          <cell r="T1035">
            <v>99</v>
          </cell>
          <cell r="U1035" t="str">
            <v>MENA_UAE_FC</v>
          </cell>
          <cell r="V1035">
            <v>46257.754166666666</v>
          </cell>
          <cell r="X1035">
            <v>46257.756944444445</v>
          </cell>
          <cell r="Y1035">
            <v>46258.173611111109</v>
          </cell>
          <cell r="AA1035" t="str">
            <v>Scheduled</v>
          </cell>
          <cell r="AB1035" t="str">
            <v>Present</v>
          </cell>
          <cell r="AC1035" t="str">
            <v>Customer returns</v>
          </cell>
          <cell r="AD1035" t="str">
            <v>Customer Returns</v>
          </cell>
          <cell r="AE1035" t="str">
            <v>Customer returns</v>
          </cell>
          <cell r="AF1035" t="str">
            <v>Monday</v>
          </cell>
          <cell r="AG1035" t="str">
            <v>Tuesday</v>
          </cell>
          <cell r="AH1035">
            <v>22</v>
          </cell>
          <cell r="AJ1035">
            <v>45516</v>
          </cell>
          <cell r="AM1035" t="str">
            <v>TEMP</v>
          </cell>
          <cell r="AN1035" t="str">
            <v>3P Onsite Worker</v>
          </cell>
          <cell r="AO1035" t="str">
            <v>A</v>
          </cell>
          <cell r="AP1035">
            <v>9</v>
          </cell>
          <cell r="AQ1035">
            <v>0</v>
          </cell>
          <cell r="AR1035">
            <v>1</v>
          </cell>
          <cell r="AS1035">
            <v>1</v>
          </cell>
          <cell r="AT1035">
            <v>0</v>
          </cell>
          <cell r="AU1035">
            <v>0</v>
          </cell>
        </row>
        <row r="1036">
          <cell r="D1036" t="str">
            <v>thtorgbo</v>
          </cell>
          <cell r="E1036">
            <v>204319805</v>
          </cell>
          <cell r="F1036" t="str">
            <v>A</v>
          </cell>
          <cell r="G1036" t="str">
            <v>GREEN</v>
          </cell>
          <cell r="H1036" t="str">
            <v>FULL_TIME</v>
          </cell>
          <cell r="I1036">
            <v>900234</v>
          </cell>
          <cell r="J1036" t="str">
            <v>Quesscorp</v>
          </cell>
          <cell r="K1036" t="str">
            <v>Theophilus Torgbor</v>
          </cell>
          <cell r="L1036" t="str">
            <v>Warehouse Associate (TEMP)</v>
          </cell>
          <cell r="M1036" t="str">
            <v>Warehouse Associate 24M</v>
          </cell>
          <cell r="N1036" t="str">
            <v>bavameer</v>
          </cell>
          <cell r="O1036">
            <v>1299</v>
          </cell>
          <cell r="P1036" t="str">
            <v>AUH1</v>
          </cell>
          <cell r="Q1036" t="str">
            <v>ARE</v>
          </cell>
          <cell r="R1036" t="str">
            <v>LK012</v>
          </cell>
          <cell r="S1036" t="str">
            <v>Night Shift</v>
          </cell>
          <cell r="T1036">
            <v>99</v>
          </cell>
          <cell r="U1036" t="str">
            <v>MENA_UAE_FC</v>
          </cell>
          <cell r="X1036">
            <v>46257.756944444445</v>
          </cell>
          <cell r="Y1036">
            <v>46258.173611111109</v>
          </cell>
          <cell r="Z1036" t="str">
            <v>Rest Day</v>
          </cell>
          <cell r="AA1036" t="str">
            <v>Not Scheduled</v>
          </cell>
          <cell r="AB1036" t="str">
            <v>Not Present</v>
          </cell>
          <cell r="AC1036" t="str">
            <v>Customer returns</v>
          </cell>
          <cell r="AD1036" t="str">
            <v>Customer Returns</v>
          </cell>
          <cell r="AE1036" t="str">
            <v>Customer returns</v>
          </cell>
          <cell r="AF1036" t="str">
            <v>Saturday</v>
          </cell>
          <cell r="AG1036" t="str">
            <v>Sunday</v>
          </cell>
          <cell r="AH1036">
            <v>22</v>
          </cell>
          <cell r="AJ1036">
            <v>45588</v>
          </cell>
          <cell r="AM1036" t="str">
            <v>TEMP</v>
          </cell>
          <cell r="AN1036" t="str">
            <v>3P Onsite Worker</v>
          </cell>
          <cell r="AO1036" t="str">
            <v>A</v>
          </cell>
          <cell r="AP1036">
            <v>9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</row>
        <row r="1037">
          <cell r="D1037" t="str">
            <v>thusaidu</v>
          </cell>
          <cell r="E1037">
            <v>201536170</v>
          </cell>
          <cell r="F1037" t="str">
            <v>A</v>
          </cell>
          <cell r="G1037" t="str">
            <v>GREEN</v>
          </cell>
          <cell r="H1037" t="str">
            <v>FULL_TIME</v>
          </cell>
          <cell r="I1037">
            <v>900234</v>
          </cell>
          <cell r="J1037" t="str">
            <v>Quesscorp</v>
          </cell>
          <cell r="K1037" t="str">
            <v>Saidu Thullah</v>
          </cell>
          <cell r="L1037" t="str">
            <v>Warehouse Associate (TEMP)</v>
          </cell>
          <cell r="M1037" t="str">
            <v>Warehouse Associate 24M</v>
          </cell>
          <cell r="N1037" t="str">
            <v>ansammar</v>
          </cell>
          <cell r="O1037">
            <v>1299</v>
          </cell>
          <cell r="P1037" t="str">
            <v>AUH1</v>
          </cell>
          <cell r="Q1037" t="str">
            <v>ARE</v>
          </cell>
          <cell r="R1037" t="str">
            <v>FC009</v>
          </cell>
          <cell r="S1037" t="str">
            <v>Day Shift</v>
          </cell>
          <cell r="T1037">
            <v>99</v>
          </cell>
          <cell r="U1037" t="str">
            <v>MENA_UAE_FC</v>
          </cell>
          <cell r="V1037">
            <v>46257.333333333336</v>
          </cell>
          <cell r="W1037">
            <v>46257.750694444447</v>
          </cell>
          <cell r="X1037">
            <v>46257.333333333336</v>
          </cell>
          <cell r="Y1037">
            <v>46257.75</v>
          </cell>
          <cell r="AA1037" t="str">
            <v>Scheduled</v>
          </cell>
          <cell r="AB1037" t="str">
            <v>Present</v>
          </cell>
          <cell r="AC1037" t="str">
            <v>Outbound</v>
          </cell>
          <cell r="AD1037" t="str">
            <v>Sort - Batch</v>
          </cell>
          <cell r="AE1037" t="str">
            <v>Sort</v>
          </cell>
          <cell r="AF1037" t="str">
            <v>Friday</v>
          </cell>
          <cell r="AG1037" t="str">
            <v>Saturday</v>
          </cell>
          <cell r="AH1037">
            <v>15</v>
          </cell>
          <cell r="AJ1037">
            <v>45567</v>
          </cell>
          <cell r="AM1037" t="str">
            <v>TEMP</v>
          </cell>
          <cell r="AN1037" t="str">
            <v>3P Onsite Worker</v>
          </cell>
          <cell r="AO1037" t="str">
            <v>A</v>
          </cell>
          <cell r="AP1037">
            <v>9</v>
          </cell>
          <cell r="AQ1037">
            <v>0</v>
          </cell>
          <cell r="AR1037">
            <v>1</v>
          </cell>
          <cell r="AS1037">
            <v>1</v>
          </cell>
          <cell r="AT1037">
            <v>0</v>
          </cell>
          <cell r="AU1037">
            <v>0</v>
          </cell>
        </row>
        <row r="1038">
          <cell r="D1038" t="str">
            <v>thxnakop</v>
          </cell>
          <cell r="E1038">
            <v>206148779</v>
          </cell>
          <cell r="F1038" t="str">
            <v>A</v>
          </cell>
          <cell r="G1038" t="str">
            <v>GREEN</v>
          </cell>
          <cell r="H1038" t="str">
            <v>FULL_TIME</v>
          </cell>
          <cell r="I1038">
            <v>900234</v>
          </cell>
          <cell r="J1038" t="str">
            <v>Fastlink Outsourcing</v>
          </cell>
          <cell r="K1038" t="str">
            <v>Theresa Nako Petiafo</v>
          </cell>
          <cell r="L1038" t="str">
            <v>Warehouse Associate (TEMP)</v>
          </cell>
          <cell r="M1038" t="str">
            <v>Warehouse Associate 12M</v>
          </cell>
          <cell r="N1038" t="str">
            <v>kebedeed</v>
          </cell>
          <cell r="O1038">
            <v>1299</v>
          </cell>
          <cell r="P1038" t="str">
            <v>AUH1</v>
          </cell>
          <cell r="Q1038" t="str">
            <v>ARE</v>
          </cell>
          <cell r="R1038" t="str">
            <v>FC009</v>
          </cell>
          <cell r="S1038" t="str">
            <v>Day Shift</v>
          </cell>
          <cell r="T1038">
            <v>99</v>
          </cell>
          <cell r="U1038" t="str">
            <v>MENA_UAE_FC</v>
          </cell>
          <cell r="V1038">
            <v>46257.331944444442</v>
          </cell>
          <cell r="W1038">
            <v>46257.745833333334</v>
          </cell>
          <cell r="X1038">
            <v>46257.333333333336</v>
          </cell>
          <cell r="Y1038">
            <v>46257.75</v>
          </cell>
          <cell r="AA1038" t="str">
            <v>Scheduled</v>
          </cell>
          <cell r="AB1038" t="str">
            <v>Present</v>
          </cell>
          <cell r="AC1038" t="str">
            <v>ICQA</v>
          </cell>
          <cell r="AD1038" t="str">
            <v>IC/QA/CS</v>
          </cell>
          <cell r="AE1038" t="str">
            <v>Support</v>
          </cell>
          <cell r="AF1038" t="str">
            <v>Friday</v>
          </cell>
          <cell r="AG1038" t="str">
            <v>Saturday</v>
          </cell>
          <cell r="AH1038">
            <v>27</v>
          </cell>
          <cell r="AJ1038">
            <v>45928</v>
          </cell>
          <cell r="AM1038" t="str">
            <v>TEMP</v>
          </cell>
          <cell r="AN1038" t="str">
            <v>3P Onsite Worker</v>
          </cell>
          <cell r="AO1038" t="str">
            <v>A</v>
          </cell>
          <cell r="AP1038">
            <v>9</v>
          </cell>
          <cell r="AQ1038">
            <v>0</v>
          </cell>
          <cell r="AR1038">
            <v>1</v>
          </cell>
          <cell r="AS1038">
            <v>1</v>
          </cell>
          <cell r="AT1038">
            <v>0</v>
          </cell>
          <cell r="AU1038">
            <v>0</v>
          </cell>
        </row>
        <row r="1039">
          <cell r="D1039" t="str">
            <v>tiacquah</v>
          </cell>
          <cell r="E1039">
            <v>205608373</v>
          </cell>
          <cell r="F1039" t="str">
            <v>A</v>
          </cell>
          <cell r="G1039" t="str">
            <v>GREEN</v>
          </cell>
          <cell r="H1039" t="str">
            <v>FULL_TIME</v>
          </cell>
          <cell r="I1039">
            <v>900234</v>
          </cell>
          <cell r="J1039" t="str">
            <v>Dulsco L.L.C.</v>
          </cell>
          <cell r="K1039" t="str">
            <v>ACQUAH TIMOTHY</v>
          </cell>
          <cell r="L1039" t="str">
            <v>Warehouse Associate (TEMP)</v>
          </cell>
          <cell r="M1039" t="str">
            <v>Warehouse Associate 8W</v>
          </cell>
          <cell r="N1039" t="str">
            <v>aanso</v>
          </cell>
          <cell r="O1039">
            <v>1299</v>
          </cell>
          <cell r="P1039" t="str">
            <v>AUH1</v>
          </cell>
          <cell r="Q1039" t="str">
            <v>ARE</v>
          </cell>
          <cell r="R1039" t="str">
            <v>LK016</v>
          </cell>
          <cell r="S1039" t="str">
            <v>Night Shift</v>
          </cell>
          <cell r="T1039">
            <v>99</v>
          </cell>
          <cell r="U1039" t="str">
            <v>MENA_UAE_FC</v>
          </cell>
          <cell r="V1039">
            <v>46257.755555555559</v>
          </cell>
          <cell r="X1039">
            <v>46257.756944444445</v>
          </cell>
          <cell r="Y1039">
            <v>46258.173611111109</v>
          </cell>
          <cell r="AA1039" t="str">
            <v>Scheduled</v>
          </cell>
          <cell r="AB1039" t="str">
            <v>Present</v>
          </cell>
          <cell r="AC1039" t="str">
            <v>Customer returns</v>
          </cell>
          <cell r="AD1039" t="str">
            <v>Customer Returns</v>
          </cell>
          <cell r="AE1039" t="str">
            <v>Customer returns</v>
          </cell>
          <cell r="AF1039" t="str">
            <v>Wednesday</v>
          </cell>
          <cell r="AG1039" t="str">
            <v>Thursday</v>
          </cell>
          <cell r="AH1039">
            <v>22</v>
          </cell>
          <cell r="AJ1039">
            <v>45844</v>
          </cell>
          <cell r="AM1039" t="str">
            <v>TEMP</v>
          </cell>
          <cell r="AN1039" t="str">
            <v>3P Onsite Worker</v>
          </cell>
          <cell r="AO1039" t="str">
            <v>A</v>
          </cell>
          <cell r="AP1039">
            <v>9</v>
          </cell>
          <cell r="AQ1039">
            <v>0</v>
          </cell>
          <cell r="AR1039">
            <v>1</v>
          </cell>
          <cell r="AS1039">
            <v>1</v>
          </cell>
          <cell r="AT1039">
            <v>0</v>
          </cell>
          <cell r="AU1039">
            <v>0</v>
          </cell>
        </row>
        <row r="1040">
          <cell r="D1040" t="str">
            <v>tibainhd</v>
          </cell>
          <cell r="E1040">
            <v>205839583</v>
          </cell>
          <cell r="F1040" t="str">
            <v>A</v>
          </cell>
          <cell r="G1040" t="str">
            <v>GREEN</v>
          </cell>
          <cell r="H1040" t="str">
            <v>FULL_TIME</v>
          </cell>
          <cell r="I1040">
            <v>900234</v>
          </cell>
          <cell r="J1040" t="str">
            <v>Dulsco L.L.C.</v>
          </cell>
          <cell r="K1040" t="str">
            <v>DAN TIBAINGANA</v>
          </cell>
          <cell r="L1040" t="str">
            <v>Warehouse Associate (TEMP)</v>
          </cell>
          <cell r="M1040" t="str">
            <v>Warehouse Associate 8W</v>
          </cell>
          <cell r="N1040" t="str">
            <v>bizthoma</v>
          </cell>
          <cell r="O1040">
            <v>1299</v>
          </cell>
          <cell r="P1040" t="str">
            <v>AUH1</v>
          </cell>
          <cell r="Q1040" t="str">
            <v>ARE</v>
          </cell>
          <cell r="R1040" t="str">
            <v>LK016</v>
          </cell>
          <cell r="S1040" t="str">
            <v>Night Shift</v>
          </cell>
          <cell r="T1040">
            <v>99</v>
          </cell>
          <cell r="U1040" t="str">
            <v>MENA_UAE_FC</v>
          </cell>
          <cell r="V1040">
            <v>46257.756249999999</v>
          </cell>
          <cell r="X1040">
            <v>46257.756944444445</v>
          </cell>
          <cell r="Y1040">
            <v>46258.173611111109</v>
          </cell>
          <cell r="AA1040" t="str">
            <v>Scheduled</v>
          </cell>
          <cell r="AB1040" t="str">
            <v>Present</v>
          </cell>
          <cell r="AC1040" t="str">
            <v>Outbound</v>
          </cell>
          <cell r="AD1040" t="str">
            <v>Pack - Batch</v>
          </cell>
          <cell r="AE1040" t="str">
            <v>Pack</v>
          </cell>
          <cell r="AF1040" t="str">
            <v>Wednesday</v>
          </cell>
          <cell r="AG1040" t="str">
            <v>Thursday</v>
          </cell>
          <cell r="AH1040">
            <v>17</v>
          </cell>
          <cell r="AJ1040">
            <v>45893</v>
          </cell>
          <cell r="AM1040" t="str">
            <v>TEMP</v>
          </cell>
          <cell r="AN1040" t="str">
            <v>3P Onsite Worker</v>
          </cell>
          <cell r="AO1040" t="str">
            <v>A</v>
          </cell>
          <cell r="AP1040">
            <v>9</v>
          </cell>
          <cell r="AQ1040">
            <v>0</v>
          </cell>
          <cell r="AR1040">
            <v>1</v>
          </cell>
          <cell r="AS1040">
            <v>1</v>
          </cell>
          <cell r="AT1040">
            <v>0</v>
          </cell>
          <cell r="AU1040">
            <v>0</v>
          </cell>
        </row>
        <row r="1041">
          <cell r="D1041" t="str">
            <v>timfelig</v>
          </cell>
          <cell r="E1041">
            <v>205996686</v>
          </cell>
          <cell r="F1041" t="str">
            <v>A</v>
          </cell>
          <cell r="G1041" t="str">
            <v>GREEN</v>
          </cell>
          <cell r="H1041" t="str">
            <v>FULL_TIME</v>
          </cell>
          <cell r="I1041">
            <v>900234</v>
          </cell>
          <cell r="J1041" t="str">
            <v>Fastlink Outsourcing</v>
          </cell>
          <cell r="K1041" t="str">
            <v>FELICIA TIMAH</v>
          </cell>
          <cell r="L1041" t="str">
            <v>Warehouse Associate (TEMP)</v>
          </cell>
          <cell r="M1041" t="str">
            <v>Warehouse Associate 8W</v>
          </cell>
          <cell r="N1041" t="str">
            <v>kebedeed</v>
          </cell>
          <cell r="O1041">
            <v>1299</v>
          </cell>
          <cell r="P1041" t="str">
            <v>AUH1</v>
          </cell>
          <cell r="Q1041" t="str">
            <v>ARE</v>
          </cell>
          <cell r="R1041" t="str">
            <v>FC159</v>
          </cell>
          <cell r="S1041" t="str">
            <v>Day Shift</v>
          </cell>
          <cell r="T1041">
            <v>99</v>
          </cell>
          <cell r="U1041" t="str">
            <v>MENA_UAE_FC</v>
          </cell>
          <cell r="V1041">
            <v>46257.332638888889</v>
          </cell>
          <cell r="W1041">
            <v>46257.749305555553</v>
          </cell>
          <cell r="X1041">
            <v>46257.333333333336</v>
          </cell>
          <cell r="Y1041">
            <v>46257.75</v>
          </cell>
          <cell r="AA1041" t="str">
            <v>Scheduled</v>
          </cell>
          <cell r="AB1041" t="str">
            <v>Present</v>
          </cell>
          <cell r="AC1041" t="str">
            <v>ICQA</v>
          </cell>
          <cell r="AD1041" t="str">
            <v>IC/QA/CS</v>
          </cell>
          <cell r="AE1041" t="str">
            <v>Support</v>
          </cell>
          <cell r="AF1041" t="str">
            <v>Thursday</v>
          </cell>
          <cell r="AG1041" t="str">
            <v>Friday</v>
          </cell>
          <cell r="AH1041">
            <v>27</v>
          </cell>
          <cell r="AJ1041">
            <v>45914</v>
          </cell>
          <cell r="AM1041" t="str">
            <v>TEMP</v>
          </cell>
          <cell r="AN1041" t="str">
            <v>3P Onsite Worker</v>
          </cell>
          <cell r="AO1041" t="str">
            <v>A</v>
          </cell>
          <cell r="AP1041">
            <v>9</v>
          </cell>
          <cell r="AQ1041">
            <v>0</v>
          </cell>
          <cell r="AR1041">
            <v>1</v>
          </cell>
          <cell r="AS1041">
            <v>1</v>
          </cell>
          <cell r="AT1041">
            <v>0</v>
          </cell>
          <cell r="AU1041">
            <v>0</v>
          </cell>
        </row>
        <row r="1042">
          <cell r="D1042" t="str">
            <v>timokino</v>
          </cell>
          <cell r="E1042">
            <v>204072899</v>
          </cell>
          <cell r="F1042" t="str">
            <v>A</v>
          </cell>
          <cell r="G1042" t="str">
            <v>GREEN</v>
          </cell>
          <cell r="H1042" t="str">
            <v>FULL_TIME</v>
          </cell>
          <cell r="I1042">
            <v>900234</v>
          </cell>
          <cell r="J1042" t="str">
            <v>Dulsco L.L.C.</v>
          </cell>
          <cell r="K1042" t="str">
            <v>TIMOTHY KINONGO</v>
          </cell>
          <cell r="L1042" t="str">
            <v>Warehouse Associate (TEMP)</v>
          </cell>
          <cell r="M1042" t="str">
            <v>Warehouse Associate 24M</v>
          </cell>
          <cell r="N1042" t="str">
            <v>ansammar</v>
          </cell>
          <cell r="O1042">
            <v>1299</v>
          </cell>
          <cell r="P1042" t="str">
            <v>AUH1</v>
          </cell>
          <cell r="Q1042" t="str">
            <v>ARE</v>
          </cell>
          <cell r="R1042" t="str">
            <v>LK011</v>
          </cell>
          <cell r="S1042" t="str">
            <v>Night Shift</v>
          </cell>
          <cell r="T1042">
            <v>99</v>
          </cell>
          <cell r="U1042" t="str">
            <v>MENA_UAE_FC</v>
          </cell>
          <cell r="V1042">
            <v>46257.754861111112</v>
          </cell>
          <cell r="X1042">
            <v>46257.756944444445</v>
          </cell>
          <cell r="Y1042">
            <v>46258.173611111109</v>
          </cell>
          <cell r="AA1042" t="str">
            <v>Scheduled</v>
          </cell>
          <cell r="AB1042" t="str">
            <v>Present</v>
          </cell>
          <cell r="AC1042" t="str">
            <v>Outbound</v>
          </cell>
          <cell r="AD1042" t="str">
            <v>Picking</v>
          </cell>
          <cell r="AE1042" t="str">
            <v>Pick</v>
          </cell>
          <cell r="AF1042" t="str">
            <v>Friday</v>
          </cell>
          <cell r="AG1042" t="str">
            <v>Saturday</v>
          </cell>
          <cell r="AH1042">
            <v>13</v>
          </cell>
          <cell r="AJ1042">
            <v>45557</v>
          </cell>
          <cell r="AM1042" t="str">
            <v>TEMP</v>
          </cell>
          <cell r="AN1042" t="str">
            <v>3P Onsite Worker</v>
          </cell>
          <cell r="AO1042" t="str">
            <v>A</v>
          </cell>
          <cell r="AP1042">
            <v>9</v>
          </cell>
          <cell r="AQ1042">
            <v>0</v>
          </cell>
          <cell r="AR1042">
            <v>1</v>
          </cell>
          <cell r="AS1042">
            <v>1</v>
          </cell>
          <cell r="AT1042">
            <v>0</v>
          </cell>
          <cell r="AU1042">
            <v>0</v>
          </cell>
        </row>
        <row r="1043">
          <cell r="D1043" t="str">
            <v>tkalfran</v>
          </cell>
          <cell r="E1043">
            <v>204011576</v>
          </cell>
          <cell r="F1043" t="str">
            <v>A</v>
          </cell>
          <cell r="G1043" t="str">
            <v>GREEN</v>
          </cell>
          <cell r="H1043" t="str">
            <v>FULL_TIME</v>
          </cell>
          <cell r="I1043">
            <v>900234</v>
          </cell>
          <cell r="J1043" t="str">
            <v>Dulsco L.L.C.</v>
          </cell>
          <cell r="K1043" t="str">
            <v>FRANK KALULE</v>
          </cell>
          <cell r="L1043" t="str">
            <v>Warehouse Associate (TEMP)</v>
          </cell>
          <cell r="M1043" t="str">
            <v>Warehouse Associate 8W</v>
          </cell>
          <cell r="N1043" t="str">
            <v>mnarshad</v>
          </cell>
          <cell r="O1043">
            <v>1299</v>
          </cell>
          <cell r="P1043" t="str">
            <v>AUH1</v>
          </cell>
          <cell r="Q1043" t="str">
            <v>ARE</v>
          </cell>
          <cell r="R1043" t="str">
            <v>LK015</v>
          </cell>
          <cell r="S1043" t="str">
            <v>Night Shift</v>
          </cell>
          <cell r="T1043">
            <v>99</v>
          </cell>
          <cell r="U1043" t="str">
            <v>MENA_UAE_FC</v>
          </cell>
          <cell r="V1043">
            <v>46257.756249999999</v>
          </cell>
          <cell r="X1043">
            <v>46257.756944444445</v>
          </cell>
          <cell r="Y1043">
            <v>46258.173611111109</v>
          </cell>
          <cell r="AA1043" t="str">
            <v>Scheduled</v>
          </cell>
          <cell r="AB1043" t="str">
            <v>Present</v>
          </cell>
          <cell r="AC1043" t="str">
            <v>Outbound</v>
          </cell>
          <cell r="AD1043" t="str">
            <v>Picking</v>
          </cell>
          <cell r="AE1043" t="str">
            <v>Pick</v>
          </cell>
          <cell r="AF1043" t="str">
            <v>Tuesday</v>
          </cell>
          <cell r="AG1043" t="str">
            <v>Wednesday</v>
          </cell>
          <cell r="AH1043">
            <v>13</v>
          </cell>
          <cell r="AJ1043">
            <v>45788</v>
          </cell>
          <cell r="AM1043" t="str">
            <v>TEMP</v>
          </cell>
          <cell r="AN1043" t="str">
            <v>3P Onsite Worker</v>
          </cell>
          <cell r="AO1043" t="str">
            <v>A</v>
          </cell>
          <cell r="AP1043">
            <v>9</v>
          </cell>
          <cell r="AQ1043">
            <v>0</v>
          </cell>
          <cell r="AR1043">
            <v>1</v>
          </cell>
          <cell r="AS1043">
            <v>1</v>
          </cell>
          <cell r="AT1043">
            <v>0</v>
          </cell>
          <cell r="AU1043">
            <v>0</v>
          </cell>
        </row>
        <row r="1044">
          <cell r="D1044" t="str">
            <v>totuhais</v>
          </cell>
          <cell r="E1044">
            <v>203800377</v>
          </cell>
          <cell r="F1044" t="str">
            <v>A</v>
          </cell>
          <cell r="G1044" t="str">
            <v>GREEN</v>
          </cell>
          <cell r="H1044" t="str">
            <v>FULL_TIME</v>
          </cell>
          <cell r="I1044">
            <v>900234</v>
          </cell>
          <cell r="J1044" t="str">
            <v>Dulsco L.L.C.</v>
          </cell>
          <cell r="K1044" t="str">
            <v>TOM TUHAISE</v>
          </cell>
          <cell r="L1044" t="str">
            <v>Warehouse Associate (TEMP)</v>
          </cell>
          <cell r="M1044" t="str">
            <v>Warehouse Associate 8W</v>
          </cell>
          <cell r="N1044" t="str">
            <v>bavameer</v>
          </cell>
          <cell r="O1044">
            <v>1299</v>
          </cell>
          <cell r="P1044" t="str">
            <v>AUH1</v>
          </cell>
          <cell r="Q1044" t="str">
            <v>ARE</v>
          </cell>
          <cell r="R1044" t="str">
            <v>FC109</v>
          </cell>
          <cell r="S1044" t="str">
            <v>Day Shift</v>
          </cell>
          <cell r="T1044">
            <v>99</v>
          </cell>
          <cell r="U1044" t="str">
            <v>MENA_UAE_FC</v>
          </cell>
          <cell r="V1044">
            <v>46257.331944444442</v>
          </cell>
          <cell r="W1044">
            <v>46257.75</v>
          </cell>
          <cell r="X1044">
            <v>46257.333333333336</v>
          </cell>
          <cell r="Y1044">
            <v>46257.75</v>
          </cell>
          <cell r="AA1044" t="str">
            <v>Scheduled</v>
          </cell>
          <cell r="AB1044" t="str">
            <v>Present</v>
          </cell>
          <cell r="AC1044" t="str">
            <v>Customer returns</v>
          </cell>
          <cell r="AD1044" t="str">
            <v>Customer Returns</v>
          </cell>
          <cell r="AE1044" t="str">
            <v>Customer returns</v>
          </cell>
          <cell r="AF1044" t="str">
            <v>Tuesday</v>
          </cell>
          <cell r="AG1044" t="str">
            <v>Wednesday</v>
          </cell>
          <cell r="AH1044">
            <v>22</v>
          </cell>
          <cell r="AJ1044">
            <v>45515</v>
          </cell>
          <cell r="AM1044" t="str">
            <v>TEMP</v>
          </cell>
          <cell r="AN1044" t="str">
            <v>3P Onsite Worker</v>
          </cell>
          <cell r="AO1044" t="str">
            <v>A</v>
          </cell>
          <cell r="AP1044">
            <v>9</v>
          </cell>
          <cell r="AQ1044">
            <v>0</v>
          </cell>
          <cell r="AR1044">
            <v>1</v>
          </cell>
          <cell r="AS1044">
            <v>1</v>
          </cell>
          <cell r="AT1044">
            <v>0</v>
          </cell>
          <cell r="AU1044">
            <v>0</v>
          </cell>
        </row>
        <row r="1045">
          <cell r="D1045" t="str">
            <v>tsadorca</v>
          </cell>
          <cell r="E1045">
            <v>203555714</v>
          </cell>
          <cell r="F1045" t="str">
            <v>A</v>
          </cell>
          <cell r="G1045" t="str">
            <v>GREEN</v>
          </cell>
          <cell r="H1045" t="str">
            <v>FULL_TIME</v>
          </cell>
          <cell r="I1045">
            <v>900234</v>
          </cell>
          <cell r="J1045" t="str">
            <v>Fastlink Outsourcing</v>
          </cell>
          <cell r="K1045" t="str">
            <v>Dorcas Sakyiamah</v>
          </cell>
          <cell r="L1045" t="str">
            <v>Warehouse Associate (TEMP)</v>
          </cell>
          <cell r="M1045" t="str">
            <v>Warehouse Associate 12M</v>
          </cell>
          <cell r="N1045" t="str">
            <v>nnahla</v>
          </cell>
          <cell r="O1045">
            <v>1299</v>
          </cell>
          <cell r="P1045" t="str">
            <v>AUH1</v>
          </cell>
          <cell r="Q1045" t="str">
            <v>ARE</v>
          </cell>
          <cell r="R1045" t="str">
            <v>FC034</v>
          </cell>
          <cell r="S1045" t="str">
            <v>Day Shift</v>
          </cell>
          <cell r="T1045">
            <v>99</v>
          </cell>
          <cell r="U1045" t="str">
            <v>MENA_UAE_FC</v>
          </cell>
          <cell r="X1045">
            <v>46257.333333333336</v>
          </cell>
          <cell r="Y1045">
            <v>46257.75</v>
          </cell>
          <cell r="Z1045" t="str">
            <v>Rest Day</v>
          </cell>
          <cell r="AA1045" t="str">
            <v>Not Scheduled</v>
          </cell>
          <cell r="AB1045" t="str">
            <v>Not Present</v>
          </cell>
          <cell r="AC1045" t="str">
            <v>Inbound</v>
          </cell>
          <cell r="AD1045" t="str">
            <v>Vendor Receive</v>
          </cell>
          <cell r="AE1045" t="str">
            <v>Receive</v>
          </cell>
          <cell r="AF1045" t="str">
            <v>Saturday</v>
          </cell>
          <cell r="AG1045" t="str">
            <v>Sunday</v>
          </cell>
          <cell r="AH1045">
            <v>1</v>
          </cell>
          <cell r="AJ1045">
            <v>45469</v>
          </cell>
          <cell r="AM1045" t="str">
            <v>TEMP</v>
          </cell>
          <cell r="AN1045" t="str">
            <v>3P Onsite Worker</v>
          </cell>
          <cell r="AO1045" t="str">
            <v>A</v>
          </cell>
          <cell r="AP1045">
            <v>9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</row>
        <row r="1046">
          <cell r="D1046" t="str">
            <v>tshomuzh</v>
          </cell>
          <cell r="E1046">
            <v>206137339</v>
          </cell>
          <cell r="F1046" t="str">
            <v>A</v>
          </cell>
          <cell r="G1046" t="str">
            <v>GREEN</v>
          </cell>
          <cell r="H1046" t="str">
            <v>FULL_TIME</v>
          </cell>
          <cell r="I1046">
            <v>900234</v>
          </cell>
          <cell r="J1046" t="str">
            <v>Fastlink Outsourcing</v>
          </cell>
          <cell r="K1046" t="str">
            <v>THERESA SHOMUZHANGA</v>
          </cell>
          <cell r="L1046" t="str">
            <v>Warehouse Associate (TEMP)</v>
          </cell>
          <cell r="M1046" t="str">
            <v>Warehouse Associate 12M</v>
          </cell>
          <cell r="N1046" t="str">
            <v>bizthoma</v>
          </cell>
          <cell r="O1046">
            <v>1299</v>
          </cell>
          <cell r="P1046" t="str">
            <v>AUH1</v>
          </cell>
          <cell r="Q1046" t="str">
            <v>ARE</v>
          </cell>
          <cell r="R1046" t="str">
            <v>LK016</v>
          </cell>
          <cell r="S1046" t="str">
            <v>Night Shift</v>
          </cell>
          <cell r="T1046">
            <v>99</v>
          </cell>
          <cell r="U1046" t="str">
            <v>MENA_UAE_FC</v>
          </cell>
          <cell r="V1046">
            <v>46257.756249999999</v>
          </cell>
          <cell r="X1046">
            <v>46257.756944444445</v>
          </cell>
          <cell r="Y1046">
            <v>46258.173611111109</v>
          </cell>
          <cell r="AA1046" t="str">
            <v>Scheduled</v>
          </cell>
          <cell r="AB1046" t="str">
            <v>Present</v>
          </cell>
          <cell r="AC1046" t="str">
            <v>Outbound</v>
          </cell>
          <cell r="AD1046" t="str">
            <v>Picking</v>
          </cell>
          <cell r="AE1046" t="str">
            <v>Pick</v>
          </cell>
          <cell r="AF1046" t="str">
            <v>Wednesday</v>
          </cell>
          <cell r="AG1046" t="str">
            <v>Thursday</v>
          </cell>
          <cell r="AH1046">
            <v>13</v>
          </cell>
          <cell r="AJ1046">
            <v>45928</v>
          </cell>
          <cell r="AM1046" t="str">
            <v>TEMP</v>
          </cell>
          <cell r="AN1046" t="str">
            <v>3P Onsite Worker</v>
          </cell>
          <cell r="AO1046" t="str">
            <v>A</v>
          </cell>
          <cell r="AP1046">
            <v>9</v>
          </cell>
          <cell r="AQ1046">
            <v>0</v>
          </cell>
          <cell r="AR1046">
            <v>1</v>
          </cell>
          <cell r="AS1046">
            <v>1</v>
          </cell>
          <cell r="AT1046">
            <v>0</v>
          </cell>
          <cell r="AU1046">
            <v>0</v>
          </cell>
        </row>
        <row r="1047">
          <cell r="D1047" t="str">
            <v>tsindijo</v>
          </cell>
          <cell r="E1047">
            <v>203908885</v>
          </cell>
          <cell r="F1047" t="str">
            <v>A</v>
          </cell>
          <cell r="G1047" t="str">
            <v>GREEN</v>
          </cell>
          <cell r="H1047" t="str">
            <v>FULL_TIME</v>
          </cell>
          <cell r="I1047">
            <v>900234</v>
          </cell>
          <cell r="J1047" t="str">
            <v>Dulsco L.L.C.</v>
          </cell>
          <cell r="K1047" t="str">
            <v>JOCKUS TSINDIKA</v>
          </cell>
          <cell r="L1047" t="str">
            <v>Warehouse Associate (TEMP)</v>
          </cell>
          <cell r="M1047" t="str">
            <v>Warehouse Associate 8W</v>
          </cell>
          <cell r="N1047" t="str">
            <v>bizthoma</v>
          </cell>
          <cell r="O1047">
            <v>1299</v>
          </cell>
          <cell r="P1047" t="str">
            <v>AUH1</v>
          </cell>
          <cell r="Q1047" t="str">
            <v>ARE</v>
          </cell>
          <cell r="R1047" t="str">
            <v>LK017</v>
          </cell>
          <cell r="S1047" t="str">
            <v>Night Shift</v>
          </cell>
          <cell r="T1047">
            <v>99</v>
          </cell>
          <cell r="U1047" t="str">
            <v>MENA_UAE_FC</v>
          </cell>
          <cell r="V1047">
            <v>46257.755555555559</v>
          </cell>
          <cell r="X1047">
            <v>46257.756944444445</v>
          </cell>
          <cell r="Y1047">
            <v>46258.173611111109</v>
          </cell>
          <cell r="AA1047" t="str">
            <v>Scheduled</v>
          </cell>
          <cell r="AB1047" t="str">
            <v>Present</v>
          </cell>
          <cell r="AC1047" t="str">
            <v>Outbound</v>
          </cell>
          <cell r="AD1047" t="str">
            <v>Picking</v>
          </cell>
          <cell r="AE1047" t="str">
            <v>Pick</v>
          </cell>
          <cell r="AF1047" t="str">
            <v>Thursday</v>
          </cell>
          <cell r="AG1047" t="str">
            <v>Friday</v>
          </cell>
          <cell r="AH1047">
            <v>13</v>
          </cell>
          <cell r="AJ1047">
            <v>45536</v>
          </cell>
          <cell r="AM1047" t="str">
            <v>TEMP</v>
          </cell>
          <cell r="AN1047" t="str">
            <v>3P Onsite Worker</v>
          </cell>
          <cell r="AO1047" t="str">
            <v>A</v>
          </cell>
          <cell r="AP1047">
            <v>9</v>
          </cell>
          <cell r="AQ1047">
            <v>0</v>
          </cell>
          <cell r="AR1047">
            <v>1</v>
          </cell>
          <cell r="AS1047">
            <v>1</v>
          </cell>
          <cell r="AT1047">
            <v>0</v>
          </cell>
          <cell r="AU1047">
            <v>0</v>
          </cell>
        </row>
        <row r="1048">
          <cell r="D1048" t="str">
            <v>tuajenic</v>
          </cell>
          <cell r="E1048">
            <v>203851103</v>
          </cell>
          <cell r="F1048" t="str">
            <v>A</v>
          </cell>
          <cell r="G1048" t="str">
            <v>GREEN</v>
          </cell>
          <cell r="H1048" t="str">
            <v>FULL_TIME</v>
          </cell>
          <cell r="I1048">
            <v>900234</v>
          </cell>
          <cell r="J1048" t="str">
            <v>Fastlink Outsourcing</v>
          </cell>
          <cell r="K1048" t="str">
            <v>Ajenical Tucker</v>
          </cell>
          <cell r="L1048" t="str">
            <v>Warehouse Associate (TEMP)</v>
          </cell>
          <cell r="M1048" t="str">
            <v>Warehouse Associate 12M</v>
          </cell>
          <cell r="N1048" t="str">
            <v>lraghava</v>
          </cell>
          <cell r="O1048">
            <v>1299</v>
          </cell>
          <cell r="P1048" t="str">
            <v>AUH1</v>
          </cell>
          <cell r="Q1048" t="str">
            <v>ARE</v>
          </cell>
          <cell r="R1048" t="str">
            <v>FC109</v>
          </cell>
          <cell r="S1048" t="str">
            <v>Day Shift</v>
          </cell>
          <cell r="T1048">
            <v>99</v>
          </cell>
          <cell r="U1048" t="str">
            <v>MENA_UAE_FC</v>
          </cell>
          <cell r="V1048">
            <v>46257.332638888889</v>
          </cell>
          <cell r="W1048">
            <v>46257.638888888891</v>
          </cell>
          <cell r="X1048">
            <v>46257.333333333336</v>
          </cell>
          <cell r="Y1048">
            <v>46257.75</v>
          </cell>
          <cell r="AA1048" t="str">
            <v>Scheduled</v>
          </cell>
          <cell r="AB1048" t="str">
            <v>Present</v>
          </cell>
          <cell r="AC1048" t="str">
            <v>Outbound</v>
          </cell>
          <cell r="AD1048" t="str">
            <v>Pack - Single</v>
          </cell>
          <cell r="AE1048" t="str">
            <v>Pack</v>
          </cell>
          <cell r="AF1048" t="str">
            <v>Tuesday</v>
          </cell>
          <cell r="AG1048" t="str">
            <v>Wednesday</v>
          </cell>
          <cell r="AH1048">
            <v>18</v>
          </cell>
          <cell r="AJ1048">
            <v>45523</v>
          </cell>
          <cell r="AM1048" t="str">
            <v>TEMP</v>
          </cell>
          <cell r="AN1048" t="str">
            <v>3P Onsite Worker</v>
          </cell>
          <cell r="AO1048" t="str">
            <v>A</v>
          </cell>
          <cell r="AP1048">
            <v>9</v>
          </cell>
          <cell r="AQ1048">
            <v>0</v>
          </cell>
          <cell r="AR1048">
            <v>1</v>
          </cell>
          <cell r="AS1048">
            <v>1</v>
          </cell>
          <cell r="AT1048">
            <v>0</v>
          </cell>
          <cell r="AU1048">
            <v>0</v>
          </cell>
        </row>
        <row r="1049">
          <cell r="D1049" t="str">
            <v>tugumemo</v>
          </cell>
          <cell r="E1049">
            <v>203816300</v>
          </cell>
          <cell r="F1049" t="str">
            <v>A</v>
          </cell>
          <cell r="G1049" t="str">
            <v>GREEN</v>
          </cell>
          <cell r="H1049" t="str">
            <v>FULL_TIME</v>
          </cell>
          <cell r="I1049">
            <v>900234</v>
          </cell>
          <cell r="J1049" t="str">
            <v>Dulsco L.L.C.</v>
          </cell>
          <cell r="K1049" t="str">
            <v>Morris Tugume</v>
          </cell>
          <cell r="L1049" t="str">
            <v>Warehouse Associate (TEMP)</v>
          </cell>
          <cell r="M1049" t="str">
            <v>Warehouse Associate 8W</v>
          </cell>
          <cell r="N1049" t="str">
            <v>nnahla</v>
          </cell>
          <cell r="O1049">
            <v>1299</v>
          </cell>
          <cell r="P1049" t="str">
            <v>AUH1</v>
          </cell>
          <cell r="Q1049" t="str">
            <v>ARE</v>
          </cell>
          <cell r="R1049" t="str">
            <v>LK013</v>
          </cell>
          <cell r="S1049" t="str">
            <v>Night Shift</v>
          </cell>
          <cell r="T1049">
            <v>99</v>
          </cell>
          <cell r="U1049" t="str">
            <v>MENA_UAE_FC</v>
          </cell>
          <cell r="X1049">
            <v>46257.756944444445</v>
          </cell>
          <cell r="Y1049">
            <v>46258.173611111109</v>
          </cell>
          <cell r="Z1049" t="str">
            <v>Rest Day</v>
          </cell>
          <cell r="AA1049" t="str">
            <v>Not Scheduled</v>
          </cell>
          <cell r="AB1049" t="str">
            <v>Not Present</v>
          </cell>
          <cell r="AC1049" t="str">
            <v>Inbound</v>
          </cell>
          <cell r="AD1049" t="str">
            <v>Vendor Receive</v>
          </cell>
          <cell r="AE1049" t="str">
            <v>Receive</v>
          </cell>
          <cell r="AF1049" t="str">
            <v>Sunday</v>
          </cell>
          <cell r="AG1049" t="str">
            <v>Monday</v>
          </cell>
          <cell r="AH1049">
            <v>1</v>
          </cell>
          <cell r="AJ1049">
            <v>45523</v>
          </cell>
          <cell r="AM1049" t="str">
            <v>TEMP</v>
          </cell>
          <cell r="AN1049" t="str">
            <v>3P Onsite Worker</v>
          </cell>
          <cell r="AO1049" t="str">
            <v>A</v>
          </cell>
          <cell r="AP1049">
            <v>9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</row>
        <row r="1050">
          <cell r="D1050" t="str">
            <v>tuleoleo</v>
          </cell>
          <cell r="E1050">
            <v>201228114</v>
          </cell>
          <cell r="F1050" t="str">
            <v>A</v>
          </cell>
          <cell r="G1050" t="str">
            <v>GREEN</v>
          </cell>
          <cell r="H1050" t="str">
            <v>FULL_TIME</v>
          </cell>
          <cell r="I1050">
            <v>900234</v>
          </cell>
          <cell r="J1050" t="str">
            <v>Quesscorp</v>
          </cell>
          <cell r="K1050" t="str">
            <v>Leo Leonardo Tumay</v>
          </cell>
          <cell r="L1050" t="str">
            <v>Warehouse Associate (TEMP)</v>
          </cell>
          <cell r="M1050" t="str">
            <v>Warehouse Associate 24M</v>
          </cell>
          <cell r="N1050" t="str">
            <v>kebedeed</v>
          </cell>
          <cell r="O1050">
            <v>1299</v>
          </cell>
          <cell r="P1050" t="str">
            <v>AUH1</v>
          </cell>
          <cell r="Q1050" t="str">
            <v>ARE</v>
          </cell>
          <cell r="R1050" t="str">
            <v>LK013</v>
          </cell>
          <cell r="S1050" t="str">
            <v>Night Shift</v>
          </cell>
          <cell r="T1050">
            <v>99</v>
          </cell>
          <cell r="U1050" t="str">
            <v>MENA_UAE_FC</v>
          </cell>
          <cell r="X1050">
            <v>46257.75</v>
          </cell>
          <cell r="Y1050">
            <v>46258.166666666664</v>
          </cell>
          <cell r="Z1050" t="str">
            <v>Rest Day</v>
          </cell>
          <cell r="AA1050" t="str">
            <v>Not Scheduled</v>
          </cell>
          <cell r="AB1050" t="str">
            <v>Not Present</v>
          </cell>
          <cell r="AC1050" t="str">
            <v>ICQA</v>
          </cell>
          <cell r="AD1050" t="str">
            <v>IC/QA/CS</v>
          </cell>
          <cell r="AE1050" t="str">
            <v>Support</v>
          </cell>
          <cell r="AF1050" t="str">
            <v>Sunday</v>
          </cell>
          <cell r="AG1050" t="str">
            <v>Monday</v>
          </cell>
          <cell r="AH1050">
            <v>27</v>
          </cell>
          <cell r="AJ1050">
            <v>45595</v>
          </cell>
          <cell r="AM1050" t="str">
            <v>TEMP</v>
          </cell>
          <cell r="AN1050" t="str">
            <v>3P Onsite Worker</v>
          </cell>
          <cell r="AO1050" t="str">
            <v>A</v>
          </cell>
          <cell r="AP1050">
            <v>9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</row>
        <row r="1051">
          <cell r="D1051" t="str">
            <v>tumufran</v>
          </cell>
          <cell r="E1051">
            <v>206513292</v>
          </cell>
          <cell r="F1051" t="str">
            <v>A</v>
          </cell>
          <cell r="G1051" t="str">
            <v>GREEN</v>
          </cell>
          <cell r="H1051" t="str">
            <v>FULL_TIME</v>
          </cell>
          <cell r="I1051">
            <v>900234</v>
          </cell>
          <cell r="J1051" t="str">
            <v>Dulsco L.L.C.</v>
          </cell>
          <cell r="K1051" t="str">
            <v>TUMUSIIME FRANK</v>
          </cell>
          <cell r="L1051" t="str">
            <v>Warehouse Associate (TEMP)</v>
          </cell>
          <cell r="M1051" t="str">
            <v>Warehouse Associate 24M</v>
          </cell>
          <cell r="N1051" t="str">
            <v>vkkatyal</v>
          </cell>
          <cell r="O1051">
            <v>1299</v>
          </cell>
          <cell r="P1051" t="str">
            <v>AUH1</v>
          </cell>
          <cell r="Q1051" t="str">
            <v>ARE</v>
          </cell>
          <cell r="R1051" t="str">
            <v>FC059</v>
          </cell>
          <cell r="S1051" t="str">
            <v>Day Shift</v>
          </cell>
          <cell r="T1051">
            <v>99</v>
          </cell>
          <cell r="U1051" t="str">
            <v>MENA_UAE_FC</v>
          </cell>
          <cell r="X1051">
            <v>46257.333333333336</v>
          </cell>
          <cell r="Y1051">
            <v>46257.75</v>
          </cell>
          <cell r="Z1051" t="str">
            <v>Rest Day</v>
          </cell>
          <cell r="AA1051" t="str">
            <v>Not Scheduled</v>
          </cell>
          <cell r="AB1051" t="str">
            <v>Not Present</v>
          </cell>
          <cell r="AC1051" t="str">
            <v>Inbound</v>
          </cell>
          <cell r="AD1051" t="str">
            <v>Inbound Stow</v>
          </cell>
          <cell r="AE1051" t="str">
            <v>Stow</v>
          </cell>
          <cell r="AF1051" t="str">
            <v>Sunday</v>
          </cell>
          <cell r="AG1051" t="str">
            <v>Monday</v>
          </cell>
          <cell r="AH1051">
            <v>3</v>
          </cell>
          <cell r="AJ1051">
            <v>45970</v>
          </cell>
          <cell r="AM1051" t="str">
            <v>TEMP</v>
          </cell>
          <cell r="AN1051" t="str">
            <v>3P Onsite Worker</v>
          </cell>
          <cell r="AO1051" t="str">
            <v>A</v>
          </cell>
          <cell r="AP1051">
            <v>9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</row>
        <row r="1052">
          <cell r="D1052" t="str">
            <v>tumwgben</v>
          </cell>
          <cell r="E1052">
            <v>205977130</v>
          </cell>
          <cell r="F1052" t="str">
            <v>A</v>
          </cell>
          <cell r="G1052" t="str">
            <v>GREEN</v>
          </cell>
          <cell r="H1052" t="str">
            <v>FULL_TIME</v>
          </cell>
          <cell r="I1052">
            <v>900234</v>
          </cell>
          <cell r="J1052" t="str">
            <v>Dulsco L.L.C.</v>
          </cell>
          <cell r="K1052" t="str">
            <v>BENSON TUMWINE</v>
          </cell>
          <cell r="L1052" t="str">
            <v>Warehouse Associate (TEMP)</v>
          </cell>
          <cell r="M1052" t="str">
            <v>Warehouse Associate 24M</v>
          </cell>
          <cell r="N1052" t="str">
            <v>kebedeed</v>
          </cell>
          <cell r="O1052">
            <v>1299</v>
          </cell>
          <cell r="P1052" t="str">
            <v>AUH1</v>
          </cell>
          <cell r="Q1052" t="str">
            <v>ARE</v>
          </cell>
          <cell r="R1052" t="str">
            <v>FC084</v>
          </cell>
          <cell r="S1052" t="str">
            <v>Day Shift</v>
          </cell>
          <cell r="T1052">
            <v>99</v>
          </cell>
          <cell r="U1052" t="str">
            <v>MENA_UAE_FC</v>
          </cell>
          <cell r="V1052">
            <v>46257.331944444442</v>
          </cell>
          <cell r="W1052">
            <v>46257.747916666667</v>
          </cell>
          <cell r="X1052">
            <v>46257.333333333336</v>
          </cell>
          <cell r="Y1052">
            <v>46257.75</v>
          </cell>
          <cell r="AA1052" t="str">
            <v>Scheduled</v>
          </cell>
          <cell r="AB1052" t="str">
            <v>Present</v>
          </cell>
          <cell r="AC1052" t="str">
            <v>ICQA</v>
          </cell>
          <cell r="AD1052" t="str">
            <v>IC/QA/CS</v>
          </cell>
          <cell r="AE1052" t="str">
            <v>Support</v>
          </cell>
          <cell r="AF1052" t="str">
            <v>Monday</v>
          </cell>
          <cell r="AG1052" t="str">
            <v>Tuesday</v>
          </cell>
          <cell r="AH1052">
            <v>27</v>
          </cell>
          <cell r="AJ1052">
            <v>45914</v>
          </cell>
          <cell r="AM1052" t="str">
            <v>TEMP</v>
          </cell>
          <cell r="AN1052" t="str">
            <v>3P Onsite Worker</v>
          </cell>
          <cell r="AO1052" t="str">
            <v>A</v>
          </cell>
          <cell r="AP1052">
            <v>9</v>
          </cell>
          <cell r="AQ1052">
            <v>0</v>
          </cell>
          <cell r="AR1052">
            <v>1</v>
          </cell>
          <cell r="AS1052">
            <v>1</v>
          </cell>
          <cell r="AT1052">
            <v>0</v>
          </cell>
          <cell r="AU1052">
            <v>0</v>
          </cell>
        </row>
        <row r="1053">
          <cell r="D1053" t="str">
            <v>turaisha</v>
          </cell>
          <cell r="E1053">
            <v>203993281</v>
          </cell>
          <cell r="F1053" t="str">
            <v>A</v>
          </cell>
          <cell r="G1053" t="str">
            <v>GREEN</v>
          </cell>
          <cell r="H1053" t="str">
            <v>FULL_TIME</v>
          </cell>
          <cell r="I1053">
            <v>900234</v>
          </cell>
          <cell r="J1053" t="str">
            <v>Fastlink Outsourcing</v>
          </cell>
          <cell r="K1053" t="str">
            <v>Isha Turay</v>
          </cell>
          <cell r="L1053" t="str">
            <v>Warehouse Associate (TEMP)</v>
          </cell>
          <cell r="M1053" t="str">
            <v>Warehouse Associate 12M</v>
          </cell>
          <cell r="N1053" t="str">
            <v>lraghava</v>
          </cell>
          <cell r="O1053">
            <v>1299</v>
          </cell>
          <cell r="P1053" t="str">
            <v>AUH1</v>
          </cell>
          <cell r="Q1053" t="str">
            <v>ARE</v>
          </cell>
          <cell r="R1053" t="str">
            <v>FC009</v>
          </cell>
          <cell r="S1053" t="str">
            <v>Day Shift</v>
          </cell>
          <cell r="T1053">
            <v>99</v>
          </cell>
          <cell r="U1053" t="str">
            <v>MENA_UAE_FC</v>
          </cell>
          <cell r="V1053">
            <v>46257.332638888889</v>
          </cell>
          <cell r="W1053">
            <v>46257.748611111114</v>
          </cell>
          <cell r="X1053">
            <v>46257.333333333336</v>
          </cell>
          <cell r="Y1053">
            <v>46257.75</v>
          </cell>
          <cell r="AA1053" t="str">
            <v>Scheduled</v>
          </cell>
          <cell r="AB1053" t="str">
            <v>Present</v>
          </cell>
          <cell r="AC1053" t="str">
            <v>Outbound</v>
          </cell>
          <cell r="AD1053" t="str">
            <v>Picking</v>
          </cell>
          <cell r="AE1053" t="str">
            <v>Pick</v>
          </cell>
          <cell r="AF1053" t="str">
            <v>Friday</v>
          </cell>
          <cell r="AG1053" t="str">
            <v>Saturday</v>
          </cell>
          <cell r="AH1053">
            <v>13</v>
          </cell>
          <cell r="AJ1053">
            <v>45546</v>
          </cell>
          <cell r="AM1053" t="str">
            <v>TEMP</v>
          </cell>
          <cell r="AN1053" t="str">
            <v>3P Onsite Worker</v>
          </cell>
          <cell r="AO1053" t="str">
            <v>A</v>
          </cell>
          <cell r="AP1053">
            <v>9</v>
          </cell>
          <cell r="AQ1053">
            <v>0</v>
          </cell>
          <cell r="AR1053">
            <v>1</v>
          </cell>
          <cell r="AS1053">
            <v>1</v>
          </cell>
          <cell r="AT1053">
            <v>0</v>
          </cell>
          <cell r="AU1053">
            <v>0</v>
          </cell>
        </row>
        <row r="1054">
          <cell r="D1054" t="str">
            <v>turinawa</v>
          </cell>
          <cell r="E1054">
            <v>205839289</v>
          </cell>
          <cell r="F1054" t="str">
            <v>A</v>
          </cell>
          <cell r="G1054" t="str">
            <v>GREEN</v>
          </cell>
          <cell r="H1054" t="str">
            <v>FULL_TIME</v>
          </cell>
          <cell r="I1054">
            <v>900234</v>
          </cell>
          <cell r="J1054" t="str">
            <v>Dulsco L.L.C.</v>
          </cell>
          <cell r="K1054" t="str">
            <v>AMOS TURINAWE</v>
          </cell>
          <cell r="L1054" t="str">
            <v>Warehouse Associate (TEMP)</v>
          </cell>
          <cell r="M1054" t="str">
            <v>Warehouse Associate 8W</v>
          </cell>
          <cell r="N1054" t="str">
            <v>bizthoma</v>
          </cell>
          <cell r="O1054">
            <v>1299</v>
          </cell>
          <cell r="P1054" t="str">
            <v>AUH1</v>
          </cell>
          <cell r="Q1054" t="str">
            <v>ARE</v>
          </cell>
          <cell r="R1054" t="str">
            <v>FC084</v>
          </cell>
          <cell r="S1054" t="str">
            <v>Day Shift</v>
          </cell>
          <cell r="T1054">
            <v>99</v>
          </cell>
          <cell r="U1054" t="str">
            <v>MENA_UAE_FC</v>
          </cell>
          <cell r="V1054">
            <v>46257.332638888889</v>
          </cell>
          <cell r="W1054">
            <v>46257.751388888886</v>
          </cell>
          <cell r="X1054">
            <v>46257.333333333336</v>
          </cell>
          <cell r="Y1054">
            <v>46257.75</v>
          </cell>
          <cell r="AA1054" t="str">
            <v>Scheduled</v>
          </cell>
          <cell r="AB1054" t="str">
            <v>Present</v>
          </cell>
          <cell r="AC1054" t="str">
            <v>Outbound</v>
          </cell>
          <cell r="AD1054" t="str">
            <v>Pack - Batch</v>
          </cell>
          <cell r="AE1054" t="str">
            <v>Pack</v>
          </cell>
          <cell r="AF1054" t="str">
            <v>Monday</v>
          </cell>
          <cell r="AG1054" t="str">
            <v>Tuesday</v>
          </cell>
          <cell r="AH1054">
            <v>17</v>
          </cell>
          <cell r="AJ1054">
            <v>45893</v>
          </cell>
          <cell r="AM1054" t="str">
            <v>TEMP</v>
          </cell>
          <cell r="AN1054" t="str">
            <v>3P Onsite Worker</v>
          </cell>
          <cell r="AO1054" t="str">
            <v>A</v>
          </cell>
          <cell r="AP1054">
            <v>9</v>
          </cell>
          <cell r="AQ1054">
            <v>0</v>
          </cell>
          <cell r="AR1054">
            <v>1</v>
          </cell>
          <cell r="AS1054">
            <v>1</v>
          </cell>
          <cell r="AT1054">
            <v>0</v>
          </cell>
          <cell r="AU1054">
            <v>0</v>
          </cell>
        </row>
        <row r="1055">
          <cell r="D1055" t="str">
            <v>turyaric</v>
          </cell>
          <cell r="E1055">
            <v>206873879</v>
          </cell>
          <cell r="F1055" t="str">
            <v>A</v>
          </cell>
          <cell r="G1055" t="str">
            <v>GREEN</v>
          </cell>
          <cell r="H1055" t="str">
            <v>FULL_TIME</v>
          </cell>
          <cell r="I1055">
            <v>900234</v>
          </cell>
          <cell r="J1055" t="str">
            <v>Dulsco L.L.C.</v>
          </cell>
          <cell r="K1055" t="str">
            <v>RICHARD TURYASINGURA</v>
          </cell>
          <cell r="L1055" t="str">
            <v>Warehouse Associate (TEMP)</v>
          </cell>
          <cell r="M1055" t="str">
            <v>Warehouse Associate 8W</v>
          </cell>
          <cell r="N1055" t="str">
            <v>vkkatyal</v>
          </cell>
          <cell r="O1055">
            <v>1299</v>
          </cell>
          <cell r="P1055" t="str">
            <v>AUH1</v>
          </cell>
          <cell r="Q1055" t="str">
            <v>ARE</v>
          </cell>
          <cell r="R1055" t="str">
            <v>FC059</v>
          </cell>
          <cell r="S1055" t="str">
            <v>Day Shift</v>
          </cell>
          <cell r="T1055">
            <v>99</v>
          </cell>
          <cell r="U1055" t="str">
            <v>MENA_UAE_FC</v>
          </cell>
          <cell r="X1055">
            <v>46257.333333333336</v>
          </cell>
          <cell r="Y1055">
            <v>46257.75</v>
          </cell>
          <cell r="Z1055" t="str">
            <v>Rest Day</v>
          </cell>
          <cell r="AA1055" t="str">
            <v>Not Scheduled</v>
          </cell>
          <cell r="AB1055" t="str">
            <v>Not Present</v>
          </cell>
          <cell r="AC1055" t="str">
            <v>Inbound</v>
          </cell>
          <cell r="AD1055" t="str">
            <v>Inbound Stow</v>
          </cell>
          <cell r="AE1055" t="str">
            <v>Stow</v>
          </cell>
          <cell r="AF1055" t="str">
            <v>Sunday</v>
          </cell>
          <cell r="AG1055" t="str">
            <v>Monday</v>
          </cell>
          <cell r="AH1055">
            <v>3</v>
          </cell>
          <cell r="AJ1055">
            <v>46019</v>
          </cell>
          <cell r="AM1055" t="str">
            <v>TEMP</v>
          </cell>
          <cell r="AN1055" t="str">
            <v>3P Onsite Worker</v>
          </cell>
          <cell r="AO1055" t="str">
            <v>A</v>
          </cell>
          <cell r="AP1055">
            <v>9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</row>
        <row r="1056">
          <cell r="D1056" t="str">
            <v>turykenn</v>
          </cell>
          <cell r="E1056">
            <v>204072308</v>
          </cell>
          <cell r="F1056" t="str">
            <v>A</v>
          </cell>
          <cell r="G1056" t="str">
            <v>GREEN</v>
          </cell>
          <cell r="H1056" t="str">
            <v>FULL_TIME</v>
          </cell>
          <cell r="I1056">
            <v>900234</v>
          </cell>
          <cell r="J1056" t="str">
            <v>Dulsco L.L.C.</v>
          </cell>
          <cell r="K1056" t="str">
            <v>KENNETH TURYAMUREBA</v>
          </cell>
          <cell r="L1056" t="str">
            <v>Warehouse Associate (TEMP)</v>
          </cell>
          <cell r="M1056" t="str">
            <v>Warehouse Associate 24M</v>
          </cell>
          <cell r="N1056" t="str">
            <v>ansammar</v>
          </cell>
          <cell r="O1056">
            <v>1299</v>
          </cell>
          <cell r="P1056" t="str">
            <v>AUH1</v>
          </cell>
          <cell r="Q1056" t="str">
            <v>ARE</v>
          </cell>
          <cell r="R1056" t="str">
            <v>LK011</v>
          </cell>
          <cell r="S1056" t="str">
            <v>Night Shift</v>
          </cell>
          <cell r="T1056">
            <v>99</v>
          </cell>
          <cell r="U1056" t="str">
            <v>MENA_UAE_FC</v>
          </cell>
          <cell r="V1056">
            <v>46257.756249999999</v>
          </cell>
          <cell r="X1056">
            <v>46257.756944444445</v>
          </cell>
          <cell r="Y1056">
            <v>46258.173611111109</v>
          </cell>
          <cell r="AA1056" t="str">
            <v>Scheduled</v>
          </cell>
          <cell r="AB1056" t="str">
            <v>Present</v>
          </cell>
          <cell r="AC1056" t="str">
            <v>Outbound</v>
          </cell>
          <cell r="AD1056" t="str">
            <v>Picking</v>
          </cell>
          <cell r="AE1056" t="str">
            <v>Pick</v>
          </cell>
          <cell r="AF1056" t="str">
            <v>Friday</v>
          </cell>
          <cell r="AG1056" t="str">
            <v>Saturday</v>
          </cell>
          <cell r="AH1056">
            <v>13</v>
          </cell>
          <cell r="AJ1056">
            <v>45557</v>
          </cell>
          <cell r="AM1056" t="str">
            <v>TEMP</v>
          </cell>
          <cell r="AN1056" t="str">
            <v>3P Onsite Worker</v>
          </cell>
          <cell r="AO1056" t="str">
            <v>A</v>
          </cell>
          <cell r="AP1056">
            <v>9</v>
          </cell>
          <cell r="AQ1056">
            <v>0</v>
          </cell>
          <cell r="AR1056">
            <v>1</v>
          </cell>
          <cell r="AS1056">
            <v>1</v>
          </cell>
          <cell r="AT1056">
            <v>0</v>
          </cell>
          <cell r="AU1056">
            <v>0</v>
          </cell>
        </row>
        <row r="1057">
          <cell r="D1057" t="str">
            <v>twasmose</v>
          </cell>
          <cell r="E1057">
            <v>203735944</v>
          </cell>
          <cell r="F1057" t="str">
            <v>A</v>
          </cell>
          <cell r="G1057" t="str">
            <v>GREEN</v>
          </cell>
          <cell r="H1057" t="str">
            <v>FULL_TIME</v>
          </cell>
          <cell r="I1057">
            <v>900234</v>
          </cell>
          <cell r="J1057" t="str">
            <v>Dulsco L.L.C.</v>
          </cell>
          <cell r="K1057" t="str">
            <v>MOSES WASSWA</v>
          </cell>
          <cell r="L1057" t="str">
            <v>Warehouse Associate (TEMP)</v>
          </cell>
          <cell r="M1057" t="str">
            <v>Warehouse Associate 24M</v>
          </cell>
          <cell r="N1057" t="str">
            <v>nnahla</v>
          </cell>
          <cell r="O1057">
            <v>1299</v>
          </cell>
          <cell r="P1057" t="str">
            <v>AUH1</v>
          </cell>
          <cell r="Q1057" t="str">
            <v>ARE</v>
          </cell>
          <cell r="R1057" t="str">
            <v>FC009</v>
          </cell>
          <cell r="S1057" t="str">
            <v>Day Shift</v>
          </cell>
          <cell r="T1057">
            <v>99</v>
          </cell>
          <cell r="U1057" t="str">
            <v>MENA_UAE_FC</v>
          </cell>
          <cell r="V1057">
            <v>46257.330555555556</v>
          </cell>
          <cell r="W1057">
            <v>46257.746527777781</v>
          </cell>
          <cell r="X1057">
            <v>46257.333333333336</v>
          </cell>
          <cell r="Y1057">
            <v>46257.75</v>
          </cell>
          <cell r="AA1057" t="str">
            <v>Scheduled</v>
          </cell>
          <cell r="AB1057" t="str">
            <v>Present</v>
          </cell>
          <cell r="AC1057" t="str">
            <v>Inbound</v>
          </cell>
          <cell r="AD1057" t="str">
            <v>Inbound Stow</v>
          </cell>
          <cell r="AE1057" t="str">
            <v>Stow</v>
          </cell>
          <cell r="AF1057" t="str">
            <v>Friday</v>
          </cell>
          <cell r="AG1057" t="str">
            <v>Saturday</v>
          </cell>
          <cell r="AH1057">
            <v>3</v>
          </cell>
          <cell r="AJ1057">
            <v>45501</v>
          </cell>
          <cell r="AM1057" t="str">
            <v>TEMP</v>
          </cell>
          <cell r="AN1057" t="str">
            <v>3P Onsite Worker</v>
          </cell>
          <cell r="AO1057" t="str">
            <v>A</v>
          </cell>
          <cell r="AP1057">
            <v>9</v>
          </cell>
          <cell r="AQ1057">
            <v>0</v>
          </cell>
          <cell r="AR1057">
            <v>1</v>
          </cell>
          <cell r="AS1057">
            <v>1</v>
          </cell>
          <cell r="AT1057">
            <v>0</v>
          </cell>
          <cell r="AU1057">
            <v>0</v>
          </cell>
        </row>
        <row r="1058">
          <cell r="D1058" t="str">
            <v>twinamas</v>
          </cell>
          <cell r="E1058">
            <v>206791438</v>
          </cell>
          <cell r="F1058" t="str">
            <v>A</v>
          </cell>
          <cell r="G1058" t="str">
            <v>GREEN</v>
          </cell>
          <cell r="H1058" t="str">
            <v>FULL_TIME</v>
          </cell>
          <cell r="I1058">
            <v>900234</v>
          </cell>
          <cell r="J1058" t="str">
            <v>Dulsco L.L.C.</v>
          </cell>
          <cell r="K1058" t="str">
            <v>COLLINS TWINAMASIKO</v>
          </cell>
          <cell r="L1058" t="str">
            <v>Warehouse Associate (TEMP)</v>
          </cell>
          <cell r="M1058" t="str">
            <v>Warehouse Associate 8W</v>
          </cell>
          <cell r="N1058" t="str">
            <v>vkkatyal</v>
          </cell>
          <cell r="O1058">
            <v>1299</v>
          </cell>
          <cell r="P1058" t="str">
            <v>AUH1</v>
          </cell>
          <cell r="Q1058" t="str">
            <v>ARE</v>
          </cell>
          <cell r="R1058" t="str">
            <v>FC059</v>
          </cell>
          <cell r="S1058" t="str">
            <v>Day Shift</v>
          </cell>
          <cell r="T1058">
            <v>99</v>
          </cell>
          <cell r="U1058" t="str">
            <v>MENA_UAE_FC</v>
          </cell>
          <cell r="X1058">
            <v>46257.333333333336</v>
          </cell>
          <cell r="Y1058">
            <v>46257.75</v>
          </cell>
          <cell r="Z1058" t="str">
            <v>Rest Day</v>
          </cell>
          <cell r="AA1058" t="str">
            <v>Not Scheduled</v>
          </cell>
          <cell r="AB1058" t="str">
            <v>Not Present</v>
          </cell>
          <cell r="AC1058" t="str">
            <v>Inbound</v>
          </cell>
          <cell r="AD1058" t="str">
            <v>Inbound Stow</v>
          </cell>
          <cell r="AE1058" t="str">
            <v>Stow</v>
          </cell>
          <cell r="AF1058" t="str">
            <v>Sunday</v>
          </cell>
          <cell r="AG1058" t="str">
            <v>Monday</v>
          </cell>
          <cell r="AH1058">
            <v>3</v>
          </cell>
          <cell r="AJ1058">
            <v>45998</v>
          </cell>
          <cell r="AM1058" t="str">
            <v>TEMP</v>
          </cell>
          <cell r="AN1058" t="str">
            <v>3P Onsite Worker</v>
          </cell>
          <cell r="AO1058" t="str">
            <v>A</v>
          </cell>
          <cell r="AP1058">
            <v>9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</row>
        <row r="1059">
          <cell r="D1059" t="str">
            <v>twumeben</v>
          </cell>
          <cell r="E1059">
            <v>204246156</v>
          </cell>
          <cell r="F1059" t="str">
            <v>A</v>
          </cell>
          <cell r="G1059" t="str">
            <v>GREEN</v>
          </cell>
          <cell r="H1059" t="str">
            <v>FULL_TIME</v>
          </cell>
          <cell r="I1059">
            <v>900234</v>
          </cell>
          <cell r="J1059" t="str">
            <v>Quesscorp</v>
          </cell>
          <cell r="K1059" t="str">
            <v>Ebenezer Twumasi</v>
          </cell>
          <cell r="L1059" t="str">
            <v>Warehouse Associate (TEMP)</v>
          </cell>
          <cell r="M1059" t="str">
            <v>Warehouse Associate 24M</v>
          </cell>
          <cell r="N1059" t="str">
            <v>lraghava</v>
          </cell>
          <cell r="O1059">
            <v>1299</v>
          </cell>
          <cell r="P1059" t="str">
            <v>AUH1</v>
          </cell>
          <cell r="Q1059" t="str">
            <v>ARE</v>
          </cell>
          <cell r="R1059" t="str">
            <v>FC059</v>
          </cell>
          <cell r="S1059" t="str">
            <v>Day Shift</v>
          </cell>
          <cell r="T1059">
            <v>99</v>
          </cell>
          <cell r="U1059" t="str">
            <v>MENA_UAE_FC</v>
          </cell>
          <cell r="X1059">
            <v>46257.333333333336</v>
          </cell>
          <cell r="Y1059">
            <v>46257.75</v>
          </cell>
          <cell r="Z1059" t="str">
            <v>Rest Day</v>
          </cell>
          <cell r="AA1059" t="str">
            <v>Not Scheduled</v>
          </cell>
          <cell r="AB1059" t="str">
            <v>Not Present</v>
          </cell>
          <cell r="AC1059" t="str">
            <v>Inbound</v>
          </cell>
          <cell r="AD1059" t="str">
            <v>Inbound Stow</v>
          </cell>
          <cell r="AE1059" t="str">
            <v>Stow</v>
          </cell>
          <cell r="AF1059" t="str">
            <v>Sunday</v>
          </cell>
          <cell r="AG1059" t="str">
            <v>Monday</v>
          </cell>
          <cell r="AH1059">
            <v>3</v>
          </cell>
          <cell r="AJ1059">
            <v>45578</v>
          </cell>
          <cell r="AM1059" t="str">
            <v>TEMP</v>
          </cell>
          <cell r="AN1059" t="str">
            <v>3P Onsite Worker</v>
          </cell>
          <cell r="AO1059" t="str">
            <v>A</v>
          </cell>
          <cell r="AP1059">
            <v>9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</row>
        <row r="1060">
          <cell r="D1060" t="str">
            <v>tysnabas</v>
          </cell>
          <cell r="E1060">
            <v>203736259</v>
          </cell>
          <cell r="F1060" t="str">
            <v>A</v>
          </cell>
          <cell r="G1060" t="str">
            <v>GREEN</v>
          </cell>
          <cell r="H1060" t="str">
            <v>FULL_TIME</v>
          </cell>
          <cell r="I1060">
            <v>900234</v>
          </cell>
          <cell r="J1060" t="str">
            <v>Dulsco L.L.C.</v>
          </cell>
          <cell r="K1060" t="str">
            <v>TYSON NABASA</v>
          </cell>
          <cell r="L1060" t="str">
            <v>Warehouse Associate (TEMP)</v>
          </cell>
          <cell r="M1060" t="str">
            <v>Warehouse Associate 24M</v>
          </cell>
          <cell r="N1060" t="str">
            <v>nnahla</v>
          </cell>
          <cell r="O1060">
            <v>1299</v>
          </cell>
          <cell r="P1060" t="str">
            <v>AUH1</v>
          </cell>
          <cell r="Q1060" t="str">
            <v>ARE</v>
          </cell>
          <cell r="R1060" t="str">
            <v>LK013</v>
          </cell>
          <cell r="S1060" t="str">
            <v>Night Shift</v>
          </cell>
          <cell r="T1060">
            <v>99</v>
          </cell>
          <cell r="U1060" t="str">
            <v>MENA_UAE_FC</v>
          </cell>
          <cell r="X1060">
            <v>46257.756944444445</v>
          </cell>
          <cell r="Y1060">
            <v>46258.173611111109</v>
          </cell>
          <cell r="Z1060" t="str">
            <v>Rest Day</v>
          </cell>
          <cell r="AA1060" t="str">
            <v>Not Scheduled</v>
          </cell>
          <cell r="AB1060" t="str">
            <v>Not Present</v>
          </cell>
          <cell r="AC1060" t="str">
            <v>Inbound</v>
          </cell>
          <cell r="AD1060" t="str">
            <v>Inbound Stow</v>
          </cell>
          <cell r="AE1060" t="str">
            <v>Stow</v>
          </cell>
          <cell r="AF1060" t="str">
            <v>Sunday</v>
          </cell>
          <cell r="AG1060" t="str">
            <v>Monday</v>
          </cell>
          <cell r="AH1060">
            <v>3</v>
          </cell>
          <cell r="AJ1060">
            <v>45501</v>
          </cell>
          <cell r="AM1060" t="str">
            <v>TEMP</v>
          </cell>
          <cell r="AN1060" t="str">
            <v>3P Onsite Worker</v>
          </cell>
          <cell r="AO1060" t="str">
            <v>A</v>
          </cell>
          <cell r="AP1060">
            <v>9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</row>
        <row r="1061">
          <cell r="D1061" t="str">
            <v>tysonasm</v>
          </cell>
          <cell r="E1061">
            <v>206200000</v>
          </cell>
          <cell r="F1061" t="str">
            <v>A</v>
          </cell>
          <cell r="G1061" t="str">
            <v>GREEN</v>
          </cell>
          <cell r="H1061" t="str">
            <v>FULL_TIME</v>
          </cell>
          <cell r="I1061">
            <v>900234</v>
          </cell>
          <cell r="J1061" t="str">
            <v>Fastlink Outsourcing</v>
          </cell>
          <cell r="K1061" t="str">
            <v>MAC TYSON ANCHE NGWAFONG</v>
          </cell>
          <cell r="L1061" t="str">
            <v>Warehouse Associate (TEMP)</v>
          </cell>
          <cell r="M1061" t="str">
            <v>Warehouse Associate 12M</v>
          </cell>
          <cell r="N1061" t="str">
            <v>helrashd</v>
          </cell>
          <cell r="O1061">
            <v>1299</v>
          </cell>
          <cell r="P1061" t="str">
            <v>AUH1</v>
          </cell>
          <cell r="Q1061" t="str">
            <v>ARE</v>
          </cell>
          <cell r="R1061" t="str">
            <v>FC134</v>
          </cell>
          <cell r="S1061" t="str">
            <v>Day Shift</v>
          </cell>
          <cell r="T1061">
            <v>99</v>
          </cell>
          <cell r="U1061" t="str">
            <v>MENA_UAE_FC</v>
          </cell>
          <cell r="V1061">
            <v>46257.331944444442</v>
          </cell>
          <cell r="W1061">
            <v>46257.75</v>
          </cell>
          <cell r="X1061">
            <v>46257.333333333336</v>
          </cell>
          <cell r="Y1061">
            <v>46257.75</v>
          </cell>
          <cell r="AA1061" t="str">
            <v>Scheduled</v>
          </cell>
          <cell r="AB1061" t="str">
            <v>Present</v>
          </cell>
          <cell r="AC1061" t="str">
            <v>Outbound</v>
          </cell>
          <cell r="AD1061" t="str">
            <v>Picking</v>
          </cell>
          <cell r="AE1061" t="str">
            <v>Pick</v>
          </cell>
          <cell r="AF1061" t="str">
            <v>Wednesday</v>
          </cell>
          <cell r="AG1061" t="str">
            <v>Thursday</v>
          </cell>
          <cell r="AH1061">
            <v>13</v>
          </cell>
          <cell r="AJ1061">
            <v>45935</v>
          </cell>
          <cell r="AM1061" t="str">
            <v>TEMP</v>
          </cell>
          <cell r="AN1061" t="str">
            <v>3P Onsite Worker</v>
          </cell>
          <cell r="AO1061" t="str">
            <v>A</v>
          </cell>
          <cell r="AP1061">
            <v>9</v>
          </cell>
          <cell r="AQ1061">
            <v>0</v>
          </cell>
          <cell r="AR1061">
            <v>1</v>
          </cell>
          <cell r="AS1061">
            <v>1</v>
          </cell>
          <cell r="AT1061">
            <v>0</v>
          </cell>
          <cell r="AU1061">
            <v>0</v>
          </cell>
        </row>
        <row r="1062">
          <cell r="D1062" t="str">
            <v>uakatuks</v>
          </cell>
          <cell r="E1062">
            <v>203737015</v>
          </cell>
          <cell r="F1062" t="str">
            <v>A</v>
          </cell>
          <cell r="G1062" t="str">
            <v>GREEN</v>
          </cell>
          <cell r="H1062" t="str">
            <v>FULL_TIME</v>
          </cell>
          <cell r="I1062">
            <v>900234</v>
          </cell>
          <cell r="J1062" t="str">
            <v>Fastlink Outsourcing</v>
          </cell>
          <cell r="K1062" t="str">
            <v>Sheila Akatukunda</v>
          </cell>
          <cell r="L1062" t="str">
            <v>Warehouse Associate (TEMP)</v>
          </cell>
          <cell r="M1062" t="str">
            <v>Warehouse Associate 12M</v>
          </cell>
          <cell r="N1062" t="str">
            <v>vkkatyal</v>
          </cell>
          <cell r="O1062">
            <v>1299</v>
          </cell>
          <cell r="P1062" t="str">
            <v>AUH1</v>
          </cell>
          <cell r="Q1062" t="str">
            <v>ARE</v>
          </cell>
          <cell r="R1062" t="str">
            <v>FC084</v>
          </cell>
          <cell r="S1062" t="str">
            <v>Day Shift</v>
          </cell>
          <cell r="T1062">
            <v>99</v>
          </cell>
          <cell r="U1062" t="str">
            <v>MENA_UAE_FC</v>
          </cell>
          <cell r="V1062">
            <v>46257.333333333336</v>
          </cell>
          <cell r="W1062">
            <v>46257.750694444447</v>
          </cell>
          <cell r="X1062">
            <v>46257.333333333336</v>
          </cell>
          <cell r="Y1062">
            <v>46257.75</v>
          </cell>
          <cell r="AA1062" t="str">
            <v>Scheduled</v>
          </cell>
          <cell r="AB1062" t="str">
            <v>Present</v>
          </cell>
          <cell r="AC1062" t="str">
            <v>Inbound</v>
          </cell>
          <cell r="AD1062" t="str">
            <v>Inbound Stow</v>
          </cell>
          <cell r="AE1062" t="str">
            <v>Stow</v>
          </cell>
          <cell r="AF1062" t="str">
            <v>Monday</v>
          </cell>
          <cell r="AG1062" t="str">
            <v>Tuesday</v>
          </cell>
          <cell r="AH1062">
            <v>3</v>
          </cell>
          <cell r="AJ1062">
            <v>45501</v>
          </cell>
          <cell r="AM1062" t="str">
            <v>TEMP</v>
          </cell>
          <cell r="AN1062" t="str">
            <v>3P Onsite Worker</v>
          </cell>
          <cell r="AO1062" t="str">
            <v>A</v>
          </cell>
          <cell r="AP1062">
            <v>9</v>
          </cell>
          <cell r="AQ1062">
            <v>0</v>
          </cell>
          <cell r="AR1062">
            <v>1</v>
          </cell>
          <cell r="AS1062">
            <v>1</v>
          </cell>
          <cell r="AT1062">
            <v>0</v>
          </cell>
          <cell r="AU1062">
            <v>0</v>
          </cell>
        </row>
        <row r="1063">
          <cell r="D1063" t="str">
            <v>ucoasant</v>
          </cell>
          <cell r="E1063">
            <v>203993306</v>
          </cell>
          <cell r="F1063" t="str">
            <v>A</v>
          </cell>
          <cell r="G1063" t="str">
            <v>GREEN</v>
          </cell>
          <cell r="H1063" t="str">
            <v>FULL_TIME</v>
          </cell>
          <cell r="I1063">
            <v>900234</v>
          </cell>
          <cell r="J1063" t="str">
            <v>Fastlink Outsourcing</v>
          </cell>
          <cell r="K1063" t="str">
            <v>Comfort Asante</v>
          </cell>
          <cell r="L1063" t="str">
            <v>Warehouse Associate (TEMP)</v>
          </cell>
          <cell r="M1063" t="str">
            <v>Warehouse Associate 12M</v>
          </cell>
          <cell r="N1063" t="str">
            <v>mnarshad</v>
          </cell>
          <cell r="O1063">
            <v>1299</v>
          </cell>
          <cell r="P1063" t="str">
            <v>AUH1</v>
          </cell>
          <cell r="Q1063" t="str">
            <v>ARE</v>
          </cell>
          <cell r="R1063" t="str">
            <v>FC034</v>
          </cell>
          <cell r="S1063" t="str">
            <v>Day Shift</v>
          </cell>
          <cell r="T1063">
            <v>99</v>
          </cell>
          <cell r="U1063" t="str">
            <v>MENA_UAE_FC</v>
          </cell>
          <cell r="X1063">
            <v>46257.333333333336</v>
          </cell>
          <cell r="Y1063">
            <v>46257.75</v>
          </cell>
          <cell r="Z1063" t="str">
            <v>Rest Day</v>
          </cell>
          <cell r="AA1063" t="str">
            <v>Not Scheduled</v>
          </cell>
          <cell r="AB1063" t="str">
            <v>Not Present</v>
          </cell>
          <cell r="AC1063" t="str">
            <v>Outbound</v>
          </cell>
          <cell r="AD1063" t="str">
            <v>Picking</v>
          </cell>
          <cell r="AE1063" t="str">
            <v>Pick</v>
          </cell>
          <cell r="AF1063" t="str">
            <v>Saturday</v>
          </cell>
          <cell r="AG1063" t="str">
            <v>Sunday</v>
          </cell>
          <cell r="AH1063">
            <v>13</v>
          </cell>
          <cell r="AJ1063">
            <v>45546</v>
          </cell>
          <cell r="AM1063" t="str">
            <v>TEMP</v>
          </cell>
          <cell r="AN1063" t="str">
            <v>3P Onsite Worker</v>
          </cell>
          <cell r="AO1063" t="str">
            <v>A</v>
          </cell>
          <cell r="AP1063">
            <v>9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</row>
        <row r="1064">
          <cell r="D1064" t="str">
            <v>uemodoom</v>
          </cell>
          <cell r="E1064">
            <v>203850934</v>
          </cell>
          <cell r="F1064" t="str">
            <v>A</v>
          </cell>
          <cell r="G1064" t="str">
            <v>GREEN</v>
          </cell>
          <cell r="H1064" t="str">
            <v>FULL_TIME</v>
          </cell>
          <cell r="I1064">
            <v>900234</v>
          </cell>
          <cell r="J1064" t="str">
            <v>Fastlink Outsourcing</v>
          </cell>
          <cell r="K1064" t="str">
            <v>Emmanuel Odoom</v>
          </cell>
          <cell r="L1064" t="str">
            <v>Warehouse Associate (TEMP)</v>
          </cell>
          <cell r="M1064" t="str">
            <v>Warehouse Associate 12M</v>
          </cell>
          <cell r="N1064" t="str">
            <v>kebedeed</v>
          </cell>
          <cell r="O1064">
            <v>1299</v>
          </cell>
          <cell r="P1064" t="str">
            <v>AUH1</v>
          </cell>
          <cell r="Q1064" t="str">
            <v>ARE</v>
          </cell>
          <cell r="R1064" t="str">
            <v>FC134</v>
          </cell>
          <cell r="S1064" t="str">
            <v>Day Shift</v>
          </cell>
          <cell r="T1064">
            <v>99</v>
          </cell>
          <cell r="U1064" t="str">
            <v>MENA_UAE_FC</v>
          </cell>
          <cell r="V1064">
            <v>46257.333333333336</v>
          </cell>
          <cell r="W1064">
            <v>46257.748611111114</v>
          </cell>
          <cell r="X1064">
            <v>46257.333333333336</v>
          </cell>
          <cell r="Y1064">
            <v>46257.75</v>
          </cell>
          <cell r="AA1064" t="str">
            <v>Scheduled</v>
          </cell>
          <cell r="AB1064" t="str">
            <v>Present</v>
          </cell>
          <cell r="AC1064" t="str">
            <v>ICQA</v>
          </cell>
          <cell r="AD1064" t="str">
            <v>IC/QA/CS</v>
          </cell>
          <cell r="AE1064" t="str">
            <v>Support</v>
          </cell>
          <cell r="AF1064" t="str">
            <v>Wednesday</v>
          </cell>
          <cell r="AG1064" t="str">
            <v>Thursday</v>
          </cell>
          <cell r="AH1064">
            <v>27</v>
          </cell>
          <cell r="AJ1064">
            <v>45523</v>
          </cell>
          <cell r="AM1064" t="str">
            <v>TEMP</v>
          </cell>
          <cell r="AN1064" t="str">
            <v>3P Onsite Worker</v>
          </cell>
          <cell r="AO1064" t="str">
            <v>A</v>
          </cell>
          <cell r="AP1064">
            <v>9</v>
          </cell>
          <cell r="AQ1064">
            <v>0</v>
          </cell>
          <cell r="AR1064">
            <v>1</v>
          </cell>
          <cell r="AS1064">
            <v>1</v>
          </cell>
          <cell r="AT1064">
            <v>0</v>
          </cell>
          <cell r="AU1064">
            <v>0</v>
          </cell>
        </row>
        <row r="1065">
          <cell r="D1065" t="str">
            <v>ujstanle</v>
          </cell>
          <cell r="E1065">
            <v>203965177</v>
          </cell>
          <cell r="F1065" t="str">
            <v>A</v>
          </cell>
          <cell r="G1065" t="str">
            <v>GREEN</v>
          </cell>
          <cell r="H1065" t="str">
            <v>FULL_TIME</v>
          </cell>
          <cell r="I1065">
            <v>900234</v>
          </cell>
          <cell r="J1065" t="str">
            <v>Fastlink Outsourcing</v>
          </cell>
          <cell r="K1065" t="str">
            <v>JOSHUA STANLEY DEGLE</v>
          </cell>
          <cell r="L1065" t="str">
            <v>Warehouse Associate (TEMP)</v>
          </cell>
          <cell r="M1065" t="str">
            <v>Warehouse Associate 12M</v>
          </cell>
          <cell r="N1065" t="str">
            <v>helrashd</v>
          </cell>
          <cell r="O1065">
            <v>1299</v>
          </cell>
          <cell r="P1065" t="str">
            <v>AUH1</v>
          </cell>
          <cell r="Q1065" t="str">
            <v>ARE</v>
          </cell>
          <cell r="R1065" t="str">
            <v>FC134</v>
          </cell>
          <cell r="S1065" t="str">
            <v>Day Shift</v>
          </cell>
          <cell r="T1065">
            <v>99</v>
          </cell>
          <cell r="U1065" t="str">
            <v>MENA_UAE_FC</v>
          </cell>
          <cell r="V1065">
            <v>46257.331250000003</v>
          </cell>
          <cell r="W1065">
            <v>46257.75</v>
          </cell>
          <cell r="X1065">
            <v>46257.333333333336</v>
          </cell>
          <cell r="Y1065">
            <v>46257.75</v>
          </cell>
          <cell r="AA1065" t="str">
            <v>Scheduled</v>
          </cell>
          <cell r="AB1065" t="str">
            <v>Present</v>
          </cell>
          <cell r="AC1065" t="str">
            <v>Outbound</v>
          </cell>
          <cell r="AD1065" t="str">
            <v>Picking</v>
          </cell>
          <cell r="AE1065" t="str">
            <v>Pick</v>
          </cell>
          <cell r="AF1065" t="str">
            <v>Wednesday</v>
          </cell>
          <cell r="AG1065" t="str">
            <v>Thursday</v>
          </cell>
          <cell r="AH1065">
            <v>13</v>
          </cell>
          <cell r="AJ1065">
            <v>45543</v>
          </cell>
          <cell r="AM1065" t="str">
            <v>TEMP</v>
          </cell>
          <cell r="AN1065" t="str">
            <v>3P Onsite Worker</v>
          </cell>
          <cell r="AO1065" t="str">
            <v>A</v>
          </cell>
          <cell r="AP1065">
            <v>9</v>
          </cell>
          <cell r="AQ1065">
            <v>0</v>
          </cell>
          <cell r="AR1065">
            <v>1</v>
          </cell>
          <cell r="AS1065">
            <v>1</v>
          </cell>
          <cell r="AT1065">
            <v>0</v>
          </cell>
          <cell r="AU1065">
            <v>0</v>
          </cell>
        </row>
        <row r="1066">
          <cell r="D1066" t="str">
            <v>ukargjoh</v>
          </cell>
          <cell r="E1066">
            <v>205923172</v>
          </cell>
          <cell r="F1066" t="str">
            <v>A</v>
          </cell>
          <cell r="G1066" t="str">
            <v>GREEN</v>
          </cell>
          <cell r="H1066" t="str">
            <v>FULL_TIME</v>
          </cell>
          <cell r="I1066">
            <v>900234</v>
          </cell>
          <cell r="J1066" t="str">
            <v>EFS Facilities Services</v>
          </cell>
          <cell r="K1066" t="str">
            <v>JOHN KARGBO</v>
          </cell>
          <cell r="L1066" t="str">
            <v>Warehouse Associate (TEMP)</v>
          </cell>
          <cell r="M1066" t="str">
            <v>Warehouse Associate 12M</v>
          </cell>
          <cell r="N1066" t="str">
            <v>mnarshad</v>
          </cell>
          <cell r="O1066">
            <v>1299</v>
          </cell>
          <cell r="P1066" t="str">
            <v>AUH1</v>
          </cell>
          <cell r="Q1066" t="str">
            <v>ARE</v>
          </cell>
          <cell r="R1066" t="str">
            <v>LK013</v>
          </cell>
          <cell r="S1066" t="str">
            <v>Night Shift</v>
          </cell>
          <cell r="T1066">
            <v>99</v>
          </cell>
          <cell r="U1066" t="str">
            <v>MENA_UAE_FC</v>
          </cell>
          <cell r="X1066">
            <v>46257.756944444445</v>
          </cell>
          <cell r="Y1066">
            <v>46258.173611111109</v>
          </cell>
          <cell r="Z1066" t="str">
            <v>Rest Day</v>
          </cell>
          <cell r="AA1066" t="str">
            <v>Not Scheduled</v>
          </cell>
          <cell r="AB1066" t="str">
            <v>Not Present</v>
          </cell>
          <cell r="AC1066" t="str">
            <v>Outbound</v>
          </cell>
          <cell r="AD1066" t="str">
            <v>Picking</v>
          </cell>
          <cell r="AE1066" t="str">
            <v>Pick</v>
          </cell>
          <cell r="AF1066" t="str">
            <v>Sunday</v>
          </cell>
          <cell r="AG1066" t="str">
            <v>Monday</v>
          </cell>
          <cell r="AH1066">
            <v>13</v>
          </cell>
          <cell r="AJ1066">
            <v>45907</v>
          </cell>
          <cell r="AM1066" t="str">
            <v>TEMP</v>
          </cell>
          <cell r="AN1066" t="str">
            <v>3P Onsite Worker</v>
          </cell>
          <cell r="AO1066" t="str">
            <v>A</v>
          </cell>
          <cell r="AP1066">
            <v>9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</row>
        <row r="1067">
          <cell r="D1067" t="str">
            <v>ukijonat</v>
          </cell>
          <cell r="E1067">
            <v>206953972</v>
          </cell>
          <cell r="F1067" t="str">
            <v>A</v>
          </cell>
          <cell r="G1067" t="str">
            <v>GREEN</v>
          </cell>
          <cell r="H1067" t="str">
            <v>FULL_TIME</v>
          </cell>
          <cell r="I1067">
            <v>900234</v>
          </cell>
          <cell r="J1067" t="str">
            <v>Dulsco L.L.C.</v>
          </cell>
          <cell r="K1067" t="str">
            <v>JONATHAN MWESIGWA KIBUYE</v>
          </cell>
          <cell r="L1067" t="str">
            <v>Warehouse Associate (TEMP)</v>
          </cell>
          <cell r="M1067" t="str">
            <v>Warehouse Associate 8W</v>
          </cell>
          <cell r="N1067" t="str">
            <v>aanso</v>
          </cell>
          <cell r="O1067">
            <v>1299</v>
          </cell>
          <cell r="P1067" t="str">
            <v>AUH1</v>
          </cell>
          <cell r="Q1067" t="str">
            <v>ARE</v>
          </cell>
          <cell r="R1067" t="str">
            <v>FC159</v>
          </cell>
          <cell r="S1067" t="str">
            <v>Day Shift</v>
          </cell>
          <cell r="T1067">
            <v>99</v>
          </cell>
          <cell r="U1067" t="str">
            <v>MENA_UAE_FC</v>
          </cell>
          <cell r="V1067">
            <v>46257.330555555556</v>
          </cell>
          <cell r="W1067">
            <v>46257.75</v>
          </cell>
          <cell r="X1067">
            <v>46257.333333333336</v>
          </cell>
          <cell r="Y1067">
            <v>46257.75</v>
          </cell>
          <cell r="AA1067" t="str">
            <v>Scheduled</v>
          </cell>
          <cell r="AB1067" t="str">
            <v>Present</v>
          </cell>
          <cell r="AC1067" t="str">
            <v>Customer returns</v>
          </cell>
          <cell r="AD1067" t="str">
            <v>Customer Returns</v>
          </cell>
          <cell r="AE1067" t="str">
            <v>Customer returns</v>
          </cell>
          <cell r="AF1067" t="str">
            <v>Thursday</v>
          </cell>
          <cell r="AG1067" t="str">
            <v>Friday</v>
          </cell>
          <cell r="AH1067">
            <v>22</v>
          </cell>
          <cell r="AJ1067">
            <v>46047</v>
          </cell>
          <cell r="AM1067" t="str">
            <v>TEMP</v>
          </cell>
          <cell r="AN1067" t="str">
            <v>3P Onsite Worker</v>
          </cell>
          <cell r="AO1067" t="str">
            <v>A</v>
          </cell>
          <cell r="AP1067">
            <v>9</v>
          </cell>
          <cell r="AQ1067">
            <v>0</v>
          </cell>
          <cell r="AR1067">
            <v>1</v>
          </cell>
          <cell r="AS1067">
            <v>1</v>
          </cell>
          <cell r="AT1067">
            <v>0</v>
          </cell>
          <cell r="AU1067">
            <v>0</v>
          </cell>
        </row>
        <row r="1068">
          <cell r="D1068" t="str">
            <v>ukimtani</v>
          </cell>
          <cell r="E1068">
            <v>205506476</v>
          </cell>
          <cell r="F1068" t="str">
            <v>A</v>
          </cell>
          <cell r="G1068" t="str">
            <v>GREEN</v>
          </cell>
          <cell r="H1068" t="str">
            <v>FULL_TIME</v>
          </cell>
          <cell r="I1068">
            <v>900234</v>
          </cell>
          <cell r="J1068" t="str">
            <v>EFS Facilities Services</v>
          </cell>
          <cell r="K1068" t="str">
            <v>NICHOLAS KIRWA KIMTAI</v>
          </cell>
          <cell r="L1068" t="str">
            <v>Warehouse Associate (TEMP)</v>
          </cell>
          <cell r="M1068" t="str">
            <v>Warehouse Associate 8W</v>
          </cell>
          <cell r="N1068" t="str">
            <v>vkkatyal</v>
          </cell>
          <cell r="O1068">
            <v>1299</v>
          </cell>
          <cell r="P1068" t="str">
            <v>AUH1</v>
          </cell>
          <cell r="Q1068" t="str">
            <v>ARE</v>
          </cell>
          <cell r="R1068" t="str">
            <v>FC059</v>
          </cell>
          <cell r="S1068" t="str">
            <v>Day Shift</v>
          </cell>
          <cell r="T1068">
            <v>99</v>
          </cell>
          <cell r="U1068" t="str">
            <v>MENA_UAE_FC</v>
          </cell>
          <cell r="X1068">
            <v>46257.333333333336</v>
          </cell>
          <cell r="Y1068">
            <v>46257.75</v>
          </cell>
          <cell r="Z1068" t="str">
            <v>Rest Day</v>
          </cell>
          <cell r="AA1068" t="str">
            <v>Not Scheduled</v>
          </cell>
          <cell r="AB1068" t="str">
            <v>Not Present</v>
          </cell>
          <cell r="AC1068" t="str">
            <v>Inbound</v>
          </cell>
          <cell r="AD1068" t="str">
            <v>Inbound Stow</v>
          </cell>
          <cell r="AE1068" t="str">
            <v>Stow</v>
          </cell>
          <cell r="AF1068" t="str">
            <v>Sunday</v>
          </cell>
          <cell r="AG1068" t="str">
            <v>Monday</v>
          </cell>
          <cell r="AH1068">
            <v>3</v>
          </cell>
          <cell r="AJ1068">
            <v>45830</v>
          </cell>
          <cell r="AM1068" t="str">
            <v>TEMP</v>
          </cell>
          <cell r="AN1068" t="str">
            <v>3P Onsite Worker</v>
          </cell>
          <cell r="AO1068" t="str">
            <v>A</v>
          </cell>
          <cell r="AP1068">
            <v>9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</row>
        <row r="1069">
          <cell r="D1069" t="str">
            <v>ukipetej</v>
          </cell>
          <cell r="E1069">
            <v>206607036</v>
          </cell>
          <cell r="F1069" t="str">
            <v>A</v>
          </cell>
          <cell r="G1069" t="str">
            <v>GREEN</v>
          </cell>
          <cell r="H1069" t="str">
            <v>FULL_TIME</v>
          </cell>
          <cell r="I1069">
            <v>900234</v>
          </cell>
          <cell r="J1069" t="str">
            <v>EFS Facilities Services</v>
          </cell>
          <cell r="K1069" t="str">
            <v>JORAM KIPETER</v>
          </cell>
          <cell r="L1069" t="str">
            <v>Warehouse Associate (TEMP)</v>
          </cell>
          <cell r="M1069" t="str">
            <v>Warehouse Associate 8W</v>
          </cell>
          <cell r="N1069" t="str">
            <v>bizthoma</v>
          </cell>
          <cell r="O1069">
            <v>1299</v>
          </cell>
          <cell r="P1069" t="str">
            <v>AUH1</v>
          </cell>
          <cell r="Q1069" t="str">
            <v>ARE</v>
          </cell>
          <cell r="R1069" t="str">
            <v>LK015</v>
          </cell>
          <cell r="S1069" t="str">
            <v>Night Shift</v>
          </cell>
          <cell r="T1069">
            <v>99</v>
          </cell>
          <cell r="U1069" t="str">
            <v>MENA_UAE_FC</v>
          </cell>
          <cell r="V1069">
            <v>46257.756249999999</v>
          </cell>
          <cell r="X1069">
            <v>46257.756944444445</v>
          </cell>
          <cell r="Y1069">
            <v>46258.173611111109</v>
          </cell>
          <cell r="AA1069" t="str">
            <v>Scheduled</v>
          </cell>
          <cell r="AB1069" t="str">
            <v>Present</v>
          </cell>
          <cell r="AC1069" t="str">
            <v>Outbound</v>
          </cell>
          <cell r="AD1069" t="str">
            <v>Picking</v>
          </cell>
          <cell r="AE1069" t="str">
            <v>Pick</v>
          </cell>
          <cell r="AF1069" t="str">
            <v>Tuesday</v>
          </cell>
          <cell r="AG1069" t="str">
            <v>Wednesday</v>
          </cell>
          <cell r="AH1069">
            <v>13</v>
          </cell>
          <cell r="AJ1069">
            <v>45977</v>
          </cell>
          <cell r="AM1069" t="str">
            <v>TEMP</v>
          </cell>
          <cell r="AN1069" t="str">
            <v>3P Onsite Worker</v>
          </cell>
          <cell r="AO1069" t="str">
            <v>A</v>
          </cell>
          <cell r="AP1069">
            <v>9</v>
          </cell>
          <cell r="AQ1069">
            <v>0</v>
          </cell>
          <cell r="AR1069">
            <v>1</v>
          </cell>
          <cell r="AS1069">
            <v>1</v>
          </cell>
          <cell r="AT1069">
            <v>0</v>
          </cell>
          <cell r="AU1069">
            <v>0</v>
          </cell>
        </row>
        <row r="1070">
          <cell r="D1070" t="str">
            <v>uknijosh</v>
          </cell>
          <cell r="E1070">
            <v>204246608</v>
          </cell>
          <cell r="F1070" t="str">
            <v>A</v>
          </cell>
          <cell r="G1070" t="str">
            <v>GREEN</v>
          </cell>
          <cell r="H1070" t="str">
            <v>FULL_TIME</v>
          </cell>
          <cell r="I1070">
            <v>900234</v>
          </cell>
          <cell r="J1070" t="str">
            <v>Quesscorp</v>
          </cell>
          <cell r="K1070" t="str">
            <v>Joshua Chuchuboy Knight</v>
          </cell>
          <cell r="L1070" t="str">
            <v>Warehouse Associate (TEMP)</v>
          </cell>
          <cell r="M1070" t="str">
            <v>Warehouse Associate 24M</v>
          </cell>
          <cell r="N1070" t="str">
            <v>abbaszoo</v>
          </cell>
          <cell r="O1070">
            <v>1299</v>
          </cell>
          <cell r="P1070" t="str">
            <v>AUH1</v>
          </cell>
          <cell r="Q1070" t="str">
            <v>ARE</v>
          </cell>
          <cell r="R1070" t="str">
            <v>LK013</v>
          </cell>
          <cell r="S1070" t="str">
            <v>Night Shift</v>
          </cell>
          <cell r="T1070">
            <v>99</v>
          </cell>
          <cell r="U1070" t="str">
            <v>MENA_UAE_FC</v>
          </cell>
          <cell r="X1070">
            <v>46257.756944444445</v>
          </cell>
          <cell r="Y1070">
            <v>46258.173611111109</v>
          </cell>
          <cell r="Z1070" t="str">
            <v>Rest Day</v>
          </cell>
          <cell r="AA1070" t="str">
            <v>Not Scheduled</v>
          </cell>
          <cell r="AB1070" t="str">
            <v>Not Present</v>
          </cell>
          <cell r="AC1070" t="str">
            <v>Inbound</v>
          </cell>
          <cell r="AD1070" t="str">
            <v>Vendor Receive</v>
          </cell>
          <cell r="AE1070" t="str">
            <v>Receive</v>
          </cell>
          <cell r="AF1070" t="str">
            <v>Sunday</v>
          </cell>
          <cell r="AG1070" t="str">
            <v>Monday</v>
          </cell>
          <cell r="AH1070">
            <v>1</v>
          </cell>
          <cell r="AJ1070">
            <v>45578</v>
          </cell>
          <cell r="AM1070" t="str">
            <v>TEMP</v>
          </cell>
          <cell r="AN1070" t="str">
            <v>3P Onsite Worker</v>
          </cell>
          <cell r="AO1070" t="str">
            <v>A</v>
          </cell>
          <cell r="AP1070">
            <v>9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</row>
        <row r="1071">
          <cell r="D1071" t="str">
            <v>ullazasa</v>
          </cell>
          <cell r="E1071">
            <v>206958086</v>
          </cell>
          <cell r="F1071" t="str">
            <v>A</v>
          </cell>
          <cell r="G1071" t="str">
            <v>GREEN</v>
          </cell>
          <cell r="H1071" t="str">
            <v>FULL_TIME</v>
          </cell>
          <cell r="I1071">
            <v>900234</v>
          </cell>
          <cell r="J1071" t="str">
            <v>EFS Facilities Services</v>
          </cell>
          <cell r="K1071" t="str">
            <v>Asad Ullah</v>
          </cell>
          <cell r="L1071" t="str">
            <v>Warehouse Associate (TEMP)</v>
          </cell>
          <cell r="M1071" t="str">
            <v>Warehouse Associate 8W</v>
          </cell>
          <cell r="N1071" t="str">
            <v>pparsin</v>
          </cell>
          <cell r="O1071">
            <v>1299</v>
          </cell>
          <cell r="P1071" t="str">
            <v>AUH1</v>
          </cell>
          <cell r="Q1071" t="str">
            <v>ARE</v>
          </cell>
          <cell r="R1071" t="str">
            <v>FC059</v>
          </cell>
          <cell r="S1071" t="str">
            <v>Day Shift</v>
          </cell>
          <cell r="T1071">
            <v>99</v>
          </cell>
          <cell r="U1071" t="str">
            <v>MENA_UAE_FC</v>
          </cell>
          <cell r="X1071">
            <v>46257.333333333336</v>
          </cell>
          <cell r="Y1071">
            <v>46257.75</v>
          </cell>
          <cell r="Z1071" t="str">
            <v>Rest Day</v>
          </cell>
          <cell r="AA1071" t="str">
            <v>Not Scheduled</v>
          </cell>
          <cell r="AB1071" t="str">
            <v>Not Present</v>
          </cell>
          <cell r="AC1071" t="str">
            <v>Inbound</v>
          </cell>
          <cell r="AD1071" t="str">
            <v>Inbound Stow</v>
          </cell>
          <cell r="AE1071" t="str">
            <v>Stow</v>
          </cell>
          <cell r="AF1071" t="str">
            <v>Sunday</v>
          </cell>
          <cell r="AG1071" t="str">
            <v>Monday</v>
          </cell>
          <cell r="AH1071">
            <v>3</v>
          </cell>
          <cell r="AJ1071">
            <v>46047</v>
          </cell>
          <cell r="AM1071" t="str">
            <v>TEMP</v>
          </cell>
          <cell r="AN1071" t="str">
            <v>3P Onsite Worker</v>
          </cell>
          <cell r="AO1071" t="str">
            <v>A</v>
          </cell>
          <cell r="AP1071">
            <v>9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</row>
        <row r="1072">
          <cell r="D1072" t="str">
            <v>umarkas</v>
          </cell>
          <cell r="E1072">
            <v>206015634</v>
          </cell>
          <cell r="F1072" t="str">
            <v>A</v>
          </cell>
          <cell r="G1072" t="str">
            <v>GREEN</v>
          </cell>
          <cell r="H1072" t="str">
            <v>FULL_TIME</v>
          </cell>
          <cell r="I1072">
            <v>900234</v>
          </cell>
          <cell r="J1072" t="str">
            <v>Fastlink Outsourcing</v>
          </cell>
          <cell r="K1072" t="str">
            <v>Kassim Umar</v>
          </cell>
          <cell r="L1072" t="str">
            <v>Warehouse Associate (TEMP)</v>
          </cell>
          <cell r="M1072" t="str">
            <v>Warehouse Associate 12M</v>
          </cell>
          <cell r="N1072" t="str">
            <v>nnahla</v>
          </cell>
          <cell r="O1072">
            <v>1299</v>
          </cell>
          <cell r="P1072" t="str">
            <v>AUH1</v>
          </cell>
          <cell r="Q1072" t="str">
            <v>ARE</v>
          </cell>
          <cell r="R1072" t="str">
            <v>FC159</v>
          </cell>
          <cell r="S1072" t="str">
            <v>Day Shift</v>
          </cell>
          <cell r="T1072">
            <v>99</v>
          </cell>
          <cell r="U1072" t="str">
            <v>MENA_UAE_FC</v>
          </cell>
          <cell r="V1072">
            <v>46257.334722222222</v>
          </cell>
          <cell r="W1072">
            <v>46257.75</v>
          </cell>
          <cell r="X1072">
            <v>46257.333333333336</v>
          </cell>
          <cell r="Y1072">
            <v>46257.75</v>
          </cell>
          <cell r="AA1072" t="str">
            <v>Scheduled</v>
          </cell>
          <cell r="AB1072" t="str">
            <v>Present</v>
          </cell>
          <cell r="AC1072" t="str">
            <v>Inbound</v>
          </cell>
          <cell r="AD1072" t="str">
            <v>Inbound Prep</v>
          </cell>
          <cell r="AE1072" t="str">
            <v>Prep</v>
          </cell>
          <cell r="AF1072" t="str">
            <v>Thursday</v>
          </cell>
          <cell r="AG1072" t="str">
            <v>Friday</v>
          </cell>
          <cell r="AH1072">
            <v>36</v>
          </cell>
          <cell r="AJ1072">
            <v>45914</v>
          </cell>
          <cell r="AM1072" t="str">
            <v>TEMP</v>
          </cell>
          <cell r="AN1072" t="str">
            <v>3P Onsite Worker</v>
          </cell>
          <cell r="AO1072" t="str">
            <v>A</v>
          </cell>
          <cell r="AP1072">
            <v>9</v>
          </cell>
          <cell r="AQ1072">
            <v>0</v>
          </cell>
          <cell r="AR1072">
            <v>1</v>
          </cell>
          <cell r="AS1072">
            <v>1</v>
          </cell>
          <cell r="AT1072">
            <v>0</v>
          </cell>
          <cell r="AU1072">
            <v>0</v>
          </cell>
        </row>
        <row r="1073">
          <cell r="D1073" t="str">
            <v>umarmabi</v>
          </cell>
          <cell r="E1073">
            <v>206873645</v>
          </cell>
          <cell r="F1073" t="str">
            <v>A</v>
          </cell>
          <cell r="G1073" t="str">
            <v>GREEN</v>
          </cell>
          <cell r="H1073" t="str">
            <v>FULL_TIME</v>
          </cell>
          <cell r="I1073">
            <v>900234</v>
          </cell>
          <cell r="J1073" t="str">
            <v>Fastlink Outsourcing</v>
          </cell>
          <cell r="K1073" t="str">
            <v>UMARUH MABIRIZI</v>
          </cell>
          <cell r="L1073" t="str">
            <v>Warehouse Associate (TEMP)</v>
          </cell>
          <cell r="M1073" t="str">
            <v>Warehouse Associate 12M</v>
          </cell>
          <cell r="N1073" t="str">
            <v>vkkatyal</v>
          </cell>
          <cell r="O1073">
            <v>1299</v>
          </cell>
          <cell r="P1073" t="str">
            <v>AUH1</v>
          </cell>
          <cell r="Q1073" t="str">
            <v>ARE</v>
          </cell>
          <cell r="R1073" t="str">
            <v>FC059</v>
          </cell>
          <cell r="S1073" t="str">
            <v>Day Shift</v>
          </cell>
          <cell r="T1073">
            <v>99</v>
          </cell>
          <cell r="U1073" t="str">
            <v>MENA_UAE_FC</v>
          </cell>
          <cell r="X1073">
            <v>46257.333333333336</v>
          </cell>
          <cell r="Y1073">
            <v>46257.75</v>
          </cell>
          <cell r="Z1073" t="str">
            <v>Rest Day</v>
          </cell>
          <cell r="AA1073" t="str">
            <v>Not Scheduled</v>
          </cell>
          <cell r="AB1073" t="str">
            <v>Not Present</v>
          </cell>
          <cell r="AC1073" t="str">
            <v>Inbound</v>
          </cell>
          <cell r="AD1073" t="str">
            <v>Inbound Stow</v>
          </cell>
          <cell r="AE1073" t="str">
            <v>Stow</v>
          </cell>
          <cell r="AF1073" t="str">
            <v>Sunday</v>
          </cell>
          <cell r="AG1073" t="str">
            <v>Monday</v>
          </cell>
          <cell r="AH1073">
            <v>3</v>
          </cell>
          <cell r="AJ1073">
            <v>46019</v>
          </cell>
          <cell r="AM1073" t="str">
            <v>TEMP</v>
          </cell>
          <cell r="AN1073" t="str">
            <v>3P Onsite Worker</v>
          </cell>
          <cell r="AO1073" t="str">
            <v>A</v>
          </cell>
          <cell r="AP1073">
            <v>9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</row>
        <row r="1074">
          <cell r="D1074" t="str">
            <v>unainalu</v>
          </cell>
          <cell r="E1074">
            <v>203813134</v>
          </cell>
          <cell r="F1074" t="str">
            <v>A</v>
          </cell>
          <cell r="G1074" t="str">
            <v>GREEN</v>
          </cell>
          <cell r="H1074" t="str">
            <v>FULL_TIME</v>
          </cell>
          <cell r="I1074">
            <v>900234</v>
          </cell>
          <cell r="J1074" t="str">
            <v>Adecco</v>
          </cell>
          <cell r="K1074" t="str">
            <v>UNAIS NALUPURAPPATTIL</v>
          </cell>
          <cell r="L1074" t="str">
            <v>Warehouse Associate (TEMP)</v>
          </cell>
          <cell r="M1074" t="str">
            <v>Warehouse Associate 24M</v>
          </cell>
          <cell r="N1074" t="str">
            <v>vkkatyal</v>
          </cell>
          <cell r="O1074">
            <v>1299</v>
          </cell>
          <cell r="P1074" t="str">
            <v>AUH1</v>
          </cell>
          <cell r="Q1074" t="str">
            <v>ARE</v>
          </cell>
          <cell r="R1074" t="str">
            <v>LK013</v>
          </cell>
          <cell r="S1074" t="str">
            <v>Night Shift</v>
          </cell>
          <cell r="T1074">
            <v>99</v>
          </cell>
          <cell r="U1074" t="str">
            <v>MENA_UAE_FC</v>
          </cell>
          <cell r="X1074">
            <v>46257.756944444445</v>
          </cell>
          <cell r="Y1074">
            <v>46258.173611111109</v>
          </cell>
          <cell r="Z1074" t="str">
            <v>Rest Day</v>
          </cell>
          <cell r="AA1074" t="str">
            <v>Not Scheduled</v>
          </cell>
          <cell r="AB1074" t="str">
            <v>Not Present</v>
          </cell>
          <cell r="AC1074" t="str">
            <v>Inbound</v>
          </cell>
          <cell r="AD1074" t="str">
            <v>Inbound Stow</v>
          </cell>
          <cell r="AE1074" t="str">
            <v>Stow</v>
          </cell>
          <cell r="AF1074" t="str">
            <v>Sunday</v>
          </cell>
          <cell r="AG1074" t="str">
            <v>Monday</v>
          </cell>
          <cell r="AH1074">
            <v>3</v>
          </cell>
          <cell r="AJ1074">
            <v>45516</v>
          </cell>
          <cell r="AM1074" t="str">
            <v>TEMP</v>
          </cell>
          <cell r="AN1074" t="str">
            <v>3P Onsite Worker</v>
          </cell>
          <cell r="AO1074" t="str">
            <v>A</v>
          </cell>
          <cell r="AP1074">
            <v>9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</row>
        <row r="1075">
          <cell r="D1075" t="str">
            <v>ustemain</v>
          </cell>
          <cell r="E1075">
            <v>205647835</v>
          </cell>
          <cell r="F1075" t="str">
            <v>A</v>
          </cell>
          <cell r="G1075" t="str">
            <v>GREEN</v>
          </cell>
          <cell r="H1075" t="str">
            <v>FULL_TIME</v>
          </cell>
          <cell r="I1075">
            <v>900234</v>
          </cell>
          <cell r="J1075" t="str">
            <v>EFS Facilities Services</v>
          </cell>
          <cell r="K1075" t="str">
            <v>Steve Mbugua Maina</v>
          </cell>
          <cell r="L1075" t="str">
            <v>Warehouse Associate (TEMP)</v>
          </cell>
          <cell r="M1075" t="str">
            <v>Warehouse Associate 8W</v>
          </cell>
          <cell r="N1075" t="str">
            <v>bavameer</v>
          </cell>
          <cell r="O1075">
            <v>1299</v>
          </cell>
          <cell r="P1075" t="str">
            <v>AUH1</v>
          </cell>
          <cell r="Q1075" t="str">
            <v>ARE</v>
          </cell>
          <cell r="R1075" t="str">
            <v>FC134</v>
          </cell>
          <cell r="S1075" t="str">
            <v>Day Shift</v>
          </cell>
          <cell r="T1075">
            <v>99</v>
          </cell>
          <cell r="U1075" t="str">
            <v>MENA_UAE_FC</v>
          </cell>
          <cell r="V1075">
            <v>46257.331250000003</v>
          </cell>
          <cell r="W1075">
            <v>46257.748611111114</v>
          </cell>
          <cell r="X1075">
            <v>46257.333333333336</v>
          </cell>
          <cell r="Y1075">
            <v>46257.75</v>
          </cell>
          <cell r="AA1075" t="str">
            <v>Scheduled</v>
          </cell>
          <cell r="AB1075" t="str">
            <v>Present</v>
          </cell>
          <cell r="AC1075" t="str">
            <v>Customer returns</v>
          </cell>
          <cell r="AD1075" t="str">
            <v>Customer Returns</v>
          </cell>
          <cell r="AE1075" t="str">
            <v>Customer returns</v>
          </cell>
          <cell r="AF1075" t="str">
            <v>Wednesday</v>
          </cell>
          <cell r="AG1075" t="str">
            <v>Thursday</v>
          </cell>
          <cell r="AH1075">
            <v>22</v>
          </cell>
          <cell r="AJ1075">
            <v>45851</v>
          </cell>
          <cell r="AM1075" t="str">
            <v>TEMP</v>
          </cell>
          <cell r="AN1075" t="str">
            <v>3P Onsite Worker</v>
          </cell>
          <cell r="AO1075" t="str">
            <v>A</v>
          </cell>
          <cell r="AP1075">
            <v>9</v>
          </cell>
          <cell r="AQ1075">
            <v>0</v>
          </cell>
          <cell r="AR1075">
            <v>1</v>
          </cell>
          <cell r="AS1075">
            <v>1</v>
          </cell>
          <cell r="AT1075">
            <v>0</v>
          </cell>
          <cell r="AU1075">
            <v>0</v>
          </cell>
        </row>
        <row r="1076">
          <cell r="D1076" t="str">
            <v>utraicym</v>
          </cell>
          <cell r="E1076">
            <v>206933423</v>
          </cell>
          <cell r="F1076" t="str">
            <v>A</v>
          </cell>
          <cell r="G1076" t="str">
            <v>GREEN</v>
          </cell>
          <cell r="H1076" t="str">
            <v>FULL_TIME</v>
          </cell>
          <cell r="I1076">
            <v>900234</v>
          </cell>
          <cell r="J1076" t="str">
            <v>EFS Facilities Services</v>
          </cell>
          <cell r="K1076" t="str">
            <v>TRAICY CHEBET MAINA</v>
          </cell>
          <cell r="L1076" t="str">
            <v>Warehouse Associate (TEMP)</v>
          </cell>
          <cell r="M1076" t="str">
            <v>Warehouse Associate 12M</v>
          </cell>
          <cell r="N1076" t="str">
            <v>pparsin</v>
          </cell>
          <cell r="O1076">
            <v>1299</v>
          </cell>
          <cell r="P1076" t="str">
            <v>AUH1</v>
          </cell>
          <cell r="Q1076" t="str">
            <v>ARE</v>
          </cell>
          <cell r="R1076" t="str">
            <v>FC059</v>
          </cell>
          <cell r="S1076" t="str">
            <v>Day Shift</v>
          </cell>
          <cell r="T1076">
            <v>99</v>
          </cell>
          <cell r="U1076" t="str">
            <v>MENA_UAE_FC</v>
          </cell>
          <cell r="X1076">
            <v>46257.333333333336</v>
          </cell>
          <cell r="Y1076">
            <v>46257.75</v>
          </cell>
          <cell r="Z1076" t="str">
            <v>Rest Day</v>
          </cell>
          <cell r="AA1076" t="str">
            <v>Not Scheduled</v>
          </cell>
          <cell r="AB1076" t="str">
            <v>Not Present</v>
          </cell>
          <cell r="AC1076" t="str">
            <v>Inbound</v>
          </cell>
          <cell r="AD1076" t="str">
            <v>Inbound Stow</v>
          </cell>
          <cell r="AE1076" t="str">
            <v>Stow</v>
          </cell>
          <cell r="AF1076" t="str">
            <v>Sunday</v>
          </cell>
          <cell r="AG1076" t="str">
            <v>Monday</v>
          </cell>
          <cell r="AH1076">
            <v>3</v>
          </cell>
          <cell r="AJ1076">
            <v>46040</v>
          </cell>
          <cell r="AM1076" t="str">
            <v>TEMP</v>
          </cell>
          <cell r="AN1076" t="str">
            <v>3P Onsite Worker</v>
          </cell>
          <cell r="AO1076" t="str">
            <v>A</v>
          </cell>
          <cell r="AP1076">
            <v>9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</row>
        <row r="1077">
          <cell r="D1077" t="str">
            <v>vachampa</v>
          </cell>
          <cell r="E1077">
            <v>203965495</v>
          </cell>
          <cell r="F1077" t="str">
            <v>A</v>
          </cell>
          <cell r="G1077" t="str">
            <v>GREEN</v>
          </cell>
          <cell r="H1077" t="str">
            <v>FULL_TIME</v>
          </cell>
          <cell r="I1077">
            <v>900234</v>
          </cell>
          <cell r="J1077" t="str">
            <v>Fastlink Outsourcing</v>
          </cell>
          <cell r="K1077" t="str">
            <v>Champagne Vanessa Djaba</v>
          </cell>
          <cell r="L1077" t="str">
            <v>Warehouse Associate (TEMP)</v>
          </cell>
          <cell r="M1077" t="str">
            <v>Warehouse Associate 12M</v>
          </cell>
          <cell r="N1077" t="str">
            <v>pparsin</v>
          </cell>
          <cell r="O1077">
            <v>1299</v>
          </cell>
          <cell r="P1077" t="str">
            <v>AUH1</v>
          </cell>
          <cell r="Q1077" t="str">
            <v>ARE</v>
          </cell>
          <cell r="R1077" t="str">
            <v>FC059</v>
          </cell>
          <cell r="S1077" t="str">
            <v>Day Shift</v>
          </cell>
          <cell r="T1077">
            <v>99</v>
          </cell>
          <cell r="U1077" t="str">
            <v>MENA_UAE_FC</v>
          </cell>
          <cell r="X1077">
            <v>46257.333333333336</v>
          </cell>
          <cell r="Y1077">
            <v>46257.75</v>
          </cell>
          <cell r="Z1077" t="str">
            <v>Rest Day</v>
          </cell>
          <cell r="AA1077" t="str">
            <v>Not Scheduled</v>
          </cell>
          <cell r="AB1077" t="str">
            <v>Not Present</v>
          </cell>
          <cell r="AC1077" t="str">
            <v>Inbound</v>
          </cell>
          <cell r="AD1077" t="str">
            <v>Inbound Stow</v>
          </cell>
          <cell r="AE1077" t="str">
            <v>Stow</v>
          </cell>
          <cell r="AF1077" t="str">
            <v>Sunday</v>
          </cell>
          <cell r="AG1077" t="str">
            <v>Monday</v>
          </cell>
          <cell r="AH1077">
            <v>3</v>
          </cell>
          <cell r="AJ1077">
            <v>45543</v>
          </cell>
          <cell r="AM1077" t="str">
            <v>TEMP</v>
          </cell>
          <cell r="AN1077" t="str">
            <v>3P Onsite Worker</v>
          </cell>
          <cell r="AO1077" t="str">
            <v>A</v>
          </cell>
          <cell r="AP1077">
            <v>9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</row>
        <row r="1078">
          <cell r="D1078" t="str">
            <v>vaduyebo</v>
          </cell>
          <cell r="E1078">
            <v>204095447</v>
          </cell>
          <cell r="F1078" t="str">
            <v>A</v>
          </cell>
          <cell r="G1078" t="str">
            <v>GREEN</v>
          </cell>
          <cell r="H1078" t="str">
            <v>FULL_TIME</v>
          </cell>
          <cell r="I1078">
            <v>900234</v>
          </cell>
          <cell r="J1078" t="str">
            <v>Quesscorp</v>
          </cell>
          <cell r="K1078" t="str">
            <v>Theresa Adu Yeboah</v>
          </cell>
          <cell r="L1078" t="str">
            <v>Warehouse Associate (TEMP)</v>
          </cell>
          <cell r="M1078" t="str">
            <v>Warehouse Associate 24M</v>
          </cell>
          <cell r="N1078" t="str">
            <v>mnarshad</v>
          </cell>
          <cell r="O1078">
            <v>1299</v>
          </cell>
          <cell r="P1078" t="str">
            <v>AUH1</v>
          </cell>
          <cell r="Q1078" t="str">
            <v>ARE</v>
          </cell>
          <cell r="R1078" t="str">
            <v>LK014</v>
          </cell>
          <cell r="S1078" t="str">
            <v>Night Shift</v>
          </cell>
          <cell r="T1078">
            <v>99</v>
          </cell>
          <cell r="U1078" t="str">
            <v>MENA_UAE_FC</v>
          </cell>
          <cell r="V1078">
            <v>46257.756249999999</v>
          </cell>
          <cell r="X1078">
            <v>46257.756944444445</v>
          </cell>
          <cell r="Y1078">
            <v>46258.173611111109</v>
          </cell>
          <cell r="AA1078" t="str">
            <v>Scheduled</v>
          </cell>
          <cell r="AB1078" t="str">
            <v>Present</v>
          </cell>
          <cell r="AC1078" t="str">
            <v>Outbound</v>
          </cell>
          <cell r="AD1078" t="str">
            <v>Sort - Batch</v>
          </cell>
          <cell r="AE1078" t="str">
            <v>Sort</v>
          </cell>
          <cell r="AF1078" t="str">
            <v>Monday</v>
          </cell>
          <cell r="AG1078" t="str">
            <v>Tuesday</v>
          </cell>
          <cell r="AH1078">
            <v>15</v>
          </cell>
          <cell r="AJ1078">
            <v>45560</v>
          </cell>
          <cell r="AM1078" t="str">
            <v>TEMP</v>
          </cell>
          <cell r="AN1078" t="str">
            <v>3P Onsite Worker</v>
          </cell>
          <cell r="AO1078" t="str">
            <v>A</v>
          </cell>
          <cell r="AP1078">
            <v>9</v>
          </cell>
          <cell r="AQ1078">
            <v>0</v>
          </cell>
          <cell r="AR1078">
            <v>1</v>
          </cell>
          <cell r="AS1078">
            <v>1</v>
          </cell>
          <cell r="AT1078">
            <v>0</v>
          </cell>
          <cell r="AU1078">
            <v>0</v>
          </cell>
        </row>
        <row r="1079">
          <cell r="D1079" t="str">
            <v>valapnab</v>
          </cell>
          <cell r="E1079">
            <v>106268183</v>
          </cell>
          <cell r="F1079" t="str">
            <v>A</v>
          </cell>
          <cell r="G1079" t="str">
            <v>BLUE</v>
          </cell>
          <cell r="H1079" t="str">
            <v>FULL_TIME</v>
          </cell>
          <cell r="I1079" t="str">
            <v>P03231</v>
          </cell>
          <cell r="K1079" t="str">
            <v>Nabeel Thazhath</v>
          </cell>
          <cell r="L1079" t="str">
            <v>FC Associate III</v>
          </cell>
          <cell r="M1079" t="str">
            <v>Operations Supervisor</v>
          </cell>
          <cell r="N1079" t="str">
            <v>lraghava</v>
          </cell>
          <cell r="O1079">
            <v>1299</v>
          </cell>
          <cell r="P1079" t="str">
            <v>AUH1</v>
          </cell>
          <cell r="Q1079" t="str">
            <v>ARE</v>
          </cell>
          <cell r="R1079" t="str">
            <v>LK011</v>
          </cell>
          <cell r="S1079" t="str">
            <v>Night Shift</v>
          </cell>
          <cell r="T1079">
            <v>3</v>
          </cell>
          <cell r="U1079" t="str">
            <v>MENA_UAE_FC</v>
          </cell>
          <cell r="V1079">
            <v>46257.745138888888</v>
          </cell>
          <cell r="X1079">
            <v>46257.756944444445</v>
          </cell>
          <cell r="Y1079">
            <v>46258.173611111109</v>
          </cell>
          <cell r="AA1079" t="str">
            <v>Scheduled</v>
          </cell>
          <cell r="AB1079" t="str">
            <v>Present</v>
          </cell>
          <cell r="AC1079" t="str">
            <v>Outbound</v>
          </cell>
          <cell r="AD1079" t="str">
            <v>OB Lead/PA</v>
          </cell>
          <cell r="AE1079" t="str">
            <v>Pack</v>
          </cell>
          <cell r="AF1079" t="str">
            <v>Friday</v>
          </cell>
          <cell r="AG1079" t="str">
            <v>Saturday</v>
          </cell>
          <cell r="AH1079">
            <v>19</v>
          </cell>
          <cell r="AJ1079">
            <v>44830</v>
          </cell>
          <cell r="AM1079" t="str">
            <v>FC</v>
          </cell>
          <cell r="AN1079" t="str">
            <v>Regular Full Time</v>
          </cell>
          <cell r="AO1079" t="str">
            <v>A</v>
          </cell>
          <cell r="AP1079">
            <v>9</v>
          </cell>
          <cell r="AQ1079">
            <v>0</v>
          </cell>
          <cell r="AR1079">
            <v>1</v>
          </cell>
          <cell r="AS1079">
            <v>1</v>
          </cell>
          <cell r="AT1079">
            <v>0</v>
          </cell>
          <cell r="AU1079">
            <v>0</v>
          </cell>
        </row>
        <row r="1080">
          <cell r="D1080" t="str">
            <v>valdezfo</v>
          </cell>
          <cell r="E1080">
            <v>206873551</v>
          </cell>
          <cell r="F1080" t="str">
            <v>A</v>
          </cell>
          <cell r="G1080" t="str">
            <v>GREEN</v>
          </cell>
          <cell r="H1080" t="str">
            <v>FULL_TIME</v>
          </cell>
          <cell r="I1080">
            <v>900234</v>
          </cell>
          <cell r="J1080" t="str">
            <v>Fastlink Outsourcing</v>
          </cell>
          <cell r="K1080" t="str">
            <v>FON VALDEZ TAMSANG</v>
          </cell>
          <cell r="L1080" t="str">
            <v>Warehouse Associate (TEMP)</v>
          </cell>
          <cell r="M1080" t="str">
            <v>Warehouse Associate 8W</v>
          </cell>
          <cell r="N1080" t="str">
            <v>pparsin</v>
          </cell>
          <cell r="O1080">
            <v>1299</v>
          </cell>
          <cell r="P1080" t="str">
            <v>AUH1</v>
          </cell>
          <cell r="Q1080" t="str">
            <v>ARE</v>
          </cell>
          <cell r="R1080" t="str">
            <v>LK013</v>
          </cell>
          <cell r="S1080" t="str">
            <v>Night Shift</v>
          </cell>
          <cell r="T1080">
            <v>99</v>
          </cell>
          <cell r="U1080" t="str">
            <v>MENA_UAE_FC</v>
          </cell>
          <cell r="X1080">
            <v>46257.756944444445</v>
          </cell>
          <cell r="Y1080">
            <v>46258.173611111109</v>
          </cell>
          <cell r="Z1080" t="str">
            <v>Rest Day</v>
          </cell>
          <cell r="AA1080" t="str">
            <v>Not Scheduled</v>
          </cell>
          <cell r="AB1080" t="str">
            <v>Not Present</v>
          </cell>
          <cell r="AC1080" t="str">
            <v>Inbound</v>
          </cell>
          <cell r="AD1080" t="str">
            <v>Inbound Stow</v>
          </cell>
          <cell r="AE1080" t="str">
            <v>Stow</v>
          </cell>
          <cell r="AF1080" t="str">
            <v>Sunday</v>
          </cell>
          <cell r="AG1080" t="str">
            <v>Monday</v>
          </cell>
          <cell r="AH1080">
            <v>3</v>
          </cell>
          <cell r="AJ1080">
            <v>46019</v>
          </cell>
          <cell r="AM1080" t="str">
            <v>TEMP</v>
          </cell>
          <cell r="AN1080" t="str">
            <v>3P Onsite Worker</v>
          </cell>
          <cell r="AO1080" t="str">
            <v>A</v>
          </cell>
          <cell r="AP1080">
            <v>9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</row>
        <row r="1081">
          <cell r="D1081" t="str">
            <v>vbulawre</v>
          </cell>
          <cell r="E1081">
            <v>206914994</v>
          </cell>
          <cell r="F1081" t="str">
            <v>A</v>
          </cell>
          <cell r="G1081" t="str">
            <v>GREEN</v>
          </cell>
          <cell r="H1081" t="str">
            <v>FULL_TIME</v>
          </cell>
          <cell r="I1081">
            <v>900234</v>
          </cell>
          <cell r="J1081" t="str">
            <v>Dulsco L.L.C.</v>
          </cell>
          <cell r="K1081" t="str">
            <v>BUGGO LAWRENCE</v>
          </cell>
          <cell r="L1081" t="str">
            <v>Warehouse Associate (TEMP)</v>
          </cell>
          <cell r="M1081" t="str">
            <v>Warehouse Associate 8W</v>
          </cell>
          <cell r="N1081" t="str">
            <v>lraghava</v>
          </cell>
          <cell r="O1081">
            <v>1299</v>
          </cell>
          <cell r="P1081" t="str">
            <v>AUH1</v>
          </cell>
          <cell r="Q1081" t="str">
            <v>ARE</v>
          </cell>
          <cell r="R1081" t="str">
            <v>FC009</v>
          </cell>
          <cell r="S1081" t="str">
            <v>Day Shift</v>
          </cell>
          <cell r="T1081">
            <v>99</v>
          </cell>
          <cell r="U1081" t="str">
            <v>MENA_UAE_FC</v>
          </cell>
          <cell r="V1081">
            <v>46257.330555555556</v>
          </cell>
          <cell r="W1081">
            <v>46257.748611111114</v>
          </cell>
          <cell r="X1081">
            <v>46257.333333333336</v>
          </cell>
          <cell r="Y1081">
            <v>46257.75</v>
          </cell>
          <cell r="AA1081" t="str">
            <v>Scheduled</v>
          </cell>
          <cell r="AB1081" t="str">
            <v>Present</v>
          </cell>
          <cell r="AC1081" t="str">
            <v>Outbound</v>
          </cell>
          <cell r="AD1081" t="str">
            <v>Picking</v>
          </cell>
          <cell r="AE1081" t="str">
            <v>Pick</v>
          </cell>
          <cell r="AF1081" t="str">
            <v>Friday</v>
          </cell>
          <cell r="AG1081" t="str">
            <v>Saturday</v>
          </cell>
          <cell r="AH1081">
            <v>13</v>
          </cell>
          <cell r="AJ1081">
            <v>46033</v>
          </cell>
          <cell r="AM1081" t="str">
            <v>TEMP</v>
          </cell>
          <cell r="AN1081" t="str">
            <v>3P Onsite Worker</v>
          </cell>
          <cell r="AO1081" t="str">
            <v>A</v>
          </cell>
          <cell r="AP1081">
            <v>9</v>
          </cell>
          <cell r="AQ1081">
            <v>0</v>
          </cell>
          <cell r="AR1081">
            <v>1</v>
          </cell>
          <cell r="AS1081">
            <v>1</v>
          </cell>
          <cell r="AT1081">
            <v>0</v>
          </cell>
          <cell r="AU1081">
            <v>0</v>
          </cell>
        </row>
        <row r="1082">
          <cell r="D1082" t="str">
            <v>vdelacyr</v>
          </cell>
          <cell r="E1082">
            <v>206868005</v>
          </cell>
          <cell r="F1082" t="str">
            <v>A</v>
          </cell>
          <cell r="G1082" t="str">
            <v>GREEN</v>
          </cell>
          <cell r="H1082" t="str">
            <v>FULL_TIME</v>
          </cell>
          <cell r="I1082">
            <v>900234</v>
          </cell>
          <cell r="J1082" t="str">
            <v>Fastlink Outsourcing</v>
          </cell>
          <cell r="K1082" t="str">
            <v>CYRIL DELA AMAVIE</v>
          </cell>
          <cell r="L1082" t="str">
            <v>Warehouse Associate (TEMP)</v>
          </cell>
          <cell r="M1082" t="str">
            <v>Warehouse Associate 8W</v>
          </cell>
          <cell r="N1082" t="str">
            <v>scariav</v>
          </cell>
          <cell r="O1082">
            <v>1299</v>
          </cell>
          <cell r="P1082" t="str">
            <v>AUH1</v>
          </cell>
          <cell r="Q1082" t="str">
            <v>ARE</v>
          </cell>
          <cell r="R1082" t="str">
            <v>FC558</v>
          </cell>
          <cell r="S1082" t="str">
            <v>Night Shift</v>
          </cell>
          <cell r="T1082">
            <v>99</v>
          </cell>
          <cell r="U1082" t="str">
            <v>MENA_UAE_FC</v>
          </cell>
          <cell r="V1082">
            <v>46257.758333333331</v>
          </cell>
          <cell r="X1082">
            <v>46257.756944444445</v>
          </cell>
          <cell r="Y1082">
            <v>46258.090277777781</v>
          </cell>
          <cell r="AA1082" t="str">
            <v>Scheduled</v>
          </cell>
          <cell r="AB1082" t="str">
            <v>Present</v>
          </cell>
          <cell r="AC1082" t="str">
            <v>Outbound</v>
          </cell>
          <cell r="AD1082" t="str">
            <v>Pack - Single</v>
          </cell>
          <cell r="AE1082" t="str">
            <v>Pack</v>
          </cell>
          <cell r="AF1082" t="str">
            <v>Thursday</v>
          </cell>
          <cell r="AG1082" t="str">
            <v>Friday</v>
          </cell>
          <cell r="AH1082">
            <v>18</v>
          </cell>
          <cell r="AJ1082">
            <v>46237</v>
          </cell>
          <cell r="AM1082" t="str">
            <v>TEMP</v>
          </cell>
          <cell r="AN1082" t="str">
            <v>3P Onsite Worker</v>
          </cell>
          <cell r="AO1082" t="str">
            <v>A</v>
          </cell>
          <cell r="AP1082">
            <v>7</v>
          </cell>
          <cell r="AQ1082">
            <v>0</v>
          </cell>
          <cell r="AR1082">
            <v>1</v>
          </cell>
          <cell r="AS1082">
            <v>1</v>
          </cell>
          <cell r="AT1082">
            <v>0</v>
          </cell>
          <cell r="AU1082">
            <v>0</v>
          </cell>
        </row>
        <row r="1083">
          <cell r="D1083" t="str">
            <v>veetmuha</v>
          </cell>
          <cell r="E1083">
            <v>203813080</v>
          </cell>
          <cell r="F1083" t="str">
            <v>A</v>
          </cell>
          <cell r="G1083" t="str">
            <v>GREEN</v>
          </cell>
          <cell r="H1083" t="str">
            <v>FULL_TIME</v>
          </cell>
          <cell r="I1083">
            <v>900234</v>
          </cell>
          <cell r="J1083" t="str">
            <v>Adecco</v>
          </cell>
          <cell r="K1083" t="str">
            <v>MUHAMMED VEETTIL</v>
          </cell>
          <cell r="L1083" t="str">
            <v>Warehouse Associate (TEMP)</v>
          </cell>
          <cell r="M1083" t="str">
            <v>Warehouse Associate 24M</v>
          </cell>
          <cell r="N1083" t="str">
            <v>nnahla</v>
          </cell>
          <cell r="O1083">
            <v>1299</v>
          </cell>
          <cell r="P1083" t="str">
            <v>AUH1</v>
          </cell>
          <cell r="Q1083" t="str">
            <v>ARE</v>
          </cell>
          <cell r="R1083" t="str">
            <v>LK013</v>
          </cell>
          <cell r="S1083" t="str">
            <v>Night Shift</v>
          </cell>
          <cell r="T1083">
            <v>99</v>
          </cell>
          <cell r="U1083" t="str">
            <v>MENA_UAE_FC</v>
          </cell>
          <cell r="X1083">
            <v>46257.756944444445</v>
          </cell>
          <cell r="Y1083">
            <v>46258.173611111109</v>
          </cell>
          <cell r="Z1083" t="str">
            <v>Rest Day</v>
          </cell>
          <cell r="AA1083" t="str">
            <v>Not Scheduled</v>
          </cell>
          <cell r="AB1083" t="str">
            <v>Not Present</v>
          </cell>
          <cell r="AC1083" t="str">
            <v>Inbound</v>
          </cell>
          <cell r="AD1083" t="str">
            <v>Inbound Stow</v>
          </cell>
          <cell r="AE1083" t="str">
            <v>Stow</v>
          </cell>
          <cell r="AF1083" t="str">
            <v>Sunday</v>
          </cell>
          <cell r="AG1083" t="str">
            <v>Monday</v>
          </cell>
          <cell r="AH1083">
            <v>3</v>
          </cell>
          <cell r="AJ1083">
            <v>45516</v>
          </cell>
          <cell r="AM1083" t="str">
            <v>TEMP</v>
          </cell>
          <cell r="AN1083" t="str">
            <v>3P Onsite Worker</v>
          </cell>
          <cell r="AO1083" t="str">
            <v>A</v>
          </cell>
          <cell r="AP1083">
            <v>9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</row>
        <row r="1084">
          <cell r="D1084" t="str">
            <v>venemoku</v>
          </cell>
          <cell r="E1084">
            <v>206934652</v>
          </cell>
          <cell r="F1084" t="str">
            <v>A</v>
          </cell>
          <cell r="G1084" t="str">
            <v>GREEN</v>
          </cell>
          <cell r="H1084" t="str">
            <v>FULL_TIME</v>
          </cell>
          <cell r="I1084">
            <v>900234</v>
          </cell>
          <cell r="J1084" t="str">
            <v>EFS Facilities Services</v>
          </cell>
          <cell r="K1084" t="str">
            <v>VENICK KEMUMA MOKUA</v>
          </cell>
          <cell r="L1084" t="str">
            <v>Warehouse Associate (TEMP)</v>
          </cell>
          <cell r="M1084" t="str">
            <v>Warehouse Associate 8W</v>
          </cell>
          <cell r="N1084" t="str">
            <v>pparsin</v>
          </cell>
          <cell r="O1084">
            <v>1299</v>
          </cell>
          <cell r="P1084" t="str">
            <v>AUH1</v>
          </cell>
          <cell r="Q1084" t="str">
            <v>ARE</v>
          </cell>
          <cell r="R1084" t="str">
            <v>FC059</v>
          </cell>
          <cell r="S1084" t="str">
            <v>Day Shift</v>
          </cell>
          <cell r="T1084">
            <v>99</v>
          </cell>
          <cell r="U1084" t="str">
            <v>MENA_UAE_FC</v>
          </cell>
          <cell r="X1084">
            <v>46257.333333333336</v>
          </cell>
          <cell r="Y1084">
            <v>46257.75</v>
          </cell>
          <cell r="Z1084" t="str">
            <v>Rest Day</v>
          </cell>
          <cell r="AA1084" t="str">
            <v>Not Scheduled</v>
          </cell>
          <cell r="AB1084" t="str">
            <v>Not Present</v>
          </cell>
          <cell r="AC1084" t="str">
            <v>Inbound</v>
          </cell>
          <cell r="AD1084" t="str">
            <v>Inbound Stow</v>
          </cell>
          <cell r="AE1084" t="str">
            <v>Stow</v>
          </cell>
          <cell r="AF1084" t="str">
            <v>Sunday</v>
          </cell>
          <cell r="AG1084" t="str">
            <v>Monday</v>
          </cell>
          <cell r="AH1084">
            <v>3</v>
          </cell>
          <cell r="AJ1084">
            <v>46040</v>
          </cell>
          <cell r="AM1084" t="str">
            <v>TEMP</v>
          </cell>
          <cell r="AN1084" t="str">
            <v>3P Onsite Worker</v>
          </cell>
          <cell r="AO1084" t="str">
            <v>A</v>
          </cell>
          <cell r="AP1084">
            <v>9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</row>
        <row r="1085">
          <cell r="D1085" t="str">
            <v>viappiat</v>
          </cell>
          <cell r="E1085">
            <v>205854086</v>
          </cell>
          <cell r="F1085" t="str">
            <v>A</v>
          </cell>
          <cell r="G1085" t="str">
            <v>GREEN</v>
          </cell>
          <cell r="H1085" t="str">
            <v>FULL_TIME</v>
          </cell>
          <cell r="I1085">
            <v>900234</v>
          </cell>
          <cell r="J1085" t="str">
            <v>EFS Facilities Services</v>
          </cell>
          <cell r="K1085" t="str">
            <v>VIDA APPIAH</v>
          </cell>
          <cell r="L1085" t="str">
            <v>Warehouse Associate (TEMP)</v>
          </cell>
          <cell r="M1085" t="str">
            <v>Warehouse Associate 8W</v>
          </cell>
          <cell r="N1085" t="str">
            <v>ansammar</v>
          </cell>
          <cell r="O1085">
            <v>1299</v>
          </cell>
          <cell r="P1085" t="str">
            <v>AUH1</v>
          </cell>
          <cell r="Q1085" t="str">
            <v>ARE</v>
          </cell>
          <cell r="R1085" t="str">
            <v>FC084</v>
          </cell>
          <cell r="S1085" t="str">
            <v>Day Shift</v>
          </cell>
          <cell r="T1085">
            <v>99</v>
          </cell>
          <cell r="U1085" t="str">
            <v>MENA_UAE_FC</v>
          </cell>
          <cell r="V1085">
            <v>46257.331944444442</v>
          </cell>
          <cell r="W1085">
            <v>46257.748611111114</v>
          </cell>
          <cell r="X1085">
            <v>46257.333333333336</v>
          </cell>
          <cell r="Y1085">
            <v>46257.75</v>
          </cell>
          <cell r="AA1085" t="str">
            <v>Scheduled</v>
          </cell>
          <cell r="AB1085" t="str">
            <v>Present</v>
          </cell>
          <cell r="AC1085" t="str">
            <v>Outbound</v>
          </cell>
          <cell r="AD1085" t="str">
            <v>Picking</v>
          </cell>
          <cell r="AE1085" t="str">
            <v>Pick</v>
          </cell>
          <cell r="AF1085" t="str">
            <v>Monday</v>
          </cell>
          <cell r="AG1085" t="str">
            <v>Tuesday</v>
          </cell>
          <cell r="AH1085">
            <v>13</v>
          </cell>
          <cell r="AJ1085">
            <v>45893</v>
          </cell>
          <cell r="AM1085" t="str">
            <v>TEMP</v>
          </cell>
          <cell r="AN1085" t="str">
            <v>3P Onsite Worker</v>
          </cell>
          <cell r="AO1085" t="str">
            <v>A</v>
          </cell>
          <cell r="AP1085">
            <v>9</v>
          </cell>
          <cell r="AQ1085">
            <v>0</v>
          </cell>
          <cell r="AR1085">
            <v>1</v>
          </cell>
          <cell r="AS1085">
            <v>1</v>
          </cell>
          <cell r="AT1085">
            <v>0</v>
          </cell>
          <cell r="AU1085">
            <v>0</v>
          </cell>
        </row>
        <row r="1086">
          <cell r="D1086" t="str">
            <v>victooju</v>
          </cell>
          <cell r="E1086">
            <v>203993451</v>
          </cell>
          <cell r="F1086" t="str">
            <v>A</v>
          </cell>
          <cell r="G1086" t="str">
            <v>GREEN</v>
          </cell>
          <cell r="H1086" t="str">
            <v>FULL_TIME</v>
          </cell>
          <cell r="I1086">
            <v>900234</v>
          </cell>
          <cell r="J1086" t="str">
            <v>Dulsco L.L.C.</v>
          </cell>
          <cell r="K1086" t="str">
            <v>VICTOR OJUMA</v>
          </cell>
          <cell r="L1086" t="str">
            <v>Warehouse Associate (TEMP)</v>
          </cell>
          <cell r="M1086" t="str">
            <v>Warehouse Associate 24M</v>
          </cell>
          <cell r="N1086" t="str">
            <v>ansammar</v>
          </cell>
          <cell r="O1086">
            <v>1299</v>
          </cell>
          <cell r="P1086" t="str">
            <v>AUH1</v>
          </cell>
          <cell r="Q1086" t="str">
            <v>ARE</v>
          </cell>
          <cell r="R1086" t="str">
            <v>LK016</v>
          </cell>
          <cell r="S1086" t="str">
            <v>Night Shift</v>
          </cell>
          <cell r="T1086">
            <v>99</v>
          </cell>
          <cell r="U1086" t="str">
            <v>MENA_UAE_FC</v>
          </cell>
          <cell r="V1086">
            <v>46257.754861111112</v>
          </cell>
          <cell r="X1086">
            <v>46257.756944444445</v>
          </cell>
          <cell r="Y1086">
            <v>46258.173611111109</v>
          </cell>
          <cell r="AA1086" t="str">
            <v>Scheduled</v>
          </cell>
          <cell r="AB1086" t="str">
            <v>Present</v>
          </cell>
          <cell r="AC1086" t="str">
            <v>Outbound</v>
          </cell>
          <cell r="AD1086" t="str">
            <v>Picking</v>
          </cell>
          <cell r="AE1086" t="str">
            <v>Pick</v>
          </cell>
          <cell r="AF1086" t="str">
            <v>Wednesday</v>
          </cell>
          <cell r="AG1086" t="str">
            <v>Thursday</v>
          </cell>
          <cell r="AH1086">
            <v>13</v>
          </cell>
          <cell r="AJ1086">
            <v>45893</v>
          </cell>
          <cell r="AM1086" t="str">
            <v>TEMP</v>
          </cell>
          <cell r="AN1086" t="str">
            <v>3P Onsite Worker</v>
          </cell>
          <cell r="AO1086" t="str">
            <v>A</v>
          </cell>
          <cell r="AP1086">
            <v>9</v>
          </cell>
          <cell r="AQ1086">
            <v>0</v>
          </cell>
          <cell r="AR1086">
            <v>1</v>
          </cell>
          <cell r="AS1086">
            <v>1</v>
          </cell>
          <cell r="AT1086">
            <v>0</v>
          </cell>
          <cell r="AU1086">
            <v>0</v>
          </cell>
        </row>
        <row r="1087">
          <cell r="D1087" t="str">
            <v>vicwquay</v>
          </cell>
          <cell r="E1087">
            <v>203817154</v>
          </cell>
          <cell r="F1087" t="str">
            <v>A</v>
          </cell>
          <cell r="G1087" t="str">
            <v>GREEN</v>
          </cell>
          <cell r="H1087" t="str">
            <v>FULL_TIME</v>
          </cell>
          <cell r="I1087">
            <v>900234</v>
          </cell>
          <cell r="J1087" t="str">
            <v>Fastlink Outsourcing</v>
          </cell>
          <cell r="K1087" t="str">
            <v>VICTORIA QUAYSON</v>
          </cell>
          <cell r="L1087" t="str">
            <v>Warehouse Associate (TEMP)</v>
          </cell>
          <cell r="M1087" t="str">
            <v>Warehouse Associate 12M</v>
          </cell>
          <cell r="N1087" t="str">
            <v>bavameer</v>
          </cell>
          <cell r="O1087">
            <v>1299</v>
          </cell>
          <cell r="P1087" t="str">
            <v>AUH1</v>
          </cell>
          <cell r="Q1087" t="str">
            <v>ARE</v>
          </cell>
          <cell r="R1087" t="str">
            <v>LK014</v>
          </cell>
          <cell r="S1087" t="str">
            <v>Night Shift</v>
          </cell>
          <cell r="T1087">
            <v>99</v>
          </cell>
          <cell r="U1087" t="str">
            <v>MENA_UAE_FC</v>
          </cell>
          <cell r="V1087">
            <v>46257.755555555559</v>
          </cell>
          <cell r="X1087">
            <v>46257.756944444445</v>
          </cell>
          <cell r="Y1087">
            <v>46258.173611111109</v>
          </cell>
          <cell r="AA1087" t="str">
            <v>Scheduled</v>
          </cell>
          <cell r="AB1087" t="str">
            <v>Present</v>
          </cell>
          <cell r="AC1087" t="str">
            <v>Customer returns</v>
          </cell>
          <cell r="AD1087" t="str">
            <v>Customer Returns</v>
          </cell>
          <cell r="AE1087" t="str">
            <v>Customer returns</v>
          </cell>
          <cell r="AF1087" t="str">
            <v>Monday</v>
          </cell>
          <cell r="AG1087" t="str">
            <v>Tuesday</v>
          </cell>
          <cell r="AH1087">
            <v>22</v>
          </cell>
          <cell r="AJ1087">
            <v>45516</v>
          </cell>
          <cell r="AM1087" t="str">
            <v>TEMP</v>
          </cell>
          <cell r="AN1087" t="str">
            <v>3P Onsite Worker</v>
          </cell>
          <cell r="AO1087" t="str">
            <v>A</v>
          </cell>
          <cell r="AP1087">
            <v>9</v>
          </cell>
          <cell r="AQ1087">
            <v>0</v>
          </cell>
          <cell r="AR1087">
            <v>1</v>
          </cell>
          <cell r="AS1087">
            <v>1</v>
          </cell>
          <cell r="AT1087">
            <v>0</v>
          </cell>
          <cell r="AU1087">
            <v>0</v>
          </cell>
        </row>
        <row r="1088">
          <cell r="D1088" t="str">
            <v>vincphir</v>
          </cell>
          <cell r="E1088">
            <v>206915794</v>
          </cell>
          <cell r="F1088" t="str">
            <v>A</v>
          </cell>
          <cell r="G1088" t="str">
            <v>GREEN</v>
          </cell>
          <cell r="H1088" t="str">
            <v>FULL_TIME</v>
          </cell>
          <cell r="I1088">
            <v>900234</v>
          </cell>
          <cell r="J1088" t="str">
            <v>Dulsco L.L.C.</v>
          </cell>
          <cell r="K1088" t="str">
            <v>VINCENT PHIRI</v>
          </cell>
          <cell r="L1088" t="str">
            <v>Warehouse Associate (TEMP)</v>
          </cell>
          <cell r="M1088" t="str">
            <v>Warehouse Associate 8W</v>
          </cell>
          <cell r="N1088" t="str">
            <v>ansammar</v>
          </cell>
          <cell r="O1088">
            <v>1299</v>
          </cell>
          <cell r="P1088" t="str">
            <v>AUH1</v>
          </cell>
          <cell r="Q1088" t="str">
            <v>ARE</v>
          </cell>
          <cell r="R1088" t="str">
            <v>LK014</v>
          </cell>
          <cell r="S1088" t="str">
            <v>Night Shift</v>
          </cell>
          <cell r="T1088">
            <v>99</v>
          </cell>
          <cell r="U1088" t="str">
            <v>MENA_UAE_FC</v>
          </cell>
          <cell r="V1088">
            <v>46257.756944444445</v>
          </cell>
          <cell r="X1088">
            <v>46257.756944444445</v>
          </cell>
          <cell r="Y1088">
            <v>46258.173611111109</v>
          </cell>
          <cell r="AA1088" t="str">
            <v>Scheduled</v>
          </cell>
          <cell r="AB1088" t="str">
            <v>Present</v>
          </cell>
          <cell r="AC1088" t="str">
            <v>Outbound</v>
          </cell>
          <cell r="AD1088" t="str">
            <v>Pack - Batch</v>
          </cell>
          <cell r="AE1088" t="str">
            <v>Pack</v>
          </cell>
          <cell r="AF1088" t="str">
            <v>Monday</v>
          </cell>
          <cell r="AG1088" t="str">
            <v>Tuesday</v>
          </cell>
          <cell r="AH1088">
            <v>17</v>
          </cell>
          <cell r="AJ1088">
            <v>46033</v>
          </cell>
          <cell r="AM1088" t="str">
            <v>TEMP</v>
          </cell>
          <cell r="AN1088" t="str">
            <v>3P Onsite Worker</v>
          </cell>
          <cell r="AO1088" t="str">
            <v>A</v>
          </cell>
          <cell r="AP1088">
            <v>9</v>
          </cell>
          <cell r="AQ1088">
            <v>0</v>
          </cell>
          <cell r="AR1088">
            <v>1</v>
          </cell>
          <cell r="AS1088">
            <v>1</v>
          </cell>
          <cell r="AT1088">
            <v>0</v>
          </cell>
          <cell r="AU1088">
            <v>0</v>
          </cell>
        </row>
        <row r="1089">
          <cell r="D1089" t="str">
            <v>vingohma</v>
          </cell>
          <cell r="E1089">
            <v>202435289</v>
          </cell>
          <cell r="F1089" t="str">
            <v>A</v>
          </cell>
          <cell r="G1089" t="str">
            <v>GREEN</v>
          </cell>
          <cell r="H1089" t="str">
            <v>FULL_TIME</v>
          </cell>
          <cell r="I1089">
            <v>900234</v>
          </cell>
          <cell r="J1089" t="str">
            <v>Quesscorp</v>
          </cell>
          <cell r="K1089" t="str">
            <v>Violet Ngoh Mayah</v>
          </cell>
          <cell r="L1089" t="str">
            <v>Warehouse Associate (TEMP)</v>
          </cell>
          <cell r="M1089" t="str">
            <v>Warehouse Associate 24M</v>
          </cell>
          <cell r="N1089" t="str">
            <v>vkkatyal</v>
          </cell>
          <cell r="O1089">
            <v>1299</v>
          </cell>
          <cell r="P1089" t="str">
            <v>AUH1</v>
          </cell>
          <cell r="Q1089" t="str">
            <v>ARE</v>
          </cell>
          <cell r="R1089" t="str">
            <v>LK013</v>
          </cell>
          <cell r="S1089" t="str">
            <v>Night Shift</v>
          </cell>
          <cell r="T1089">
            <v>99</v>
          </cell>
          <cell r="U1089" t="str">
            <v>MENA_UAE_FC</v>
          </cell>
          <cell r="X1089">
            <v>46257.756944444445</v>
          </cell>
          <cell r="Y1089">
            <v>46258.173611111109</v>
          </cell>
          <cell r="Z1089" t="str">
            <v>Rest Day</v>
          </cell>
          <cell r="AA1089" t="str">
            <v>Not Scheduled</v>
          </cell>
          <cell r="AB1089" t="str">
            <v>Not Present</v>
          </cell>
          <cell r="AC1089" t="str">
            <v>Inbound</v>
          </cell>
          <cell r="AD1089" t="str">
            <v>Inbound Stow</v>
          </cell>
          <cell r="AE1089" t="str">
            <v>Stow</v>
          </cell>
          <cell r="AF1089" t="str">
            <v>Sunday</v>
          </cell>
          <cell r="AG1089" t="str">
            <v>Monday</v>
          </cell>
          <cell r="AH1089">
            <v>3</v>
          </cell>
          <cell r="AJ1089">
            <v>45580</v>
          </cell>
          <cell r="AM1089" t="str">
            <v>TEMP</v>
          </cell>
          <cell r="AN1089" t="str">
            <v>3P Onsite Worker</v>
          </cell>
          <cell r="AO1089" t="str">
            <v>A</v>
          </cell>
          <cell r="AP1089">
            <v>9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</row>
        <row r="1090">
          <cell r="D1090" t="str">
            <v>violjepk</v>
          </cell>
          <cell r="E1090">
            <v>205280267</v>
          </cell>
          <cell r="F1090" t="str">
            <v>A</v>
          </cell>
          <cell r="G1090" t="str">
            <v>GREEN</v>
          </cell>
          <cell r="H1090" t="str">
            <v>REDUCED</v>
          </cell>
          <cell r="I1090">
            <v>900234</v>
          </cell>
          <cell r="J1090" t="str">
            <v>EFS Facilities Services</v>
          </cell>
          <cell r="K1090" t="str">
            <v>Violah Jepkemei</v>
          </cell>
          <cell r="L1090" t="str">
            <v>Warehouse Associate (TEMP)</v>
          </cell>
          <cell r="M1090" t="str">
            <v>Warehouse Associate 8W</v>
          </cell>
          <cell r="N1090" t="str">
            <v>bizthoma</v>
          </cell>
          <cell r="O1090">
            <v>1299</v>
          </cell>
          <cell r="P1090" t="str">
            <v>AUH1</v>
          </cell>
          <cell r="Q1090" t="str">
            <v>ARE</v>
          </cell>
          <cell r="R1090" t="str">
            <v>FC557</v>
          </cell>
          <cell r="S1090" t="str">
            <v>Night Shift</v>
          </cell>
          <cell r="T1090">
            <v>99</v>
          </cell>
          <cell r="U1090" t="str">
            <v>MENA_UAE_FC</v>
          </cell>
          <cell r="V1090">
            <v>46257.756944444445</v>
          </cell>
          <cell r="X1090">
            <v>46257.756944444445</v>
          </cell>
          <cell r="Y1090">
            <v>46258.090277777781</v>
          </cell>
          <cell r="AA1090" t="str">
            <v>Scheduled</v>
          </cell>
          <cell r="AB1090" t="str">
            <v>Present</v>
          </cell>
          <cell r="AC1090" t="str">
            <v>Outbound</v>
          </cell>
          <cell r="AD1090" t="str">
            <v>Pack - Batch</v>
          </cell>
          <cell r="AE1090" t="str">
            <v>Pack</v>
          </cell>
          <cell r="AF1090" t="str">
            <v>Wednesday</v>
          </cell>
          <cell r="AG1090" t="str">
            <v>Thursday</v>
          </cell>
          <cell r="AH1090">
            <v>17</v>
          </cell>
          <cell r="AJ1090">
            <v>46251</v>
          </cell>
          <cell r="AM1090" t="str">
            <v>TEMP</v>
          </cell>
          <cell r="AN1090" t="str">
            <v>3P Onsite Worker</v>
          </cell>
          <cell r="AO1090" t="str">
            <v>A</v>
          </cell>
          <cell r="AP1090">
            <v>7</v>
          </cell>
          <cell r="AQ1090">
            <v>0</v>
          </cell>
          <cell r="AR1090">
            <v>1</v>
          </cell>
          <cell r="AS1090">
            <v>1</v>
          </cell>
          <cell r="AT1090">
            <v>0</v>
          </cell>
          <cell r="AU1090">
            <v>0</v>
          </cell>
        </row>
        <row r="1091">
          <cell r="D1091" t="str">
            <v>visdasab</v>
          </cell>
          <cell r="E1091">
            <v>203555845</v>
          </cell>
          <cell r="F1091" t="str">
            <v>A</v>
          </cell>
          <cell r="G1091" t="str">
            <v>GREEN</v>
          </cell>
          <cell r="H1091" t="str">
            <v>FULL_TIME</v>
          </cell>
          <cell r="I1091">
            <v>900234</v>
          </cell>
          <cell r="J1091" t="str">
            <v>Adecco</v>
          </cell>
          <cell r="K1091" t="str">
            <v>VISHNU DASAN</v>
          </cell>
          <cell r="L1091" t="str">
            <v>Warehouse Associate (TEMP)</v>
          </cell>
          <cell r="M1091" t="str">
            <v>Warehouse Associate 24M</v>
          </cell>
          <cell r="N1091" t="str">
            <v>mnarshad</v>
          </cell>
          <cell r="O1091">
            <v>1299</v>
          </cell>
          <cell r="P1091" t="str">
            <v>AUH1</v>
          </cell>
          <cell r="Q1091" t="str">
            <v>ARE</v>
          </cell>
          <cell r="R1091" t="str">
            <v>LK016</v>
          </cell>
          <cell r="S1091" t="str">
            <v>Night Shift</v>
          </cell>
          <cell r="T1091">
            <v>99</v>
          </cell>
          <cell r="U1091" t="str">
            <v>MENA_UAE_FC</v>
          </cell>
          <cell r="V1091">
            <v>46257.745138888888</v>
          </cell>
          <cell r="X1091">
            <v>46257.756944444445</v>
          </cell>
          <cell r="Y1091">
            <v>46258.173611111109</v>
          </cell>
          <cell r="AA1091" t="str">
            <v>Scheduled</v>
          </cell>
          <cell r="AB1091" t="str">
            <v>Present</v>
          </cell>
          <cell r="AC1091" t="str">
            <v>Outbound</v>
          </cell>
          <cell r="AD1091" t="str">
            <v>Picking</v>
          </cell>
          <cell r="AE1091" t="str">
            <v>Pick</v>
          </cell>
          <cell r="AF1091" t="str">
            <v>Wednesday</v>
          </cell>
          <cell r="AG1091" t="str">
            <v>Thursday</v>
          </cell>
          <cell r="AH1091">
            <v>13</v>
          </cell>
          <cell r="AJ1091">
            <v>45469</v>
          </cell>
          <cell r="AM1091" t="str">
            <v>TEMP</v>
          </cell>
          <cell r="AN1091" t="str">
            <v>3P Onsite Worker</v>
          </cell>
          <cell r="AO1091" t="str">
            <v>A</v>
          </cell>
          <cell r="AP1091">
            <v>9</v>
          </cell>
          <cell r="AQ1091">
            <v>0</v>
          </cell>
          <cell r="AR1091">
            <v>1</v>
          </cell>
          <cell r="AS1091">
            <v>1</v>
          </cell>
          <cell r="AT1091">
            <v>0</v>
          </cell>
          <cell r="AU1091">
            <v>0</v>
          </cell>
        </row>
        <row r="1092">
          <cell r="D1092" t="str">
            <v>vislrave</v>
          </cell>
          <cell r="E1092">
            <v>203813135</v>
          </cell>
          <cell r="F1092" t="str">
            <v>A</v>
          </cell>
          <cell r="G1092" t="str">
            <v>GREEN</v>
          </cell>
          <cell r="H1092" t="str">
            <v>FULL_TIME</v>
          </cell>
          <cell r="I1092">
            <v>900234</v>
          </cell>
          <cell r="J1092" t="str">
            <v>Adecco</v>
          </cell>
          <cell r="K1092" t="str">
            <v>VISHNU RAVEENDRAN</v>
          </cell>
          <cell r="L1092" t="str">
            <v>Warehouse Associate (TEMP)</v>
          </cell>
          <cell r="M1092" t="str">
            <v>Warehouse Associate 24M</v>
          </cell>
          <cell r="N1092" t="str">
            <v>nnahla</v>
          </cell>
          <cell r="O1092">
            <v>1299</v>
          </cell>
          <cell r="P1092" t="str">
            <v>AUH1</v>
          </cell>
          <cell r="Q1092" t="str">
            <v>ARE</v>
          </cell>
          <cell r="R1092" t="str">
            <v>LK013</v>
          </cell>
          <cell r="S1092" t="str">
            <v>Night Shift</v>
          </cell>
          <cell r="T1092">
            <v>99</v>
          </cell>
          <cell r="U1092" t="str">
            <v>MENA_UAE_FC</v>
          </cell>
          <cell r="X1092">
            <v>46257.756944444445</v>
          </cell>
          <cell r="Y1092">
            <v>46258.173611111109</v>
          </cell>
          <cell r="Z1092" t="str">
            <v>Rest Day</v>
          </cell>
          <cell r="AA1092" t="str">
            <v>Not Scheduled</v>
          </cell>
          <cell r="AB1092" t="str">
            <v>Not Present</v>
          </cell>
          <cell r="AC1092" t="str">
            <v>Inbound</v>
          </cell>
          <cell r="AD1092" t="str">
            <v>Inbound Stow</v>
          </cell>
          <cell r="AE1092" t="str">
            <v>Stow</v>
          </cell>
          <cell r="AF1092" t="str">
            <v>Sunday</v>
          </cell>
          <cell r="AG1092" t="str">
            <v>Monday</v>
          </cell>
          <cell r="AH1092">
            <v>3</v>
          </cell>
          <cell r="AJ1092">
            <v>45516</v>
          </cell>
          <cell r="AM1092" t="str">
            <v>TEMP</v>
          </cell>
          <cell r="AN1092" t="str">
            <v>3P Onsite Worker</v>
          </cell>
          <cell r="AO1092" t="str">
            <v>A</v>
          </cell>
          <cell r="AP1092">
            <v>9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</row>
        <row r="1093">
          <cell r="D1093" t="str">
            <v>vivekper</v>
          </cell>
          <cell r="E1093">
            <v>203964988</v>
          </cell>
          <cell r="F1093" t="str">
            <v>A</v>
          </cell>
          <cell r="G1093" t="str">
            <v>GREEN</v>
          </cell>
          <cell r="H1093" t="str">
            <v>FULL_TIME</v>
          </cell>
          <cell r="I1093">
            <v>900234</v>
          </cell>
          <cell r="J1093" t="str">
            <v>Adecco</v>
          </cell>
          <cell r="K1093" t="str">
            <v>Vivek Perumandla</v>
          </cell>
          <cell r="L1093" t="str">
            <v>Warehouse Associate (TEMP)</v>
          </cell>
          <cell r="M1093" t="str">
            <v>Warehouse Associate 24M</v>
          </cell>
          <cell r="N1093" t="str">
            <v>amanmish</v>
          </cell>
          <cell r="O1093">
            <v>1299</v>
          </cell>
          <cell r="P1093" t="str">
            <v>AUH1</v>
          </cell>
          <cell r="Q1093" t="str">
            <v>ARE</v>
          </cell>
          <cell r="R1093" t="str">
            <v>FC059</v>
          </cell>
          <cell r="S1093" t="str">
            <v>Day Shift</v>
          </cell>
          <cell r="T1093">
            <v>99</v>
          </cell>
          <cell r="U1093" t="str">
            <v>MENA_UAE_FC</v>
          </cell>
          <cell r="X1093">
            <v>46257.333333333336</v>
          </cell>
          <cell r="Y1093">
            <v>46257.75</v>
          </cell>
          <cell r="Z1093" t="str">
            <v>Rest Day</v>
          </cell>
          <cell r="AA1093" t="str">
            <v>Not Scheduled</v>
          </cell>
          <cell r="AB1093" t="str">
            <v>Not Present</v>
          </cell>
          <cell r="AC1093" t="str">
            <v>Outbound</v>
          </cell>
          <cell r="AD1093" t="str">
            <v>Picking</v>
          </cell>
          <cell r="AE1093" t="str">
            <v>Pick</v>
          </cell>
          <cell r="AF1093" t="str">
            <v>Sunday</v>
          </cell>
          <cell r="AG1093" t="str">
            <v>Monday</v>
          </cell>
          <cell r="AH1093">
            <v>13</v>
          </cell>
          <cell r="AJ1093">
            <v>45543</v>
          </cell>
          <cell r="AM1093" t="str">
            <v>TEMP</v>
          </cell>
          <cell r="AN1093" t="str">
            <v>3P Onsite Worker</v>
          </cell>
          <cell r="AO1093" t="str">
            <v>A</v>
          </cell>
          <cell r="AP1093">
            <v>9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</row>
        <row r="1094">
          <cell r="D1094" t="str">
            <v>vivianjb</v>
          </cell>
          <cell r="E1094">
            <v>206192282</v>
          </cell>
          <cell r="F1094" t="str">
            <v>A</v>
          </cell>
          <cell r="G1094" t="str">
            <v>GREEN</v>
          </cell>
          <cell r="H1094" t="str">
            <v>REDUCED</v>
          </cell>
          <cell r="I1094">
            <v>900234</v>
          </cell>
          <cell r="J1094" t="str">
            <v>EFS Facilities Services</v>
          </cell>
          <cell r="K1094" t="str">
            <v>Vivian Chepchumba Bomet</v>
          </cell>
          <cell r="L1094" t="str">
            <v>Warehouse Associate (TEMP)</v>
          </cell>
          <cell r="M1094" t="str">
            <v>Warehouse Associate 8W</v>
          </cell>
          <cell r="N1094" t="str">
            <v>bizthoma</v>
          </cell>
          <cell r="O1094">
            <v>1299</v>
          </cell>
          <cell r="P1094" t="str">
            <v>AUH1</v>
          </cell>
          <cell r="Q1094" t="str">
            <v>ARE</v>
          </cell>
          <cell r="R1094" t="str">
            <v>FC558</v>
          </cell>
          <cell r="S1094" t="str">
            <v>Night Shift</v>
          </cell>
          <cell r="T1094">
            <v>99</v>
          </cell>
          <cell r="U1094" t="str">
            <v>MENA_UAE_FC</v>
          </cell>
          <cell r="V1094">
            <v>46257.754861111112</v>
          </cell>
          <cell r="X1094">
            <v>46257.756944444445</v>
          </cell>
          <cell r="Y1094">
            <v>46258.090277777781</v>
          </cell>
          <cell r="AA1094" t="str">
            <v>Scheduled</v>
          </cell>
          <cell r="AB1094" t="str">
            <v>Present</v>
          </cell>
          <cell r="AC1094" t="str">
            <v>Outbound</v>
          </cell>
          <cell r="AD1094" t="str">
            <v>Picking</v>
          </cell>
          <cell r="AE1094" t="str">
            <v>Pick</v>
          </cell>
          <cell r="AF1094" t="str">
            <v>Thursday</v>
          </cell>
          <cell r="AG1094" t="str">
            <v>Friday</v>
          </cell>
          <cell r="AH1094">
            <v>13</v>
          </cell>
          <cell r="AJ1094">
            <v>46251</v>
          </cell>
          <cell r="AM1094" t="str">
            <v>TEMP</v>
          </cell>
          <cell r="AN1094" t="str">
            <v>3P Onsite Worker</v>
          </cell>
          <cell r="AO1094" t="str">
            <v>A</v>
          </cell>
          <cell r="AP1094">
            <v>7</v>
          </cell>
          <cell r="AQ1094">
            <v>0</v>
          </cell>
          <cell r="AR1094">
            <v>1</v>
          </cell>
          <cell r="AS1094">
            <v>1</v>
          </cell>
          <cell r="AT1094">
            <v>0</v>
          </cell>
          <cell r="AU1094">
            <v>0</v>
          </cell>
        </row>
        <row r="1095">
          <cell r="D1095" t="str">
            <v>vkaunght</v>
          </cell>
          <cell r="E1095">
            <v>203736757</v>
          </cell>
          <cell r="F1095" t="str">
            <v>A</v>
          </cell>
          <cell r="G1095" t="str">
            <v>GREEN</v>
          </cell>
          <cell r="H1095" t="str">
            <v>FULL_TIME</v>
          </cell>
          <cell r="I1095">
            <v>900234</v>
          </cell>
          <cell r="J1095" t="str">
            <v>Adecco</v>
          </cell>
          <cell r="K1095" t="str">
            <v>K H</v>
          </cell>
          <cell r="L1095" t="str">
            <v>Warehouse Associate (TEMP)</v>
          </cell>
          <cell r="M1095" t="str">
            <v>Warehouse Associate 24M</v>
          </cell>
          <cell r="N1095" t="str">
            <v>nnahla</v>
          </cell>
          <cell r="O1095">
            <v>1299</v>
          </cell>
          <cell r="P1095" t="str">
            <v>AUH1</v>
          </cell>
          <cell r="Q1095" t="str">
            <v>ARE</v>
          </cell>
          <cell r="R1095" t="str">
            <v>FC159</v>
          </cell>
          <cell r="S1095" t="str">
            <v>Day Shift</v>
          </cell>
          <cell r="T1095">
            <v>99</v>
          </cell>
          <cell r="U1095" t="str">
            <v>MENA_UAE_FC</v>
          </cell>
          <cell r="V1095">
            <v>46257.329861111109</v>
          </cell>
          <cell r="W1095">
            <v>46257.75</v>
          </cell>
          <cell r="X1095">
            <v>46257.333333333336</v>
          </cell>
          <cell r="Y1095">
            <v>46257.75</v>
          </cell>
          <cell r="AA1095" t="str">
            <v>Scheduled</v>
          </cell>
          <cell r="AB1095" t="str">
            <v>Present</v>
          </cell>
          <cell r="AC1095" t="str">
            <v>Inbound</v>
          </cell>
          <cell r="AD1095" t="str">
            <v>Inbound Stow</v>
          </cell>
          <cell r="AE1095" t="str">
            <v>Stow</v>
          </cell>
          <cell r="AF1095" t="str">
            <v>Thursday</v>
          </cell>
          <cell r="AG1095" t="str">
            <v>Friday</v>
          </cell>
          <cell r="AH1095">
            <v>3</v>
          </cell>
          <cell r="AJ1095">
            <v>45501</v>
          </cell>
          <cell r="AM1095" t="str">
            <v>TEMP</v>
          </cell>
          <cell r="AN1095" t="str">
            <v>3P Onsite Worker</v>
          </cell>
          <cell r="AO1095" t="str">
            <v>A</v>
          </cell>
          <cell r="AP1095">
            <v>9</v>
          </cell>
          <cell r="AQ1095">
            <v>0</v>
          </cell>
          <cell r="AR1095">
            <v>1</v>
          </cell>
          <cell r="AS1095">
            <v>1</v>
          </cell>
          <cell r="AT1095">
            <v>0</v>
          </cell>
          <cell r="AU1095">
            <v>0</v>
          </cell>
        </row>
        <row r="1096">
          <cell r="D1096" t="str">
            <v>vmustapa</v>
          </cell>
          <cell r="E1096">
            <v>203850930</v>
          </cell>
          <cell r="F1096" t="str">
            <v>A</v>
          </cell>
          <cell r="G1096" t="str">
            <v>GREEN</v>
          </cell>
          <cell r="H1096" t="str">
            <v>FULL_TIME</v>
          </cell>
          <cell r="I1096">
            <v>900234</v>
          </cell>
          <cell r="J1096" t="str">
            <v>Fastlink Outsourcing</v>
          </cell>
          <cell r="K1096" t="str">
            <v>Aminatu Mustapha</v>
          </cell>
          <cell r="L1096" t="str">
            <v>Warehouse Associate (TEMP)</v>
          </cell>
          <cell r="M1096" t="str">
            <v>Warehouse Associate 12M</v>
          </cell>
          <cell r="N1096" t="str">
            <v>kebedeed</v>
          </cell>
          <cell r="O1096">
            <v>1299</v>
          </cell>
          <cell r="P1096" t="str">
            <v>AUH1</v>
          </cell>
          <cell r="Q1096" t="str">
            <v>ARE</v>
          </cell>
          <cell r="R1096" t="str">
            <v>FC109</v>
          </cell>
          <cell r="S1096" t="str">
            <v>Day Shift</v>
          </cell>
          <cell r="T1096">
            <v>99</v>
          </cell>
          <cell r="U1096" t="str">
            <v>MENA_UAE_FC</v>
          </cell>
          <cell r="V1096">
            <v>46257.331250000003</v>
          </cell>
          <cell r="W1096">
            <v>46257.748611111114</v>
          </cell>
          <cell r="X1096">
            <v>46257.333333333336</v>
          </cell>
          <cell r="Y1096">
            <v>46257.75</v>
          </cell>
          <cell r="AA1096" t="str">
            <v>Scheduled</v>
          </cell>
          <cell r="AB1096" t="str">
            <v>Present</v>
          </cell>
          <cell r="AC1096" t="str">
            <v>ICQA</v>
          </cell>
          <cell r="AD1096" t="str">
            <v>IC/QA/CS</v>
          </cell>
          <cell r="AE1096" t="str">
            <v>Support</v>
          </cell>
          <cell r="AF1096" t="str">
            <v>Tuesday</v>
          </cell>
          <cell r="AG1096" t="str">
            <v>Wednesday</v>
          </cell>
          <cell r="AH1096">
            <v>27</v>
          </cell>
          <cell r="AJ1096">
            <v>45523</v>
          </cell>
          <cell r="AM1096" t="str">
            <v>TEMP</v>
          </cell>
          <cell r="AN1096" t="str">
            <v>3P Onsite Worker</v>
          </cell>
          <cell r="AO1096" t="str">
            <v>A</v>
          </cell>
          <cell r="AP1096">
            <v>9</v>
          </cell>
          <cell r="AQ1096">
            <v>0</v>
          </cell>
          <cell r="AR1096">
            <v>1</v>
          </cell>
          <cell r="AS1096">
            <v>1</v>
          </cell>
          <cell r="AT1096">
            <v>0</v>
          </cell>
          <cell r="AU1096">
            <v>0</v>
          </cell>
        </row>
        <row r="1097">
          <cell r="D1097" t="str">
            <v>vsadimoh</v>
          </cell>
          <cell r="E1097">
            <v>206008708</v>
          </cell>
          <cell r="F1097" t="str">
            <v>A</v>
          </cell>
          <cell r="G1097" t="str">
            <v>GREEN</v>
          </cell>
          <cell r="H1097" t="str">
            <v>FULL_TIME</v>
          </cell>
          <cell r="I1097">
            <v>900234</v>
          </cell>
          <cell r="J1097" t="str">
            <v>Fastlink Outsourcing</v>
          </cell>
          <cell r="K1097" t="str">
            <v>SADIQ MOHAMMED</v>
          </cell>
          <cell r="L1097" t="str">
            <v>Warehouse Associate (TEMP)</v>
          </cell>
          <cell r="M1097" t="str">
            <v>Warehouse Associate 8W</v>
          </cell>
          <cell r="N1097" t="str">
            <v>bavameer</v>
          </cell>
          <cell r="O1097">
            <v>1299</v>
          </cell>
          <cell r="P1097" t="str">
            <v>AUH1</v>
          </cell>
          <cell r="Q1097" t="str">
            <v>ARE</v>
          </cell>
          <cell r="R1097" t="str">
            <v>FC034</v>
          </cell>
          <cell r="S1097" t="str">
            <v>Day Shift</v>
          </cell>
          <cell r="T1097">
            <v>99</v>
          </cell>
          <cell r="U1097" t="str">
            <v>MENA_UAE_FC</v>
          </cell>
          <cell r="X1097">
            <v>46257.333333333336</v>
          </cell>
          <cell r="Y1097">
            <v>46257.75</v>
          </cell>
          <cell r="Z1097" t="str">
            <v>Rest Day</v>
          </cell>
          <cell r="AA1097" t="str">
            <v>Not Scheduled</v>
          </cell>
          <cell r="AB1097" t="str">
            <v>Not Present</v>
          </cell>
          <cell r="AC1097" t="str">
            <v>Customer returns</v>
          </cell>
          <cell r="AD1097" t="str">
            <v>Customer Returns</v>
          </cell>
          <cell r="AE1097" t="str">
            <v>Customer returns</v>
          </cell>
          <cell r="AF1097" t="str">
            <v>Saturday</v>
          </cell>
          <cell r="AG1097" t="str">
            <v>Sunday</v>
          </cell>
          <cell r="AH1097">
            <v>22</v>
          </cell>
          <cell r="AJ1097">
            <v>45914</v>
          </cell>
          <cell r="AM1097" t="str">
            <v>TEMP</v>
          </cell>
          <cell r="AN1097" t="str">
            <v>3P Onsite Worker</v>
          </cell>
          <cell r="AO1097" t="str">
            <v>A</v>
          </cell>
          <cell r="AP1097">
            <v>9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</row>
        <row r="1098">
          <cell r="D1098" t="str">
            <v>vwillgeo</v>
          </cell>
          <cell r="E1098">
            <v>206897652</v>
          </cell>
          <cell r="F1098" t="str">
            <v>A</v>
          </cell>
          <cell r="G1098" t="str">
            <v>GREEN</v>
          </cell>
          <cell r="H1098" t="str">
            <v>FULL_TIME</v>
          </cell>
          <cell r="I1098">
            <v>900234</v>
          </cell>
          <cell r="J1098" t="str">
            <v>Fastlink Outsourcing</v>
          </cell>
          <cell r="K1098" t="str">
            <v>GEORGE WILLIAM SSEBUMPENJE</v>
          </cell>
          <cell r="L1098" t="str">
            <v>Warehouse Associate (TEMP)</v>
          </cell>
          <cell r="M1098" t="str">
            <v>Warehouse Associate 12M</v>
          </cell>
          <cell r="N1098" t="str">
            <v>mnarshad</v>
          </cell>
          <cell r="O1098">
            <v>1299</v>
          </cell>
          <cell r="P1098" t="str">
            <v>AUH1</v>
          </cell>
          <cell r="Q1098" t="str">
            <v>ARE</v>
          </cell>
          <cell r="R1098" t="str">
            <v>LK014</v>
          </cell>
          <cell r="S1098" t="str">
            <v>Night Shift</v>
          </cell>
          <cell r="T1098">
            <v>99</v>
          </cell>
          <cell r="U1098" t="str">
            <v>MENA_UAE_FC</v>
          </cell>
          <cell r="V1098">
            <v>46257.331944444442</v>
          </cell>
          <cell r="W1098">
            <v>46257.750694444447</v>
          </cell>
          <cell r="X1098">
            <v>46257.333333333336</v>
          </cell>
          <cell r="Y1098">
            <v>46257.75</v>
          </cell>
          <cell r="AA1098" t="str">
            <v>Scheduled</v>
          </cell>
          <cell r="AB1098" t="str">
            <v>Present</v>
          </cell>
          <cell r="AC1098" t="str">
            <v>Outbound</v>
          </cell>
          <cell r="AD1098" t="str">
            <v>Sort - Batch</v>
          </cell>
          <cell r="AE1098" t="str">
            <v>Sort</v>
          </cell>
          <cell r="AF1098" t="str">
            <v>Monday</v>
          </cell>
          <cell r="AG1098" t="str">
            <v>Tuesday</v>
          </cell>
          <cell r="AH1098">
            <v>15</v>
          </cell>
          <cell r="AJ1098">
            <v>46029</v>
          </cell>
          <cell r="AM1098" t="str">
            <v>TEMP</v>
          </cell>
          <cell r="AN1098" t="str">
            <v>3P Onsite Worker</v>
          </cell>
          <cell r="AO1098" t="str">
            <v>A</v>
          </cell>
          <cell r="AP1098">
            <v>9</v>
          </cell>
          <cell r="AQ1098">
            <v>0</v>
          </cell>
          <cell r="AR1098">
            <v>1</v>
          </cell>
          <cell r="AS1098">
            <v>1</v>
          </cell>
          <cell r="AT1098">
            <v>0</v>
          </cell>
          <cell r="AU1098">
            <v>0</v>
          </cell>
        </row>
        <row r="1099">
          <cell r="D1099" t="str">
            <v>wadianan</v>
          </cell>
          <cell r="E1099">
            <v>206930333</v>
          </cell>
          <cell r="F1099" t="str">
            <v>A</v>
          </cell>
          <cell r="G1099" t="str">
            <v>GREEN</v>
          </cell>
          <cell r="H1099" t="str">
            <v>FULL_TIME</v>
          </cell>
          <cell r="I1099">
            <v>900234</v>
          </cell>
          <cell r="J1099" t="str">
            <v>EFS Facilities Services</v>
          </cell>
          <cell r="K1099" t="str">
            <v>DIANA NDULU WAMBUA</v>
          </cell>
          <cell r="L1099" t="str">
            <v>Warehouse Associate (TEMP)</v>
          </cell>
          <cell r="M1099" t="str">
            <v>Warehouse Associate 8W</v>
          </cell>
          <cell r="N1099" t="str">
            <v>bizthoma</v>
          </cell>
          <cell r="O1099">
            <v>1299</v>
          </cell>
          <cell r="P1099" t="str">
            <v>AUH1</v>
          </cell>
          <cell r="Q1099" t="str">
            <v>ARE</v>
          </cell>
          <cell r="R1099" t="str">
            <v>FC034</v>
          </cell>
          <cell r="S1099" t="str">
            <v>Day Shift</v>
          </cell>
          <cell r="T1099">
            <v>99</v>
          </cell>
          <cell r="U1099" t="str">
            <v>MENA_UAE_FC</v>
          </cell>
          <cell r="X1099">
            <v>46257.333333333336</v>
          </cell>
          <cell r="Y1099">
            <v>46257.75</v>
          </cell>
          <cell r="Z1099" t="str">
            <v>Rest Day</v>
          </cell>
          <cell r="AA1099" t="str">
            <v>Not Scheduled</v>
          </cell>
          <cell r="AB1099" t="str">
            <v>Not Present</v>
          </cell>
          <cell r="AC1099" t="str">
            <v>Outbound</v>
          </cell>
          <cell r="AD1099" t="str">
            <v>Picking</v>
          </cell>
          <cell r="AE1099" t="str">
            <v>Pick</v>
          </cell>
          <cell r="AF1099" t="str">
            <v>Saturday</v>
          </cell>
          <cell r="AG1099" t="str">
            <v>Sunday</v>
          </cell>
          <cell r="AH1099">
            <v>13</v>
          </cell>
          <cell r="AJ1099">
            <v>46036</v>
          </cell>
          <cell r="AM1099" t="str">
            <v>TEMP</v>
          </cell>
          <cell r="AN1099" t="str">
            <v>3P Onsite Worker</v>
          </cell>
          <cell r="AO1099" t="str">
            <v>A</v>
          </cell>
          <cell r="AP1099">
            <v>9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</row>
        <row r="1100">
          <cell r="D1100" t="str">
            <v>wafulakv</v>
          </cell>
          <cell r="E1100">
            <v>206897636</v>
          </cell>
          <cell r="F1100" t="str">
            <v>A</v>
          </cell>
          <cell r="G1100" t="str">
            <v>GREEN</v>
          </cell>
          <cell r="H1100" t="str">
            <v>FULL_TIME</v>
          </cell>
          <cell r="I1100">
            <v>900234</v>
          </cell>
          <cell r="J1100" t="str">
            <v>Fastlink Outsourcing</v>
          </cell>
          <cell r="K1100" t="str">
            <v>EMMANUEL WAFULA KHAMILA</v>
          </cell>
          <cell r="L1100" t="str">
            <v>Warehouse Associate (TEMP)</v>
          </cell>
          <cell r="M1100" t="str">
            <v>Warehouse Associate 8W</v>
          </cell>
          <cell r="N1100" t="str">
            <v>mnarshad</v>
          </cell>
          <cell r="O1100">
            <v>1299</v>
          </cell>
          <cell r="P1100" t="str">
            <v>AUH1</v>
          </cell>
          <cell r="Q1100" t="str">
            <v>ARE</v>
          </cell>
          <cell r="R1100" t="str">
            <v>FC034</v>
          </cell>
          <cell r="S1100" t="str">
            <v>Day Shift</v>
          </cell>
          <cell r="T1100">
            <v>99</v>
          </cell>
          <cell r="U1100" t="str">
            <v>MENA_UAE_FC</v>
          </cell>
          <cell r="X1100">
            <v>46257.333333333336</v>
          </cell>
          <cell r="Y1100">
            <v>46257.75</v>
          </cell>
          <cell r="Z1100" t="str">
            <v>Rest Day</v>
          </cell>
          <cell r="AA1100" t="str">
            <v>Not Scheduled</v>
          </cell>
          <cell r="AB1100" t="str">
            <v>Not Present</v>
          </cell>
          <cell r="AC1100" t="str">
            <v>Outbound</v>
          </cell>
          <cell r="AD1100" t="str">
            <v>Sort - Batch</v>
          </cell>
          <cell r="AE1100" t="str">
            <v>Sort</v>
          </cell>
          <cell r="AF1100" t="str">
            <v>Saturday</v>
          </cell>
          <cell r="AG1100" t="str">
            <v>Sunday</v>
          </cell>
          <cell r="AH1100">
            <v>15</v>
          </cell>
          <cell r="AJ1100">
            <v>46029</v>
          </cell>
          <cell r="AM1100" t="str">
            <v>TEMP</v>
          </cell>
          <cell r="AN1100" t="str">
            <v>3P Onsite Worker</v>
          </cell>
          <cell r="AO1100" t="str">
            <v>A</v>
          </cell>
          <cell r="AP1100">
            <v>9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</row>
        <row r="1101">
          <cell r="D1101" t="str">
            <v>waltuffo</v>
          </cell>
          <cell r="E1101">
            <v>204137704</v>
          </cell>
          <cell r="F1101" t="str">
            <v>A</v>
          </cell>
          <cell r="G1101" t="str">
            <v>GREEN</v>
          </cell>
          <cell r="H1101" t="str">
            <v>FULL_TIME</v>
          </cell>
          <cell r="I1101">
            <v>900234</v>
          </cell>
          <cell r="J1101" t="str">
            <v>Quesscorp</v>
          </cell>
          <cell r="K1101" t="str">
            <v>Wallace Agyemang Tuffour</v>
          </cell>
          <cell r="L1101" t="str">
            <v>Warehouse Associate (TEMP)</v>
          </cell>
          <cell r="M1101" t="str">
            <v>Warehouse Associate 24M</v>
          </cell>
          <cell r="N1101" t="str">
            <v>amanmish</v>
          </cell>
          <cell r="O1101">
            <v>1299</v>
          </cell>
          <cell r="P1101" t="str">
            <v>AUH1</v>
          </cell>
          <cell r="Q1101" t="str">
            <v>ARE</v>
          </cell>
          <cell r="R1101" t="str">
            <v>LK013</v>
          </cell>
          <cell r="S1101" t="str">
            <v>Night Shift</v>
          </cell>
          <cell r="T1101">
            <v>99</v>
          </cell>
          <cell r="U1101" t="str">
            <v>MENA_UAE_FC</v>
          </cell>
          <cell r="X1101">
            <v>46257.756944444445</v>
          </cell>
          <cell r="Y1101">
            <v>46258.173611111109</v>
          </cell>
          <cell r="Z1101" t="str">
            <v>Rest Day</v>
          </cell>
          <cell r="AA1101" t="str">
            <v>Not Scheduled</v>
          </cell>
          <cell r="AB1101" t="str">
            <v>Not Present</v>
          </cell>
          <cell r="AC1101" t="str">
            <v>Outbound</v>
          </cell>
          <cell r="AD1101" t="str">
            <v>Picking</v>
          </cell>
          <cell r="AE1101" t="str">
            <v>Pick</v>
          </cell>
          <cell r="AF1101" t="str">
            <v>Sunday</v>
          </cell>
          <cell r="AG1101" t="str">
            <v>Monday</v>
          </cell>
          <cell r="AH1101">
            <v>13</v>
          </cell>
          <cell r="AJ1101">
            <v>45564</v>
          </cell>
          <cell r="AM1101" t="str">
            <v>TEMP</v>
          </cell>
          <cell r="AN1101" t="str">
            <v>3P Onsite Worker</v>
          </cell>
          <cell r="AO1101" t="str">
            <v>A</v>
          </cell>
          <cell r="AP1101">
            <v>9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</row>
        <row r="1102">
          <cell r="D1102" t="str">
            <v>waltunoa</v>
          </cell>
          <cell r="E1102">
            <v>206137333</v>
          </cell>
          <cell r="F1102" t="str">
            <v>A</v>
          </cell>
          <cell r="G1102" t="str">
            <v>GREEN</v>
          </cell>
          <cell r="H1102" t="str">
            <v>FULL_TIME</v>
          </cell>
          <cell r="I1102">
            <v>900234</v>
          </cell>
          <cell r="J1102" t="str">
            <v>Fastlink Outsourcing</v>
          </cell>
          <cell r="K1102" t="str">
            <v>Noah Walt Kwaku Amoaben</v>
          </cell>
          <cell r="L1102" t="str">
            <v>Warehouse Associate (TEMP)</v>
          </cell>
          <cell r="M1102" t="str">
            <v>Warehouse Associate 12M</v>
          </cell>
          <cell r="N1102" t="str">
            <v>scariav</v>
          </cell>
          <cell r="O1102">
            <v>1299</v>
          </cell>
          <cell r="P1102" t="str">
            <v>AUH1</v>
          </cell>
          <cell r="Q1102" t="str">
            <v>ARE</v>
          </cell>
          <cell r="R1102" t="str">
            <v>FC109</v>
          </cell>
          <cell r="S1102" t="str">
            <v>Day Shift</v>
          </cell>
          <cell r="T1102">
            <v>99</v>
          </cell>
          <cell r="U1102" t="str">
            <v>MENA_UAE_FC</v>
          </cell>
          <cell r="V1102">
            <v>46257.331944444442</v>
          </cell>
          <cell r="W1102">
            <v>46257.749305555553</v>
          </cell>
          <cell r="X1102">
            <v>46257.333333333336</v>
          </cell>
          <cell r="Y1102">
            <v>46257.75</v>
          </cell>
          <cell r="AA1102" t="str">
            <v>Scheduled</v>
          </cell>
          <cell r="AB1102" t="str">
            <v>Present</v>
          </cell>
          <cell r="AC1102" t="str">
            <v>Outbound</v>
          </cell>
          <cell r="AD1102" t="str">
            <v>Picking</v>
          </cell>
          <cell r="AE1102" t="str">
            <v>Pick</v>
          </cell>
          <cell r="AF1102" t="str">
            <v>Tuesday</v>
          </cell>
          <cell r="AG1102" t="str">
            <v>Wednesday</v>
          </cell>
          <cell r="AH1102">
            <v>13</v>
          </cell>
          <cell r="AJ1102">
            <v>45928</v>
          </cell>
          <cell r="AM1102" t="str">
            <v>TEMP</v>
          </cell>
          <cell r="AN1102" t="str">
            <v>3P Onsite Worker</v>
          </cell>
          <cell r="AO1102" t="str">
            <v>A</v>
          </cell>
          <cell r="AP1102">
            <v>9</v>
          </cell>
          <cell r="AQ1102">
            <v>0</v>
          </cell>
          <cell r="AR1102">
            <v>1</v>
          </cell>
          <cell r="AS1102">
            <v>1</v>
          </cell>
          <cell r="AT1102">
            <v>0</v>
          </cell>
          <cell r="AU1102">
            <v>0</v>
          </cell>
        </row>
        <row r="1103">
          <cell r="D1103" t="str">
            <v>wasjustu</v>
          </cell>
          <cell r="E1103">
            <v>206846703</v>
          </cell>
          <cell r="F1103" t="str">
            <v>A</v>
          </cell>
          <cell r="G1103" t="str">
            <v>GREEN</v>
          </cell>
          <cell r="H1103" t="str">
            <v>FULL_TIME</v>
          </cell>
          <cell r="I1103">
            <v>900234</v>
          </cell>
          <cell r="J1103" t="str">
            <v>Dulsco L.L.C.</v>
          </cell>
          <cell r="K1103" t="str">
            <v>JUSTUS WASSWA KAKULU</v>
          </cell>
          <cell r="L1103" t="str">
            <v>Warehouse Associate (TEMP)</v>
          </cell>
          <cell r="M1103" t="str">
            <v>Warehouse Associate 8W</v>
          </cell>
          <cell r="N1103" t="str">
            <v>vkkatyal</v>
          </cell>
          <cell r="O1103">
            <v>1299</v>
          </cell>
          <cell r="P1103" t="str">
            <v>AUH1</v>
          </cell>
          <cell r="Q1103" t="str">
            <v>ARE</v>
          </cell>
          <cell r="R1103" t="str">
            <v>LK013</v>
          </cell>
          <cell r="S1103" t="str">
            <v>Night Shift</v>
          </cell>
          <cell r="T1103">
            <v>99</v>
          </cell>
          <cell r="U1103" t="str">
            <v>MENA_UAE_FC</v>
          </cell>
          <cell r="V1103">
            <v>46257.754166666666</v>
          </cell>
          <cell r="X1103">
            <v>46257.756944444445</v>
          </cell>
          <cell r="Y1103">
            <v>46258.173611111109</v>
          </cell>
          <cell r="AA1103" t="str">
            <v>Scheduled</v>
          </cell>
          <cell r="AB1103" t="str">
            <v>Present</v>
          </cell>
          <cell r="AC1103" t="str">
            <v>Inbound</v>
          </cell>
          <cell r="AD1103" t="str">
            <v>Inbound Stow</v>
          </cell>
          <cell r="AE1103" t="str">
            <v>Stow</v>
          </cell>
          <cell r="AF1103" t="str">
            <v>Sunday</v>
          </cell>
          <cell r="AG1103" t="str">
            <v>Monday</v>
          </cell>
          <cell r="AH1103">
            <v>3</v>
          </cell>
          <cell r="AJ1103">
            <v>46012</v>
          </cell>
          <cell r="AM1103" t="str">
            <v>TEMP</v>
          </cell>
          <cell r="AN1103" t="str">
            <v>3P Onsite Worker</v>
          </cell>
          <cell r="AO1103" t="str">
            <v>A</v>
          </cell>
          <cell r="AP1103">
            <v>9</v>
          </cell>
          <cell r="AQ1103">
            <v>0</v>
          </cell>
          <cell r="AR1103">
            <v>1</v>
          </cell>
          <cell r="AS1103">
            <v>1</v>
          </cell>
          <cell r="AT1103">
            <v>0</v>
          </cell>
          <cell r="AU1103">
            <v>0</v>
          </cell>
        </row>
        <row r="1104">
          <cell r="D1104" t="str">
            <v>wasnades</v>
          </cell>
          <cell r="E1104">
            <v>203965449</v>
          </cell>
          <cell r="F1104" t="str">
            <v>A</v>
          </cell>
          <cell r="G1104" t="str">
            <v>GREEN</v>
          </cell>
          <cell r="H1104" t="str">
            <v>FULL_TIME</v>
          </cell>
          <cell r="I1104">
            <v>900234</v>
          </cell>
          <cell r="J1104" t="str">
            <v>Fastlink Outsourcing</v>
          </cell>
          <cell r="K1104" t="str">
            <v>Nadesh Wase Ndiena</v>
          </cell>
          <cell r="L1104" t="str">
            <v>Warehouse Associate (TEMP)</v>
          </cell>
          <cell r="M1104" t="str">
            <v>Warehouse Associate 12M</v>
          </cell>
          <cell r="N1104" t="str">
            <v>ansammar</v>
          </cell>
          <cell r="O1104">
            <v>1299</v>
          </cell>
          <cell r="P1104" t="str">
            <v>AUH1</v>
          </cell>
          <cell r="Q1104" t="str">
            <v>ARE</v>
          </cell>
          <cell r="R1104" t="str">
            <v>FC034</v>
          </cell>
          <cell r="S1104" t="str">
            <v>Day Shift</v>
          </cell>
          <cell r="T1104">
            <v>99</v>
          </cell>
          <cell r="U1104" t="str">
            <v>MENA_UAE_FC</v>
          </cell>
          <cell r="X1104">
            <v>46257.333333333336</v>
          </cell>
          <cell r="Y1104">
            <v>46257.75</v>
          </cell>
          <cell r="Z1104" t="str">
            <v>Rest Day</v>
          </cell>
          <cell r="AA1104" t="str">
            <v>Not Scheduled</v>
          </cell>
          <cell r="AB1104" t="str">
            <v>Not Present</v>
          </cell>
          <cell r="AC1104" t="str">
            <v>Outbound</v>
          </cell>
          <cell r="AD1104" t="str">
            <v>Sort - Batch</v>
          </cell>
          <cell r="AE1104" t="str">
            <v>Sort</v>
          </cell>
          <cell r="AF1104" t="str">
            <v>Saturday</v>
          </cell>
          <cell r="AG1104" t="str">
            <v>Sunday</v>
          </cell>
          <cell r="AH1104">
            <v>15</v>
          </cell>
          <cell r="AJ1104">
            <v>45543</v>
          </cell>
          <cell r="AM1104" t="str">
            <v>TEMP</v>
          </cell>
          <cell r="AN1104" t="str">
            <v>3P Onsite Worker</v>
          </cell>
          <cell r="AO1104" t="str">
            <v>A</v>
          </cell>
          <cell r="AP1104">
            <v>9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</row>
        <row r="1105">
          <cell r="D1105" t="str">
            <v>wedwinki</v>
          </cell>
          <cell r="E1105">
            <v>205127248</v>
          </cell>
          <cell r="F1105" t="str">
            <v>A</v>
          </cell>
          <cell r="G1105" t="str">
            <v>GREEN</v>
          </cell>
          <cell r="H1105" t="str">
            <v>REDUCED</v>
          </cell>
          <cell r="I1105">
            <v>900234</v>
          </cell>
          <cell r="J1105" t="str">
            <v>EFS Facilities Services</v>
          </cell>
          <cell r="K1105" t="str">
            <v>Edwin Kimani Wandui</v>
          </cell>
          <cell r="L1105" t="str">
            <v>Warehouse Associate (TEMP)</v>
          </cell>
          <cell r="M1105" t="str">
            <v>Warehouse Associate 8W</v>
          </cell>
          <cell r="N1105" t="str">
            <v>scariav</v>
          </cell>
          <cell r="O1105">
            <v>1299</v>
          </cell>
          <cell r="P1105" t="str">
            <v>AUH1</v>
          </cell>
          <cell r="Q1105" t="str">
            <v>ARE</v>
          </cell>
          <cell r="R1105" t="str">
            <v>FC559</v>
          </cell>
          <cell r="S1105" t="str">
            <v>Night Shift</v>
          </cell>
          <cell r="T1105">
            <v>99</v>
          </cell>
          <cell r="U1105" t="str">
            <v>MENA_UAE_FC</v>
          </cell>
          <cell r="X1105">
            <v>46257.756944444445</v>
          </cell>
          <cell r="Y1105">
            <v>46258.090277777781</v>
          </cell>
          <cell r="Z1105" t="str">
            <v>Rest Day</v>
          </cell>
          <cell r="AA1105" t="str">
            <v>Not Scheduled</v>
          </cell>
          <cell r="AB1105" t="str">
            <v>Not Present</v>
          </cell>
          <cell r="AC1105" t="str">
            <v>Outbound</v>
          </cell>
          <cell r="AD1105" t="str">
            <v>Picking</v>
          </cell>
          <cell r="AE1105" t="str">
            <v>Pick</v>
          </cell>
          <cell r="AF1105" t="str">
            <v>Saturday</v>
          </cell>
          <cell r="AG1105" t="str">
            <v>Sunday</v>
          </cell>
          <cell r="AH1105">
            <v>13</v>
          </cell>
          <cell r="AJ1105">
            <v>46251</v>
          </cell>
          <cell r="AM1105" t="str">
            <v>TEMP</v>
          </cell>
          <cell r="AN1105" t="str">
            <v>3P Onsite Worker</v>
          </cell>
          <cell r="AO1105" t="str">
            <v>A</v>
          </cell>
          <cell r="AP1105">
            <v>7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</row>
        <row r="1106">
          <cell r="D1106" t="str">
            <v>weermich</v>
          </cell>
          <cell r="E1106">
            <v>204072300</v>
          </cell>
          <cell r="F1106" t="str">
            <v>A</v>
          </cell>
          <cell r="G1106" t="str">
            <v>GREEN</v>
          </cell>
          <cell r="H1106" t="str">
            <v>FULL_TIME</v>
          </cell>
          <cell r="I1106">
            <v>900234</v>
          </cell>
          <cell r="J1106" t="str">
            <v>Dulsco L.L.C.</v>
          </cell>
          <cell r="K1106" t="str">
            <v>MICHEAL WEERE</v>
          </cell>
          <cell r="L1106" t="str">
            <v>Warehouse Associate (TEMP)</v>
          </cell>
          <cell r="M1106" t="str">
            <v>Warehouse Associate 24M</v>
          </cell>
          <cell r="N1106" t="str">
            <v>ansammar</v>
          </cell>
          <cell r="O1106">
            <v>1299</v>
          </cell>
          <cell r="P1106" t="str">
            <v>AUH1</v>
          </cell>
          <cell r="Q1106" t="str">
            <v>ARE</v>
          </cell>
          <cell r="R1106" t="str">
            <v>LK015</v>
          </cell>
          <cell r="S1106" t="str">
            <v>Night Shift</v>
          </cell>
          <cell r="T1106">
            <v>99</v>
          </cell>
          <cell r="U1106" t="str">
            <v>MENA_UAE_FC</v>
          </cell>
          <cell r="V1106">
            <v>46257.756944444445</v>
          </cell>
          <cell r="X1106">
            <v>46257.756944444445</v>
          </cell>
          <cell r="Y1106">
            <v>46258.173611111109</v>
          </cell>
          <cell r="AA1106" t="str">
            <v>Scheduled</v>
          </cell>
          <cell r="AB1106" t="str">
            <v>Present</v>
          </cell>
          <cell r="AC1106" t="str">
            <v>Outbound</v>
          </cell>
          <cell r="AD1106" t="str">
            <v>Picking</v>
          </cell>
          <cell r="AE1106" t="str">
            <v>Pick</v>
          </cell>
          <cell r="AF1106" t="str">
            <v>Tuesday</v>
          </cell>
          <cell r="AG1106" t="str">
            <v>Wednesday</v>
          </cell>
          <cell r="AH1106">
            <v>13</v>
          </cell>
          <cell r="AJ1106">
            <v>45557</v>
          </cell>
          <cell r="AM1106" t="str">
            <v>TEMP</v>
          </cell>
          <cell r="AN1106" t="str">
            <v>3P Onsite Worker</v>
          </cell>
          <cell r="AO1106" t="str">
            <v>A</v>
          </cell>
          <cell r="AP1106">
            <v>9</v>
          </cell>
          <cell r="AQ1106">
            <v>0</v>
          </cell>
          <cell r="AR1106">
            <v>1</v>
          </cell>
          <cell r="AS1106">
            <v>1</v>
          </cell>
          <cell r="AT1106">
            <v>0</v>
          </cell>
          <cell r="AU1106">
            <v>0</v>
          </cell>
        </row>
        <row r="1107">
          <cell r="D1107" t="str">
            <v>wekejose</v>
          </cell>
          <cell r="E1107">
            <v>206957734</v>
          </cell>
          <cell r="F1107" t="str">
            <v>A</v>
          </cell>
          <cell r="G1107" t="str">
            <v>GREEN</v>
          </cell>
          <cell r="H1107" t="str">
            <v>FULL_TIME</v>
          </cell>
          <cell r="I1107">
            <v>900234</v>
          </cell>
          <cell r="J1107" t="str">
            <v>EFS Facilities Services</v>
          </cell>
          <cell r="K1107" t="str">
            <v>Joseph Wekesa</v>
          </cell>
          <cell r="L1107" t="str">
            <v>Warehouse Associate (TEMP)</v>
          </cell>
          <cell r="M1107" t="str">
            <v>Warehouse Associate 8W</v>
          </cell>
          <cell r="N1107" t="str">
            <v>aanso</v>
          </cell>
          <cell r="O1107">
            <v>1299</v>
          </cell>
          <cell r="P1107" t="str">
            <v>AUH1</v>
          </cell>
          <cell r="Q1107" t="str">
            <v>ARE</v>
          </cell>
          <cell r="R1107" t="str">
            <v>FC059</v>
          </cell>
          <cell r="S1107" t="str">
            <v>Day Shift</v>
          </cell>
          <cell r="T1107">
            <v>99</v>
          </cell>
          <cell r="U1107" t="str">
            <v>MENA_UAE_FC</v>
          </cell>
          <cell r="X1107">
            <v>46257.333333333336</v>
          </cell>
          <cell r="Y1107">
            <v>46257.75</v>
          </cell>
          <cell r="Z1107" t="str">
            <v>Rest Day</v>
          </cell>
          <cell r="AA1107" t="str">
            <v>Not Scheduled</v>
          </cell>
          <cell r="AB1107" t="str">
            <v>Not Present</v>
          </cell>
          <cell r="AC1107" t="str">
            <v>Customer returns</v>
          </cell>
          <cell r="AD1107" t="str">
            <v>Customer Returns</v>
          </cell>
          <cell r="AE1107" t="str">
            <v>Customer returns</v>
          </cell>
          <cell r="AF1107" t="str">
            <v>Sunday</v>
          </cell>
          <cell r="AG1107" t="str">
            <v>Monday</v>
          </cell>
          <cell r="AH1107">
            <v>22</v>
          </cell>
          <cell r="AJ1107">
            <v>46047</v>
          </cell>
          <cell r="AM1107" t="str">
            <v>TEMP</v>
          </cell>
          <cell r="AN1107" t="str">
            <v>3P Onsite Worker</v>
          </cell>
          <cell r="AO1107" t="str">
            <v>A</v>
          </cell>
          <cell r="AP1107">
            <v>9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</row>
        <row r="1108">
          <cell r="D1108" t="str">
            <v>wgracech</v>
          </cell>
          <cell r="E1108">
            <v>204883245</v>
          </cell>
          <cell r="F1108" t="str">
            <v>A</v>
          </cell>
          <cell r="G1108" t="str">
            <v>GREEN</v>
          </cell>
          <cell r="H1108" t="str">
            <v>FULL_TIME</v>
          </cell>
          <cell r="I1108">
            <v>900234</v>
          </cell>
          <cell r="J1108" t="str">
            <v>Quesscorp</v>
          </cell>
          <cell r="K1108" t="str">
            <v>Grace Chido Nhau</v>
          </cell>
          <cell r="L1108" t="str">
            <v>Warehouse Associate (TEMP)</v>
          </cell>
          <cell r="M1108" t="str">
            <v>Warehouse Associate 24M</v>
          </cell>
          <cell r="N1108" t="str">
            <v>abbaszoo</v>
          </cell>
          <cell r="O1108">
            <v>1299</v>
          </cell>
          <cell r="P1108" t="str">
            <v>AUH1</v>
          </cell>
          <cell r="Q1108" t="str">
            <v>ARE</v>
          </cell>
          <cell r="R1108" t="str">
            <v>FC109</v>
          </cell>
          <cell r="S1108" t="str">
            <v>Day Shift</v>
          </cell>
          <cell r="T1108">
            <v>99</v>
          </cell>
          <cell r="U1108" t="str">
            <v>MENA_UAE_FC</v>
          </cell>
          <cell r="V1108">
            <v>46257.331944444442</v>
          </cell>
          <cell r="W1108">
            <v>46257.750694444447</v>
          </cell>
          <cell r="X1108">
            <v>46257.333333333336</v>
          </cell>
          <cell r="Y1108">
            <v>46257.75</v>
          </cell>
          <cell r="AA1108" t="str">
            <v>Scheduled</v>
          </cell>
          <cell r="AB1108" t="str">
            <v>Present</v>
          </cell>
          <cell r="AC1108" t="str">
            <v>Inbound</v>
          </cell>
          <cell r="AD1108" t="str">
            <v>Vendor Receive</v>
          </cell>
          <cell r="AE1108" t="str">
            <v>Receive</v>
          </cell>
          <cell r="AF1108" t="str">
            <v>Tuesday</v>
          </cell>
          <cell r="AG1108" t="str">
            <v>Wednesday</v>
          </cell>
          <cell r="AH1108">
            <v>1</v>
          </cell>
          <cell r="AJ1108">
            <v>45690</v>
          </cell>
          <cell r="AM1108" t="str">
            <v>TEMP</v>
          </cell>
          <cell r="AN1108" t="str">
            <v>3P Onsite Worker</v>
          </cell>
          <cell r="AO1108" t="str">
            <v>A</v>
          </cell>
          <cell r="AP1108">
            <v>9</v>
          </cell>
          <cell r="AQ1108">
            <v>0</v>
          </cell>
          <cell r="AR1108">
            <v>1</v>
          </cell>
          <cell r="AS1108">
            <v>1</v>
          </cell>
          <cell r="AT1108">
            <v>0</v>
          </cell>
          <cell r="AU1108">
            <v>0</v>
          </cell>
        </row>
        <row r="1109">
          <cell r="D1109" t="str">
            <v>wiafgord</v>
          </cell>
          <cell r="E1109">
            <v>202218633</v>
          </cell>
          <cell r="F1109" t="str">
            <v>A</v>
          </cell>
          <cell r="G1109" t="str">
            <v>GREEN</v>
          </cell>
          <cell r="H1109" t="str">
            <v>FULL_TIME</v>
          </cell>
          <cell r="I1109">
            <v>900234</v>
          </cell>
          <cell r="J1109" t="str">
            <v>Quesscorp</v>
          </cell>
          <cell r="K1109" t="str">
            <v>GORDON WIAFE</v>
          </cell>
          <cell r="L1109" t="str">
            <v>Warehouse Associate (TEMP)</v>
          </cell>
          <cell r="M1109" t="str">
            <v>Warehouse Associate 24M</v>
          </cell>
          <cell r="N1109" t="str">
            <v>pparsin</v>
          </cell>
          <cell r="O1109">
            <v>1299</v>
          </cell>
          <cell r="P1109" t="str">
            <v>AUH1</v>
          </cell>
          <cell r="Q1109" t="str">
            <v>ARE</v>
          </cell>
          <cell r="R1109" t="str">
            <v>FC134</v>
          </cell>
          <cell r="S1109" t="str">
            <v>Day Shift</v>
          </cell>
          <cell r="T1109">
            <v>99</v>
          </cell>
          <cell r="U1109" t="str">
            <v>MENA_UAE_FC</v>
          </cell>
          <cell r="V1109">
            <v>46257.333333333336</v>
          </cell>
          <cell r="W1109">
            <v>46257.755555555559</v>
          </cell>
          <cell r="X1109">
            <v>46257.333333333336</v>
          </cell>
          <cell r="Y1109">
            <v>46257.75</v>
          </cell>
          <cell r="AA1109" t="str">
            <v>Scheduled</v>
          </cell>
          <cell r="AB1109" t="str">
            <v>Present</v>
          </cell>
          <cell r="AC1109" t="str">
            <v>Inbound</v>
          </cell>
          <cell r="AD1109" t="str">
            <v>Inbound Stow</v>
          </cell>
          <cell r="AE1109" t="str">
            <v>Stow</v>
          </cell>
          <cell r="AF1109" t="str">
            <v>Wednesday</v>
          </cell>
          <cell r="AG1109" t="str">
            <v>Thursday</v>
          </cell>
          <cell r="AH1109">
            <v>3</v>
          </cell>
          <cell r="AJ1109">
            <v>45585</v>
          </cell>
          <cell r="AM1109" t="str">
            <v>TEMP</v>
          </cell>
          <cell r="AN1109" t="str">
            <v>3P Onsite Worker</v>
          </cell>
          <cell r="AO1109" t="str">
            <v>A</v>
          </cell>
          <cell r="AP1109">
            <v>9</v>
          </cell>
          <cell r="AQ1109">
            <v>0</v>
          </cell>
          <cell r="AR1109">
            <v>1</v>
          </cell>
          <cell r="AS1109">
            <v>1</v>
          </cell>
          <cell r="AT1109">
            <v>0</v>
          </cell>
          <cell r="AU1109">
            <v>0</v>
          </cell>
        </row>
        <row r="1110">
          <cell r="D1110" t="str">
            <v>wiafstep</v>
          </cell>
          <cell r="E1110">
            <v>206072878</v>
          </cell>
          <cell r="F1110" t="str">
            <v>A</v>
          </cell>
          <cell r="G1110" t="str">
            <v>GREEN</v>
          </cell>
          <cell r="H1110" t="str">
            <v>FULL_TIME</v>
          </cell>
          <cell r="I1110">
            <v>900234</v>
          </cell>
          <cell r="J1110" t="str">
            <v>Fastlink Outsourcing</v>
          </cell>
          <cell r="K1110" t="str">
            <v>Stephen Wiafe</v>
          </cell>
          <cell r="L1110" t="str">
            <v>Warehouse Associate (TEMP)</v>
          </cell>
          <cell r="M1110" t="str">
            <v>Warehouse Associate 12M</v>
          </cell>
          <cell r="N1110" t="str">
            <v>vkkatyal</v>
          </cell>
          <cell r="O1110">
            <v>1299</v>
          </cell>
          <cell r="P1110" t="str">
            <v>AUH1</v>
          </cell>
          <cell r="Q1110" t="str">
            <v>ARE</v>
          </cell>
          <cell r="R1110" t="str">
            <v>FC059</v>
          </cell>
          <cell r="S1110" t="str">
            <v>Day Shift</v>
          </cell>
          <cell r="T1110">
            <v>99</v>
          </cell>
          <cell r="U1110" t="str">
            <v>MENA_UAE_FC</v>
          </cell>
          <cell r="X1110">
            <v>46257.333333333336</v>
          </cell>
          <cell r="Y1110">
            <v>46257.75</v>
          </cell>
          <cell r="Z1110" t="str">
            <v>Rest Day</v>
          </cell>
          <cell r="AA1110" t="str">
            <v>Not Scheduled</v>
          </cell>
          <cell r="AB1110" t="str">
            <v>Not Present</v>
          </cell>
          <cell r="AC1110" t="str">
            <v>Inbound</v>
          </cell>
          <cell r="AD1110" t="str">
            <v>Inbound Stow</v>
          </cell>
          <cell r="AE1110" t="str">
            <v>Stow</v>
          </cell>
          <cell r="AF1110" t="str">
            <v>Sunday</v>
          </cell>
          <cell r="AG1110" t="str">
            <v>Monday</v>
          </cell>
          <cell r="AH1110">
            <v>3</v>
          </cell>
          <cell r="AJ1110">
            <v>45921</v>
          </cell>
          <cell r="AM1110" t="str">
            <v>TEMP</v>
          </cell>
          <cell r="AN1110" t="str">
            <v>3P Onsite Worker</v>
          </cell>
          <cell r="AO1110" t="str">
            <v>A</v>
          </cell>
          <cell r="AP1110">
            <v>9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</row>
        <row r="1111">
          <cell r="D1111" t="str">
            <v>wilesing</v>
          </cell>
          <cell r="E1111">
            <v>203911200</v>
          </cell>
          <cell r="F1111" t="str">
            <v>A</v>
          </cell>
          <cell r="G1111" t="str">
            <v>GREEN</v>
          </cell>
          <cell r="H1111" t="str">
            <v>FULL_TIME</v>
          </cell>
          <cell r="I1111">
            <v>900234</v>
          </cell>
          <cell r="J1111" t="str">
            <v>Adecco</v>
          </cell>
          <cell r="K1111" t="str">
            <v>William Singara</v>
          </cell>
          <cell r="L1111" t="str">
            <v>Warehouse Associate (TEMP)</v>
          </cell>
          <cell r="M1111" t="str">
            <v>Warehouse Associate 24M</v>
          </cell>
          <cell r="N1111" t="str">
            <v>ansammar</v>
          </cell>
          <cell r="O1111">
            <v>1299</v>
          </cell>
          <cell r="P1111" t="str">
            <v>AUH1</v>
          </cell>
          <cell r="Q1111" t="str">
            <v>ARE</v>
          </cell>
          <cell r="R1111" t="str">
            <v>LK013</v>
          </cell>
          <cell r="S1111" t="str">
            <v>Night Shift</v>
          </cell>
          <cell r="T1111">
            <v>99</v>
          </cell>
          <cell r="U1111" t="str">
            <v>MENA_UAE_FC</v>
          </cell>
          <cell r="X1111">
            <v>46257.756944444445</v>
          </cell>
          <cell r="Y1111">
            <v>46258.173611111109</v>
          </cell>
          <cell r="Z1111" t="str">
            <v>Rest Day</v>
          </cell>
          <cell r="AA1111" t="str">
            <v>Not Scheduled</v>
          </cell>
          <cell r="AB1111" t="str">
            <v>Not Present</v>
          </cell>
          <cell r="AC1111" t="str">
            <v>Outbound</v>
          </cell>
          <cell r="AD1111" t="str">
            <v>Sort - Batch</v>
          </cell>
          <cell r="AE1111" t="str">
            <v>Sort</v>
          </cell>
          <cell r="AF1111" t="str">
            <v>Sunday</v>
          </cell>
          <cell r="AG1111" t="str">
            <v>Monday</v>
          </cell>
          <cell r="AH1111">
            <v>15</v>
          </cell>
          <cell r="AJ1111">
            <v>45536</v>
          </cell>
          <cell r="AM1111" t="str">
            <v>TEMP</v>
          </cell>
          <cell r="AN1111" t="str">
            <v>3P Onsite Worker</v>
          </cell>
          <cell r="AO1111" t="str">
            <v>A</v>
          </cell>
          <cell r="AP1111">
            <v>9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</row>
        <row r="1112">
          <cell r="D1112" t="str">
            <v>wilfwood</v>
          </cell>
          <cell r="E1112">
            <v>206897671</v>
          </cell>
          <cell r="F1112" t="str">
            <v>A</v>
          </cell>
          <cell r="G1112" t="str">
            <v>GREEN</v>
          </cell>
          <cell r="H1112" t="str">
            <v>FULL_TIME</v>
          </cell>
          <cell r="I1112">
            <v>900234</v>
          </cell>
          <cell r="J1112" t="str">
            <v>Fastlink Outsourcing</v>
          </cell>
          <cell r="K1112" t="str">
            <v>WILFRED WOODE BROWN</v>
          </cell>
          <cell r="L1112" t="str">
            <v>Warehouse Associate (TEMP)</v>
          </cell>
          <cell r="M1112" t="str">
            <v>Warehouse Associate 8W</v>
          </cell>
          <cell r="N1112" t="str">
            <v>scariav</v>
          </cell>
          <cell r="O1112">
            <v>1299</v>
          </cell>
          <cell r="P1112" t="str">
            <v>AUH1</v>
          </cell>
          <cell r="Q1112" t="str">
            <v>ARE</v>
          </cell>
          <cell r="R1112" t="str">
            <v>FC555</v>
          </cell>
          <cell r="S1112" t="str">
            <v>Night Shift</v>
          </cell>
          <cell r="T1112">
            <v>99</v>
          </cell>
          <cell r="U1112" t="str">
            <v>MENA_UAE_FC</v>
          </cell>
          <cell r="V1112">
            <v>46257.755555555559</v>
          </cell>
          <cell r="X1112">
            <v>46257.756944444445</v>
          </cell>
          <cell r="Y1112">
            <v>46258.090277777781</v>
          </cell>
          <cell r="AA1112" t="str">
            <v>Scheduled</v>
          </cell>
          <cell r="AB1112" t="str">
            <v>Present</v>
          </cell>
          <cell r="AC1112" t="str">
            <v>Outbound</v>
          </cell>
          <cell r="AD1112" t="str">
            <v>Pack - Single</v>
          </cell>
          <cell r="AE1112" t="str">
            <v>Pack</v>
          </cell>
          <cell r="AF1112" t="str">
            <v>Monday</v>
          </cell>
          <cell r="AG1112" t="str">
            <v>Tuesday</v>
          </cell>
          <cell r="AH1112">
            <v>18</v>
          </cell>
          <cell r="AJ1112">
            <v>46237</v>
          </cell>
          <cell r="AM1112" t="str">
            <v>TEMP</v>
          </cell>
          <cell r="AN1112" t="str">
            <v>3P Onsite Worker</v>
          </cell>
          <cell r="AO1112" t="str">
            <v>A</v>
          </cell>
          <cell r="AP1112">
            <v>7</v>
          </cell>
          <cell r="AQ1112">
            <v>0</v>
          </cell>
          <cell r="AR1112">
            <v>1</v>
          </cell>
          <cell r="AS1112">
            <v>1</v>
          </cell>
          <cell r="AT1112">
            <v>0</v>
          </cell>
          <cell r="AU1112">
            <v>0</v>
          </cell>
        </row>
        <row r="1113">
          <cell r="D1113" t="str">
            <v>wilmande</v>
          </cell>
          <cell r="E1113">
            <v>205845559</v>
          </cell>
          <cell r="F1113" t="str">
            <v>A</v>
          </cell>
          <cell r="G1113" t="str">
            <v>GREEN</v>
          </cell>
          <cell r="H1113" t="str">
            <v>FULL_TIME</v>
          </cell>
          <cell r="I1113">
            <v>900234</v>
          </cell>
          <cell r="J1113" t="str">
            <v>Dulsco L.L.C.</v>
          </cell>
          <cell r="K1113" t="str">
            <v>WILSON MANDELA</v>
          </cell>
          <cell r="L1113" t="str">
            <v>Warehouse Associate (TEMP)</v>
          </cell>
          <cell r="M1113" t="str">
            <v>Warehouse Associate 24M</v>
          </cell>
          <cell r="N1113" t="str">
            <v>helrashd</v>
          </cell>
          <cell r="O1113">
            <v>1299</v>
          </cell>
          <cell r="P1113" t="str">
            <v>AUH1</v>
          </cell>
          <cell r="Q1113" t="str">
            <v>ARE</v>
          </cell>
          <cell r="R1113" t="str">
            <v>LK016</v>
          </cell>
          <cell r="S1113" t="str">
            <v>Night Shift</v>
          </cell>
          <cell r="T1113">
            <v>99</v>
          </cell>
          <cell r="U1113" t="str">
            <v>MENA_UAE_FC</v>
          </cell>
          <cell r="V1113">
            <v>46257.755555555559</v>
          </cell>
          <cell r="X1113">
            <v>46257.756944444445</v>
          </cell>
          <cell r="Y1113">
            <v>46258.173611111109</v>
          </cell>
          <cell r="AA1113" t="str">
            <v>Scheduled</v>
          </cell>
          <cell r="AB1113" t="str">
            <v>Present</v>
          </cell>
          <cell r="AC1113" t="str">
            <v>Outbound</v>
          </cell>
          <cell r="AD1113" t="str">
            <v>Picking</v>
          </cell>
          <cell r="AE1113" t="str">
            <v>Pick</v>
          </cell>
          <cell r="AF1113" t="str">
            <v>Wednesday</v>
          </cell>
          <cell r="AG1113" t="str">
            <v>Thursday</v>
          </cell>
          <cell r="AH1113">
            <v>13</v>
          </cell>
          <cell r="AJ1113">
            <v>45893</v>
          </cell>
          <cell r="AM1113" t="str">
            <v>TEMP</v>
          </cell>
          <cell r="AN1113" t="str">
            <v>3P Onsite Worker</v>
          </cell>
          <cell r="AO1113" t="str">
            <v>A</v>
          </cell>
          <cell r="AP1113">
            <v>9</v>
          </cell>
          <cell r="AQ1113">
            <v>0</v>
          </cell>
          <cell r="AR1113">
            <v>1</v>
          </cell>
          <cell r="AS1113">
            <v>1</v>
          </cell>
          <cell r="AT1113">
            <v>0</v>
          </cell>
          <cell r="AU1113">
            <v>0</v>
          </cell>
        </row>
        <row r="1114">
          <cell r="D1114" t="str">
            <v>wimumber</v>
          </cell>
          <cell r="E1114">
            <v>204009364</v>
          </cell>
          <cell r="F1114" t="str">
            <v>A</v>
          </cell>
          <cell r="G1114" t="str">
            <v>GREEN</v>
          </cell>
          <cell r="H1114" t="str">
            <v>FULL_TIME</v>
          </cell>
          <cell r="I1114">
            <v>900234</v>
          </cell>
          <cell r="J1114" t="str">
            <v>Dulsco L.L.C.</v>
          </cell>
          <cell r="K1114" t="str">
            <v>WILSON MUMBERE</v>
          </cell>
          <cell r="L1114" t="str">
            <v>Warehouse Associate (TEMP)</v>
          </cell>
          <cell r="M1114" t="str">
            <v>Warehouse Associate 8W</v>
          </cell>
          <cell r="N1114" t="str">
            <v>ansammar</v>
          </cell>
          <cell r="O1114">
            <v>1299</v>
          </cell>
          <cell r="P1114" t="str">
            <v>AUH1</v>
          </cell>
          <cell r="Q1114" t="str">
            <v>ARE</v>
          </cell>
          <cell r="R1114" t="str">
            <v>FC109</v>
          </cell>
          <cell r="S1114" t="str">
            <v>Day Shift</v>
          </cell>
          <cell r="T1114">
            <v>99</v>
          </cell>
          <cell r="U1114" t="str">
            <v>MENA_UAE_FC</v>
          </cell>
          <cell r="V1114">
            <v>46257.333333333336</v>
          </cell>
          <cell r="W1114">
            <v>46257.750694444447</v>
          </cell>
          <cell r="X1114">
            <v>46257.333333333336</v>
          </cell>
          <cell r="Y1114">
            <v>46257.75</v>
          </cell>
          <cell r="AA1114" t="str">
            <v>Scheduled</v>
          </cell>
          <cell r="AB1114" t="str">
            <v>Present</v>
          </cell>
          <cell r="AC1114" t="str">
            <v>Outbound</v>
          </cell>
          <cell r="AD1114" t="str">
            <v>Picking</v>
          </cell>
          <cell r="AE1114" t="str">
            <v>Pick</v>
          </cell>
          <cell r="AF1114" t="str">
            <v>Tuesday</v>
          </cell>
          <cell r="AG1114" t="str">
            <v>Wednesday</v>
          </cell>
          <cell r="AH1114">
            <v>13</v>
          </cell>
          <cell r="AJ1114">
            <v>45550</v>
          </cell>
          <cell r="AM1114" t="str">
            <v>TEMP</v>
          </cell>
          <cell r="AN1114" t="str">
            <v>3P Onsite Worker</v>
          </cell>
          <cell r="AO1114" t="str">
            <v>A</v>
          </cell>
          <cell r="AP1114">
            <v>9</v>
          </cell>
          <cell r="AQ1114">
            <v>0</v>
          </cell>
          <cell r="AR1114">
            <v>1</v>
          </cell>
          <cell r="AS1114">
            <v>1</v>
          </cell>
          <cell r="AT1114">
            <v>0</v>
          </cell>
          <cell r="AU1114">
            <v>0</v>
          </cell>
        </row>
        <row r="1115">
          <cell r="D1115" t="str">
            <v>winashcr</v>
          </cell>
          <cell r="E1115">
            <v>203881697</v>
          </cell>
          <cell r="F1115" t="str">
            <v>A</v>
          </cell>
          <cell r="G1115" t="str">
            <v>GREEN</v>
          </cell>
          <cell r="H1115" t="str">
            <v>FULL_TIME</v>
          </cell>
          <cell r="I1115">
            <v>900234</v>
          </cell>
          <cell r="J1115" t="str">
            <v>Fastlink Outsourcing</v>
          </cell>
          <cell r="K1115" t="str">
            <v>Winston Ashcroft</v>
          </cell>
          <cell r="L1115" t="str">
            <v>Warehouse Associate (TEMP)</v>
          </cell>
          <cell r="M1115" t="str">
            <v>Warehouse Associate 12M</v>
          </cell>
          <cell r="N1115" t="str">
            <v>ansammar</v>
          </cell>
          <cell r="O1115">
            <v>1299</v>
          </cell>
          <cell r="P1115" t="str">
            <v>AUH1</v>
          </cell>
          <cell r="Q1115" t="str">
            <v>ARE</v>
          </cell>
          <cell r="R1115" t="str">
            <v>LK016</v>
          </cell>
          <cell r="S1115" t="str">
            <v>Night Shift</v>
          </cell>
          <cell r="T1115">
            <v>99</v>
          </cell>
          <cell r="U1115" t="str">
            <v>MENA_UAE_FC</v>
          </cell>
          <cell r="V1115">
            <v>46257.756249999999</v>
          </cell>
          <cell r="X1115">
            <v>46257.756944444445</v>
          </cell>
          <cell r="Y1115">
            <v>46258.173611111109</v>
          </cell>
          <cell r="AA1115" t="str">
            <v>Scheduled</v>
          </cell>
          <cell r="AB1115" t="str">
            <v>Present</v>
          </cell>
          <cell r="AC1115" t="str">
            <v>Outbound</v>
          </cell>
          <cell r="AD1115" t="str">
            <v>Pack - Single</v>
          </cell>
          <cell r="AE1115" t="str">
            <v>Pack</v>
          </cell>
          <cell r="AF1115" t="str">
            <v>Wednesday</v>
          </cell>
          <cell r="AG1115" t="str">
            <v>Thursday</v>
          </cell>
          <cell r="AH1115">
            <v>18</v>
          </cell>
          <cell r="AJ1115">
            <v>45529</v>
          </cell>
          <cell r="AM1115" t="str">
            <v>TEMP</v>
          </cell>
          <cell r="AN1115" t="str">
            <v>3P Onsite Worker</v>
          </cell>
          <cell r="AO1115" t="str">
            <v>A</v>
          </cell>
          <cell r="AP1115">
            <v>9</v>
          </cell>
          <cell r="AQ1115">
            <v>0</v>
          </cell>
          <cell r="AR1115">
            <v>1</v>
          </cell>
          <cell r="AS1115">
            <v>1</v>
          </cell>
          <cell r="AT1115">
            <v>0</v>
          </cell>
          <cell r="AU1115">
            <v>0</v>
          </cell>
        </row>
        <row r="1116">
          <cell r="D1116" t="str">
            <v>winthala</v>
          </cell>
          <cell r="E1116">
            <v>206902844</v>
          </cell>
          <cell r="F1116" t="str">
            <v>A</v>
          </cell>
          <cell r="G1116" t="str">
            <v>GREEN</v>
          </cell>
          <cell r="H1116" t="str">
            <v>FULL_TIME</v>
          </cell>
          <cell r="I1116">
            <v>900234</v>
          </cell>
          <cell r="J1116" t="str">
            <v>Dulsco L.L.C.</v>
          </cell>
          <cell r="K1116" t="str">
            <v>WILLIAM NTHALA</v>
          </cell>
          <cell r="L1116" t="str">
            <v>Warehouse Associate (TEMP)</v>
          </cell>
          <cell r="M1116" t="str">
            <v>Warehouse Associate 8W</v>
          </cell>
          <cell r="N1116" t="str">
            <v>ansammar</v>
          </cell>
          <cell r="O1116">
            <v>1299</v>
          </cell>
          <cell r="P1116" t="str">
            <v>AUH1</v>
          </cell>
          <cell r="Q1116" t="str">
            <v>ARE</v>
          </cell>
          <cell r="R1116" t="str">
            <v>LK014</v>
          </cell>
          <cell r="S1116" t="str">
            <v>Night Shift</v>
          </cell>
          <cell r="T1116">
            <v>99</v>
          </cell>
          <cell r="U1116" t="str">
            <v>MENA_UAE_FC</v>
          </cell>
          <cell r="V1116">
            <v>46257.755555555559</v>
          </cell>
          <cell r="X1116">
            <v>46257.756944444445</v>
          </cell>
          <cell r="Y1116">
            <v>46258.173611111109</v>
          </cell>
          <cell r="AA1116" t="str">
            <v>Scheduled</v>
          </cell>
          <cell r="AB1116" t="str">
            <v>Present</v>
          </cell>
          <cell r="AC1116" t="str">
            <v>Outbound</v>
          </cell>
          <cell r="AD1116" t="str">
            <v>Picking</v>
          </cell>
          <cell r="AE1116" t="str">
            <v>Pick</v>
          </cell>
          <cell r="AF1116" t="str">
            <v>Monday</v>
          </cell>
          <cell r="AG1116" t="str">
            <v>Tuesday</v>
          </cell>
          <cell r="AH1116">
            <v>13</v>
          </cell>
          <cell r="AJ1116">
            <v>46029</v>
          </cell>
          <cell r="AM1116" t="str">
            <v>TEMP</v>
          </cell>
          <cell r="AN1116" t="str">
            <v>3P Onsite Worker</v>
          </cell>
          <cell r="AO1116" t="str">
            <v>A</v>
          </cell>
          <cell r="AP1116">
            <v>9</v>
          </cell>
          <cell r="AQ1116">
            <v>0</v>
          </cell>
          <cell r="AR1116">
            <v>1</v>
          </cell>
          <cell r="AS1116">
            <v>1</v>
          </cell>
          <cell r="AT1116">
            <v>0</v>
          </cell>
          <cell r="AU1116">
            <v>0</v>
          </cell>
        </row>
        <row r="1117">
          <cell r="D1117" t="str">
            <v>winwayua</v>
          </cell>
          <cell r="E1117">
            <v>206953818</v>
          </cell>
          <cell r="F1117" t="str">
            <v>A</v>
          </cell>
          <cell r="G1117" t="str">
            <v>GREEN</v>
          </cell>
          <cell r="H1117" t="str">
            <v>FULL_TIME</v>
          </cell>
          <cell r="I1117">
            <v>900234</v>
          </cell>
          <cell r="J1117" t="str">
            <v>EFS Facilities Services</v>
          </cell>
          <cell r="K1117" t="str">
            <v>Winfred Wayua</v>
          </cell>
          <cell r="L1117" t="str">
            <v>Warehouse Associate (TEMP)</v>
          </cell>
          <cell r="M1117" t="str">
            <v>Warehouse Associate 8W</v>
          </cell>
          <cell r="N1117" t="str">
            <v>kebedeed</v>
          </cell>
          <cell r="O1117">
            <v>1299</v>
          </cell>
          <cell r="P1117" t="str">
            <v>AUH1</v>
          </cell>
          <cell r="Q1117" t="str">
            <v>ARE</v>
          </cell>
          <cell r="R1117" t="str">
            <v>FC084</v>
          </cell>
          <cell r="S1117" t="str">
            <v>Day Shift</v>
          </cell>
          <cell r="T1117">
            <v>99</v>
          </cell>
          <cell r="U1117" t="str">
            <v>MENA_UAE_FC</v>
          </cell>
          <cell r="V1117">
            <v>46257.331944444442</v>
          </cell>
          <cell r="W1117">
            <v>46257.74722222222</v>
          </cell>
          <cell r="X1117">
            <v>46257.333333333336</v>
          </cell>
          <cell r="Y1117">
            <v>46257.75</v>
          </cell>
          <cell r="AA1117" t="str">
            <v>Scheduled</v>
          </cell>
          <cell r="AB1117" t="str">
            <v>Present</v>
          </cell>
          <cell r="AC1117" t="str">
            <v>ICQA</v>
          </cell>
          <cell r="AD1117" t="str">
            <v>IC/QA/CS</v>
          </cell>
          <cell r="AE1117" t="str">
            <v>Support</v>
          </cell>
          <cell r="AF1117" t="str">
            <v>Monday</v>
          </cell>
          <cell r="AG1117" t="str">
            <v>Tuesday</v>
          </cell>
          <cell r="AH1117">
            <v>27</v>
          </cell>
          <cell r="AJ1117">
            <v>46047</v>
          </cell>
          <cell r="AM1117" t="str">
            <v>TEMP</v>
          </cell>
          <cell r="AN1117" t="str">
            <v>3P Onsite Worker</v>
          </cell>
          <cell r="AO1117" t="str">
            <v>A</v>
          </cell>
          <cell r="AP1117">
            <v>9</v>
          </cell>
          <cell r="AQ1117">
            <v>0</v>
          </cell>
          <cell r="AR1117">
            <v>1</v>
          </cell>
          <cell r="AS1117">
            <v>1</v>
          </cell>
          <cell r="AT1117">
            <v>0</v>
          </cell>
          <cell r="AU1117">
            <v>0</v>
          </cell>
        </row>
        <row r="1118">
          <cell r="D1118" t="str">
            <v>wlajeffr</v>
          </cell>
          <cell r="E1118">
            <v>206136731</v>
          </cell>
          <cell r="F1118" t="str">
            <v>A</v>
          </cell>
          <cell r="G1118" t="str">
            <v>GREEN</v>
          </cell>
          <cell r="H1118" t="str">
            <v>FULL_TIME</v>
          </cell>
          <cell r="I1118">
            <v>900234</v>
          </cell>
          <cell r="J1118" t="str">
            <v>Fastlink Outsourcing</v>
          </cell>
          <cell r="K1118" t="str">
            <v>Jeffrey Laryea Kwei Kumah</v>
          </cell>
          <cell r="L1118" t="str">
            <v>Warehouse Associate (TEMP)</v>
          </cell>
          <cell r="M1118" t="str">
            <v>Warehouse Associate 12M</v>
          </cell>
          <cell r="N1118" t="str">
            <v>helrashd</v>
          </cell>
          <cell r="O1118">
            <v>1299</v>
          </cell>
          <cell r="P1118" t="str">
            <v>AUH1</v>
          </cell>
          <cell r="Q1118" t="str">
            <v>ARE</v>
          </cell>
          <cell r="R1118" t="str">
            <v>LK011</v>
          </cell>
          <cell r="S1118" t="str">
            <v>Night Shift</v>
          </cell>
          <cell r="T1118">
            <v>99</v>
          </cell>
          <cell r="U1118" t="str">
            <v>MENA_UAE_FC</v>
          </cell>
          <cell r="V1118">
            <v>46257.755555555559</v>
          </cell>
          <cell r="X1118">
            <v>46257.756944444445</v>
          </cell>
          <cell r="Y1118">
            <v>46258.173611111109</v>
          </cell>
          <cell r="AA1118" t="str">
            <v>Scheduled</v>
          </cell>
          <cell r="AB1118" t="str">
            <v>Present</v>
          </cell>
          <cell r="AC1118" t="str">
            <v>Outbound</v>
          </cell>
          <cell r="AD1118" t="str">
            <v>Picking</v>
          </cell>
          <cell r="AE1118" t="str">
            <v>Pick</v>
          </cell>
          <cell r="AF1118" t="str">
            <v>Friday</v>
          </cell>
          <cell r="AG1118" t="str">
            <v>Saturday</v>
          </cell>
          <cell r="AH1118">
            <v>13</v>
          </cell>
          <cell r="AJ1118">
            <v>45928</v>
          </cell>
          <cell r="AM1118" t="str">
            <v>TEMP</v>
          </cell>
          <cell r="AN1118" t="str">
            <v>3P Onsite Worker</v>
          </cell>
          <cell r="AO1118" t="str">
            <v>A</v>
          </cell>
          <cell r="AP1118">
            <v>9</v>
          </cell>
          <cell r="AQ1118">
            <v>0</v>
          </cell>
          <cell r="AR1118">
            <v>1</v>
          </cell>
          <cell r="AS1118">
            <v>1</v>
          </cell>
          <cell r="AT1118">
            <v>0</v>
          </cell>
          <cell r="AU1118">
            <v>0</v>
          </cell>
        </row>
        <row r="1119">
          <cell r="D1119" t="str">
            <v>wmasolwi</v>
          </cell>
          <cell r="E1119">
            <v>203735945</v>
          </cell>
          <cell r="F1119" t="str">
            <v>A</v>
          </cell>
          <cell r="G1119" t="str">
            <v>GREEN</v>
          </cell>
          <cell r="H1119" t="str">
            <v>FULL_TIME</v>
          </cell>
          <cell r="I1119">
            <v>900234</v>
          </cell>
          <cell r="J1119" t="str">
            <v>Dulsco L.L.C.</v>
          </cell>
          <cell r="K1119" t="str">
            <v>WILLIAM MASOLE</v>
          </cell>
          <cell r="L1119" t="str">
            <v>Warehouse Associate (TEMP)</v>
          </cell>
          <cell r="M1119" t="str">
            <v>Warehouse Associate 8W</v>
          </cell>
          <cell r="N1119" t="str">
            <v>bavameer</v>
          </cell>
          <cell r="O1119">
            <v>1299</v>
          </cell>
          <cell r="P1119" t="str">
            <v>AUH1</v>
          </cell>
          <cell r="Q1119" t="str">
            <v>ARE</v>
          </cell>
          <cell r="R1119" t="str">
            <v>LK016</v>
          </cell>
          <cell r="S1119" t="str">
            <v>Night Shift</v>
          </cell>
          <cell r="T1119">
            <v>99</v>
          </cell>
          <cell r="U1119" t="str">
            <v>MENA_UAE_FC</v>
          </cell>
          <cell r="V1119">
            <v>46257.754166666666</v>
          </cell>
          <cell r="X1119">
            <v>46257.756944444445</v>
          </cell>
          <cell r="Y1119">
            <v>46258.173611111109</v>
          </cell>
          <cell r="AA1119" t="str">
            <v>Scheduled</v>
          </cell>
          <cell r="AB1119" t="str">
            <v>Present</v>
          </cell>
          <cell r="AC1119" t="str">
            <v>Customer returns</v>
          </cell>
          <cell r="AD1119" t="str">
            <v>Customer Returns</v>
          </cell>
          <cell r="AE1119" t="str">
            <v>Customer returns</v>
          </cell>
          <cell r="AF1119" t="str">
            <v>Wednesday</v>
          </cell>
          <cell r="AG1119" t="str">
            <v>Thursday</v>
          </cell>
          <cell r="AH1119">
            <v>22</v>
          </cell>
          <cell r="AJ1119">
            <v>45501</v>
          </cell>
          <cell r="AM1119" t="str">
            <v>TEMP</v>
          </cell>
          <cell r="AN1119" t="str">
            <v>3P Onsite Worker</v>
          </cell>
          <cell r="AO1119" t="str">
            <v>A</v>
          </cell>
          <cell r="AP1119">
            <v>9</v>
          </cell>
          <cell r="AQ1119">
            <v>0</v>
          </cell>
          <cell r="AR1119">
            <v>1</v>
          </cell>
          <cell r="AS1119">
            <v>1</v>
          </cell>
          <cell r="AT1119">
            <v>0</v>
          </cell>
          <cell r="AU1119">
            <v>0</v>
          </cell>
        </row>
        <row r="1120">
          <cell r="D1120" t="str">
            <v>wmohshak</v>
          </cell>
          <cell r="E1120">
            <v>203965009</v>
          </cell>
          <cell r="F1120" t="str">
            <v>A</v>
          </cell>
          <cell r="G1120" t="str">
            <v>GREEN</v>
          </cell>
          <cell r="H1120" t="str">
            <v>FULL_TIME</v>
          </cell>
          <cell r="I1120">
            <v>900234</v>
          </cell>
          <cell r="J1120" t="str">
            <v>Adecco</v>
          </cell>
          <cell r="K1120" t="str">
            <v>Mohamed Shakir</v>
          </cell>
          <cell r="L1120" t="str">
            <v>Warehouse Associate (TEMP)</v>
          </cell>
          <cell r="M1120" t="str">
            <v>Warehouse Associate 24M</v>
          </cell>
          <cell r="N1120" t="str">
            <v>bizthoma</v>
          </cell>
          <cell r="O1120">
            <v>1299</v>
          </cell>
          <cell r="P1120" t="str">
            <v>AUH1</v>
          </cell>
          <cell r="Q1120" t="str">
            <v>ARE</v>
          </cell>
          <cell r="R1120" t="str">
            <v>LK012</v>
          </cell>
          <cell r="S1120" t="str">
            <v>Night Shift</v>
          </cell>
          <cell r="T1120">
            <v>99</v>
          </cell>
          <cell r="U1120" t="str">
            <v>MENA_UAE_FC</v>
          </cell>
          <cell r="V1120">
            <v>46257.334027777775</v>
          </cell>
          <cell r="W1120">
            <v>46257.747916666667</v>
          </cell>
          <cell r="X1120">
            <v>46257.333333333336</v>
          </cell>
          <cell r="Y1120">
            <v>46257.75</v>
          </cell>
          <cell r="AA1120" t="str">
            <v>Scheduled</v>
          </cell>
          <cell r="AB1120" t="str">
            <v>Present</v>
          </cell>
          <cell r="AC1120" t="str">
            <v>Outbound</v>
          </cell>
          <cell r="AD1120" t="str">
            <v>Picking</v>
          </cell>
          <cell r="AE1120" t="str">
            <v>Pick</v>
          </cell>
          <cell r="AF1120" t="str">
            <v>Saturday</v>
          </cell>
          <cell r="AG1120" t="str">
            <v>Sunday</v>
          </cell>
          <cell r="AH1120">
            <v>13</v>
          </cell>
          <cell r="AJ1120">
            <v>45543</v>
          </cell>
          <cell r="AM1120" t="str">
            <v>TEMP</v>
          </cell>
          <cell r="AN1120" t="str">
            <v>3P Onsite Worker</v>
          </cell>
          <cell r="AO1120" t="str">
            <v>A</v>
          </cell>
          <cell r="AP1120">
            <v>9</v>
          </cell>
          <cell r="AQ1120">
            <v>0</v>
          </cell>
          <cell r="AR1120">
            <v>1</v>
          </cell>
          <cell r="AS1120">
            <v>1</v>
          </cell>
          <cell r="AT1120">
            <v>0</v>
          </cell>
          <cell r="AU1120">
            <v>0</v>
          </cell>
        </row>
        <row r="1121">
          <cell r="D1121" t="str">
            <v>wrkilama</v>
          </cell>
          <cell r="E1121">
            <v>203737198</v>
          </cell>
          <cell r="F1121" t="str">
            <v>A</v>
          </cell>
          <cell r="G1121" t="str">
            <v>GREEN</v>
          </cell>
          <cell r="H1121" t="str">
            <v>FULL_TIME</v>
          </cell>
          <cell r="I1121">
            <v>900234</v>
          </cell>
          <cell r="J1121" t="str">
            <v>Dulsco L.L.C.</v>
          </cell>
          <cell r="K1121" t="str">
            <v>WILLIAM KILAMA</v>
          </cell>
          <cell r="L1121" t="str">
            <v>Warehouse Associate (TEMP)</v>
          </cell>
          <cell r="M1121" t="str">
            <v>Warehouse Associate 24M</v>
          </cell>
          <cell r="N1121" t="str">
            <v>vkkatyal</v>
          </cell>
          <cell r="O1121">
            <v>1299</v>
          </cell>
          <cell r="P1121" t="str">
            <v>AUH1</v>
          </cell>
          <cell r="Q1121" t="str">
            <v>ARE</v>
          </cell>
          <cell r="R1121" t="str">
            <v>LK013</v>
          </cell>
          <cell r="S1121" t="str">
            <v>Night Shift</v>
          </cell>
          <cell r="T1121">
            <v>99</v>
          </cell>
          <cell r="U1121" t="str">
            <v>MENA_UAE_FC</v>
          </cell>
          <cell r="X1121">
            <v>46257.756944444445</v>
          </cell>
          <cell r="Y1121">
            <v>46258.173611111109</v>
          </cell>
          <cell r="Z1121" t="str">
            <v>Rest Day</v>
          </cell>
          <cell r="AA1121" t="str">
            <v>Not Scheduled</v>
          </cell>
          <cell r="AB1121" t="str">
            <v>Not Present</v>
          </cell>
          <cell r="AC1121" t="str">
            <v>Inbound</v>
          </cell>
          <cell r="AD1121" t="str">
            <v>Inbound Stow</v>
          </cell>
          <cell r="AE1121" t="str">
            <v>Stow</v>
          </cell>
          <cell r="AF1121" t="str">
            <v>Sunday</v>
          </cell>
          <cell r="AG1121" t="str">
            <v>Monday</v>
          </cell>
          <cell r="AH1121">
            <v>3</v>
          </cell>
          <cell r="AJ1121">
            <v>45501</v>
          </cell>
          <cell r="AM1121" t="str">
            <v>TEMP</v>
          </cell>
          <cell r="AN1121" t="str">
            <v>3P Onsite Worker</v>
          </cell>
          <cell r="AO1121" t="str">
            <v>A</v>
          </cell>
          <cell r="AP1121">
            <v>9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</row>
        <row r="1122">
          <cell r="D1122" t="str">
            <v>xaboppon</v>
          </cell>
          <cell r="E1122">
            <v>200061207</v>
          </cell>
          <cell r="F1122" t="str">
            <v>A</v>
          </cell>
          <cell r="G1122" t="str">
            <v>GREEN</v>
          </cell>
          <cell r="H1122" t="str">
            <v>FULL_TIME</v>
          </cell>
          <cell r="I1122">
            <v>900234</v>
          </cell>
          <cell r="J1122" t="str">
            <v>Fastlink Outsourcing</v>
          </cell>
          <cell r="K1122" t="str">
            <v>Abdul-Aziz Oppong</v>
          </cell>
          <cell r="L1122" t="str">
            <v>Warehouse Associate (TEMP)</v>
          </cell>
          <cell r="M1122" t="str">
            <v>Warehouse Associate 12M</v>
          </cell>
          <cell r="N1122" t="str">
            <v>scariav</v>
          </cell>
          <cell r="O1122">
            <v>1299</v>
          </cell>
          <cell r="P1122" t="str">
            <v>AUH1</v>
          </cell>
          <cell r="Q1122" t="str">
            <v>ARE</v>
          </cell>
          <cell r="R1122" t="str">
            <v>LK013</v>
          </cell>
          <cell r="S1122" t="str">
            <v>Night Shift</v>
          </cell>
          <cell r="T1122">
            <v>99</v>
          </cell>
          <cell r="U1122" t="str">
            <v>MENA_UAE_FC</v>
          </cell>
          <cell r="V1122">
            <v>46257.756944444445</v>
          </cell>
          <cell r="X1122">
            <v>46257.756944444445</v>
          </cell>
          <cell r="Y1122">
            <v>46258.173611111109</v>
          </cell>
          <cell r="Z1122" t="str">
            <v>Rest Day</v>
          </cell>
          <cell r="AA1122" t="str">
            <v>Not Scheduled</v>
          </cell>
          <cell r="AB1122" t="str">
            <v>Present</v>
          </cell>
          <cell r="AC1122" t="str">
            <v>Outbound</v>
          </cell>
          <cell r="AD1122" t="str">
            <v>Sort - Batch</v>
          </cell>
          <cell r="AE1122" t="str">
            <v>Sort</v>
          </cell>
          <cell r="AF1122" t="str">
            <v>Sunday</v>
          </cell>
          <cell r="AG1122" t="str">
            <v>Monday</v>
          </cell>
          <cell r="AH1122">
            <v>15</v>
          </cell>
          <cell r="AJ1122">
            <v>45536</v>
          </cell>
          <cell r="AM1122" t="str">
            <v>TEMP</v>
          </cell>
          <cell r="AN1122" t="str">
            <v>3P Onsite Worker</v>
          </cell>
          <cell r="AO1122" t="str">
            <v>A</v>
          </cell>
          <cell r="AP1122">
            <v>9</v>
          </cell>
          <cell r="AQ1122">
            <v>1</v>
          </cell>
          <cell r="AR1122">
            <v>1</v>
          </cell>
          <cell r="AS1122">
            <v>0</v>
          </cell>
          <cell r="AT1122">
            <v>0</v>
          </cell>
          <cell r="AU1122">
            <v>0</v>
          </cell>
        </row>
        <row r="1123">
          <cell r="D1123" t="str">
            <v>xaijueli</v>
          </cell>
          <cell r="E1123">
            <v>206873708</v>
          </cell>
          <cell r="F1123" t="str">
            <v>A</v>
          </cell>
          <cell r="G1123" t="str">
            <v>GREEN</v>
          </cell>
          <cell r="H1123" t="str">
            <v>FULL_TIME</v>
          </cell>
          <cell r="I1123">
            <v>900234</v>
          </cell>
          <cell r="J1123" t="str">
            <v>Dulsco L.L.C.</v>
          </cell>
          <cell r="K1123" t="str">
            <v>AIJUKA ELIYA</v>
          </cell>
          <cell r="L1123" t="str">
            <v>Warehouse Associate (TEMP)</v>
          </cell>
          <cell r="M1123" t="str">
            <v>Warehouse Associate 8W</v>
          </cell>
          <cell r="N1123" t="str">
            <v>aanso</v>
          </cell>
          <cell r="O1123">
            <v>1299</v>
          </cell>
          <cell r="P1123" t="str">
            <v>AUH1</v>
          </cell>
          <cell r="Q1123" t="str">
            <v>ARE</v>
          </cell>
          <cell r="R1123" t="str">
            <v>FC034</v>
          </cell>
          <cell r="S1123" t="str">
            <v>Day Shift</v>
          </cell>
          <cell r="T1123">
            <v>99</v>
          </cell>
          <cell r="U1123" t="str">
            <v>MENA_UAE_FC</v>
          </cell>
          <cell r="X1123">
            <v>46257.333333333336</v>
          </cell>
          <cell r="Y1123">
            <v>46257.75</v>
          </cell>
          <cell r="Z1123" t="str">
            <v>Rest Day</v>
          </cell>
          <cell r="AA1123" t="str">
            <v>Not Scheduled</v>
          </cell>
          <cell r="AB1123" t="str">
            <v>Not Present</v>
          </cell>
          <cell r="AC1123" t="str">
            <v>Customer returns</v>
          </cell>
          <cell r="AD1123" t="str">
            <v>Customer Returns</v>
          </cell>
          <cell r="AE1123" t="str">
            <v>Customer returns</v>
          </cell>
          <cell r="AF1123" t="str">
            <v>Saturday</v>
          </cell>
          <cell r="AG1123" t="str">
            <v>Sunday</v>
          </cell>
          <cell r="AH1123">
            <v>22</v>
          </cell>
          <cell r="AJ1123">
            <v>46019</v>
          </cell>
          <cell r="AM1123" t="str">
            <v>TEMP</v>
          </cell>
          <cell r="AN1123" t="str">
            <v>3P Onsite Worker</v>
          </cell>
          <cell r="AO1123" t="str">
            <v>A</v>
          </cell>
          <cell r="AP1123">
            <v>9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</row>
        <row r="1124">
          <cell r="D1124" t="str">
            <v>xcemmanu</v>
          </cell>
          <cell r="E1124">
            <v>203468509</v>
          </cell>
          <cell r="F1124" t="str">
            <v>A</v>
          </cell>
          <cell r="G1124" t="str">
            <v>GREEN</v>
          </cell>
          <cell r="H1124" t="str">
            <v>FULL_TIME</v>
          </cell>
          <cell r="I1124">
            <v>900234</v>
          </cell>
          <cell r="J1124" t="str">
            <v>Fastlink Outsourcing</v>
          </cell>
          <cell r="K1124" t="str">
            <v>Emmanuel Cudjoe</v>
          </cell>
          <cell r="L1124" t="str">
            <v>Warehouse Associate (TEMP)</v>
          </cell>
          <cell r="M1124" t="str">
            <v>Warehouse Associate 12M</v>
          </cell>
          <cell r="N1124" t="str">
            <v>kebedeed</v>
          </cell>
          <cell r="O1124">
            <v>1299</v>
          </cell>
          <cell r="P1124" t="str">
            <v>AUH1</v>
          </cell>
          <cell r="Q1124" t="str">
            <v>ARE</v>
          </cell>
          <cell r="R1124" t="str">
            <v>FC009</v>
          </cell>
          <cell r="S1124" t="str">
            <v>Day Shift</v>
          </cell>
          <cell r="T1124">
            <v>99</v>
          </cell>
          <cell r="U1124" t="str">
            <v>MENA_UAE_FC</v>
          </cell>
          <cell r="V1124">
            <v>46257.331944444442</v>
          </cell>
          <cell r="W1124">
            <v>46257.746527777781</v>
          </cell>
          <cell r="X1124">
            <v>46257.333333333336</v>
          </cell>
          <cell r="Y1124">
            <v>46257.75</v>
          </cell>
          <cell r="AA1124" t="str">
            <v>Scheduled</v>
          </cell>
          <cell r="AB1124" t="str">
            <v>Present</v>
          </cell>
          <cell r="AC1124" t="str">
            <v>ICQA</v>
          </cell>
          <cell r="AD1124" t="str">
            <v>IC/QA/CS</v>
          </cell>
          <cell r="AE1124" t="str">
            <v>Support</v>
          </cell>
          <cell r="AF1124" t="str">
            <v>Friday</v>
          </cell>
          <cell r="AG1124" t="str">
            <v>Saturday</v>
          </cell>
          <cell r="AH1124">
            <v>27</v>
          </cell>
          <cell r="AJ1124">
            <v>45455</v>
          </cell>
          <cell r="AM1124" t="str">
            <v>TEMP</v>
          </cell>
          <cell r="AN1124" t="str">
            <v>3P Onsite Worker</v>
          </cell>
          <cell r="AO1124" t="str">
            <v>A</v>
          </cell>
          <cell r="AP1124">
            <v>9</v>
          </cell>
          <cell r="AQ1124">
            <v>0</v>
          </cell>
          <cell r="AR1124">
            <v>1</v>
          </cell>
          <cell r="AS1124">
            <v>1</v>
          </cell>
          <cell r="AT1124">
            <v>0</v>
          </cell>
          <cell r="AU1124">
            <v>0</v>
          </cell>
        </row>
        <row r="1125">
          <cell r="D1125" t="str">
            <v>xfunhami</v>
          </cell>
          <cell r="E1125">
            <v>206875152</v>
          </cell>
          <cell r="F1125" t="str">
            <v>A</v>
          </cell>
          <cell r="G1125" t="str">
            <v>GREEN</v>
          </cell>
          <cell r="H1125" t="str">
            <v>FULL_TIME</v>
          </cell>
          <cell r="I1125">
            <v>900234</v>
          </cell>
          <cell r="J1125" t="str">
            <v>Dulsco L.L.C.</v>
          </cell>
          <cell r="K1125" t="str">
            <v>HAMISI FUNDI MUSSA</v>
          </cell>
          <cell r="L1125" t="str">
            <v>Warehouse Associate (TEMP)</v>
          </cell>
          <cell r="M1125" t="str">
            <v>Warehouse Associate 8W</v>
          </cell>
          <cell r="N1125" t="str">
            <v>aanso</v>
          </cell>
          <cell r="O1125">
            <v>1299</v>
          </cell>
          <cell r="P1125" t="str">
            <v>AUH1</v>
          </cell>
          <cell r="Q1125" t="str">
            <v>ARE</v>
          </cell>
          <cell r="R1125" t="str">
            <v>LK013</v>
          </cell>
          <cell r="S1125" t="str">
            <v>Night Shift</v>
          </cell>
          <cell r="T1125">
            <v>99</v>
          </cell>
          <cell r="U1125" t="str">
            <v>MENA_UAE_FC</v>
          </cell>
          <cell r="X1125">
            <v>46257.756944444445</v>
          </cell>
          <cell r="Y1125">
            <v>46258.173611111109</v>
          </cell>
          <cell r="Z1125" t="str">
            <v>Rest Day</v>
          </cell>
          <cell r="AA1125" t="str">
            <v>Not Scheduled</v>
          </cell>
          <cell r="AB1125" t="str">
            <v>Not Present</v>
          </cell>
          <cell r="AC1125" t="str">
            <v>Customer returns</v>
          </cell>
          <cell r="AD1125" t="str">
            <v>Customer Returns</v>
          </cell>
          <cell r="AE1125" t="str">
            <v>Customer returns</v>
          </cell>
          <cell r="AF1125" t="str">
            <v>Sunday</v>
          </cell>
          <cell r="AG1125" t="str">
            <v>Monday</v>
          </cell>
          <cell r="AH1125">
            <v>22</v>
          </cell>
          <cell r="AJ1125">
            <v>46019</v>
          </cell>
          <cell r="AM1125" t="str">
            <v>TEMP</v>
          </cell>
          <cell r="AN1125" t="str">
            <v>3P Onsite Worker</v>
          </cell>
          <cell r="AO1125" t="str">
            <v>A</v>
          </cell>
          <cell r="AP1125">
            <v>9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</row>
        <row r="1126">
          <cell r="D1126" t="str">
            <v>xjonyank</v>
          </cell>
          <cell r="E1126">
            <v>205477624</v>
          </cell>
          <cell r="F1126" t="str">
            <v>A</v>
          </cell>
          <cell r="G1126" t="str">
            <v>GREEN</v>
          </cell>
          <cell r="H1126" t="str">
            <v>FULL_TIME</v>
          </cell>
          <cell r="I1126">
            <v>900234</v>
          </cell>
          <cell r="J1126" t="str">
            <v>Dulsco L.L.C.</v>
          </cell>
          <cell r="K1126" t="str">
            <v>JOHN NYANKEY</v>
          </cell>
          <cell r="L1126" t="str">
            <v>Warehouse Associate (TEMP)</v>
          </cell>
          <cell r="M1126" t="str">
            <v>Warehouse Associate 24M</v>
          </cell>
          <cell r="N1126" t="str">
            <v>abbaszoo</v>
          </cell>
          <cell r="O1126">
            <v>1299</v>
          </cell>
          <cell r="P1126" t="str">
            <v>AUH1</v>
          </cell>
          <cell r="Q1126" t="str">
            <v>ARE</v>
          </cell>
          <cell r="R1126" t="str">
            <v>FC159</v>
          </cell>
          <cell r="S1126" t="str">
            <v>Day Shift</v>
          </cell>
          <cell r="T1126">
            <v>99</v>
          </cell>
          <cell r="U1126" t="str">
            <v>MENA_UAE_FC</v>
          </cell>
          <cell r="V1126">
            <v>46257.331944444442</v>
          </cell>
          <cell r="W1126">
            <v>46257.750694444447</v>
          </cell>
          <cell r="X1126">
            <v>46257.333333333336</v>
          </cell>
          <cell r="Y1126">
            <v>46257.75</v>
          </cell>
          <cell r="AA1126" t="str">
            <v>Scheduled</v>
          </cell>
          <cell r="AB1126" t="str">
            <v>Present</v>
          </cell>
          <cell r="AC1126" t="str">
            <v>Inbound</v>
          </cell>
          <cell r="AD1126" t="str">
            <v>Receive Dock</v>
          </cell>
          <cell r="AE1126" t="str">
            <v>Receive</v>
          </cell>
          <cell r="AF1126" t="str">
            <v>Thursday</v>
          </cell>
          <cell r="AG1126" t="str">
            <v>Friday</v>
          </cell>
          <cell r="AH1126">
            <v>2</v>
          </cell>
          <cell r="AJ1126">
            <v>45830</v>
          </cell>
          <cell r="AM1126" t="str">
            <v>TEMP</v>
          </cell>
          <cell r="AN1126" t="str">
            <v>3P Onsite Worker</v>
          </cell>
          <cell r="AO1126" t="str">
            <v>A</v>
          </cell>
          <cell r="AP1126">
            <v>9</v>
          </cell>
          <cell r="AQ1126">
            <v>0</v>
          </cell>
          <cell r="AR1126">
            <v>1</v>
          </cell>
          <cell r="AS1126">
            <v>1</v>
          </cell>
          <cell r="AT1126">
            <v>0</v>
          </cell>
          <cell r="AU1126">
            <v>0</v>
          </cell>
        </row>
        <row r="1127">
          <cell r="D1127" t="str">
            <v>xmakeyak</v>
          </cell>
          <cell r="E1127">
            <v>204095810</v>
          </cell>
          <cell r="F1127" t="str">
            <v>A</v>
          </cell>
          <cell r="G1127" t="str">
            <v>GREEN</v>
          </cell>
          <cell r="H1127" t="str">
            <v>FULL_TIME</v>
          </cell>
          <cell r="I1127">
            <v>900234</v>
          </cell>
          <cell r="J1127" t="str">
            <v>Quesscorp</v>
          </cell>
          <cell r="K1127" t="str">
            <v>Yakta Koffi Makedjene</v>
          </cell>
          <cell r="L1127" t="str">
            <v>Warehouse Associate (TEMP)</v>
          </cell>
          <cell r="M1127" t="str">
            <v>Warehouse Associate 24M</v>
          </cell>
          <cell r="N1127" t="str">
            <v>scariav</v>
          </cell>
          <cell r="O1127">
            <v>1299</v>
          </cell>
          <cell r="P1127" t="str">
            <v>AUH1</v>
          </cell>
          <cell r="Q1127" t="str">
            <v>ARE</v>
          </cell>
          <cell r="R1127" t="str">
            <v>LK013</v>
          </cell>
          <cell r="S1127" t="str">
            <v>Night Shift</v>
          </cell>
          <cell r="T1127">
            <v>99</v>
          </cell>
          <cell r="U1127" t="str">
            <v>MENA_UAE_FC</v>
          </cell>
          <cell r="V1127">
            <v>46257.748611111114</v>
          </cell>
          <cell r="X1127">
            <v>46257.756944444445</v>
          </cell>
          <cell r="Y1127">
            <v>46258.173611111109</v>
          </cell>
          <cell r="Z1127" t="str">
            <v>Rest Day</v>
          </cell>
          <cell r="AA1127" t="str">
            <v>Not Scheduled</v>
          </cell>
          <cell r="AB1127" t="str">
            <v>Present</v>
          </cell>
          <cell r="AC1127" t="str">
            <v>Outbound</v>
          </cell>
          <cell r="AD1127" t="str">
            <v>Pack - Single</v>
          </cell>
          <cell r="AE1127" t="str">
            <v>Pack</v>
          </cell>
          <cell r="AF1127" t="str">
            <v>Sunday</v>
          </cell>
          <cell r="AG1127" t="str">
            <v>Monday</v>
          </cell>
          <cell r="AH1127">
            <v>18</v>
          </cell>
          <cell r="AJ1127">
            <v>45560</v>
          </cell>
          <cell r="AM1127" t="str">
            <v>TEMP</v>
          </cell>
          <cell r="AN1127" t="str">
            <v>3P Onsite Worker</v>
          </cell>
          <cell r="AO1127" t="str">
            <v>A</v>
          </cell>
          <cell r="AP1127">
            <v>9</v>
          </cell>
          <cell r="AQ1127">
            <v>1</v>
          </cell>
          <cell r="AR1127">
            <v>1</v>
          </cell>
          <cell r="AS1127">
            <v>0</v>
          </cell>
          <cell r="AT1127">
            <v>0</v>
          </cell>
          <cell r="AU1127">
            <v>0</v>
          </cell>
        </row>
        <row r="1128">
          <cell r="D1128" t="str">
            <v>yadamsad</v>
          </cell>
          <cell r="E1128">
            <v>204946685</v>
          </cell>
          <cell r="F1128" t="str">
            <v>A</v>
          </cell>
          <cell r="G1128" t="str">
            <v>GREEN</v>
          </cell>
          <cell r="H1128" t="str">
            <v>FULL_TIME</v>
          </cell>
          <cell r="I1128">
            <v>900234</v>
          </cell>
          <cell r="J1128" t="str">
            <v>Dulsco L.L.C.</v>
          </cell>
          <cell r="K1128" t="str">
            <v>ADAMS SADICK</v>
          </cell>
          <cell r="L1128" t="str">
            <v>Warehouse Associate (TEMP)</v>
          </cell>
          <cell r="M1128" t="str">
            <v>Warehouse Associate 8W</v>
          </cell>
          <cell r="N1128" t="str">
            <v>bizthoma</v>
          </cell>
          <cell r="O1128">
            <v>1299</v>
          </cell>
          <cell r="P1128" t="str">
            <v>AUH1</v>
          </cell>
          <cell r="Q1128" t="str">
            <v>ARE</v>
          </cell>
          <cell r="R1128" t="str">
            <v>FC084</v>
          </cell>
          <cell r="S1128" t="str">
            <v>Day Shift</v>
          </cell>
          <cell r="T1128">
            <v>99</v>
          </cell>
          <cell r="U1128" t="str">
            <v>MENA_UAE_FC</v>
          </cell>
          <cell r="V1128">
            <v>46257.334027777775</v>
          </cell>
          <cell r="W1128">
            <v>46257.749305555553</v>
          </cell>
          <cell r="X1128">
            <v>46257.333333333336</v>
          </cell>
          <cell r="Y1128">
            <v>46257.75</v>
          </cell>
          <cell r="AA1128" t="str">
            <v>Scheduled</v>
          </cell>
          <cell r="AB1128" t="str">
            <v>Present</v>
          </cell>
          <cell r="AC1128" t="str">
            <v>Outbound</v>
          </cell>
          <cell r="AD1128" t="str">
            <v>Pack - Single</v>
          </cell>
          <cell r="AE1128" t="str">
            <v>Pack</v>
          </cell>
          <cell r="AF1128" t="str">
            <v>Monday</v>
          </cell>
          <cell r="AG1128" t="str">
            <v>Tuesday</v>
          </cell>
          <cell r="AH1128">
            <v>18</v>
          </cell>
          <cell r="AJ1128">
            <v>45718</v>
          </cell>
          <cell r="AM1128" t="str">
            <v>TEMP</v>
          </cell>
          <cell r="AN1128" t="str">
            <v>3P Onsite Worker</v>
          </cell>
          <cell r="AO1128" t="str">
            <v>A</v>
          </cell>
          <cell r="AP1128">
            <v>9</v>
          </cell>
          <cell r="AQ1128">
            <v>0</v>
          </cell>
          <cell r="AR1128">
            <v>1</v>
          </cell>
          <cell r="AS1128">
            <v>1</v>
          </cell>
          <cell r="AT1128">
            <v>0</v>
          </cell>
          <cell r="AU1128">
            <v>0</v>
          </cell>
        </row>
        <row r="1129">
          <cell r="D1129" t="str">
            <v>yamikani</v>
          </cell>
          <cell r="E1129">
            <v>206902848</v>
          </cell>
          <cell r="F1129" t="str">
            <v>A</v>
          </cell>
          <cell r="G1129" t="str">
            <v>GREEN</v>
          </cell>
          <cell r="H1129" t="str">
            <v>FULL_TIME</v>
          </cell>
          <cell r="I1129">
            <v>900234</v>
          </cell>
          <cell r="J1129" t="str">
            <v>Dulsco L.L.C.</v>
          </cell>
          <cell r="K1129" t="str">
            <v>YAMIKANI CHRIS KAYUNI</v>
          </cell>
          <cell r="L1129" t="str">
            <v>Warehouse Associate (TEMP)</v>
          </cell>
          <cell r="M1129" t="str">
            <v>Warehouse Associate 8W</v>
          </cell>
          <cell r="N1129" t="str">
            <v>ansammar</v>
          </cell>
          <cell r="O1129">
            <v>1299</v>
          </cell>
          <cell r="P1129" t="str">
            <v>AUH1</v>
          </cell>
          <cell r="Q1129" t="str">
            <v>ARE</v>
          </cell>
          <cell r="R1129" t="str">
            <v>LK014</v>
          </cell>
          <cell r="S1129" t="str">
            <v>Night Shift</v>
          </cell>
          <cell r="T1129">
            <v>99</v>
          </cell>
          <cell r="U1129" t="str">
            <v>MENA_UAE_FC</v>
          </cell>
          <cell r="V1129">
            <v>46257.756944444445</v>
          </cell>
          <cell r="X1129">
            <v>46257.756944444445</v>
          </cell>
          <cell r="Y1129">
            <v>46258.173611111109</v>
          </cell>
          <cell r="AA1129" t="str">
            <v>Scheduled</v>
          </cell>
          <cell r="AB1129" t="str">
            <v>Present</v>
          </cell>
          <cell r="AC1129" t="str">
            <v>Outbound</v>
          </cell>
          <cell r="AD1129" t="str">
            <v>Picking</v>
          </cell>
          <cell r="AE1129" t="str">
            <v>Pick</v>
          </cell>
          <cell r="AF1129" t="str">
            <v>Monday</v>
          </cell>
          <cell r="AG1129" t="str">
            <v>Tuesday</v>
          </cell>
          <cell r="AH1129">
            <v>13</v>
          </cell>
          <cell r="AJ1129">
            <v>46029</v>
          </cell>
          <cell r="AM1129" t="str">
            <v>TEMP</v>
          </cell>
          <cell r="AN1129" t="str">
            <v>3P Onsite Worker</v>
          </cell>
          <cell r="AO1129" t="str">
            <v>A</v>
          </cell>
          <cell r="AP1129">
            <v>9</v>
          </cell>
          <cell r="AQ1129">
            <v>0</v>
          </cell>
          <cell r="AR1129">
            <v>1</v>
          </cell>
          <cell r="AS1129">
            <v>1</v>
          </cell>
          <cell r="AT1129">
            <v>0</v>
          </cell>
          <cell r="AU1129">
            <v>0</v>
          </cell>
        </row>
        <row r="1130">
          <cell r="D1130" t="str">
            <v>yankeant</v>
          </cell>
          <cell r="E1130">
            <v>203741612</v>
          </cell>
          <cell r="F1130" t="str">
            <v>A</v>
          </cell>
          <cell r="G1130" t="str">
            <v>GREEN</v>
          </cell>
          <cell r="H1130" t="str">
            <v>FULL_TIME</v>
          </cell>
          <cell r="I1130">
            <v>900234</v>
          </cell>
          <cell r="J1130" t="str">
            <v>Fastlink Outsourcing</v>
          </cell>
          <cell r="K1130" t="str">
            <v>ANTHONY YANKEY</v>
          </cell>
          <cell r="L1130" t="str">
            <v>Warehouse Associate (TEMP)</v>
          </cell>
          <cell r="M1130" t="str">
            <v>Warehouse Associate 12M</v>
          </cell>
          <cell r="N1130" t="str">
            <v>pparsin</v>
          </cell>
          <cell r="O1130">
            <v>1299</v>
          </cell>
          <cell r="P1130" t="str">
            <v>AUH1</v>
          </cell>
          <cell r="Q1130" t="str">
            <v>ARE</v>
          </cell>
          <cell r="R1130" t="str">
            <v>LK013</v>
          </cell>
          <cell r="S1130" t="str">
            <v>Night Shift</v>
          </cell>
          <cell r="T1130">
            <v>99</v>
          </cell>
          <cell r="U1130" t="str">
            <v>MENA_UAE_FC</v>
          </cell>
          <cell r="X1130">
            <v>46257.756944444445</v>
          </cell>
          <cell r="Y1130">
            <v>46258.173611111109</v>
          </cell>
          <cell r="Z1130" t="str">
            <v>Rest Day</v>
          </cell>
          <cell r="AA1130" t="str">
            <v>Not Scheduled</v>
          </cell>
          <cell r="AB1130" t="str">
            <v>Not Present</v>
          </cell>
          <cell r="AC1130" t="str">
            <v>Inbound</v>
          </cell>
          <cell r="AD1130" t="str">
            <v>Inbound Stow</v>
          </cell>
          <cell r="AE1130" t="str">
            <v>Stow</v>
          </cell>
          <cell r="AF1130" t="str">
            <v>Sunday</v>
          </cell>
          <cell r="AG1130" t="str">
            <v>Monday</v>
          </cell>
          <cell r="AH1130">
            <v>3</v>
          </cell>
          <cell r="AJ1130">
            <v>45515</v>
          </cell>
          <cell r="AM1130" t="str">
            <v>TEMP</v>
          </cell>
          <cell r="AN1130" t="str">
            <v>3P Onsite Worker</v>
          </cell>
          <cell r="AO1130" t="str">
            <v>A</v>
          </cell>
          <cell r="AP1130">
            <v>9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</row>
        <row r="1131">
          <cell r="D1131" t="str">
            <v>yawunsam</v>
          </cell>
          <cell r="E1131">
            <v>205236902</v>
          </cell>
          <cell r="F1131" t="str">
            <v>A</v>
          </cell>
          <cell r="G1131" t="str">
            <v>GREEN</v>
          </cell>
          <cell r="H1131" t="str">
            <v>FULL_TIME</v>
          </cell>
          <cell r="I1131">
            <v>900234</v>
          </cell>
          <cell r="J1131" t="str">
            <v>Dulsco L.L.C.</v>
          </cell>
          <cell r="K1131" t="str">
            <v>SAMUEL AWUNI</v>
          </cell>
          <cell r="L1131" t="str">
            <v>Warehouse Associate (TEMP)</v>
          </cell>
          <cell r="M1131" t="str">
            <v>Warehouse Associate 24M</v>
          </cell>
          <cell r="N1131" t="str">
            <v>scariav</v>
          </cell>
          <cell r="O1131">
            <v>1299</v>
          </cell>
          <cell r="P1131" t="str">
            <v>AUH1</v>
          </cell>
          <cell r="Q1131" t="str">
            <v>ARE</v>
          </cell>
          <cell r="R1131" t="str">
            <v>LK013</v>
          </cell>
          <cell r="S1131" t="str">
            <v>Night Shift</v>
          </cell>
          <cell r="T1131">
            <v>99</v>
          </cell>
          <cell r="U1131" t="str">
            <v>MENA_UAE_FC</v>
          </cell>
          <cell r="X1131">
            <v>46257.756944444445</v>
          </cell>
          <cell r="Y1131">
            <v>46258.173611111109</v>
          </cell>
          <cell r="Z1131" t="str">
            <v>Rest Day</v>
          </cell>
          <cell r="AA1131" t="str">
            <v>Not Scheduled</v>
          </cell>
          <cell r="AB1131" t="str">
            <v>Not Present</v>
          </cell>
          <cell r="AC1131" t="str">
            <v>Outbound</v>
          </cell>
          <cell r="AD1131" t="str">
            <v>Picking</v>
          </cell>
          <cell r="AE1131" t="str">
            <v>Pick</v>
          </cell>
          <cell r="AF1131" t="str">
            <v>Sunday</v>
          </cell>
          <cell r="AG1131" t="str">
            <v>Monday</v>
          </cell>
          <cell r="AH1131">
            <v>13</v>
          </cell>
          <cell r="AJ1131">
            <v>45788</v>
          </cell>
          <cell r="AM1131" t="str">
            <v>TEMP</v>
          </cell>
          <cell r="AN1131" t="str">
            <v>3P Onsite Worker</v>
          </cell>
          <cell r="AO1131" t="str">
            <v>A</v>
          </cell>
          <cell r="AP1131">
            <v>9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</row>
        <row r="1132">
          <cell r="D1132" t="str">
            <v>ybbright</v>
          </cell>
          <cell r="E1132">
            <v>204299899</v>
          </cell>
          <cell r="F1132" t="str">
            <v>A</v>
          </cell>
          <cell r="G1132" t="str">
            <v>GREEN</v>
          </cell>
          <cell r="H1132" t="str">
            <v>FULL_TIME</v>
          </cell>
          <cell r="I1132">
            <v>900234</v>
          </cell>
          <cell r="J1132" t="str">
            <v>Quesscorp</v>
          </cell>
          <cell r="K1132" t="str">
            <v>Bright Bonah</v>
          </cell>
          <cell r="L1132" t="str">
            <v>Warehouse Associate (TEMP)</v>
          </cell>
          <cell r="M1132" t="str">
            <v>Warehouse Associate 24M</v>
          </cell>
          <cell r="N1132" t="str">
            <v>aanso</v>
          </cell>
          <cell r="O1132">
            <v>1299</v>
          </cell>
          <cell r="P1132" t="str">
            <v>AUH1</v>
          </cell>
          <cell r="Q1132" t="str">
            <v>ARE</v>
          </cell>
          <cell r="R1132" t="str">
            <v>LK012</v>
          </cell>
          <cell r="S1132" t="str">
            <v>Night Shift</v>
          </cell>
          <cell r="T1132">
            <v>99</v>
          </cell>
          <cell r="U1132" t="str">
            <v>MENA_UAE_FC</v>
          </cell>
          <cell r="X1132">
            <v>46257.756944444445</v>
          </cell>
          <cell r="Y1132">
            <v>46258.173611111109</v>
          </cell>
          <cell r="Z1132" t="str">
            <v>Rest Day</v>
          </cell>
          <cell r="AA1132" t="str">
            <v>Not Scheduled</v>
          </cell>
          <cell r="AB1132" t="str">
            <v>Not Present</v>
          </cell>
          <cell r="AC1132" t="str">
            <v>Customer returns</v>
          </cell>
          <cell r="AD1132" t="str">
            <v>Customer Returns</v>
          </cell>
          <cell r="AE1132" t="str">
            <v>Customer returns</v>
          </cell>
          <cell r="AF1132" t="str">
            <v>Saturday</v>
          </cell>
          <cell r="AG1132" t="str">
            <v>Sunday</v>
          </cell>
          <cell r="AH1132">
            <v>22</v>
          </cell>
          <cell r="AJ1132">
            <v>45588</v>
          </cell>
          <cell r="AM1132" t="str">
            <v>TEMP</v>
          </cell>
          <cell r="AN1132" t="str">
            <v>3P Onsite Worker</v>
          </cell>
          <cell r="AO1132" t="str">
            <v>A</v>
          </cell>
          <cell r="AP1132">
            <v>9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</row>
        <row r="1133">
          <cell r="D1133" t="str">
            <v>yblankso</v>
          </cell>
          <cell r="E1133">
            <v>204299063</v>
          </cell>
          <cell r="F1133" t="str">
            <v>A</v>
          </cell>
          <cell r="G1133" t="str">
            <v>GREEN</v>
          </cell>
          <cell r="H1133" t="str">
            <v>FULL_TIME</v>
          </cell>
          <cell r="I1133">
            <v>900234</v>
          </cell>
          <cell r="J1133" t="str">
            <v>Quesscorp</v>
          </cell>
          <cell r="K1133" t="str">
            <v>Blankson Yeboah</v>
          </cell>
          <cell r="L1133" t="str">
            <v>Warehouse Associate (TEMP)</v>
          </cell>
          <cell r="M1133" t="str">
            <v>Warehouse Associate 24M</v>
          </cell>
          <cell r="N1133" t="str">
            <v>scariav</v>
          </cell>
          <cell r="O1133">
            <v>1299</v>
          </cell>
          <cell r="P1133" t="str">
            <v>AUH1</v>
          </cell>
          <cell r="Q1133" t="str">
            <v>ARE</v>
          </cell>
          <cell r="R1133" t="str">
            <v>LK012</v>
          </cell>
          <cell r="S1133" t="str">
            <v>Night Shift</v>
          </cell>
          <cell r="T1133">
            <v>99</v>
          </cell>
          <cell r="U1133" t="str">
            <v>MENA_UAE_FC</v>
          </cell>
          <cell r="X1133">
            <v>46257.756944444445</v>
          </cell>
          <cell r="Y1133">
            <v>46258.173611111109</v>
          </cell>
          <cell r="Z1133" t="str">
            <v>Rest Day</v>
          </cell>
          <cell r="AA1133" t="str">
            <v>Not Scheduled</v>
          </cell>
          <cell r="AB1133" t="str">
            <v>Not Present</v>
          </cell>
          <cell r="AC1133" t="str">
            <v>Outbound</v>
          </cell>
          <cell r="AD1133" t="str">
            <v>Sort - Batch</v>
          </cell>
          <cell r="AE1133" t="str">
            <v>Sort</v>
          </cell>
          <cell r="AF1133" t="str">
            <v>Saturday</v>
          </cell>
          <cell r="AG1133" t="str">
            <v>Sunday</v>
          </cell>
          <cell r="AH1133">
            <v>15</v>
          </cell>
          <cell r="AJ1133">
            <v>45585</v>
          </cell>
          <cell r="AM1133" t="str">
            <v>TEMP</v>
          </cell>
          <cell r="AN1133" t="str">
            <v>3P Onsite Worker</v>
          </cell>
          <cell r="AO1133" t="str">
            <v>A</v>
          </cell>
          <cell r="AP1133">
            <v>9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</row>
        <row r="1134">
          <cell r="D1134" t="str">
            <v>yeaunga</v>
          </cell>
          <cell r="E1134">
            <v>203965024</v>
          </cell>
          <cell r="F1134" t="str">
            <v>A</v>
          </cell>
          <cell r="G1134" t="str">
            <v>GREEN</v>
          </cell>
          <cell r="H1134" t="str">
            <v>FULL_TIME</v>
          </cell>
          <cell r="I1134">
            <v>900234</v>
          </cell>
          <cell r="J1134" t="str">
            <v>Adecco</v>
          </cell>
          <cell r="K1134" t="str">
            <v>Aung Ye</v>
          </cell>
          <cell r="L1134" t="str">
            <v>Warehouse Associate (TEMP)</v>
          </cell>
          <cell r="M1134" t="str">
            <v>Warehouse Associate 24M</v>
          </cell>
          <cell r="N1134" t="str">
            <v>amanmish</v>
          </cell>
          <cell r="O1134">
            <v>1299</v>
          </cell>
          <cell r="P1134" t="str">
            <v>AUH1</v>
          </cell>
          <cell r="Q1134" t="str">
            <v>ARE</v>
          </cell>
          <cell r="R1134" t="str">
            <v>FC034</v>
          </cell>
          <cell r="S1134" t="str">
            <v>Day Shift</v>
          </cell>
          <cell r="T1134">
            <v>99</v>
          </cell>
          <cell r="U1134" t="str">
            <v>MENA_UAE_FC</v>
          </cell>
          <cell r="X1134">
            <v>46257.333333333336</v>
          </cell>
          <cell r="Y1134">
            <v>46257.75</v>
          </cell>
          <cell r="Z1134" t="str">
            <v>Rest Day</v>
          </cell>
          <cell r="AA1134" t="str">
            <v>Not Scheduled</v>
          </cell>
          <cell r="AB1134" t="str">
            <v>Not Present</v>
          </cell>
          <cell r="AC1134" t="str">
            <v>Outbound</v>
          </cell>
          <cell r="AD1134" t="str">
            <v>Picking</v>
          </cell>
          <cell r="AE1134" t="str">
            <v>Pick</v>
          </cell>
          <cell r="AF1134" t="str">
            <v>Saturday</v>
          </cell>
          <cell r="AG1134" t="str">
            <v>Sunday</v>
          </cell>
          <cell r="AH1134">
            <v>13</v>
          </cell>
          <cell r="AJ1134">
            <v>45543</v>
          </cell>
          <cell r="AM1134" t="str">
            <v>TEMP</v>
          </cell>
          <cell r="AN1134" t="str">
            <v>3P Onsite Worker</v>
          </cell>
          <cell r="AO1134" t="str">
            <v>A</v>
          </cell>
          <cell r="AP1134">
            <v>9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</row>
        <row r="1135">
          <cell r="D1135" t="str">
            <v>yendbism</v>
          </cell>
          <cell r="E1135">
            <v>203512948</v>
          </cell>
          <cell r="F1135" t="str">
            <v>A</v>
          </cell>
          <cell r="G1135" t="str">
            <v>GREEN</v>
          </cell>
          <cell r="H1135" t="str">
            <v>FULL_TIME</v>
          </cell>
          <cell r="I1135">
            <v>900234</v>
          </cell>
          <cell r="J1135" t="str">
            <v>Fastlink Outsourcing</v>
          </cell>
          <cell r="K1135" t="str">
            <v>Bismark Yendaw</v>
          </cell>
          <cell r="L1135" t="str">
            <v>Warehouse Associate (TEMP)</v>
          </cell>
          <cell r="M1135" t="str">
            <v>Warehouse Associate 12M</v>
          </cell>
          <cell r="N1135" t="str">
            <v>scariav</v>
          </cell>
          <cell r="O1135">
            <v>1299</v>
          </cell>
          <cell r="P1135" t="str">
            <v>AUH1</v>
          </cell>
          <cell r="Q1135" t="str">
            <v>ARE</v>
          </cell>
          <cell r="R1135" t="str">
            <v>LK017</v>
          </cell>
          <cell r="S1135" t="str">
            <v>Night Shift</v>
          </cell>
          <cell r="T1135">
            <v>99</v>
          </cell>
          <cell r="U1135" t="str">
            <v>MENA_UAE_FC</v>
          </cell>
          <cell r="V1135">
            <v>46257.753472222219</v>
          </cell>
          <cell r="X1135">
            <v>46257.756944444445</v>
          </cell>
          <cell r="Y1135">
            <v>46258.173611111109</v>
          </cell>
          <cell r="AA1135" t="str">
            <v>Scheduled</v>
          </cell>
          <cell r="AB1135" t="str">
            <v>Present</v>
          </cell>
          <cell r="AC1135" t="str">
            <v>Outbound</v>
          </cell>
          <cell r="AD1135" t="str">
            <v>Picking</v>
          </cell>
          <cell r="AE1135" t="str">
            <v>Pick</v>
          </cell>
          <cell r="AF1135" t="str">
            <v>Thursday</v>
          </cell>
          <cell r="AG1135" t="str">
            <v>Friday</v>
          </cell>
          <cell r="AH1135">
            <v>13</v>
          </cell>
          <cell r="AJ1135">
            <v>45462</v>
          </cell>
          <cell r="AM1135" t="str">
            <v>TEMP</v>
          </cell>
          <cell r="AN1135" t="str">
            <v>3P Onsite Worker</v>
          </cell>
          <cell r="AO1135" t="str">
            <v>A</v>
          </cell>
          <cell r="AP1135">
            <v>9</v>
          </cell>
          <cell r="AQ1135">
            <v>0</v>
          </cell>
          <cell r="AR1135">
            <v>1</v>
          </cell>
          <cell r="AS1135">
            <v>1</v>
          </cell>
          <cell r="AT1135">
            <v>0</v>
          </cell>
          <cell r="AU1135">
            <v>0</v>
          </cell>
        </row>
        <row r="1136">
          <cell r="D1136" t="str">
            <v>yenorber</v>
          </cell>
          <cell r="E1136">
            <v>203850937</v>
          </cell>
          <cell r="F1136" t="str">
            <v>A</v>
          </cell>
          <cell r="G1136" t="str">
            <v>GREEN</v>
          </cell>
          <cell r="H1136" t="str">
            <v>FULL_TIME</v>
          </cell>
          <cell r="I1136">
            <v>900234</v>
          </cell>
          <cell r="J1136" t="str">
            <v>Fastlink Outsourcing</v>
          </cell>
          <cell r="K1136" t="str">
            <v>Norbert Yeboah</v>
          </cell>
          <cell r="L1136" t="str">
            <v>Warehouse Associate (TEMP)</v>
          </cell>
          <cell r="M1136" t="str">
            <v>Warehouse Associate 12M</v>
          </cell>
          <cell r="N1136" t="str">
            <v>nnahla</v>
          </cell>
          <cell r="O1136">
            <v>1299</v>
          </cell>
          <cell r="P1136" t="str">
            <v>AUH1</v>
          </cell>
          <cell r="Q1136" t="str">
            <v>ARE</v>
          </cell>
          <cell r="R1136" t="str">
            <v>FC059</v>
          </cell>
          <cell r="S1136" t="str">
            <v>Day Shift</v>
          </cell>
          <cell r="T1136">
            <v>99</v>
          </cell>
          <cell r="U1136" t="str">
            <v>MENA_UAE_FC</v>
          </cell>
          <cell r="X1136">
            <v>46257.333333333336</v>
          </cell>
          <cell r="Y1136">
            <v>46257.75</v>
          </cell>
          <cell r="Z1136" t="str">
            <v>Rest Day</v>
          </cell>
          <cell r="AA1136" t="str">
            <v>Not Scheduled</v>
          </cell>
          <cell r="AB1136" t="str">
            <v>Not Present</v>
          </cell>
          <cell r="AC1136" t="str">
            <v>Inbound</v>
          </cell>
          <cell r="AD1136" t="str">
            <v>Inbound Stow</v>
          </cell>
          <cell r="AE1136" t="str">
            <v>Stow</v>
          </cell>
          <cell r="AF1136" t="str">
            <v>Sunday</v>
          </cell>
          <cell r="AG1136" t="str">
            <v>Monday</v>
          </cell>
          <cell r="AH1136">
            <v>3</v>
          </cell>
          <cell r="AJ1136">
            <v>45523</v>
          </cell>
          <cell r="AM1136" t="str">
            <v>TEMP</v>
          </cell>
          <cell r="AN1136" t="str">
            <v>3P Onsite Worker</v>
          </cell>
          <cell r="AO1136" t="str">
            <v>A</v>
          </cell>
          <cell r="AP1136">
            <v>9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</row>
        <row r="1137">
          <cell r="D1137" t="str">
            <v>yijamer</v>
          </cell>
          <cell r="E1137">
            <v>203850808</v>
          </cell>
          <cell r="F1137" t="str">
            <v>A</v>
          </cell>
          <cell r="G1137" t="str">
            <v>GREEN</v>
          </cell>
          <cell r="H1137" t="str">
            <v>FULL_TIME</v>
          </cell>
          <cell r="I1137">
            <v>900234</v>
          </cell>
          <cell r="J1137" t="str">
            <v>Dulsco L.L.C.</v>
          </cell>
          <cell r="K1137" t="str">
            <v>James Yiga</v>
          </cell>
          <cell r="L1137" t="str">
            <v>Warehouse Associate (TEMP)</v>
          </cell>
          <cell r="M1137" t="str">
            <v>Warehouse Associate 24M</v>
          </cell>
          <cell r="N1137" t="str">
            <v>lraghava</v>
          </cell>
          <cell r="O1137">
            <v>1299</v>
          </cell>
          <cell r="P1137" t="str">
            <v>AUH1</v>
          </cell>
          <cell r="Q1137" t="str">
            <v>ARE</v>
          </cell>
          <cell r="R1137" t="str">
            <v>LK017</v>
          </cell>
          <cell r="S1137" t="str">
            <v>Night Shift</v>
          </cell>
          <cell r="T1137">
            <v>99</v>
          </cell>
          <cell r="U1137" t="str">
            <v>MENA_UAE_FC</v>
          </cell>
          <cell r="V1137">
            <v>46257.754861111112</v>
          </cell>
          <cell r="X1137">
            <v>46257.756944444445</v>
          </cell>
          <cell r="Y1137">
            <v>46258.173611111109</v>
          </cell>
          <cell r="AA1137" t="str">
            <v>Scheduled</v>
          </cell>
          <cell r="AB1137" t="str">
            <v>Present</v>
          </cell>
          <cell r="AC1137" t="str">
            <v>Outbound</v>
          </cell>
          <cell r="AD1137" t="str">
            <v>Picking</v>
          </cell>
          <cell r="AE1137" t="str">
            <v>Pick</v>
          </cell>
          <cell r="AF1137" t="str">
            <v>Thursday</v>
          </cell>
          <cell r="AG1137" t="str">
            <v>Friday</v>
          </cell>
          <cell r="AH1137">
            <v>13</v>
          </cell>
          <cell r="AJ1137">
            <v>45523</v>
          </cell>
          <cell r="AM1137" t="str">
            <v>TEMP</v>
          </cell>
          <cell r="AN1137" t="str">
            <v>3P Onsite Worker</v>
          </cell>
          <cell r="AO1137" t="str">
            <v>A</v>
          </cell>
          <cell r="AP1137">
            <v>9</v>
          </cell>
          <cell r="AQ1137">
            <v>0</v>
          </cell>
          <cell r="AR1137">
            <v>1</v>
          </cell>
          <cell r="AS1137">
            <v>1</v>
          </cell>
          <cell r="AT1137">
            <v>0</v>
          </cell>
          <cell r="AU1137">
            <v>0</v>
          </cell>
        </row>
        <row r="1138">
          <cell r="D1138" t="str">
            <v>ykkoffi</v>
          </cell>
          <cell r="E1138">
            <v>109468376</v>
          </cell>
          <cell r="F1138" t="str">
            <v>A</v>
          </cell>
          <cell r="G1138" t="str">
            <v>BLUE</v>
          </cell>
          <cell r="H1138" t="str">
            <v>FULL_TIME</v>
          </cell>
          <cell r="I1138" t="str">
            <v>P03231</v>
          </cell>
          <cell r="K1138" t="str">
            <v>Yao Pacome Koffi</v>
          </cell>
          <cell r="L1138" t="str">
            <v>FC Associate III</v>
          </cell>
          <cell r="M1138" t="str">
            <v>Operations Lead</v>
          </cell>
          <cell r="N1138" t="str">
            <v>pparsin</v>
          </cell>
          <cell r="O1138">
            <v>1299</v>
          </cell>
          <cell r="P1138" t="str">
            <v>AUH1</v>
          </cell>
          <cell r="Q1138" t="str">
            <v>ARE</v>
          </cell>
          <cell r="R1138" t="str">
            <v>FC059</v>
          </cell>
          <cell r="S1138" t="str">
            <v>Day Shift</v>
          </cell>
          <cell r="T1138">
            <v>3</v>
          </cell>
          <cell r="U1138" t="str">
            <v>MENA_UAE_FC</v>
          </cell>
          <cell r="X1138">
            <v>46257.333333333336</v>
          </cell>
          <cell r="Y1138">
            <v>46257.75</v>
          </cell>
          <cell r="Z1138" t="str">
            <v>Rest Day</v>
          </cell>
          <cell r="AA1138" t="str">
            <v>Not Scheduled</v>
          </cell>
          <cell r="AB1138" t="str">
            <v>Not Present</v>
          </cell>
          <cell r="AC1138" t="str">
            <v>Inbound</v>
          </cell>
          <cell r="AD1138" t="str">
            <v>IB Lead/PA</v>
          </cell>
          <cell r="AE1138" t="str">
            <v>Receive</v>
          </cell>
          <cell r="AF1138" t="str">
            <v>Sunday</v>
          </cell>
          <cell r="AG1138" t="str">
            <v>Monday</v>
          </cell>
          <cell r="AH1138">
            <v>5</v>
          </cell>
          <cell r="AJ1138">
            <v>44811</v>
          </cell>
          <cell r="AM1138" t="str">
            <v>FC</v>
          </cell>
          <cell r="AN1138" t="str">
            <v>Regular Full Time</v>
          </cell>
          <cell r="AO1138" t="str">
            <v>A</v>
          </cell>
          <cell r="AP1138">
            <v>9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</row>
        <row r="1139">
          <cell r="D1139" t="str">
            <v>ykwadwoj</v>
          </cell>
          <cell r="E1139">
            <v>203512666</v>
          </cell>
          <cell r="F1139" t="str">
            <v>A</v>
          </cell>
          <cell r="G1139" t="str">
            <v>GREEN</v>
          </cell>
          <cell r="H1139" t="str">
            <v>FULL_TIME</v>
          </cell>
          <cell r="I1139">
            <v>900234</v>
          </cell>
          <cell r="J1139" t="str">
            <v>Fastlink Outsourcing</v>
          </cell>
          <cell r="K1139" t="str">
            <v>Joseph Kwadwo</v>
          </cell>
          <cell r="L1139" t="str">
            <v>Warehouse Associate (TEMP)</v>
          </cell>
          <cell r="M1139" t="str">
            <v>Warehouse Associate 12M</v>
          </cell>
          <cell r="N1139" t="str">
            <v>lraghava</v>
          </cell>
          <cell r="O1139">
            <v>1299</v>
          </cell>
          <cell r="P1139" t="str">
            <v>AUH1</v>
          </cell>
          <cell r="Q1139" t="str">
            <v>ARE</v>
          </cell>
          <cell r="R1139" t="str">
            <v>FC159</v>
          </cell>
          <cell r="S1139" t="str">
            <v>Day Shift</v>
          </cell>
          <cell r="T1139">
            <v>99</v>
          </cell>
          <cell r="U1139" t="str">
            <v>MENA_UAE_FC</v>
          </cell>
          <cell r="V1139">
            <v>46257.331944444442</v>
          </cell>
          <cell r="W1139">
            <v>46257.749305555553</v>
          </cell>
          <cell r="X1139">
            <v>46257.333333333336</v>
          </cell>
          <cell r="Y1139">
            <v>46257.75</v>
          </cell>
          <cell r="AA1139" t="str">
            <v>Scheduled</v>
          </cell>
          <cell r="AB1139" t="str">
            <v>Present</v>
          </cell>
          <cell r="AC1139" t="str">
            <v>Outbound</v>
          </cell>
          <cell r="AD1139" t="str">
            <v>Pack - Single</v>
          </cell>
          <cell r="AE1139" t="str">
            <v>Pack</v>
          </cell>
          <cell r="AF1139" t="str">
            <v>Thursday</v>
          </cell>
          <cell r="AG1139" t="str">
            <v>Friday</v>
          </cell>
          <cell r="AH1139">
            <v>18</v>
          </cell>
          <cell r="AJ1139">
            <v>45462</v>
          </cell>
          <cell r="AM1139" t="str">
            <v>TEMP</v>
          </cell>
          <cell r="AN1139" t="str">
            <v>3P Onsite Worker</v>
          </cell>
          <cell r="AO1139" t="str">
            <v>A</v>
          </cell>
          <cell r="AP1139">
            <v>9</v>
          </cell>
          <cell r="AQ1139">
            <v>0</v>
          </cell>
          <cell r="AR1139">
            <v>1</v>
          </cell>
          <cell r="AS1139">
            <v>1</v>
          </cell>
          <cell r="AT1139">
            <v>0</v>
          </cell>
          <cell r="AU1139">
            <v>0</v>
          </cell>
        </row>
        <row r="1140">
          <cell r="D1140" t="str">
            <v>ysheilaj</v>
          </cell>
          <cell r="E1140">
            <v>206192239</v>
          </cell>
          <cell r="F1140" t="str">
            <v>A</v>
          </cell>
          <cell r="G1140" t="str">
            <v>GREEN</v>
          </cell>
          <cell r="H1140" t="str">
            <v>FULL_TIME</v>
          </cell>
          <cell r="I1140">
            <v>900234</v>
          </cell>
          <cell r="J1140" t="str">
            <v>EFS Facilities Services</v>
          </cell>
          <cell r="K1140" t="str">
            <v>Sheila jepchumba Yator</v>
          </cell>
          <cell r="L1140" t="str">
            <v>Warehouse Associate (TEMP)</v>
          </cell>
          <cell r="M1140" t="str">
            <v>Warehouse Associate 12M</v>
          </cell>
          <cell r="N1140" t="str">
            <v>bizthoma</v>
          </cell>
          <cell r="O1140">
            <v>1299</v>
          </cell>
          <cell r="P1140" t="str">
            <v>AUH1</v>
          </cell>
          <cell r="Q1140" t="str">
            <v>ARE</v>
          </cell>
          <cell r="R1140" t="str">
            <v>LK011</v>
          </cell>
          <cell r="S1140" t="str">
            <v>Night Shift</v>
          </cell>
          <cell r="T1140">
            <v>99</v>
          </cell>
          <cell r="U1140" t="str">
            <v>MENA_UAE_FC</v>
          </cell>
          <cell r="V1140">
            <v>46257.755555555559</v>
          </cell>
          <cell r="X1140">
            <v>46257.756944444445</v>
          </cell>
          <cell r="Y1140">
            <v>46258.173611111109</v>
          </cell>
          <cell r="AA1140" t="str">
            <v>Scheduled</v>
          </cell>
          <cell r="AB1140" t="str">
            <v>Present</v>
          </cell>
          <cell r="AC1140" t="str">
            <v>Outbound</v>
          </cell>
          <cell r="AD1140" t="str">
            <v>Picking</v>
          </cell>
          <cell r="AE1140" t="str">
            <v>Pick</v>
          </cell>
          <cell r="AF1140" t="str">
            <v>Friday</v>
          </cell>
          <cell r="AG1140" t="str">
            <v>Saturday</v>
          </cell>
          <cell r="AH1140">
            <v>13</v>
          </cell>
          <cell r="AJ1140">
            <v>45935</v>
          </cell>
          <cell r="AM1140" t="str">
            <v>TEMP</v>
          </cell>
          <cell r="AN1140" t="str">
            <v>3P Onsite Worker</v>
          </cell>
          <cell r="AO1140" t="str">
            <v>A</v>
          </cell>
          <cell r="AP1140">
            <v>9</v>
          </cell>
          <cell r="AQ1140">
            <v>0</v>
          </cell>
          <cell r="AR1140">
            <v>1</v>
          </cell>
          <cell r="AS1140">
            <v>1</v>
          </cell>
          <cell r="AT1140">
            <v>0</v>
          </cell>
          <cell r="AU1140">
            <v>0</v>
          </cell>
        </row>
        <row r="1141">
          <cell r="D1141" t="str">
            <v>yumangm</v>
          </cell>
          <cell r="E1141">
            <v>102865821</v>
          </cell>
          <cell r="F1141" t="str">
            <v>A</v>
          </cell>
          <cell r="G1141" t="str">
            <v>BLUE</v>
          </cell>
          <cell r="H1141" t="str">
            <v>FULL_TIME</v>
          </cell>
          <cell r="I1141" t="str">
            <v>P03231</v>
          </cell>
          <cell r="K1141" t="str">
            <v>Mike Yumang</v>
          </cell>
          <cell r="L1141" t="str">
            <v>FC Associate III</v>
          </cell>
          <cell r="M1141" t="str">
            <v>Non-Inventory Receiver (NIR)</v>
          </cell>
          <cell r="N1141" t="str">
            <v>ridat</v>
          </cell>
          <cell r="O1141">
            <v>1290</v>
          </cell>
          <cell r="P1141" t="str">
            <v>AUH1</v>
          </cell>
          <cell r="Q1141" t="str">
            <v>ARE</v>
          </cell>
          <cell r="R1141" t="str">
            <v>FC034</v>
          </cell>
          <cell r="S1141" t="str">
            <v>Day Shift</v>
          </cell>
          <cell r="T1141">
            <v>3</v>
          </cell>
          <cell r="U1141" t="str">
            <v>MENA_UAE_FC</v>
          </cell>
          <cell r="X1141">
            <v>46257.333333333336</v>
          </cell>
          <cell r="Y1141">
            <v>46257.75</v>
          </cell>
          <cell r="Z1141" t="str">
            <v>Rest Day</v>
          </cell>
          <cell r="AA1141" t="str">
            <v>Not Scheduled</v>
          </cell>
          <cell r="AB1141" t="str">
            <v>Not Present</v>
          </cell>
          <cell r="AC1141" t="str">
            <v>Support</v>
          </cell>
          <cell r="AD1141" t="str">
            <v>Admin/HR/IT</v>
          </cell>
          <cell r="AE1141" t="str">
            <v>Support</v>
          </cell>
          <cell r="AF1141" t="str">
            <v>Saturday</v>
          </cell>
          <cell r="AG1141" t="str">
            <v>Sunday</v>
          </cell>
          <cell r="AH1141">
            <v>26</v>
          </cell>
          <cell r="AJ1141">
            <v>43011</v>
          </cell>
          <cell r="AM1141" t="str">
            <v>FC</v>
          </cell>
          <cell r="AN1141" t="str">
            <v>Regular Full Time</v>
          </cell>
          <cell r="AO1141" t="str">
            <v>A</v>
          </cell>
          <cell r="AP1141">
            <v>9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</row>
        <row r="1142">
          <cell r="D1142" t="str">
            <v>yusufoke</v>
          </cell>
          <cell r="E1142">
            <v>205845554</v>
          </cell>
          <cell r="F1142" t="str">
            <v>A</v>
          </cell>
          <cell r="G1142" t="str">
            <v>GREEN</v>
          </cell>
          <cell r="H1142" t="str">
            <v>FULL_TIME</v>
          </cell>
          <cell r="I1142">
            <v>900234</v>
          </cell>
          <cell r="J1142" t="str">
            <v>Dulsco L.L.C.</v>
          </cell>
          <cell r="K1142" t="str">
            <v>YUSUF OKELLO</v>
          </cell>
          <cell r="L1142" t="str">
            <v>Warehouse Associate (TEMP)</v>
          </cell>
          <cell r="M1142" t="str">
            <v>Warehouse Associate 24M</v>
          </cell>
          <cell r="N1142" t="str">
            <v>bizthoma</v>
          </cell>
          <cell r="O1142">
            <v>1299</v>
          </cell>
          <cell r="P1142" t="str">
            <v>AUH1</v>
          </cell>
          <cell r="Q1142" t="str">
            <v>ARE</v>
          </cell>
          <cell r="R1142" t="str">
            <v>FC134</v>
          </cell>
          <cell r="S1142" t="str">
            <v>Day Shift</v>
          </cell>
          <cell r="T1142">
            <v>99</v>
          </cell>
          <cell r="U1142" t="str">
            <v>MENA_UAE_FC</v>
          </cell>
          <cell r="V1142">
            <v>46257.331944444442</v>
          </cell>
          <cell r="W1142">
            <v>46257.749305555553</v>
          </cell>
          <cell r="X1142">
            <v>46257.333333333336</v>
          </cell>
          <cell r="Y1142">
            <v>46257.75</v>
          </cell>
          <cell r="AA1142" t="str">
            <v>Scheduled</v>
          </cell>
          <cell r="AB1142" t="str">
            <v>Present</v>
          </cell>
          <cell r="AC1142" t="str">
            <v>Outbound</v>
          </cell>
          <cell r="AD1142" t="str">
            <v>Pack - Batch</v>
          </cell>
          <cell r="AE1142" t="str">
            <v>Pack</v>
          </cell>
          <cell r="AF1142" t="str">
            <v>Wednesday</v>
          </cell>
          <cell r="AG1142" t="str">
            <v>Thursday</v>
          </cell>
          <cell r="AH1142">
            <v>17</v>
          </cell>
          <cell r="AJ1142">
            <v>45893</v>
          </cell>
          <cell r="AM1142" t="str">
            <v>TEMP</v>
          </cell>
          <cell r="AN1142" t="str">
            <v>3P Onsite Worker</v>
          </cell>
          <cell r="AO1142" t="str">
            <v>A</v>
          </cell>
          <cell r="AP1142">
            <v>9</v>
          </cell>
          <cell r="AQ1142">
            <v>0</v>
          </cell>
          <cell r="AR1142">
            <v>1</v>
          </cell>
          <cell r="AS1142">
            <v>1</v>
          </cell>
          <cell r="AT1142">
            <v>0</v>
          </cell>
          <cell r="AU1142">
            <v>0</v>
          </cell>
        </row>
        <row r="1143">
          <cell r="D1143" t="str">
            <v>zauguaug</v>
          </cell>
          <cell r="E1143">
            <v>203813035</v>
          </cell>
          <cell r="F1143" t="str">
            <v>A</v>
          </cell>
          <cell r="G1143" t="str">
            <v>GREEN</v>
          </cell>
          <cell r="H1143" t="str">
            <v>FULL_TIME</v>
          </cell>
          <cell r="I1143">
            <v>900234</v>
          </cell>
          <cell r="J1143" t="str">
            <v>Adecco</v>
          </cell>
          <cell r="K1143" t="str">
            <v>AUGUSTIN AUGUSTIN</v>
          </cell>
          <cell r="L1143" t="str">
            <v>Warehouse Associate (TEMP)</v>
          </cell>
          <cell r="M1143" t="str">
            <v>Warehouse Associate 24M</v>
          </cell>
          <cell r="N1143" t="str">
            <v>pparsin</v>
          </cell>
          <cell r="O1143">
            <v>1299</v>
          </cell>
          <cell r="P1143" t="str">
            <v>AUH1</v>
          </cell>
          <cell r="Q1143" t="str">
            <v>ARE</v>
          </cell>
          <cell r="R1143" t="str">
            <v>LK013</v>
          </cell>
          <cell r="S1143" t="str">
            <v>Night Shift</v>
          </cell>
          <cell r="T1143">
            <v>99</v>
          </cell>
          <cell r="U1143" t="str">
            <v>MENA_UAE_FC</v>
          </cell>
          <cell r="X1143">
            <v>46257.756944444445</v>
          </cell>
          <cell r="Y1143">
            <v>46258.173611111109</v>
          </cell>
          <cell r="Z1143" t="str">
            <v>Rest Day</v>
          </cell>
          <cell r="AA1143" t="str">
            <v>Not Scheduled</v>
          </cell>
          <cell r="AB1143" t="str">
            <v>Not Present</v>
          </cell>
          <cell r="AC1143" t="str">
            <v>Inbound</v>
          </cell>
          <cell r="AD1143" t="str">
            <v>Inbound Stow</v>
          </cell>
          <cell r="AE1143" t="str">
            <v>Stow</v>
          </cell>
          <cell r="AF1143" t="str">
            <v>Sunday</v>
          </cell>
          <cell r="AG1143" t="str">
            <v>Monday</v>
          </cell>
          <cell r="AH1143">
            <v>3</v>
          </cell>
          <cell r="AJ1143">
            <v>45516</v>
          </cell>
          <cell r="AM1143" t="str">
            <v>TEMP</v>
          </cell>
          <cell r="AN1143" t="str">
            <v>3P Onsite Worker</v>
          </cell>
          <cell r="AO1143" t="str">
            <v>A</v>
          </cell>
          <cell r="AP1143">
            <v>9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</row>
        <row r="1144">
          <cell r="D1144" t="str">
            <v>zchowusu</v>
          </cell>
          <cell r="E1144">
            <v>205608618</v>
          </cell>
          <cell r="F1144" t="str">
            <v>A</v>
          </cell>
          <cell r="G1144" t="str">
            <v>GREEN</v>
          </cell>
          <cell r="H1144" t="str">
            <v>FULL_TIME</v>
          </cell>
          <cell r="I1144">
            <v>900234</v>
          </cell>
          <cell r="J1144" t="str">
            <v>Dulsco L.L.C.</v>
          </cell>
          <cell r="K1144" t="str">
            <v>CHARLES TONTO OWUSU</v>
          </cell>
          <cell r="L1144" t="str">
            <v>Warehouse Associate (TEMP)</v>
          </cell>
          <cell r="M1144" t="str">
            <v>Warehouse Associate 24M</v>
          </cell>
          <cell r="N1144" t="str">
            <v>pparsin</v>
          </cell>
          <cell r="O1144">
            <v>1299</v>
          </cell>
          <cell r="P1144" t="str">
            <v>AUH1</v>
          </cell>
          <cell r="Q1144" t="str">
            <v>ARE</v>
          </cell>
          <cell r="R1144" t="str">
            <v>FC059</v>
          </cell>
          <cell r="S1144" t="str">
            <v>Day Shift</v>
          </cell>
          <cell r="T1144">
            <v>99</v>
          </cell>
          <cell r="U1144" t="str">
            <v>MENA_UAE_FC</v>
          </cell>
          <cell r="X1144">
            <v>46257.333333333336</v>
          </cell>
          <cell r="Y1144">
            <v>46257.75</v>
          </cell>
          <cell r="Z1144" t="str">
            <v>Rest Day</v>
          </cell>
          <cell r="AA1144" t="str">
            <v>Not Scheduled</v>
          </cell>
          <cell r="AB1144" t="str">
            <v>Not Present</v>
          </cell>
          <cell r="AC1144" t="str">
            <v>Inbound</v>
          </cell>
          <cell r="AD1144" t="str">
            <v>Inbound Stow</v>
          </cell>
          <cell r="AE1144" t="str">
            <v>Stow</v>
          </cell>
          <cell r="AF1144" t="str">
            <v>Sunday</v>
          </cell>
          <cell r="AG1144" t="str">
            <v>Monday</v>
          </cell>
          <cell r="AH1144">
            <v>3</v>
          </cell>
          <cell r="AJ1144">
            <v>45844</v>
          </cell>
          <cell r="AM1144" t="str">
            <v>TEMP</v>
          </cell>
          <cell r="AN1144" t="str">
            <v>3P Onsite Worker</v>
          </cell>
          <cell r="AO1144" t="str">
            <v>A</v>
          </cell>
          <cell r="AP1144">
            <v>9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</row>
        <row r="1145">
          <cell r="D1145" t="str">
            <v>zinrakib</v>
          </cell>
          <cell r="E1145">
            <v>206875145</v>
          </cell>
          <cell r="F1145" t="str">
            <v>A</v>
          </cell>
          <cell r="G1145" t="str">
            <v>GREEN</v>
          </cell>
          <cell r="H1145" t="str">
            <v>FULL_TIME</v>
          </cell>
          <cell r="I1145">
            <v>900234</v>
          </cell>
          <cell r="J1145" t="str">
            <v>Dulsco L.L.C.</v>
          </cell>
          <cell r="K1145" t="str">
            <v>RAKIB ZINGIRA</v>
          </cell>
          <cell r="L1145" t="str">
            <v>Warehouse Associate (TEMP)</v>
          </cell>
          <cell r="M1145" t="str">
            <v>Warehouse Associate 8W</v>
          </cell>
          <cell r="N1145" t="str">
            <v>bavameer</v>
          </cell>
          <cell r="O1145">
            <v>1299</v>
          </cell>
          <cell r="P1145" t="str">
            <v>AUH1</v>
          </cell>
          <cell r="Q1145" t="str">
            <v>ARE</v>
          </cell>
          <cell r="R1145" t="str">
            <v>FC084</v>
          </cell>
          <cell r="S1145" t="str">
            <v>Day Shift</v>
          </cell>
          <cell r="T1145">
            <v>99</v>
          </cell>
          <cell r="U1145" t="str">
            <v>MENA_UAE_FC</v>
          </cell>
          <cell r="V1145">
            <v>46257.333333333336</v>
          </cell>
          <cell r="W1145">
            <v>46257.75</v>
          </cell>
          <cell r="X1145">
            <v>46257.333333333336</v>
          </cell>
          <cell r="Y1145">
            <v>46257.75</v>
          </cell>
          <cell r="AA1145" t="str">
            <v>Scheduled</v>
          </cell>
          <cell r="AB1145" t="str">
            <v>Present</v>
          </cell>
          <cell r="AC1145" t="str">
            <v>Customer returns</v>
          </cell>
          <cell r="AD1145" t="str">
            <v>Customer Returns</v>
          </cell>
          <cell r="AE1145" t="str">
            <v>Customer returns</v>
          </cell>
          <cell r="AF1145" t="str">
            <v>Monday</v>
          </cell>
          <cell r="AG1145" t="str">
            <v>Tuesday</v>
          </cell>
          <cell r="AH1145">
            <v>22</v>
          </cell>
          <cell r="AJ1145">
            <v>46019</v>
          </cell>
          <cell r="AM1145" t="str">
            <v>TEMP</v>
          </cell>
          <cell r="AN1145" t="str">
            <v>3P Onsite Worker</v>
          </cell>
          <cell r="AO1145" t="str">
            <v>A</v>
          </cell>
          <cell r="AP1145">
            <v>9</v>
          </cell>
          <cell r="AQ1145">
            <v>0</v>
          </cell>
          <cell r="AR1145">
            <v>1</v>
          </cell>
          <cell r="AS1145">
            <v>1</v>
          </cell>
          <cell r="AT1145">
            <v>0</v>
          </cell>
          <cell r="AU1145">
            <v>0</v>
          </cell>
        </row>
        <row r="1146">
          <cell r="D1146" t="str">
            <v>zkasabda</v>
          </cell>
          <cell r="E1146">
            <v>206873715</v>
          </cell>
          <cell r="F1146" t="str">
            <v>A</v>
          </cell>
          <cell r="G1146" t="str">
            <v>GREEN</v>
          </cell>
          <cell r="H1146" t="str">
            <v>FULL_TIME</v>
          </cell>
          <cell r="I1146">
            <v>900234</v>
          </cell>
          <cell r="J1146" t="str">
            <v>Dulsco L.L.C.</v>
          </cell>
          <cell r="K1146" t="str">
            <v>ABDALLAH KASSIM</v>
          </cell>
          <cell r="L1146" t="str">
            <v>Warehouse Associate (TEMP)</v>
          </cell>
          <cell r="M1146" t="str">
            <v>Warehouse Associate 8W</v>
          </cell>
          <cell r="N1146" t="str">
            <v>aanso</v>
          </cell>
          <cell r="O1146">
            <v>1299</v>
          </cell>
          <cell r="P1146" t="str">
            <v>AUH1</v>
          </cell>
          <cell r="Q1146" t="str">
            <v>ARE</v>
          </cell>
          <cell r="R1146" t="str">
            <v>FC034</v>
          </cell>
          <cell r="S1146" t="str">
            <v>Day Shift</v>
          </cell>
          <cell r="T1146">
            <v>99</v>
          </cell>
          <cell r="U1146" t="str">
            <v>MENA_UAE_FC</v>
          </cell>
          <cell r="X1146">
            <v>46257.333333333336</v>
          </cell>
          <cell r="Y1146">
            <v>46257.75</v>
          </cell>
          <cell r="Z1146" t="str">
            <v>Rest Day</v>
          </cell>
          <cell r="AA1146" t="str">
            <v>Not Scheduled</v>
          </cell>
          <cell r="AB1146" t="str">
            <v>Not Present</v>
          </cell>
          <cell r="AC1146" t="str">
            <v>Customer returns</v>
          </cell>
          <cell r="AD1146" t="str">
            <v>Customer Returns</v>
          </cell>
          <cell r="AE1146" t="str">
            <v>Customer returns</v>
          </cell>
          <cell r="AF1146" t="str">
            <v>Saturday</v>
          </cell>
          <cell r="AG1146" t="str">
            <v>Sunday</v>
          </cell>
          <cell r="AH1146">
            <v>22</v>
          </cell>
          <cell r="AJ1146">
            <v>46019</v>
          </cell>
          <cell r="AM1146" t="str">
            <v>TEMP</v>
          </cell>
          <cell r="AN1146" t="str">
            <v>3P Onsite Worker</v>
          </cell>
          <cell r="AO1146" t="str">
            <v>A</v>
          </cell>
          <cell r="AP1146">
            <v>9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</row>
        <row r="1147">
          <cell r="D1147" t="str">
            <v>zluwunge</v>
          </cell>
          <cell r="E1147">
            <v>206874046</v>
          </cell>
          <cell r="F1147" t="str">
            <v>A</v>
          </cell>
          <cell r="G1147" t="str">
            <v>GREEN</v>
          </cell>
          <cell r="H1147" t="str">
            <v>FULL_TIME</v>
          </cell>
          <cell r="I1147">
            <v>900234</v>
          </cell>
          <cell r="J1147" t="str">
            <v>Dulsco L.L.C.</v>
          </cell>
          <cell r="K1147" t="str">
            <v>LUWUNGE JAMES</v>
          </cell>
          <cell r="L1147" t="str">
            <v>Warehouse Associate (TEMP)</v>
          </cell>
          <cell r="M1147" t="str">
            <v>Warehouse Associate 8W</v>
          </cell>
          <cell r="N1147" t="str">
            <v>vkkatyal</v>
          </cell>
          <cell r="O1147">
            <v>1299</v>
          </cell>
          <cell r="P1147" t="str">
            <v>AUH1</v>
          </cell>
          <cell r="Q1147" t="str">
            <v>ARE</v>
          </cell>
          <cell r="R1147" t="str">
            <v>FC059</v>
          </cell>
          <cell r="S1147" t="str">
            <v>Day Shift</v>
          </cell>
          <cell r="T1147">
            <v>99</v>
          </cell>
          <cell r="U1147" t="str">
            <v>MENA_UAE_FC</v>
          </cell>
          <cell r="X1147">
            <v>46257.333333333336</v>
          </cell>
          <cell r="Y1147">
            <v>46257.75</v>
          </cell>
          <cell r="Z1147" t="str">
            <v>Rest Day</v>
          </cell>
          <cell r="AA1147" t="str">
            <v>Not Scheduled</v>
          </cell>
          <cell r="AB1147" t="str">
            <v>Not Present</v>
          </cell>
          <cell r="AC1147" t="str">
            <v>Inbound</v>
          </cell>
          <cell r="AD1147" t="str">
            <v>Inbound Stow</v>
          </cell>
          <cell r="AE1147" t="str">
            <v>Stow</v>
          </cell>
          <cell r="AF1147" t="str">
            <v>Sunday</v>
          </cell>
          <cell r="AG1147" t="str">
            <v>Monday</v>
          </cell>
          <cell r="AH1147">
            <v>3</v>
          </cell>
          <cell r="AJ1147">
            <v>46019</v>
          </cell>
          <cell r="AM1147" t="str">
            <v>TEMP</v>
          </cell>
          <cell r="AN1147" t="str">
            <v>3P Onsite Worker</v>
          </cell>
          <cell r="AO1147" t="str">
            <v>A</v>
          </cell>
          <cell r="AP1147">
            <v>9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</row>
        <row r="1148">
          <cell r="D1148" t="str">
            <v>znambusa</v>
          </cell>
          <cell r="E1148">
            <v>203800374</v>
          </cell>
          <cell r="F1148" t="str">
            <v>A</v>
          </cell>
          <cell r="G1148" t="str">
            <v>GREEN</v>
          </cell>
          <cell r="H1148" t="str">
            <v>FULL_TIME</v>
          </cell>
          <cell r="I1148">
            <v>900234</v>
          </cell>
          <cell r="J1148" t="str">
            <v>Dulsco L.L.C.</v>
          </cell>
          <cell r="K1148" t="str">
            <v>NATHAN MBUSA</v>
          </cell>
          <cell r="L1148" t="str">
            <v>Warehouse Associate (TEMP)</v>
          </cell>
          <cell r="M1148" t="str">
            <v>Warehouse Associate 8W</v>
          </cell>
          <cell r="N1148" t="str">
            <v>vkkatyal</v>
          </cell>
          <cell r="O1148">
            <v>1299</v>
          </cell>
          <cell r="P1148" t="str">
            <v>AUH1</v>
          </cell>
          <cell r="Q1148" t="str">
            <v>ARE</v>
          </cell>
          <cell r="R1148" t="str">
            <v>FC009</v>
          </cell>
          <cell r="S1148" t="str">
            <v>Day Shift</v>
          </cell>
          <cell r="T1148">
            <v>99</v>
          </cell>
          <cell r="U1148" t="str">
            <v>MENA_UAE_FC</v>
          </cell>
          <cell r="V1148">
            <v>46257.334027777775</v>
          </cell>
          <cell r="W1148">
            <v>46257.756249999999</v>
          </cell>
          <cell r="X1148">
            <v>46257.333333333336</v>
          </cell>
          <cell r="Y1148">
            <v>46257.75</v>
          </cell>
          <cell r="AA1148" t="str">
            <v>Scheduled</v>
          </cell>
          <cell r="AB1148" t="str">
            <v>Present</v>
          </cell>
          <cell r="AC1148" t="str">
            <v>Inbound</v>
          </cell>
          <cell r="AD1148" t="str">
            <v>Inbound Stow</v>
          </cell>
          <cell r="AE1148" t="str">
            <v>Stow</v>
          </cell>
          <cell r="AF1148" t="str">
            <v>Friday</v>
          </cell>
          <cell r="AG1148" t="str">
            <v>Saturday</v>
          </cell>
          <cell r="AH1148">
            <v>3</v>
          </cell>
          <cell r="AJ1148">
            <v>45515</v>
          </cell>
          <cell r="AM1148" t="str">
            <v>TEMP</v>
          </cell>
          <cell r="AN1148" t="str">
            <v>3P Onsite Worker</v>
          </cell>
          <cell r="AO1148" t="str">
            <v>A</v>
          </cell>
          <cell r="AP1148">
            <v>9</v>
          </cell>
          <cell r="AQ1148">
            <v>0</v>
          </cell>
          <cell r="AR1148">
            <v>1</v>
          </cell>
          <cell r="AS1148">
            <v>1</v>
          </cell>
          <cell r="AT1148">
            <v>0</v>
          </cell>
          <cell r="AU1148">
            <v>0</v>
          </cell>
        </row>
        <row r="1149">
          <cell r="D1149" t="str">
            <v>abaoalid</v>
          </cell>
          <cell r="E1149">
            <v>203881712</v>
          </cell>
          <cell r="F1149" t="str">
            <v>A</v>
          </cell>
          <cell r="G1149" t="str">
            <v>GREEN</v>
          </cell>
          <cell r="H1149" t="str">
            <v>FULL_TIME</v>
          </cell>
          <cell r="I1149">
            <v>900234</v>
          </cell>
          <cell r="J1149" t="str">
            <v>Fastlink Outsourcing</v>
          </cell>
          <cell r="K1149" t="str">
            <v>Alidu Abass</v>
          </cell>
          <cell r="L1149" t="str">
            <v>Warehouse Associate (TEMP)</v>
          </cell>
          <cell r="M1149" t="str">
            <v>Warehouse Associate 12M</v>
          </cell>
          <cell r="N1149" t="str">
            <v>gylrdg</v>
          </cell>
          <cell r="O1149">
            <v>1181</v>
          </cell>
          <cell r="P1149" t="str">
            <v>AUH3</v>
          </cell>
          <cell r="Q1149" t="str">
            <v>ARE</v>
          </cell>
          <cell r="R1149" t="str">
            <v>LK011</v>
          </cell>
          <cell r="S1149" t="str">
            <v>Night Shift</v>
          </cell>
          <cell r="T1149">
            <v>99</v>
          </cell>
          <cell r="U1149" t="str">
            <v>MENA_UAE_FC</v>
          </cell>
          <cell r="V1149">
            <v>46257.755555555559</v>
          </cell>
          <cell r="X1149">
            <v>46257.756944444445</v>
          </cell>
          <cell r="Y1149">
            <v>46258.173611111109</v>
          </cell>
          <cell r="AA1149" t="str">
            <v>Scheduled</v>
          </cell>
          <cell r="AB1149" t="str">
            <v>Present</v>
          </cell>
          <cell r="AC1149" t="str">
            <v>Warehouse deals</v>
          </cell>
          <cell r="AD1149" t="str">
            <v>Warehouse Deals</v>
          </cell>
          <cell r="AE1149" t="str">
            <v>Warehouse deals</v>
          </cell>
          <cell r="AF1149" t="str">
            <v>Friday</v>
          </cell>
          <cell r="AG1149" t="str">
            <v>Saturday</v>
          </cell>
          <cell r="AH1149">
            <v>32</v>
          </cell>
          <cell r="AJ1149">
            <v>45529</v>
          </cell>
          <cell r="AM1149" t="str">
            <v>TEMP</v>
          </cell>
          <cell r="AN1149" t="str">
            <v>3P Onsite Worker</v>
          </cell>
          <cell r="AO1149" t="str">
            <v>A</v>
          </cell>
          <cell r="AP1149">
            <v>9</v>
          </cell>
          <cell r="AQ1149">
            <v>0</v>
          </cell>
          <cell r="AR1149">
            <v>1</v>
          </cell>
          <cell r="AS1149">
            <v>1</v>
          </cell>
          <cell r="AT1149">
            <v>0</v>
          </cell>
          <cell r="AU1149">
            <v>0</v>
          </cell>
        </row>
        <row r="1150">
          <cell r="D1150" t="str">
            <v>abigasar</v>
          </cell>
          <cell r="E1150">
            <v>203555218</v>
          </cell>
          <cell r="F1150" t="str">
            <v>A</v>
          </cell>
          <cell r="G1150" t="str">
            <v>GREEN</v>
          </cell>
          <cell r="H1150" t="str">
            <v>FULL_TIME</v>
          </cell>
          <cell r="I1150">
            <v>900234</v>
          </cell>
          <cell r="J1150" t="str">
            <v>Fastlink Outsourcing</v>
          </cell>
          <cell r="K1150" t="str">
            <v>Abigail Asare</v>
          </cell>
          <cell r="L1150" t="str">
            <v>Warehouse Associate (TEMP)</v>
          </cell>
          <cell r="M1150" t="str">
            <v>Warehouse Associate 12M</v>
          </cell>
          <cell r="N1150" t="str">
            <v>gylrdg</v>
          </cell>
          <cell r="O1150">
            <v>1181</v>
          </cell>
          <cell r="P1150" t="str">
            <v>AUH3</v>
          </cell>
          <cell r="Q1150" t="str">
            <v>ARE</v>
          </cell>
          <cell r="R1150" t="str">
            <v>LK011</v>
          </cell>
          <cell r="S1150" t="str">
            <v>Night Shift</v>
          </cell>
          <cell r="T1150">
            <v>99</v>
          </cell>
          <cell r="U1150" t="str">
            <v>MENA_UAE_FC</v>
          </cell>
          <cell r="V1150">
            <v>46257.755555555559</v>
          </cell>
          <cell r="X1150">
            <v>46257.756944444445</v>
          </cell>
          <cell r="Y1150">
            <v>46258.173611111109</v>
          </cell>
          <cell r="AA1150" t="str">
            <v>Scheduled</v>
          </cell>
          <cell r="AB1150" t="str">
            <v>Present</v>
          </cell>
          <cell r="AC1150" t="str">
            <v>Warehouse deals</v>
          </cell>
          <cell r="AD1150" t="str">
            <v>Warehouse Deals</v>
          </cell>
          <cell r="AE1150" t="str">
            <v>Warehouse deals</v>
          </cell>
          <cell r="AF1150" t="str">
            <v>Friday</v>
          </cell>
          <cell r="AG1150" t="str">
            <v>Saturday</v>
          </cell>
          <cell r="AH1150">
            <v>32</v>
          </cell>
          <cell r="AJ1150">
            <v>45469</v>
          </cell>
          <cell r="AM1150" t="str">
            <v>TEMP</v>
          </cell>
          <cell r="AN1150" t="str">
            <v>3P Onsite Worker</v>
          </cell>
          <cell r="AO1150" t="str">
            <v>A</v>
          </cell>
          <cell r="AP1150">
            <v>9</v>
          </cell>
          <cell r="AQ1150">
            <v>0</v>
          </cell>
          <cell r="AR1150">
            <v>1</v>
          </cell>
          <cell r="AS1150">
            <v>1</v>
          </cell>
          <cell r="AT1150">
            <v>0</v>
          </cell>
          <cell r="AU1150">
            <v>0</v>
          </cell>
        </row>
        <row r="1151">
          <cell r="D1151" t="str">
            <v>aboagyra</v>
          </cell>
          <cell r="E1151">
            <v>203513499</v>
          </cell>
          <cell r="F1151" t="str">
            <v>A</v>
          </cell>
          <cell r="G1151" t="str">
            <v>GREEN</v>
          </cell>
          <cell r="H1151" t="str">
            <v>FULL_TIME</v>
          </cell>
          <cell r="I1151">
            <v>900234</v>
          </cell>
          <cell r="J1151" t="str">
            <v>Fastlink Outsourcing</v>
          </cell>
          <cell r="K1151" t="str">
            <v>Raphael Aboagye</v>
          </cell>
          <cell r="L1151" t="str">
            <v>Warehouse Associate (TEMP)</v>
          </cell>
          <cell r="M1151" t="str">
            <v>Warehouse Associate 12M</v>
          </cell>
          <cell r="N1151" t="str">
            <v>gylrdg</v>
          </cell>
          <cell r="O1151">
            <v>1181</v>
          </cell>
          <cell r="P1151" t="str">
            <v>AUH3</v>
          </cell>
          <cell r="Q1151" t="str">
            <v>ARE</v>
          </cell>
          <cell r="R1151" t="str">
            <v>LK013</v>
          </cell>
          <cell r="S1151" t="str">
            <v>Night Shift</v>
          </cell>
          <cell r="T1151">
            <v>99</v>
          </cell>
          <cell r="U1151" t="str">
            <v>MENA_UAE_FC</v>
          </cell>
          <cell r="X1151">
            <v>46257.756944444445</v>
          </cell>
          <cell r="Y1151">
            <v>46258.173611111109</v>
          </cell>
          <cell r="Z1151" t="str">
            <v>Rest Day</v>
          </cell>
          <cell r="AA1151" t="str">
            <v>Not Scheduled</v>
          </cell>
          <cell r="AB1151" t="str">
            <v>Not Present</v>
          </cell>
          <cell r="AC1151" t="str">
            <v>Warehouse deals</v>
          </cell>
          <cell r="AD1151" t="str">
            <v>Warehouse Deals</v>
          </cell>
          <cell r="AE1151" t="str">
            <v>Warehouse deals</v>
          </cell>
          <cell r="AF1151" t="str">
            <v>Sunday</v>
          </cell>
          <cell r="AG1151" t="str">
            <v>Monday</v>
          </cell>
          <cell r="AH1151">
            <v>32</v>
          </cell>
          <cell r="AJ1151">
            <v>45462</v>
          </cell>
          <cell r="AM1151" t="str">
            <v>TEMP</v>
          </cell>
          <cell r="AN1151" t="str">
            <v>3P Onsite Worker</v>
          </cell>
          <cell r="AO1151" t="str">
            <v>A</v>
          </cell>
          <cell r="AP1151">
            <v>9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</row>
        <row r="1152">
          <cell r="D1152" t="str">
            <v>acheamma</v>
          </cell>
          <cell r="E1152">
            <v>201635982</v>
          </cell>
          <cell r="F1152" t="str">
            <v>A</v>
          </cell>
          <cell r="G1152" t="str">
            <v>GREEN</v>
          </cell>
          <cell r="H1152" t="str">
            <v>FULL_TIME</v>
          </cell>
          <cell r="I1152">
            <v>900234</v>
          </cell>
          <cell r="J1152" t="str">
            <v>Fastlink Outsourcing</v>
          </cell>
          <cell r="K1152" t="str">
            <v>MARY ACHEAMPONG</v>
          </cell>
          <cell r="L1152" t="str">
            <v>Warehouse Associate (TEMP)</v>
          </cell>
          <cell r="M1152" t="str">
            <v>Warehouse Associate 12M</v>
          </cell>
          <cell r="N1152" t="str">
            <v>nelstche</v>
          </cell>
          <cell r="O1152">
            <v>1181</v>
          </cell>
          <cell r="P1152" t="str">
            <v>AUH3</v>
          </cell>
          <cell r="Q1152" t="str">
            <v>ARE</v>
          </cell>
          <cell r="R1152" t="str">
            <v>FC109</v>
          </cell>
          <cell r="S1152" t="str">
            <v>Day Shift</v>
          </cell>
          <cell r="T1152">
            <v>99</v>
          </cell>
          <cell r="U1152" t="str">
            <v>MENA_UAE_FC</v>
          </cell>
          <cell r="V1152">
            <v>46257.331250000003</v>
          </cell>
          <cell r="W1152">
            <v>46257.749305555553</v>
          </cell>
          <cell r="X1152">
            <v>46257.333333333336</v>
          </cell>
          <cell r="Y1152">
            <v>46257.75</v>
          </cell>
          <cell r="AA1152" t="str">
            <v>Scheduled</v>
          </cell>
          <cell r="AB1152" t="str">
            <v>Present</v>
          </cell>
          <cell r="AC1152" t="str">
            <v>Warehouse deals</v>
          </cell>
          <cell r="AD1152" t="str">
            <v>Warehouse Deals</v>
          </cell>
          <cell r="AE1152" t="str">
            <v>Warehouse deals</v>
          </cell>
          <cell r="AF1152" t="str">
            <v>Tuesday</v>
          </cell>
          <cell r="AG1152" t="str">
            <v>Wednesday</v>
          </cell>
          <cell r="AH1152">
            <v>32</v>
          </cell>
          <cell r="AJ1152">
            <v>45529</v>
          </cell>
          <cell r="AM1152" t="str">
            <v>TEMP</v>
          </cell>
          <cell r="AN1152" t="str">
            <v>3P Onsite Worker</v>
          </cell>
          <cell r="AO1152" t="str">
            <v>A</v>
          </cell>
          <cell r="AP1152">
            <v>9</v>
          </cell>
          <cell r="AQ1152">
            <v>0</v>
          </cell>
          <cell r="AR1152">
            <v>1</v>
          </cell>
          <cell r="AS1152">
            <v>1</v>
          </cell>
          <cell r="AT1152">
            <v>0</v>
          </cell>
          <cell r="AU1152">
            <v>0</v>
          </cell>
        </row>
        <row r="1153">
          <cell r="D1153" t="str">
            <v>adombill</v>
          </cell>
          <cell r="E1153">
            <v>206361774</v>
          </cell>
          <cell r="F1153" t="str">
            <v>A</v>
          </cell>
          <cell r="G1153" t="str">
            <v>GREEN</v>
          </cell>
          <cell r="H1153" t="str">
            <v>FULL_TIME</v>
          </cell>
          <cell r="I1153">
            <v>900234</v>
          </cell>
          <cell r="J1153" t="str">
            <v>EFS Facilities Services</v>
          </cell>
          <cell r="K1153" t="str">
            <v>SAMUEL AWINIMI ADOMBILLA</v>
          </cell>
          <cell r="L1153" t="str">
            <v>Warehouse Associate (TEMP)</v>
          </cell>
          <cell r="M1153" t="str">
            <v>Warehouse Associate 8W</v>
          </cell>
          <cell r="N1153" t="str">
            <v>gylrdg</v>
          </cell>
          <cell r="O1153">
            <v>1181</v>
          </cell>
          <cell r="P1153" t="str">
            <v>AUH3</v>
          </cell>
          <cell r="Q1153" t="str">
            <v>ARE</v>
          </cell>
          <cell r="R1153" t="str">
            <v>FC557</v>
          </cell>
          <cell r="S1153" t="str">
            <v>Night Shift</v>
          </cell>
          <cell r="T1153">
            <v>99</v>
          </cell>
          <cell r="U1153" t="str">
            <v>MENA_UAE_FC</v>
          </cell>
          <cell r="V1153">
            <v>46257.754166666666</v>
          </cell>
          <cell r="X1153">
            <v>46257.756944444445</v>
          </cell>
          <cell r="Y1153">
            <v>46258.090277777781</v>
          </cell>
          <cell r="AA1153" t="str">
            <v>Scheduled</v>
          </cell>
          <cell r="AB1153" t="str">
            <v>Present</v>
          </cell>
          <cell r="AC1153" t="str">
            <v>Warehouse deals</v>
          </cell>
          <cell r="AD1153" t="str">
            <v>Warehouse Deals</v>
          </cell>
          <cell r="AE1153" t="str">
            <v>Warehouse deals</v>
          </cell>
          <cell r="AF1153" t="str">
            <v>Wednesday</v>
          </cell>
          <cell r="AG1153" t="str">
            <v>Thursday</v>
          </cell>
          <cell r="AH1153">
            <v>32</v>
          </cell>
          <cell r="AJ1153">
            <v>45956</v>
          </cell>
          <cell r="AM1153" t="str">
            <v>TEMP</v>
          </cell>
          <cell r="AN1153" t="str">
            <v>3P Onsite Worker</v>
          </cell>
          <cell r="AO1153" t="str">
            <v>A</v>
          </cell>
          <cell r="AP1153">
            <v>7</v>
          </cell>
          <cell r="AQ1153">
            <v>0</v>
          </cell>
          <cell r="AR1153">
            <v>1</v>
          </cell>
          <cell r="AS1153">
            <v>1</v>
          </cell>
          <cell r="AT1153">
            <v>0</v>
          </cell>
          <cell r="AU1153">
            <v>0</v>
          </cell>
        </row>
        <row r="1154">
          <cell r="D1154" t="str">
            <v>adomdani</v>
          </cell>
          <cell r="E1154">
            <v>205275762</v>
          </cell>
          <cell r="F1154" t="str">
            <v>A</v>
          </cell>
          <cell r="G1154" t="str">
            <v>GREEN</v>
          </cell>
          <cell r="H1154" t="str">
            <v>FULL_TIME</v>
          </cell>
          <cell r="I1154">
            <v>900234</v>
          </cell>
          <cell r="J1154" t="str">
            <v>Dulsco L.L.C.</v>
          </cell>
          <cell r="K1154" t="str">
            <v>DANIEL KWABENA ADOMA</v>
          </cell>
          <cell r="L1154" t="str">
            <v>Warehouse Associate (TEMP)</v>
          </cell>
          <cell r="M1154" t="str">
            <v>Warehouse Associate 8W</v>
          </cell>
          <cell r="N1154" t="str">
            <v>nelstche</v>
          </cell>
          <cell r="O1154">
            <v>1299</v>
          </cell>
          <cell r="P1154" t="str">
            <v>AUH3</v>
          </cell>
          <cell r="Q1154" t="str">
            <v>ARE</v>
          </cell>
          <cell r="R1154" t="str">
            <v>FC109</v>
          </cell>
          <cell r="S1154" t="str">
            <v>Day Shift</v>
          </cell>
          <cell r="T1154">
            <v>99</v>
          </cell>
          <cell r="U1154" t="str">
            <v>MENA_UAE_FC</v>
          </cell>
          <cell r="V1154">
            <v>46257.330555555556</v>
          </cell>
          <cell r="W1154">
            <v>46257.74722222222</v>
          </cell>
          <cell r="X1154">
            <v>46257.333333333336</v>
          </cell>
          <cell r="Y1154">
            <v>46257.75</v>
          </cell>
          <cell r="AA1154" t="str">
            <v>Scheduled</v>
          </cell>
          <cell r="AB1154" t="str">
            <v>Present</v>
          </cell>
          <cell r="AC1154" t="str">
            <v>Warehouse deals</v>
          </cell>
          <cell r="AD1154" t="str">
            <v>Warehouse Deals</v>
          </cell>
          <cell r="AE1154" t="str">
            <v>Warehouse deals</v>
          </cell>
          <cell r="AF1154" t="str">
            <v>Tuesday</v>
          </cell>
          <cell r="AG1154" t="str">
            <v>Wednesday</v>
          </cell>
          <cell r="AH1154">
            <v>32</v>
          </cell>
          <cell r="AJ1154">
            <v>45795</v>
          </cell>
          <cell r="AM1154" t="str">
            <v>TEMP</v>
          </cell>
          <cell r="AN1154" t="str">
            <v>3P Onsite Worker</v>
          </cell>
          <cell r="AO1154" t="str">
            <v>A</v>
          </cell>
          <cell r="AP1154">
            <v>9</v>
          </cell>
          <cell r="AQ1154">
            <v>0</v>
          </cell>
          <cell r="AR1154">
            <v>1</v>
          </cell>
          <cell r="AS1154">
            <v>1</v>
          </cell>
          <cell r="AT1154">
            <v>0</v>
          </cell>
          <cell r="AU1154">
            <v>0</v>
          </cell>
        </row>
        <row r="1155">
          <cell r="D1155" t="str">
            <v>agyeieem</v>
          </cell>
          <cell r="E1155">
            <v>203521133</v>
          </cell>
          <cell r="F1155" t="str">
            <v>A</v>
          </cell>
          <cell r="G1155" t="str">
            <v>GREEN</v>
          </cell>
          <cell r="H1155" t="str">
            <v>FULL_TIME</v>
          </cell>
          <cell r="I1155">
            <v>900234</v>
          </cell>
          <cell r="J1155" t="str">
            <v>Fastlink Outsourcing</v>
          </cell>
          <cell r="K1155" t="str">
            <v>Emmanuel Agyei</v>
          </cell>
          <cell r="L1155" t="str">
            <v>Warehouse Associate (TEMP)</v>
          </cell>
          <cell r="M1155" t="str">
            <v>Warehouse Associate 12M</v>
          </cell>
          <cell r="N1155" t="str">
            <v>pparsin</v>
          </cell>
          <cell r="O1155">
            <v>1299</v>
          </cell>
          <cell r="P1155" t="str">
            <v>AUH3</v>
          </cell>
          <cell r="Q1155" t="str">
            <v>ARE</v>
          </cell>
          <cell r="R1155" t="str">
            <v>LK011</v>
          </cell>
          <cell r="S1155" t="str">
            <v>Night Shift</v>
          </cell>
          <cell r="T1155">
            <v>99</v>
          </cell>
          <cell r="U1155" t="str">
            <v>MENA_UAE_FC</v>
          </cell>
          <cell r="V1155">
            <v>46257.754166666666</v>
          </cell>
          <cell r="X1155">
            <v>46257.756944444445</v>
          </cell>
          <cell r="Y1155">
            <v>46258.173611111109</v>
          </cell>
          <cell r="AA1155" t="str">
            <v>Scheduled</v>
          </cell>
          <cell r="AB1155" t="str">
            <v>Present</v>
          </cell>
          <cell r="AC1155" t="str">
            <v>Warehouse deals</v>
          </cell>
          <cell r="AD1155" t="str">
            <v>Warehouse Deals</v>
          </cell>
          <cell r="AE1155" t="str">
            <v>Warehouse deals</v>
          </cell>
          <cell r="AF1155" t="str">
            <v>Friday</v>
          </cell>
          <cell r="AG1155" t="str">
            <v>Saturday</v>
          </cell>
          <cell r="AH1155">
            <v>32</v>
          </cell>
          <cell r="AJ1155">
            <v>45462</v>
          </cell>
          <cell r="AM1155" t="str">
            <v>TEMP</v>
          </cell>
          <cell r="AN1155" t="str">
            <v>3P Onsite Worker</v>
          </cell>
          <cell r="AO1155" t="str">
            <v>A</v>
          </cell>
          <cell r="AP1155">
            <v>9</v>
          </cell>
          <cell r="AQ1155">
            <v>0</v>
          </cell>
          <cell r="AR1155">
            <v>1</v>
          </cell>
          <cell r="AS1155">
            <v>1</v>
          </cell>
          <cell r="AT1155">
            <v>0</v>
          </cell>
          <cell r="AU1155">
            <v>0</v>
          </cell>
        </row>
        <row r="1156">
          <cell r="D1156" t="str">
            <v>alizhma</v>
          </cell>
          <cell r="E1156">
            <v>104383492</v>
          </cell>
          <cell r="F1156" t="str">
            <v>A</v>
          </cell>
          <cell r="G1156" t="str">
            <v>BLUE</v>
          </cell>
          <cell r="H1156" t="str">
            <v>FULL_TIME</v>
          </cell>
          <cell r="I1156" t="str">
            <v>P03231</v>
          </cell>
          <cell r="K1156" t="str">
            <v>Ahmad Ali Muhammad Anwar</v>
          </cell>
          <cell r="L1156" t="str">
            <v>FC Associate III</v>
          </cell>
          <cell r="M1156" t="str">
            <v>Operations Supervisor</v>
          </cell>
          <cell r="N1156" t="str">
            <v>gylrdg</v>
          </cell>
          <cell r="O1156">
            <v>1299</v>
          </cell>
          <cell r="P1156" t="str">
            <v>AUH3</v>
          </cell>
          <cell r="Q1156" t="str">
            <v>ARE</v>
          </cell>
          <cell r="R1156" t="str">
            <v>LK014</v>
          </cell>
          <cell r="S1156" t="str">
            <v>Night Shift</v>
          </cell>
          <cell r="T1156">
            <v>3</v>
          </cell>
          <cell r="U1156" t="str">
            <v>MENA_UAE_FC</v>
          </cell>
          <cell r="V1156">
            <v>46257.740972222222</v>
          </cell>
          <cell r="X1156">
            <v>46257.756944444445</v>
          </cell>
          <cell r="Y1156">
            <v>46258.173611111109</v>
          </cell>
          <cell r="AA1156" t="str">
            <v>Scheduled</v>
          </cell>
          <cell r="AB1156" t="str">
            <v>Present</v>
          </cell>
          <cell r="AC1156" t="str">
            <v>Warehouse deals</v>
          </cell>
          <cell r="AD1156" t="str">
            <v>Warehouse Deals</v>
          </cell>
          <cell r="AE1156" t="str">
            <v>Warehouse deals</v>
          </cell>
          <cell r="AF1156" t="str">
            <v>Monday</v>
          </cell>
          <cell r="AG1156" t="str">
            <v>Tuesday</v>
          </cell>
          <cell r="AH1156">
            <v>32</v>
          </cell>
          <cell r="AJ1156">
            <v>44727</v>
          </cell>
          <cell r="AM1156" t="str">
            <v>FC</v>
          </cell>
          <cell r="AN1156" t="str">
            <v>Regular Full Time</v>
          </cell>
          <cell r="AO1156" t="str">
            <v>A</v>
          </cell>
          <cell r="AP1156">
            <v>9</v>
          </cell>
          <cell r="AQ1156">
            <v>0</v>
          </cell>
          <cell r="AR1156">
            <v>1</v>
          </cell>
          <cell r="AS1156">
            <v>1</v>
          </cell>
          <cell r="AT1156">
            <v>0</v>
          </cell>
          <cell r="AU1156">
            <v>0</v>
          </cell>
        </row>
        <row r="1157">
          <cell r="D1157" t="str">
            <v>amoahgid</v>
          </cell>
          <cell r="E1157">
            <v>203875092</v>
          </cell>
          <cell r="F1157" t="str">
            <v>A</v>
          </cell>
          <cell r="G1157" t="str">
            <v>GREEN</v>
          </cell>
          <cell r="H1157" t="str">
            <v>FULL_TIME</v>
          </cell>
          <cell r="I1157">
            <v>900234</v>
          </cell>
          <cell r="J1157" t="str">
            <v>Fastlink Outsourcing</v>
          </cell>
          <cell r="K1157" t="str">
            <v>Gideon Amoah</v>
          </cell>
          <cell r="L1157" t="str">
            <v>Warehouse Associate (TEMP)</v>
          </cell>
          <cell r="M1157" t="str">
            <v>Warehouse Associate 12M</v>
          </cell>
          <cell r="N1157" t="str">
            <v>gylrdg</v>
          </cell>
          <cell r="O1157">
            <v>1181</v>
          </cell>
          <cell r="P1157" t="str">
            <v>DAD1</v>
          </cell>
          <cell r="Q1157" t="str">
            <v>ARE</v>
          </cell>
          <cell r="R1157" t="str">
            <v>FC556</v>
          </cell>
          <cell r="T1157">
            <v>99</v>
          </cell>
          <cell r="U1157" t="str">
            <v>MENA_UAE_AMZL</v>
          </cell>
          <cell r="V1157">
            <v>46257.756249999999</v>
          </cell>
          <cell r="X1157">
            <v>46257.756944444445</v>
          </cell>
          <cell r="Y1157">
            <v>46258.090277777781</v>
          </cell>
          <cell r="AA1157" t="str">
            <v>Scheduled</v>
          </cell>
          <cell r="AB1157" t="str">
            <v>Present</v>
          </cell>
          <cell r="AC1157" t="str">
            <v>Warehouse deals</v>
          </cell>
          <cell r="AD1157" t="str">
            <v>Warehouse Deals</v>
          </cell>
          <cell r="AE1157" t="str">
            <v>Warehouse deals</v>
          </cell>
          <cell r="AH1157">
            <v>32</v>
          </cell>
          <cell r="AJ1157">
            <v>45529</v>
          </cell>
          <cell r="AM1157" t="str">
            <v>TEMP</v>
          </cell>
          <cell r="AN1157" t="str">
            <v>3P Onsite Worker</v>
          </cell>
          <cell r="AO1157" t="str">
            <v>A</v>
          </cell>
          <cell r="AP1157">
            <v>7</v>
          </cell>
          <cell r="AQ1157">
            <v>0</v>
          </cell>
          <cell r="AR1157">
            <v>1</v>
          </cell>
          <cell r="AS1157">
            <v>1</v>
          </cell>
          <cell r="AT1157">
            <v>0</v>
          </cell>
          <cell r="AU1157">
            <v>0</v>
          </cell>
        </row>
        <row r="1158">
          <cell r="D1158" t="str">
            <v>ampsheil</v>
          </cell>
          <cell r="E1158">
            <v>203513399</v>
          </cell>
          <cell r="F1158" t="str">
            <v>A</v>
          </cell>
          <cell r="G1158" t="str">
            <v>GREEN</v>
          </cell>
          <cell r="H1158" t="str">
            <v>FULL_TIME</v>
          </cell>
          <cell r="I1158">
            <v>900234</v>
          </cell>
          <cell r="J1158" t="str">
            <v>Fastlink Outsourcing</v>
          </cell>
          <cell r="K1158" t="str">
            <v>Sheila Ampene</v>
          </cell>
          <cell r="L1158" t="str">
            <v>Warehouse Associate (TEMP)</v>
          </cell>
          <cell r="M1158" t="str">
            <v>Warehouse Associate 12M</v>
          </cell>
          <cell r="N1158" t="str">
            <v>nelstche</v>
          </cell>
          <cell r="O1158">
            <v>1181</v>
          </cell>
          <cell r="P1158" t="str">
            <v>AUH3</v>
          </cell>
          <cell r="Q1158" t="str">
            <v>ARE</v>
          </cell>
          <cell r="R1158" t="str">
            <v>FC134</v>
          </cell>
          <cell r="S1158" t="str">
            <v>Day Shift</v>
          </cell>
          <cell r="T1158">
            <v>99</v>
          </cell>
          <cell r="U1158" t="str">
            <v>MENA_UAE_FC</v>
          </cell>
          <cell r="V1158">
            <v>46257.330555555556</v>
          </cell>
          <cell r="W1158">
            <v>46257.747916666667</v>
          </cell>
          <cell r="X1158">
            <v>46257.333333333336</v>
          </cell>
          <cell r="Y1158">
            <v>46257.75</v>
          </cell>
          <cell r="AA1158" t="str">
            <v>Scheduled</v>
          </cell>
          <cell r="AB1158" t="str">
            <v>Present</v>
          </cell>
          <cell r="AC1158" t="str">
            <v>Warehouse deals</v>
          </cell>
          <cell r="AD1158" t="str">
            <v>Warehouse Deals</v>
          </cell>
          <cell r="AE1158" t="str">
            <v>Warehouse deals</v>
          </cell>
          <cell r="AF1158" t="str">
            <v>Wednesday</v>
          </cell>
          <cell r="AG1158" t="str">
            <v>Thursday</v>
          </cell>
          <cell r="AH1158">
            <v>32</v>
          </cell>
          <cell r="AJ1158">
            <v>45462</v>
          </cell>
          <cell r="AM1158" t="str">
            <v>TEMP</v>
          </cell>
          <cell r="AN1158" t="str">
            <v>3P Onsite Worker</v>
          </cell>
          <cell r="AO1158" t="str">
            <v>A</v>
          </cell>
          <cell r="AP1158">
            <v>9</v>
          </cell>
          <cell r="AQ1158">
            <v>0</v>
          </cell>
          <cell r="AR1158">
            <v>1</v>
          </cell>
          <cell r="AS1158">
            <v>1</v>
          </cell>
          <cell r="AT1158">
            <v>0</v>
          </cell>
          <cell r="AU1158">
            <v>0</v>
          </cell>
        </row>
        <row r="1159">
          <cell r="D1159" t="str">
            <v>ansereem</v>
          </cell>
          <cell r="E1159">
            <v>203875184</v>
          </cell>
          <cell r="F1159" t="str">
            <v>A</v>
          </cell>
          <cell r="G1159" t="str">
            <v>GREEN</v>
          </cell>
          <cell r="H1159" t="str">
            <v>FULL_TIME</v>
          </cell>
          <cell r="I1159">
            <v>900234</v>
          </cell>
          <cell r="J1159" t="str">
            <v>Fastlink Outsourcing</v>
          </cell>
          <cell r="K1159" t="str">
            <v>Emmanuel Ansere</v>
          </cell>
          <cell r="L1159" t="str">
            <v>Warehouse Associate (TEMP)</v>
          </cell>
          <cell r="M1159" t="str">
            <v>Warehouse Associate 12M</v>
          </cell>
          <cell r="N1159" t="str">
            <v>gylrdg</v>
          </cell>
          <cell r="O1159">
            <v>1181</v>
          </cell>
          <cell r="P1159" t="str">
            <v>DAD1</v>
          </cell>
          <cell r="Q1159" t="str">
            <v>ARE</v>
          </cell>
          <cell r="R1159" t="str">
            <v>FC558</v>
          </cell>
          <cell r="T1159">
            <v>99</v>
          </cell>
          <cell r="U1159" t="str">
            <v>MENA_UAE_AMZL</v>
          </cell>
          <cell r="V1159">
            <v>46257.755555555559</v>
          </cell>
          <cell r="X1159">
            <v>46257.756944444445</v>
          </cell>
          <cell r="Y1159">
            <v>46258.090277777781</v>
          </cell>
          <cell r="AA1159" t="str">
            <v>Scheduled</v>
          </cell>
          <cell r="AB1159" t="str">
            <v>Present</v>
          </cell>
          <cell r="AC1159" t="str">
            <v>Warehouse deals</v>
          </cell>
          <cell r="AD1159" t="str">
            <v>Warehouse Deals</v>
          </cell>
          <cell r="AE1159" t="str">
            <v>Warehouse deals</v>
          </cell>
          <cell r="AH1159">
            <v>32</v>
          </cell>
          <cell r="AJ1159">
            <v>45529</v>
          </cell>
          <cell r="AM1159" t="str">
            <v>TEMP</v>
          </cell>
          <cell r="AN1159" t="str">
            <v>3P Onsite Worker</v>
          </cell>
          <cell r="AO1159" t="str">
            <v>A</v>
          </cell>
          <cell r="AP1159">
            <v>7</v>
          </cell>
          <cell r="AQ1159">
            <v>0</v>
          </cell>
          <cell r="AR1159">
            <v>1</v>
          </cell>
          <cell r="AS1159">
            <v>1</v>
          </cell>
          <cell r="AT1159">
            <v>0</v>
          </cell>
          <cell r="AU1159">
            <v>0</v>
          </cell>
        </row>
        <row r="1160">
          <cell r="D1160" t="str">
            <v>antowusb</v>
          </cell>
          <cell r="E1160">
            <v>201188904</v>
          </cell>
          <cell r="F1160" t="str">
            <v>A</v>
          </cell>
          <cell r="G1160" t="str">
            <v>GREEN</v>
          </cell>
          <cell r="H1160" t="str">
            <v>FULL_TIME</v>
          </cell>
          <cell r="I1160">
            <v>900234</v>
          </cell>
          <cell r="J1160" t="str">
            <v>Fastlink Outsourcing</v>
          </cell>
          <cell r="K1160" t="str">
            <v>Anthony Owusu</v>
          </cell>
          <cell r="L1160" t="str">
            <v>Warehouse Associate (TEMP)</v>
          </cell>
          <cell r="M1160" t="str">
            <v>Warehouse Associate 12M</v>
          </cell>
          <cell r="N1160" t="str">
            <v>gylrdg</v>
          </cell>
          <cell r="O1160">
            <v>1181</v>
          </cell>
          <cell r="P1160" t="str">
            <v>AUH3</v>
          </cell>
          <cell r="Q1160" t="str">
            <v>ARE</v>
          </cell>
          <cell r="R1160" t="str">
            <v>LK015</v>
          </cell>
          <cell r="S1160" t="str">
            <v>Night Shift</v>
          </cell>
          <cell r="T1160">
            <v>99</v>
          </cell>
          <cell r="U1160" t="str">
            <v>MENA_UAE_FC</v>
          </cell>
          <cell r="V1160">
            <v>46257.754861111112</v>
          </cell>
          <cell r="X1160">
            <v>46257.756944444445</v>
          </cell>
          <cell r="Y1160">
            <v>46258.173611111109</v>
          </cell>
          <cell r="AA1160" t="str">
            <v>Scheduled</v>
          </cell>
          <cell r="AB1160" t="str">
            <v>Present</v>
          </cell>
          <cell r="AC1160" t="str">
            <v>Warehouse deals</v>
          </cell>
          <cell r="AD1160" t="str">
            <v>Warehouse Deals</v>
          </cell>
          <cell r="AE1160" t="str">
            <v>Warehouse deals</v>
          </cell>
          <cell r="AF1160" t="str">
            <v>Tuesday</v>
          </cell>
          <cell r="AG1160" t="str">
            <v>Wednesday</v>
          </cell>
          <cell r="AH1160">
            <v>32</v>
          </cell>
          <cell r="AJ1160">
            <v>45529</v>
          </cell>
          <cell r="AM1160" t="str">
            <v>TEMP</v>
          </cell>
          <cell r="AN1160" t="str">
            <v>3P Onsite Worker</v>
          </cell>
          <cell r="AO1160" t="str">
            <v>A</v>
          </cell>
          <cell r="AP1160">
            <v>9</v>
          </cell>
          <cell r="AQ1160">
            <v>0</v>
          </cell>
          <cell r="AR1160">
            <v>1</v>
          </cell>
          <cell r="AS1160">
            <v>1</v>
          </cell>
          <cell r="AT1160">
            <v>0</v>
          </cell>
          <cell r="AU1160">
            <v>0</v>
          </cell>
        </row>
        <row r="1161">
          <cell r="D1161" t="str">
            <v>aposas</v>
          </cell>
          <cell r="E1161">
            <v>102207635</v>
          </cell>
          <cell r="F1161" t="str">
            <v>A</v>
          </cell>
          <cell r="G1161" t="str">
            <v>BLUE</v>
          </cell>
          <cell r="H1161" t="str">
            <v>FULL_TIME</v>
          </cell>
          <cell r="I1161" t="str">
            <v>P03231</v>
          </cell>
          <cell r="K1161" t="str">
            <v>Alexandro Posas</v>
          </cell>
          <cell r="L1161" t="str">
            <v>FC Associate III</v>
          </cell>
          <cell r="M1161" t="str">
            <v>Operations Supervisor</v>
          </cell>
          <cell r="N1161" t="str">
            <v>nelstche</v>
          </cell>
          <cell r="O1161">
            <v>1299</v>
          </cell>
          <cell r="P1161" t="str">
            <v>AUH3</v>
          </cell>
          <cell r="Q1161" t="str">
            <v>ARE</v>
          </cell>
          <cell r="R1161" t="str">
            <v>FC084</v>
          </cell>
          <cell r="S1161" t="str">
            <v>Day Shift</v>
          </cell>
          <cell r="T1161">
            <v>3</v>
          </cell>
          <cell r="U1161" t="str">
            <v>MENA_UAE_FC</v>
          </cell>
          <cell r="V1161">
            <v>46257.326388888891</v>
          </cell>
          <cell r="W1161">
            <v>46257.752083333333</v>
          </cell>
          <cell r="X1161">
            <v>46257.333333333336</v>
          </cell>
          <cell r="Y1161">
            <v>46257.75</v>
          </cell>
          <cell r="AA1161" t="str">
            <v>Scheduled</v>
          </cell>
          <cell r="AB1161" t="str">
            <v>Present</v>
          </cell>
          <cell r="AC1161" t="str">
            <v>Warehouse deals</v>
          </cell>
          <cell r="AD1161" t="str">
            <v>Warehouse Deals</v>
          </cell>
          <cell r="AE1161" t="str">
            <v>Warehouse deals</v>
          </cell>
          <cell r="AF1161" t="str">
            <v>Monday</v>
          </cell>
          <cell r="AG1161" t="str">
            <v>Tuesday</v>
          </cell>
          <cell r="AH1161">
            <v>32</v>
          </cell>
          <cell r="AJ1161">
            <v>42867</v>
          </cell>
          <cell r="AM1161" t="str">
            <v>FC</v>
          </cell>
          <cell r="AN1161" t="str">
            <v>Regular Full Time</v>
          </cell>
          <cell r="AO1161" t="str">
            <v>A</v>
          </cell>
          <cell r="AP1161">
            <v>9</v>
          </cell>
          <cell r="AQ1161">
            <v>0</v>
          </cell>
          <cell r="AR1161">
            <v>1</v>
          </cell>
          <cell r="AS1161">
            <v>1</v>
          </cell>
          <cell r="AT1161">
            <v>0</v>
          </cell>
          <cell r="AU1161">
            <v>0</v>
          </cell>
        </row>
        <row r="1162">
          <cell r="D1162" t="str">
            <v>asgizaza</v>
          </cell>
          <cell r="E1162">
            <v>204768284</v>
          </cell>
          <cell r="F1162" t="str">
            <v>A</v>
          </cell>
          <cell r="G1162" t="str">
            <v>GREEN</v>
          </cell>
          <cell r="H1162" t="str">
            <v>FULL_TIME</v>
          </cell>
          <cell r="I1162">
            <v>900234</v>
          </cell>
          <cell r="J1162" t="str">
            <v>Dulsco L.L.C.</v>
          </cell>
          <cell r="K1162" t="str">
            <v>ASHIRAF GIZAZA</v>
          </cell>
          <cell r="L1162" t="str">
            <v>Warehouse Associate (TEMP)</v>
          </cell>
          <cell r="M1162" t="str">
            <v>Warehouse Associate 8W</v>
          </cell>
          <cell r="N1162" t="str">
            <v>nelstche</v>
          </cell>
          <cell r="O1162">
            <v>1181</v>
          </cell>
          <cell r="P1162" t="str">
            <v>AUH3</v>
          </cell>
          <cell r="Q1162" t="str">
            <v>ARE</v>
          </cell>
          <cell r="R1162" t="str">
            <v>FC034</v>
          </cell>
          <cell r="S1162" t="str">
            <v>Day Shift</v>
          </cell>
          <cell r="T1162">
            <v>99</v>
          </cell>
          <cell r="U1162" t="str">
            <v>MENA_UAE_FC</v>
          </cell>
          <cell r="X1162">
            <v>46257.333333333336</v>
          </cell>
          <cell r="Y1162">
            <v>46257.75</v>
          </cell>
          <cell r="Z1162" t="str">
            <v>Rest Day</v>
          </cell>
          <cell r="AA1162" t="str">
            <v>Not Scheduled</v>
          </cell>
          <cell r="AB1162" t="str">
            <v>Not Present</v>
          </cell>
          <cell r="AC1162" t="str">
            <v>Warehouse deals</v>
          </cell>
          <cell r="AD1162" t="str">
            <v>Warehouse Deals</v>
          </cell>
          <cell r="AE1162" t="str">
            <v>Warehouse deals</v>
          </cell>
          <cell r="AF1162" t="str">
            <v>Saturday</v>
          </cell>
          <cell r="AG1162" t="str">
            <v>Sunday</v>
          </cell>
          <cell r="AH1162">
            <v>32</v>
          </cell>
          <cell r="AJ1162">
            <v>45795</v>
          </cell>
          <cell r="AM1162" t="str">
            <v>TEMP</v>
          </cell>
          <cell r="AN1162" t="str">
            <v>3P Onsite Worker</v>
          </cell>
          <cell r="AO1162" t="str">
            <v>A</v>
          </cell>
          <cell r="AP1162">
            <v>9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</row>
        <row r="1163">
          <cell r="D1163" t="str">
            <v>ategefre</v>
          </cell>
          <cell r="E1163">
            <v>206348019</v>
          </cell>
          <cell r="F1163" t="str">
            <v>A</v>
          </cell>
          <cell r="G1163" t="str">
            <v>GREEN</v>
          </cell>
          <cell r="H1163" t="str">
            <v>FULL_TIME</v>
          </cell>
          <cell r="I1163">
            <v>900234</v>
          </cell>
          <cell r="J1163" t="str">
            <v>Dulsco L.L.C.</v>
          </cell>
          <cell r="K1163" t="str">
            <v>ATEGEKA FREDRICK</v>
          </cell>
          <cell r="L1163" t="str">
            <v>Warehouse Associate (TEMP)</v>
          </cell>
          <cell r="M1163" t="str">
            <v>Warehouse Associate 8W</v>
          </cell>
          <cell r="N1163" t="str">
            <v>nelstche</v>
          </cell>
          <cell r="O1163">
            <v>1181</v>
          </cell>
          <cell r="P1163" t="str">
            <v>AUH3</v>
          </cell>
          <cell r="Q1163" t="str">
            <v>ARE</v>
          </cell>
          <cell r="R1163" t="str">
            <v>FC563</v>
          </cell>
          <cell r="T1163">
            <v>99</v>
          </cell>
          <cell r="U1163" t="str">
            <v>MENA_UAE_FC</v>
          </cell>
          <cell r="V1163">
            <v>46257.331944444442</v>
          </cell>
          <cell r="W1163">
            <v>46257.67291666667</v>
          </cell>
          <cell r="X1163">
            <v>46257.333333333336</v>
          </cell>
          <cell r="Y1163">
            <v>46257.75</v>
          </cell>
          <cell r="AA1163" t="str">
            <v>Scheduled</v>
          </cell>
          <cell r="AB1163" t="str">
            <v>Present</v>
          </cell>
          <cell r="AC1163" t="str">
            <v>Warehouse deals</v>
          </cell>
          <cell r="AD1163" t="str">
            <v>Warehouse Deals</v>
          </cell>
          <cell r="AE1163" t="str">
            <v>Warehouse deals</v>
          </cell>
          <cell r="AH1163">
            <v>32</v>
          </cell>
          <cell r="AJ1163">
            <v>45956</v>
          </cell>
          <cell r="AM1163" t="str">
            <v>TEMP</v>
          </cell>
          <cell r="AN1163" t="str">
            <v>3P Onsite Worker</v>
          </cell>
          <cell r="AO1163" t="str">
            <v>A</v>
          </cell>
          <cell r="AP1163">
            <v>9</v>
          </cell>
          <cell r="AQ1163">
            <v>0</v>
          </cell>
          <cell r="AR1163">
            <v>1</v>
          </cell>
          <cell r="AS1163">
            <v>1</v>
          </cell>
          <cell r="AT1163">
            <v>0</v>
          </cell>
          <cell r="AU1163">
            <v>0</v>
          </cell>
        </row>
        <row r="1164">
          <cell r="D1164" t="str">
            <v>atenrock</v>
          </cell>
          <cell r="E1164">
            <v>205276101</v>
          </cell>
          <cell r="F1164" t="str">
            <v>A</v>
          </cell>
          <cell r="G1164" t="str">
            <v>GREEN</v>
          </cell>
          <cell r="H1164" t="str">
            <v>FULL_TIME</v>
          </cell>
          <cell r="I1164">
            <v>900234</v>
          </cell>
          <cell r="J1164" t="str">
            <v>Dulsco L.L.C.</v>
          </cell>
          <cell r="K1164" t="str">
            <v>ROCKSON ATENSU</v>
          </cell>
          <cell r="L1164" t="str">
            <v>Warehouse Associate (TEMP)</v>
          </cell>
          <cell r="M1164" t="str">
            <v>Warehouse Associate 8W</v>
          </cell>
          <cell r="N1164" t="str">
            <v>gylrdg</v>
          </cell>
          <cell r="O1164">
            <v>1181</v>
          </cell>
          <cell r="P1164" t="str">
            <v>AUH3</v>
          </cell>
          <cell r="Q1164" t="str">
            <v>ARE</v>
          </cell>
          <cell r="R1164" t="str">
            <v>LK016</v>
          </cell>
          <cell r="S1164" t="str">
            <v>Night Shift</v>
          </cell>
          <cell r="T1164">
            <v>99</v>
          </cell>
          <cell r="U1164" t="str">
            <v>MENA_UAE_FC</v>
          </cell>
          <cell r="V1164">
            <v>46257.754166666666</v>
          </cell>
          <cell r="X1164">
            <v>46257.756944444445</v>
          </cell>
          <cell r="Y1164">
            <v>46258.173611111109</v>
          </cell>
          <cell r="AA1164" t="str">
            <v>Scheduled</v>
          </cell>
          <cell r="AB1164" t="str">
            <v>Present</v>
          </cell>
          <cell r="AC1164" t="str">
            <v>Warehouse deals</v>
          </cell>
          <cell r="AD1164" t="str">
            <v>Warehouse Deals</v>
          </cell>
          <cell r="AE1164" t="str">
            <v>Warehouse deals</v>
          </cell>
          <cell r="AF1164" t="str">
            <v>Wednesday</v>
          </cell>
          <cell r="AG1164" t="str">
            <v>Thursday</v>
          </cell>
          <cell r="AH1164">
            <v>32</v>
          </cell>
          <cell r="AJ1164">
            <v>45795</v>
          </cell>
          <cell r="AM1164" t="str">
            <v>TEMP</v>
          </cell>
          <cell r="AN1164" t="str">
            <v>3P Onsite Worker</v>
          </cell>
          <cell r="AO1164" t="str">
            <v>A</v>
          </cell>
          <cell r="AP1164">
            <v>9</v>
          </cell>
          <cell r="AQ1164">
            <v>0</v>
          </cell>
          <cell r="AR1164">
            <v>1</v>
          </cell>
          <cell r="AS1164">
            <v>1</v>
          </cell>
          <cell r="AT1164">
            <v>0</v>
          </cell>
          <cell r="AU1164">
            <v>0</v>
          </cell>
        </row>
        <row r="1165">
          <cell r="D1165" t="str">
            <v>brikalib</v>
          </cell>
          <cell r="E1165">
            <v>206348026</v>
          </cell>
          <cell r="F1165" t="str">
            <v>A</v>
          </cell>
          <cell r="G1165" t="str">
            <v>GREEN</v>
          </cell>
          <cell r="H1165" t="str">
            <v>FULL_TIME</v>
          </cell>
          <cell r="I1165">
            <v>900234</v>
          </cell>
          <cell r="J1165" t="str">
            <v>Dulsco L.L.C.</v>
          </cell>
          <cell r="K1165" t="str">
            <v>KALIBBALA BRIAN</v>
          </cell>
          <cell r="L1165" t="str">
            <v>Warehouse Associate (TEMP)</v>
          </cell>
          <cell r="M1165" t="str">
            <v>Warehouse Associate 8W</v>
          </cell>
          <cell r="N1165" t="str">
            <v>nelstche</v>
          </cell>
          <cell r="O1165">
            <v>1181</v>
          </cell>
          <cell r="P1165" t="str">
            <v>AUH3</v>
          </cell>
          <cell r="Q1165" t="str">
            <v>ARE</v>
          </cell>
          <cell r="R1165" t="str">
            <v>FC566</v>
          </cell>
          <cell r="T1165">
            <v>99</v>
          </cell>
          <cell r="U1165" t="str">
            <v>MENA_UAE_FC</v>
          </cell>
          <cell r="V1165">
            <v>46257.330555555556</v>
          </cell>
          <cell r="W1165">
            <v>46257.668055555558</v>
          </cell>
          <cell r="X1165">
            <v>46257.333333333336</v>
          </cell>
          <cell r="Y1165">
            <v>46257.75</v>
          </cell>
          <cell r="AA1165" t="str">
            <v>Scheduled</v>
          </cell>
          <cell r="AB1165" t="str">
            <v>Present</v>
          </cell>
          <cell r="AC1165" t="str">
            <v>Warehouse deals</v>
          </cell>
          <cell r="AD1165" t="str">
            <v>Warehouse Deals</v>
          </cell>
          <cell r="AE1165" t="str">
            <v>Warehouse deals</v>
          </cell>
          <cell r="AH1165">
            <v>32</v>
          </cell>
          <cell r="AJ1165">
            <v>45956</v>
          </cell>
          <cell r="AM1165" t="str">
            <v>TEMP</v>
          </cell>
          <cell r="AN1165" t="str">
            <v>3P Onsite Worker</v>
          </cell>
          <cell r="AO1165" t="str">
            <v>A</v>
          </cell>
          <cell r="AP1165">
            <v>9</v>
          </cell>
          <cell r="AQ1165">
            <v>0</v>
          </cell>
          <cell r="AR1165">
            <v>1</v>
          </cell>
          <cell r="AS1165">
            <v>1</v>
          </cell>
          <cell r="AT1165">
            <v>0</v>
          </cell>
          <cell r="AU1165">
            <v>0</v>
          </cell>
        </row>
        <row r="1166">
          <cell r="D1166" t="str">
            <v>cgeddam</v>
          </cell>
          <cell r="E1166">
            <v>102205688</v>
          </cell>
          <cell r="F1166" t="str">
            <v>A</v>
          </cell>
          <cell r="G1166" t="str">
            <v>BLUE</v>
          </cell>
          <cell r="H1166" t="str">
            <v>FULL_TIME</v>
          </cell>
          <cell r="I1166" t="str">
            <v>P03251</v>
          </cell>
          <cell r="K1166" t="str">
            <v>Chiranjeevi Geddam</v>
          </cell>
          <cell r="L1166" t="str">
            <v>FC Associate I</v>
          </cell>
          <cell r="M1166" t="str">
            <v>Logistics Assistant</v>
          </cell>
          <cell r="N1166" t="str">
            <v>gylrdg</v>
          </cell>
          <cell r="O1166">
            <v>1182</v>
          </cell>
          <cell r="P1166" t="str">
            <v>AUH3</v>
          </cell>
          <cell r="Q1166" t="str">
            <v>ARE</v>
          </cell>
          <cell r="R1166" t="str">
            <v>LK012</v>
          </cell>
          <cell r="S1166" t="str">
            <v>Night Shift</v>
          </cell>
          <cell r="T1166">
            <v>1</v>
          </cell>
          <cell r="U1166" t="str">
            <v>MENA_UAE_FC</v>
          </cell>
          <cell r="X1166">
            <v>46257.756944444445</v>
          </cell>
          <cell r="Y1166">
            <v>46258.173611111109</v>
          </cell>
          <cell r="Z1166" t="str">
            <v>Rest Day</v>
          </cell>
          <cell r="AA1166" t="str">
            <v>Not Scheduled</v>
          </cell>
          <cell r="AB1166" t="str">
            <v>Not Present</v>
          </cell>
          <cell r="AC1166" t="str">
            <v>Warehouse deals</v>
          </cell>
          <cell r="AD1166" t="str">
            <v>Warehouse Deals</v>
          </cell>
          <cell r="AE1166" t="str">
            <v>Warehouse deals</v>
          </cell>
          <cell r="AF1166" t="str">
            <v>Saturday</v>
          </cell>
          <cell r="AG1166" t="str">
            <v>Sunday</v>
          </cell>
          <cell r="AH1166">
            <v>32</v>
          </cell>
          <cell r="AJ1166">
            <v>42867</v>
          </cell>
          <cell r="AM1166" t="str">
            <v>FC</v>
          </cell>
          <cell r="AN1166" t="str">
            <v>Regular Full Time</v>
          </cell>
          <cell r="AO1166" t="str">
            <v>A</v>
          </cell>
          <cell r="AP1166">
            <v>9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</row>
        <row r="1167">
          <cell r="D1167" t="str">
            <v>chepkoge</v>
          </cell>
          <cell r="E1167">
            <v>206368537</v>
          </cell>
          <cell r="F1167" t="str">
            <v>A</v>
          </cell>
          <cell r="G1167" t="str">
            <v>GREEN</v>
          </cell>
          <cell r="H1167" t="str">
            <v>FULL_TIME</v>
          </cell>
          <cell r="I1167">
            <v>900234</v>
          </cell>
          <cell r="J1167" t="str">
            <v>EFS Facilities Services</v>
          </cell>
          <cell r="K1167" t="str">
            <v>JELSY CHEPKOGEY</v>
          </cell>
          <cell r="L1167" t="str">
            <v>Warehouse Associate (TEMP)</v>
          </cell>
          <cell r="M1167" t="str">
            <v>Warehouse Associate 8W</v>
          </cell>
          <cell r="N1167" t="str">
            <v>gylrdg</v>
          </cell>
          <cell r="O1167">
            <v>1181</v>
          </cell>
          <cell r="P1167" t="str">
            <v>AUH3</v>
          </cell>
          <cell r="Q1167" t="str">
            <v>ARE</v>
          </cell>
          <cell r="R1167" t="str">
            <v>FC554</v>
          </cell>
          <cell r="S1167" t="str">
            <v>Night Shift</v>
          </cell>
          <cell r="T1167">
            <v>99</v>
          </cell>
          <cell r="U1167" t="str">
            <v>MENA_UAE_FC</v>
          </cell>
          <cell r="X1167">
            <v>46257.756944444445</v>
          </cell>
          <cell r="Y1167">
            <v>46258.090277777781</v>
          </cell>
          <cell r="Z1167" t="str">
            <v>Rest Day</v>
          </cell>
          <cell r="AA1167" t="str">
            <v>Not Scheduled</v>
          </cell>
          <cell r="AB1167" t="str">
            <v>Not Present</v>
          </cell>
          <cell r="AC1167" t="str">
            <v>Warehouse deals</v>
          </cell>
          <cell r="AD1167" t="str">
            <v>Warehouse Deals</v>
          </cell>
          <cell r="AE1167" t="str">
            <v>Warehouse deals</v>
          </cell>
          <cell r="AF1167" t="str">
            <v>Sunday</v>
          </cell>
          <cell r="AG1167" t="str">
            <v>Monday</v>
          </cell>
          <cell r="AH1167">
            <v>32</v>
          </cell>
          <cell r="AJ1167">
            <v>45956</v>
          </cell>
          <cell r="AM1167" t="str">
            <v>TEMP</v>
          </cell>
          <cell r="AN1167" t="str">
            <v>3P Onsite Worker</v>
          </cell>
          <cell r="AO1167" t="str">
            <v>A</v>
          </cell>
          <cell r="AP1167">
            <v>7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</row>
        <row r="1168">
          <cell r="D1168" t="str">
            <v>chepkosh</v>
          </cell>
          <cell r="E1168">
            <v>206958090</v>
          </cell>
          <cell r="F1168" t="str">
            <v>A</v>
          </cell>
          <cell r="G1168" t="str">
            <v>GREEN</v>
          </cell>
          <cell r="H1168" t="str">
            <v>FULL_TIME</v>
          </cell>
          <cell r="I1168">
            <v>900234</v>
          </cell>
          <cell r="J1168" t="str">
            <v>EFS Facilities Services</v>
          </cell>
          <cell r="K1168" t="str">
            <v>Sheila Chepkoech</v>
          </cell>
          <cell r="L1168" t="str">
            <v>Warehouse Associate (TEMP)</v>
          </cell>
          <cell r="M1168" t="str">
            <v>Warehouse Associate 8W</v>
          </cell>
          <cell r="N1168" t="str">
            <v>gylrdg</v>
          </cell>
          <cell r="O1168">
            <v>1181</v>
          </cell>
          <cell r="P1168" t="str">
            <v>AUH3</v>
          </cell>
          <cell r="Q1168" t="str">
            <v>ARE</v>
          </cell>
          <cell r="R1168" t="str">
            <v>LK013</v>
          </cell>
          <cell r="S1168" t="str">
            <v>Night Shift</v>
          </cell>
          <cell r="T1168">
            <v>99</v>
          </cell>
          <cell r="U1168" t="str">
            <v>MENA_UAE_FC</v>
          </cell>
          <cell r="X1168">
            <v>46257.756944444445</v>
          </cell>
          <cell r="Y1168">
            <v>46258.173611111109</v>
          </cell>
          <cell r="Z1168" t="str">
            <v>Rest Day</v>
          </cell>
          <cell r="AA1168" t="str">
            <v>Not Scheduled</v>
          </cell>
          <cell r="AB1168" t="str">
            <v>Not Present</v>
          </cell>
          <cell r="AC1168" t="str">
            <v>Warehouse deals</v>
          </cell>
          <cell r="AD1168" t="str">
            <v>Warehouse Deals</v>
          </cell>
          <cell r="AE1168" t="str">
            <v>Warehouse deals</v>
          </cell>
          <cell r="AF1168" t="str">
            <v>Sunday</v>
          </cell>
          <cell r="AG1168" t="str">
            <v>Monday</v>
          </cell>
          <cell r="AH1168">
            <v>32</v>
          </cell>
          <cell r="AJ1168">
            <v>46047</v>
          </cell>
          <cell r="AM1168" t="str">
            <v>TEMP</v>
          </cell>
          <cell r="AN1168" t="str">
            <v>3P Onsite Worker</v>
          </cell>
          <cell r="AO1168" t="str">
            <v>A</v>
          </cell>
          <cell r="AP1168">
            <v>9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</row>
        <row r="1169">
          <cell r="D1169" t="str">
            <v>dadziekg</v>
          </cell>
          <cell r="E1169">
            <v>203635486</v>
          </cell>
          <cell r="F1169" t="str">
            <v>A</v>
          </cell>
          <cell r="G1169" t="str">
            <v>GREEN</v>
          </cell>
          <cell r="H1169" t="str">
            <v>FULL_TIME</v>
          </cell>
          <cell r="I1169">
            <v>900234</v>
          </cell>
          <cell r="J1169" t="str">
            <v>Fastlink Outsourcing</v>
          </cell>
          <cell r="K1169" t="str">
            <v>Gifty Dadzie</v>
          </cell>
          <cell r="L1169" t="str">
            <v>Warehouse Associate (TEMP)</v>
          </cell>
          <cell r="M1169" t="str">
            <v>Warehouse Associate 12M</v>
          </cell>
          <cell r="N1169" t="str">
            <v>nelstche</v>
          </cell>
          <cell r="O1169">
            <v>1181</v>
          </cell>
          <cell r="P1169" t="str">
            <v>AUH3</v>
          </cell>
          <cell r="Q1169" t="str">
            <v>ARE</v>
          </cell>
          <cell r="R1169" t="str">
            <v>FC084</v>
          </cell>
          <cell r="S1169" t="str">
            <v>Day Shift</v>
          </cell>
          <cell r="T1169">
            <v>99</v>
          </cell>
          <cell r="U1169" t="str">
            <v>MENA_UAE_FC</v>
          </cell>
          <cell r="V1169">
            <v>46257.331250000003</v>
          </cell>
          <cell r="W1169">
            <v>46257.747916666667</v>
          </cell>
          <cell r="X1169">
            <v>46257.333333333336</v>
          </cell>
          <cell r="Y1169">
            <v>46257.75</v>
          </cell>
          <cell r="AA1169" t="str">
            <v>Scheduled</v>
          </cell>
          <cell r="AB1169" t="str">
            <v>Present</v>
          </cell>
          <cell r="AC1169" t="str">
            <v>Warehouse deals</v>
          </cell>
          <cell r="AD1169" t="str">
            <v>Warehouse Deals</v>
          </cell>
          <cell r="AE1169" t="str">
            <v>Warehouse deals</v>
          </cell>
          <cell r="AF1169" t="str">
            <v>Monday</v>
          </cell>
          <cell r="AG1169" t="str">
            <v>Tuesday</v>
          </cell>
          <cell r="AH1169">
            <v>32</v>
          </cell>
          <cell r="AJ1169">
            <v>45480</v>
          </cell>
          <cell r="AM1169" t="str">
            <v>TEMP</v>
          </cell>
          <cell r="AN1169" t="str">
            <v>3P Onsite Worker</v>
          </cell>
          <cell r="AO1169" t="str">
            <v>A</v>
          </cell>
          <cell r="AP1169">
            <v>9</v>
          </cell>
          <cell r="AQ1169">
            <v>0</v>
          </cell>
          <cell r="AR1169">
            <v>1</v>
          </cell>
          <cell r="AS1169">
            <v>1</v>
          </cell>
          <cell r="AT1169">
            <v>0</v>
          </cell>
          <cell r="AU1169">
            <v>0</v>
          </cell>
        </row>
        <row r="1170">
          <cell r="D1170" t="str">
            <v>dcutand</v>
          </cell>
          <cell r="E1170">
            <v>103058874</v>
          </cell>
          <cell r="F1170" t="str">
            <v>A</v>
          </cell>
          <cell r="G1170" t="str">
            <v>BLUE</v>
          </cell>
          <cell r="H1170" t="str">
            <v>FULL_TIME</v>
          </cell>
          <cell r="I1170" t="str">
            <v>P03251</v>
          </cell>
          <cell r="K1170" t="str">
            <v>Dennis Cutanda</v>
          </cell>
          <cell r="L1170" t="str">
            <v>FC Associate I</v>
          </cell>
          <cell r="M1170" t="str">
            <v>Logistics Assistant</v>
          </cell>
          <cell r="N1170" t="str">
            <v>gylrdg</v>
          </cell>
          <cell r="O1170">
            <v>1182</v>
          </cell>
          <cell r="P1170" t="str">
            <v>AUH3</v>
          </cell>
          <cell r="Q1170" t="str">
            <v>ARE</v>
          </cell>
          <cell r="R1170" t="str">
            <v>LK013</v>
          </cell>
          <cell r="S1170" t="str">
            <v>Night Shift</v>
          </cell>
          <cell r="T1170">
            <v>1</v>
          </cell>
          <cell r="U1170" t="str">
            <v>MENA_UAE_FC</v>
          </cell>
          <cell r="X1170">
            <v>46257.756944444445</v>
          </cell>
          <cell r="Y1170">
            <v>46258.173611111109</v>
          </cell>
          <cell r="Z1170" t="str">
            <v>Rest Day</v>
          </cell>
          <cell r="AA1170" t="str">
            <v>Not Scheduled</v>
          </cell>
          <cell r="AB1170" t="str">
            <v>Not Present</v>
          </cell>
          <cell r="AC1170" t="str">
            <v>Warehouse deals</v>
          </cell>
          <cell r="AD1170" t="str">
            <v>Warehouse Deals</v>
          </cell>
          <cell r="AE1170" t="str">
            <v>Warehouse deals</v>
          </cell>
          <cell r="AF1170" t="str">
            <v>Sunday</v>
          </cell>
          <cell r="AG1170" t="str">
            <v>Monday</v>
          </cell>
          <cell r="AH1170">
            <v>32</v>
          </cell>
          <cell r="AJ1170">
            <v>43023</v>
          </cell>
          <cell r="AM1170" t="str">
            <v>FC</v>
          </cell>
          <cell r="AN1170" t="str">
            <v>Regular Full Time</v>
          </cell>
          <cell r="AO1170" t="str">
            <v>A</v>
          </cell>
          <cell r="AP1170">
            <v>9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</row>
        <row r="1171">
          <cell r="D1171" t="str">
            <v>ddommban</v>
          </cell>
          <cell r="E1171">
            <v>204013739</v>
          </cell>
          <cell r="F1171" t="str">
            <v>A</v>
          </cell>
          <cell r="G1171" t="str">
            <v>GREEN</v>
          </cell>
          <cell r="H1171" t="str">
            <v>FULL_TIME</v>
          </cell>
          <cell r="I1171">
            <v>900234</v>
          </cell>
          <cell r="J1171" t="str">
            <v>Fastlink Outsourcing</v>
          </cell>
          <cell r="K1171" t="str">
            <v>Stanley Dom Mbang</v>
          </cell>
          <cell r="L1171" t="str">
            <v>Warehouse Associate (TEMP)</v>
          </cell>
          <cell r="M1171" t="str">
            <v>Warehouse Associate 12M</v>
          </cell>
          <cell r="N1171" t="str">
            <v>gylrdg</v>
          </cell>
          <cell r="O1171">
            <v>1181</v>
          </cell>
          <cell r="P1171" t="str">
            <v>AUH3</v>
          </cell>
          <cell r="Q1171" t="str">
            <v>ARE</v>
          </cell>
          <cell r="R1171" t="str">
            <v>LK014</v>
          </cell>
          <cell r="S1171" t="str">
            <v>Night Shift</v>
          </cell>
          <cell r="T1171">
            <v>99</v>
          </cell>
          <cell r="U1171" t="str">
            <v>MENA_UAE_FC</v>
          </cell>
          <cell r="V1171">
            <v>46257.753472222219</v>
          </cell>
          <cell r="X1171">
            <v>46257.756944444445</v>
          </cell>
          <cell r="Y1171">
            <v>46258.173611111109</v>
          </cell>
          <cell r="AA1171" t="str">
            <v>Scheduled</v>
          </cell>
          <cell r="AB1171" t="str">
            <v>Present</v>
          </cell>
          <cell r="AC1171" t="str">
            <v>Warehouse deals</v>
          </cell>
          <cell r="AD1171" t="str">
            <v>Warehouse Deals</v>
          </cell>
          <cell r="AE1171" t="str">
            <v>Warehouse deals</v>
          </cell>
          <cell r="AF1171" t="str">
            <v>Monday</v>
          </cell>
          <cell r="AG1171" t="str">
            <v>Tuesday</v>
          </cell>
          <cell r="AH1171">
            <v>32</v>
          </cell>
          <cell r="AJ1171">
            <v>45550</v>
          </cell>
          <cell r="AM1171" t="str">
            <v>TEMP</v>
          </cell>
          <cell r="AN1171" t="str">
            <v>3P Onsite Worker</v>
          </cell>
          <cell r="AO1171" t="str">
            <v>A</v>
          </cell>
          <cell r="AP1171">
            <v>9</v>
          </cell>
          <cell r="AQ1171">
            <v>0</v>
          </cell>
          <cell r="AR1171">
            <v>1</v>
          </cell>
          <cell r="AS1171">
            <v>1</v>
          </cell>
          <cell r="AT1171">
            <v>0</v>
          </cell>
          <cell r="AU1171">
            <v>0</v>
          </cell>
        </row>
        <row r="1172">
          <cell r="D1172" t="str">
            <v>dgodfnsi</v>
          </cell>
          <cell r="E1172">
            <v>205275961</v>
          </cell>
          <cell r="F1172" t="str">
            <v>A</v>
          </cell>
          <cell r="G1172" t="str">
            <v>GREEN</v>
          </cell>
          <cell r="H1172" t="str">
            <v>FULL_TIME</v>
          </cell>
          <cell r="I1172">
            <v>900234</v>
          </cell>
          <cell r="J1172" t="str">
            <v>Dulsco L.L.C.</v>
          </cell>
          <cell r="K1172" t="str">
            <v>GODFRED KWAKU NSIAH</v>
          </cell>
          <cell r="L1172" t="str">
            <v>Warehouse Associate (TEMP)</v>
          </cell>
          <cell r="M1172" t="str">
            <v>Warehouse Associate 8W</v>
          </cell>
          <cell r="N1172" t="str">
            <v>nelstche</v>
          </cell>
          <cell r="O1172">
            <v>1181</v>
          </cell>
          <cell r="P1172" t="str">
            <v>AUH3</v>
          </cell>
          <cell r="Q1172" t="str">
            <v>ARE</v>
          </cell>
          <cell r="R1172" t="str">
            <v>FC159</v>
          </cell>
          <cell r="S1172" t="str">
            <v>Day Shift</v>
          </cell>
          <cell r="T1172">
            <v>99</v>
          </cell>
          <cell r="U1172" t="str">
            <v>MENA_UAE_FC</v>
          </cell>
          <cell r="V1172">
            <v>46257.331250000003</v>
          </cell>
          <cell r="W1172">
            <v>46257.749305555553</v>
          </cell>
          <cell r="X1172">
            <v>46257.333333333336</v>
          </cell>
          <cell r="Y1172">
            <v>46257.75</v>
          </cell>
          <cell r="AA1172" t="str">
            <v>Scheduled</v>
          </cell>
          <cell r="AB1172" t="str">
            <v>Present</v>
          </cell>
          <cell r="AC1172" t="str">
            <v>Warehouse deals</v>
          </cell>
          <cell r="AD1172" t="str">
            <v>Warehouse Deals</v>
          </cell>
          <cell r="AE1172" t="str">
            <v>Warehouse deals</v>
          </cell>
          <cell r="AF1172" t="str">
            <v>Thursday</v>
          </cell>
          <cell r="AG1172" t="str">
            <v>Friday</v>
          </cell>
          <cell r="AH1172">
            <v>32</v>
          </cell>
          <cell r="AJ1172">
            <v>45795</v>
          </cell>
          <cell r="AM1172" t="str">
            <v>TEMP</v>
          </cell>
          <cell r="AN1172" t="str">
            <v>3P Onsite Worker</v>
          </cell>
          <cell r="AO1172" t="str">
            <v>A</v>
          </cell>
          <cell r="AP1172">
            <v>9</v>
          </cell>
          <cell r="AQ1172">
            <v>0</v>
          </cell>
          <cell r="AR1172">
            <v>1</v>
          </cell>
          <cell r="AS1172">
            <v>1</v>
          </cell>
          <cell r="AT1172">
            <v>0</v>
          </cell>
          <cell r="AU1172">
            <v>0</v>
          </cell>
        </row>
        <row r="1173">
          <cell r="D1173" t="str">
            <v>dlacap</v>
          </cell>
          <cell r="E1173">
            <v>102981727</v>
          </cell>
          <cell r="F1173" t="str">
            <v>A</v>
          </cell>
          <cell r="G1173" t="str">
            <v>BLUE</v>
          </cell>
          <cell r="H1173" t="str">
            <v>FULL_TIME</v>
          </cell>
          <cell r="I1173" t="str">
            <v>P03251</v>
          </cell>
          <cell r="K1173" t="str">
            <v>Derick Lacap Dayrit</v>
          </cell>
          <cell r="L1173" t="str">
            <v>FC Associate I</v>
          </cell>
          <cell r="M1173" t="str">
            <v>FC Associate I</v>
          </cell>
          <cell r="N1173" t="str">
            <v>gylrdg</v>
          </cell>
          <cell r="O1173">
            <v>1182</v>
          </cell>
          <cell r="P1173" t="str">
            <v>AUH3</v>
          </cell>
          <cell r="Q1173" t="str">
            <v>ARE</v>
          </cell>
          <cell r="R1173" t="str">
            <v>LK012</v>
          </cell>
          <cell r="S1173" t="str">
            <v>Night Shift</v>
          </cell>
          <cell r="T1173">
            <v>1</v>
          </cell>
          <cell r="U1173" t="str">
            <v>MENA_UAE_FC</v>
          </cell>
          <cell r="X1173">
            <v>46257.756944444445</v>
          </cell>
          <cell r="Y1173">
            <v>46258.173611111109</v>
          </cell>
          <cell r="Z1173" t="str">
            <v>Rest Day</v>
          </cell>
          <cell r="AA1173" t="str">
            <v>Not Scheduled</v>
          </cell>
          <cell r="AB1173" t="str">
            <v>Not Present</v>
          </cell>
          <cell r="AC1173" t="str">
            <v>Warehouse deals</v>
          </cell>
          <cell r="AD1173" t="str">
            <v>Warehouse Deals</v>
          </cell>
          <cell r="AE1173" t="str">
            <v>Warehouse deals</v>
          </cell>
          <cell r="AF1173" t="str">
            <v>Saturday</v>
          </cell>
          <cell r="AG1173" t="str">
            <v>Sunday</v>
          </cell>
          <cell r="AH1173">
            <v>32</v>
          </cell>
          <cell r="AJ1173">
            <v>43039</v>
          </cell>
          <cell r="AM1173" t="str">
            <v>FC</v>
          </cell>
          <cell r="AN1173" t="str">
            <v>Regular Full Time</v>
          </cell>
          <cell r="AO1173" t="str">
            <v>A</v>
          </cell>
          <cell r="AP1173">
            <v>9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</row>
        <row r="1174">
          <cell r="D1174" t="str">
            <v>dngafred</v>
          </cell>
          <cell r="E1174">
            <v>206348042</v>
          </cell>
          <cell r="F1174" t="str">
            <v>A</v>
          </cell>
          <cell r="G1174" t="str">
            <v>GREEN</v>
          </cell>
          <cell r="H1174" t="str">
            <v>FULL_TIME</v>
          </cell>
          <cell r="I1174">
            <v>900234</v>
          </cell>
          <cell r="J1174" t="str">
            <v>Dulsco L.L.C.</v>
          </cell>
          <cell r="K1174" t="str">
            <v>NGABIRANO FRED</v>
          </cell>
          <cell r="L1174" t="str">
            <v>Warehouse Associate (TEMP)</v>
          </cell>
          <cell r="M1174" t="str">
            <v>Warehouse Associate 8W</v>
          </cell>
          <cell r="N1174" t="str">
            <v>nelstche</v>
          </cell>
          <cell r="O1174">
            <v>1181</v>
          </cell>
          <cell r="P1174" t="str">
            <v>AUH3</v>
          </cell>
          <cell r="Q1174" t="str">
            <v>ARE</v>
          </cell>
          <cell r="R1174" t="str">
            <v>FC570</v>
          </cell>
          <cell r="T1174">
            <v>99</v>
          </cell>
          <cell r="U1174" t="str">
            <v>MENA_UAE_FC</v>
          </cell>
          <cell r="V1174">
            <v>46257.331250000003</v>
          </cell>
          <cell r="W1174">
            <v>46257.668055555558</v>
          </cell>
          <cell r="X1174">
            <v>46257.333333333336</v>
          </cell>
          <cell r="Y1174">
            <v>46257.75</v>
          </cell>
          <cell r="AA1174" t="str">
            <v>Scheduled</v>
          </cell>
          <cell r="AB1174" t="str">
            <v>Present</v>
          </cell>
          <cell r="AC1174" t="str">
            <v>Warehouse deals</v>
          </cell>
          <cell r="AD1174" t="str">
            <v>Warehouse Deals</v>
          </cell>
          <cell r="AE1174" t="str">
            <v>Warehouse deals</v>
          </cell>
          <cell r="AH1174">
            <v>32</v>
          </cell>
          <cell r="AJ1174">
            <v>45956</v>
          </cell>
          <cell r="AM1174" t="str">
            <v>TEMP</v>
          </cell>
          <cell r="AN1174" t="str">
            <v>3P Onsite Worker</v>
          </cell>
          <cell r="AO1174" t="str">
            <v>A</v>
          </cell>
          <cell r="AP1174">
            <v>9</v>
          </cell>
          <cell r="AQ1174">
            <v>0</v>
          </cell>
          <cell r="AR1174">
            <v>1</v>
          </cell>
          <cell r="AS1174">
            <v>1</v>
          </cell>
          <cell r="AT1174">
            <v>0</v>
          </cell>
          <cell r="AU1174">
            <v>0</v>
          </cell>
        </row>
        <row r="1175">
          <cell r="D1175" t="str">
            <v>dzlawson</v>
          </cell>
          <cell r="E1175">
            <v>204013735</v>
          </cell>
          <cell r="F1175" t="str">
            <v>A</v>
          </cell>
          <cell r="G1175" t="str">
            <v>GREEN</v>
          </cell>
          <cell r="H1175" t="str">
            <v>FULL_TIME</v>
          </cell>
          <cell r="I1175">
            <v>900234</v>
          </cell>
          <cell r="J1175" t="str">
            <v>Fastlink Outsourcing</v>
          </cell>
          <cell r="K1175" t="str">
            <v>Lawson Dzesa</v>
          </cell>
          <cell r="L1175" t="str">
            <v>Warehouse Associate (TEMP)</v>
          </cell>
          <cell r="M1175" t="str">
            <v>Warehouse Associate 12M</v>
          </cell>
          <cell r="N1175" t="str">
            <v>nelstche</v>
          </cell>
          <cell r="O1175">
            <v>1181</v>
          </cell>
          <cell r="P1175" t="str">
            <v>AUH3</v>
          </cell>
          <cell r="Q1175" t="str">
            <v>ARE</v>
          </cell>
          <cell r="R1175" t="str">
            <v>FC009</v>
          </cell>
          <cell r="S1175" t="str">
            <v>Day Shift</v>
          </cell>
          <cell r="T1175">
            <v>99</v>
          </cell>
          <cell r="U1175" t="str">
            <v>MENA_UAE_FC</v>
          </cell>
          <cell r="V1175">
            <v>46257.331944444442</v>
          </cell>
          <cell r="W1175">
            <v>46257.750694444447</v>
          </cell>
          <cell r="X1175">
            <v>46257.333333333336</v>
          </cell>
          <cell r="Y1175">
            <v>46257.75</v>
          </cell>
          <cell r="AA1175" t="str">
            <v>Scheduled</v>
          </cell>
          <cell r="AB1175" t="str">
            <v>Present</v>
          </cell>
          <cell r="AC1175" t="str">
            <v>Warehouse deals</v>
          </cell>
          <cell r="AD1175" t="str">
            <v>Warehouse Deals</v>
          </cell>
          <cell r="AE1175" t="str">
            <v>Warehouse deals</v>
          </cell>
          <cell r="AF1175" t="str">
            <v>Friday</v>
          </cell>
          <cell r="AG1175" t="str">
            <v>Saturday</v>
          </cell>
          <cell r="AH1175">
            <v>32</v>
          </cell>
          <cell r="AJ1175">
            <v>45550</v>
          </cell>
          <cell r="AM1175" t="str">
            <v>TEMP</v>
          </cell>
          <cell r="AN1175" t="str">
            <v>3P Onsite Worker</v>
          </cell>
          <cell r="AO1175" t="str">
            <v>A</v>
          </cell>
          <cell r="AP1175">
            <v>9</v>
          </cell>
          <cell r="AQ1175">
            <v>0</v>
          </cell>
          <cell r="AR1175">
            <v>1</v>
          </cell>
          <cell r="AS1175">
            <v>1</v>
          </cell>
          <cell r="AT1175">
            <v>0</v>
          </cell>
          <cell r="AU1175">
            <v>0</v>
          </cell>
        </row>
        <row r="1176">
          <cell r="D1176" t="str">
            <v>ekkonad</v>
          </cell>
          <cell r="E1176">
            <v>111249388</v>
          </cell>
          <cell r="F1176" t="str">
            <v>A</v>
          </cell>
          <cell r="G1176" t="str">
            <v>GREEN</v>
          </cell>
          <cell r="H1176" t="str">
            <v>FULL_TIME</v>
          </cell>
          <cell r="I1176">
            <v>900234</v>
          </cell>
          <cell r="J1176" t="str">
            <v>Fastlink Outsourcing</v>
          </cell>
          <cell r="K1176" t="str">
            <v>Emmanuel Konadu</v>
          </cell>
          <cell r="L1176" t="str">
            <v>Warehouse Associate (TEMP)</v>
          </cell>
          <cell r="M1176" t="str">
            <v>Warehouse Associate 12M</v>
          </cell>
          <cell r="N1176" t="str">
            <v>gylrdg</v>
          </cell>
          <cell r="O1176">
            <v>1181</v>
          </cell>
          <cell r="P1176" t="str">
            <v>AUH3</v>
          </cell>
          <cell r="Q1176" t="str">
            <v>ARE</v>
          </cell>
          <cell r="R1176" t="str">
            <v>LK017</v>
          </cell>
          <cell r="S1176" t="str">
            <v>Night Shift</v>
          </cell>
          <cell r="T1176">
            <v>99</v>
          </cell>
          <cell r="U1176" t="str">
            <v>MENA_UAE_FC</v>
          </cell>
          <cell r="V1176">
            <v>46257.754861111112</v>
          </cell>
          <cell r="X1176">
            <v>46257.756944444445</v>
          </cell>
          <cell r="Y1176">
            <v>46258.173611111109</v>
          </cell>
          <cell r="AA1176" t="str">
            <v>Scheduled</v>
          </cell>
          <cell r="AB1176" t="str">
            <v>Present</v>
          </cell>
          <cell r="AC1176" t="str">
            <v>Warehouse deals</v>
          </cell>
          <cell r="AD1176" t="str">
            <v>Warehouse Deals</v>
          </cell>
          <cell r="AE1176" t="str">
            <v>Warehouse deals</v>
          </cell>
          <cell r="AF1176" t="str">
            <v>Thursday</v>
          </cell>
          <cell r="AG1176" t="str">
            <v>Friday</v>
          </cell>
          <cell r="AH1176">
            <v>32</v>
          </cell>
          <cell r="AJ1176">
            <v>45529</v>
          </cell>
          <cell r="AM1176" t="str">
            <v>TEMP</v>
          </cell>
          <cell r="AN1176" t="str">
            <v>3P Onsite Worker</v>
          </cell>
          <cell r="AO1176" t="str">
            <v>A</v>
          </cell>
          <cell r="AP1176">
            <v>9</v>
          </cell>
          <cell r="AQ1176">
            <v>0</v>
          </cell>
          <cell r="AR1176">
            <v>1</v>
          </cell>
          <cell r="AS1176">
            <v>1</v>
          </cell>
          <cell r="AT1176">
            <v>0</v>
          </cell>
          <cell r="AU1176">
            <v>0</v>
          </cell>
        </row>
        <row r="1177">
          <cell r="D1177" t="str">
            <v>eluckpal</v>
          </cell>
          <cell r="E1177">
            <v>204013729</v>
          </cell>
          <cell r="F1177" t="str">
            <v>A</v>
          </cell>
          <cell r="G1177" t="str">
            <v>GREEN</v>
          </cell>
          <cell r="H1177" t="str">
            <v>FULL_TIME</v>
          </cell>
          <cell r="I1177">
            <v>900234</v>
          </cell>
          <cell r="J1177" t="str">
            <v>Fastlink Outsourcing</v>
          </cell>
          <cell r="K1177" t="str">
            <v>Essossimna Luc Kpalou</v>
          </cell>
          <cell r="L1177" t="str">
            <v>Warehouse Associate (TEMP)</v>
          </cell>
          <cell r="M1177" t="str">
            <v>Warehouse Associate 12M</v>
          </cell>
          <cell r="N1177" t="str">
            <v>nelstche</v>
          </cell>
          <cell r="O1177">
            <v>1181</v>
          </cell>
          <cell r="P1177" t="str">
            <v>AUH3</v>
          </cell>
          <cell r="Q1177" t="str">
            <v>ARE</v>
          </cell>
          <cell r="R1177" t="str">
            <v>FC159</v>
          </cell>
          <cell r="S1177" t="str">
            <v>Day Shift</v>
          </cell>
          <cell r="T1177">
            <v>99</v>
          </cell>
          <cell r="U1177" t="str">
            <v>MENA_UAE_FC</v>
          </cell>
          <cell r="V1177">
            <v>46257.331250000003</v>
          </cell>
          <cell r="W1177">
            <v>46257.748611111114</v>
          </cell>
          <cell r="X1177">
            <v>46257.333333333336</v>
          </cell>
          <cell r="Y1177">
            <v>46257.75</v>
          </cell>
          <cell r="AA1177" t="str">
            <v>Scheduled</v>
          </cell>
          <cell r="AB1177" t="str">
            <v>Present</v>
          </cell>
          <cell r="AC1177" t="str">
            <v>Warehouse deals</v>
          </cell>
          <cell r="AD1177" t="str">
            <v>Warehouse Deals</v>
          </cell>
          <cell r="AE1177" t="str">
            <v>Warehouse deals</v>
          </cell>
          <cell r="AF1177" t="str">
            <v>Thursday</v>
          </cell>
          <cell r="AG1177" t="str">
            <v>Friday</v>
          </cell>
          <cell r="AH1177">
            <v>32</v>
          </cell>
          <cell r="AJ1177">
            <v>45550</v>
          </cell>
          <cell r="AM1177" t="str">
            <v>TEMP</v>
          </cell>
          <cell r="AN1177" t="str">
            <v>3P Onsite Worker</v>
          </cell>
          <cell r="AO1177" t="str">
            <v>A</v>
          </cell>
          <cell r="AP1177">
            <v>9</v>
          </cell>
          <cell r="AQ1177">
            <v>0</v>
          </cell>
          <cell r="AR1177">
            <v>1</v>
          </cell>
          <cell r="AS1177">
            <v>1</v>
          </cell>
          <cell r="AT1177">
            <v>0</v>
          </cell>
          <cell r="AU1177">
            <v>0</v>
          </cell>
        </row>
        <row r="1178">
          <cell r="D1178" t="str">
            <v>foabutap</v>
          </cell>
          <cell r="E1178">
            <v>202137760</v>
          </cell>
          <cell r="F1178" t="str">
            <v>A</v>
          </cell>
          <cell r="G1178" t="str">
            <v>GREEN</v>
          </cell>
          <cell r="H1178" t="str">
            <v>FULL_TIME</v>
          </cell>
          <cell r="I1178">
            <v>900234</v>
          </cell>
          <cell r="J1178" t="str">
            <v>Quesscorp</v>
          </cell>
          <cell r="K1178" t="str">
            <v>Abu Talib Fofanah</v>
          </cell>
          <cell r="L1178" t="str">
            <v>Warehouse Associate (TEMP)</v>
          </cell>
          <cell r="M1178" t="str">
            <v>Warehouse Associate 24M</v>
          </cell>
          <cell r="N1178" t="str">
            <v>gylrdg</v>
          </cell>
          <cell r="O1178">
            <v>1181</v>
          </cell>
          <cell r="P1178" t="str">
            <v>AUH3</v>
          </cell>
          <cell r="Q1178" t="str">
            <v>ARE</v>
          </cell>
          <cell r="R1178" t="str">
            <v>LK011</v>
          </cell>
          <cell r="S1178" t="str">
            <v>Night Shift</v>
          </cell>
          <cell r="T1178">
            <v>99</v>
          </cell>
          <cell r="U1178" t="str">
            <v>MENA_UAE_FC</v>
          </cell>
          <cell r="V1178">
            <v>46257.755555555559</v>
          </cell>
          <cell r="X1178">
            <v>46257.756944444445</v>
          </cell>
          <cell r="Y1178">
            <v>46258.173611111109</v>
          </cell>
          <cell r="AA1178" t="str">
            <v>Scheduled</v>
          </cell>
          <cell r="AB1178" t="str">
            <v>Present</v>
          </cell>
          <cell r="AC1178" t="str">
            <v>Warehouse deals</v>
          </cell>
          <cell r="AD1178" t="str">
            <v>Warehouse Deals</v>
          </cell>
          <cell r="AE1178" t="str">
            <v>Warehouse deals</v>
          </cell>
          <cell r="AF1178" t="str">
            <v>Friday</v>
          </cell>
          <cell r="AG1178" t="str">
            <v>Saturday</v>
          </cell>
          <cell r="AH1178">
            <v>32</v>
          </cell>
          <cell r="AJ1178">
            <v>45588</v>
          </cell>
          <cell r="AM1178" t="str">
            <v>TEMP</v>
          </cell>
          <cell r="AN1178" t="str">
            <v>3P Onsite Worker</v>
          </cell>
          <cell r="AO1178" t="str">
            <v>A</v>
          </cell>
          <cell r="AP1178">
            <v>9</v>
          </cell>
          <cell r="AQ1178">
            <v>0</v>
          </cell>
          <cell r="AR1178">
            <v>1</v>
          </cell>
          <cell r="AS1178">
            <v>1</v>
          </cell>
          <cell r="AT1178">
            <v>0</v>
          </cell>
          <cell r="AU1178">
            <v>0</v>
          </cell>
        </row>
        <row r="1179">
          <cell r="D1179" t="str">
            <v>frimpofe</v>
          </cell>
          <cell r="E1179">
            <v>203513497</v>
          </cell>
          <cell r="F1179" t="str">
            <v>A</v>
          </cell>
          <cell r="G1179" t="str">
            <v>GREEN</v>
          </cell>
          <cell r="H1179" t="str">
            <v>FULL_TIME</v>
          </cell>
          <cell r="I1179">
            <v>900234</v>
          </cell>
          <cell r="J1179" t="str">
            <v>Fastlink Outsourcing</v>
          </cell>
          <cell r="K1179" t="str">
            <v>Felix Frimpong</v>
          </cell>
          <cell r="L1179" t="str">
            <v>Warehouse Associate (TEMP)</v>
          </cell>
          <cell r="M1179" t="str">
            <v>Warehouse Associate 12M</v>
          </cell>
          <cell r="N1179" t="str">
            <v>gylrdg</v>
          </cell>
          <cell r="O1179">
            <v>1181</v>
          </cell>
          <cell r="P1179" t="str">
            <v>AUH3</v>
          </cell>
          <cell r="Q1179" t="str">
            <v>ARE</v>
          </cell>
          <cell r="R1179" t="str">
            <v>LK013</v>
          </cell>
          <cell r="S1179" t="str">
            <v>Night Shift</v>
          </cell>
          <cell r="T1179">
            <v>99</v>
          </cell>
          <cell r="U1179" t="str">
            <v>MENA_UAE_FC</v>
          </cell>
          <cell r="X1179">
            <v>46257.756944444445</v>
          </cell>
          <cell r="Y1179">
            <v>46258.173611111109</v>
          </cell>
          <cell r="Z1179" t="str">
            <v>Rest Day</v>
          </cell>
          <cell r="AA1179" t="str">
            <v>Not Scheduled</v>
          </cell>
          <cell r="AB1179" t="str">
            <v>Not Present</v>
          </cell>
          <cell r="AC1179" t="str">
            <v>Warehouse deals</v>
          </cell>
          <cell r="AD1179" t="str">
            <v>Warehouse Deals</v>
          </cell>
          <cell r="AE1179" t="str">
            <v>Warehouse deals</v>
          </cell>
          <cell r="AF1179" t="str">
            <v>Sunday</v>
          </cell>
          <cell r="AG1179" t="str">
            <v>Monday</v>
          </cell>
          <cell r="AH1179">
            <v>32</v>
          </cell>
          <cell r="AJ1179">
            <v>45462</v>
          </cell>
          <cell r="AM1179" t="str">
            <v>TEMP</v>
          </cell>
          <cell r="AN1179" t="str">
            <v>3P Onsite Worker</v>
          </cell>
          <cell r="AO1179" t="str">
            <v>A</v>
          </cell>
          <cell r="AP1179">
            <v>9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</row>
        <row r="1180">
          <cell r="D1180" t="str">
            <v>fsseyar</v>
          </cell>
          <cell r="E1180">
            <v>108067922</v>
          </cell>
          <cell r="F1180" t="str">
            <v>A</v>
          </cell>
          <cell r="G1180" t="str">
            <v>BLUE</v>
          </cell>
          <cell r="H1180" t="str">
            <v>FULL_TIME</v>
          </cell>
          <cell r="I1180" t="str">
            <v>P03231</v>
          </cell>
          <cell r="K1180" t="str">
            <v>Farrukh Seyar Muhammad Seyar</v>
          </cell>
          <cell r="L1180" t="str">
            <v>FC Associate III</v>
          </cell>
          <cell r="M1180" t="str">
            <v>Operations Supervisor</v>
          </cell>
          <cell r="N1180" t="str">
            <v>gylrdg</v>
          </cell>
          <cell r="O1180">
            <v>1299</v>
          </cell>
          <cell r="P1180" t="str">
            <v>AUH3</v>
          </cell>
          <cell r="Q1180" t="str">
            <v>ARE</v>
          </cell>
          <cell r="R1180" t="str">
            <v>LK012</v>
          </cell>
          <cell r="S1180" t="str">
            <v>Night Shift</v>
          </cell>
          <cell r="T1180">
            <v>3</v>
          </cell>
          <cell r="U1180" t="str">
            <v>MENA_UAE_FC</v>
          </cell>
          <cell r="X1180">
            <v>46257.756944444445</v>
          </cell>
          <cell r="Y1180">
            <v>46258.173611111109</v>
          </cell>
          <cell r="Z1180" t="str">
            <v>Rest Day</v>
          </cell>
          <cell r="AA1180" t="str">
            <v>Not Scheduled</v>
          </cell>
          <cell r="AB1180" t="str">
            <v>Not Present</v>
          </cell>
          <cell r="AC1180" t="str">
            <v>Warehouse deals</v>
          </cell>
          <cell r="AD1180" t="str">
            <v>Warehouse Deals</v>
          </cell>
          <cell r="AE1180" t="str">
            <v>Warehouse deals</v>
          </cell>
          <cell r="AF1180" t="str">
            <v>Saturday</v>
          </cell>
          <cell r="AG1180" t="str">
            <v>Sunday</v>
          </cell>
          <cell r="AH1180">
            <v>32</v>
          </cell>
          <cell r="AJ1180">
            <v>44727</v>
          </cell>
          <cell r="AM1180" t="str">
            <v>FC</v>
          </cell>
          <cell r="AN1180" t="str">
            <v>Regular Full Time</v>
          </cell>
          <cell r="AO1180" t="str">
            <v>A</v>
          </cell>
          <cell r="AP1180">
            <v>9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</row>
        <row r="1181">
          <cell r="D1181" t="str">
            <v>gkanelly</v>
          </cell>
          <cell r="E1181">
            <v>206958070</v>
          </cell>
          <cell r="F1181" t="str">
            <v>A</v>
          </cell>
          <cell r="G1181" t="str">
            <v>GREEN</v>
          </cell>
          <cell r="H1181" t="str">
            <v>FULL_TIME</v>
          </cell>
          <cell r="I1181">
            <v>900234</v>
          </cell>
          <cell r="J1181" t="str">
            <v>EFS Facilities Services</v>
          </cell>
          <cell r="K1181" t="str">
            <v>Nelly katthambi</v>
          </cell>
          <cell r="L1181" t="str">
            <v>Warehouse Associate (TEMP)</v>
          </cell>
          <cell r="M1181" t="str">
            <v>Warehouse Associate 8W</v>
          </cell>
          <cell r="N1181" t="str">
            <v>gylrdg</v>
          </cell>
          <cell r="O1181">
            <v>1181</v>
          </cell>
          <cell r="P1181" t="str">
            <v>AUH3</v>
          </cell>
          <cell r="Q1181" t="str">
            <v>ARE</v>
          </cell>
          <cell r="R1181" t="str">
            <v>LK015</v>
          </cell>
          <cell r="S1181" t="str">
            <v>Night Shift</v>
          </cell>
          <cell r="T1181">
            <v>99</v>
          </cell>
          <cell r="U1181" t="str">
            <v>MENA_UAE_FC</v>
          </cell>
          <cell r="V1181">
            <v>46257.755555555559</v>
          </cell>
          <cell r="X1181">
            <v>46257.756944444445</v>
          </cell>
          <cell r="Y1181">
            <v>46258.173611111109</v>
          </cell>
          <cell r="AA1181" t="str">
            <v>Scheduled</v>
          </cell>
          <cell r="AB1181" t="str">
            <v>Present</v>
          </cell>
          <cell r="AC1181" t="str">
            <v>Warehouse deals</v>
          </cell>
          <cell r="AD1181" t="str">
            <v>Warehouse Deals</v>
          </cell>
          <cell r="AE1181" t="str">
            <v>Warehouse deals</v>
          </cell>
          <cell r="AF1181" t="str">
            <v>Tuesday</v>
          </cell>
          <cell r="AG1181" t="str">
            <v>Wednesday</v>
          </cell>
          <cell r="AH1181">
            <v>32</v>
          </cell>
          <cell r="AJ1181">
            <v>46047</v>
          </cell>
          <cell r="AM1181" t="str">
            <v>TEMP</v>
          </cell>
          <cell r="AN1181" t="str">
            <v>3P Onsite Worker</v>
          </cell>
          <cell r="AO1181" t="str">
            <v>A</v>
          </cell>
          <cell r="AP1181">
            <v>9</v>
          </cell>
          <cell r="AQ1181">
            <v>0</v>
          </cell>
          <cell r="AR1181">
            <v>1</v>
          </cell>
          <cell r="AS1181">
            <v>1</v>
          </cell>
          <cell r="AT1181">
            <v>0</v>
          </cell>
          <cell r="AU1181">
            <v>0</v>
          </cell>
        </row>
        <row r="1182">
          <cell r="D1182" t="str">
            <v>hansonay</v>
          </cell>
          <cell r="E1182">
            <v>203875181</v>
          </cell>
          <cell r="F1182" t="str">
            <v>A</v>
          </cell>
          <cell r="G1182" t="str">
            <v>GREEN</v>
          </cell>
          <cell r="H1182" t="str">
            <v>FULL_TIME</v>
          </cell>
          <cell r="I1182">
            <v>900234</v>
          </cell>
          <cell r="J1182" t="str">
            <v>Fastlink Outsourcing</v>
          </cell>
          <cell r="K1182" t="str">
            <v>Ayonghe Hanson</v>
          </cell>
          <cell r="L1182" t="str">
            <v>Warehouse Associate (TEMP)</v>
          </cell>
          <cell r="M1182" t="str">
            <v>Warehouse Associate 12M</v>
          </cell>
          <cell r="N1182" t="str">
            <v>gylrdg</v>
          </cell>
          <cell r="O1182">
            <v>1181</v>
          </cell>
          <cell r="P1182" t="str">
            <v>DAD1</v>
          </cell>
          <cell r="Q1182" t="str">
            <v>ARE</v>
          </cell>
          <cell r="R1182" t="str">
            <v>FC557</v>
          </cell>
          <cell r="T1182">
            <v>99</v>
          </cell>
          <cell r="U1182" t="str">
            <v>MENA_UAE_AMZL</v>
          </cell>
          <cell r="V1182">
            <v>46257.754166666666</v>
          </cell>
          <cell r="X1182">
            <v>46257.756944444445</v>
          </cell>
          <cell r="Y1182">
            <v>46258.090277777781</v>
          </cell>
          <cell r="AA1182" t="str">
            <v>Scheduled</v>
          </cell>
          <cell r="AB1182" t="str">
            <v>Present</v>
          </cell>
          <cell r="AC1182" t="str">
            <v>Warehouse deals</v>
          </cell>
          <cell r="AD1182" t="str">
            <v>Warehouse Deals</v>
          </cell>
          <cell r="AE1182" t="str">
            <v>Warehouse deals</v>
          </cell>
          <cell r="AH1182">
            <v>32</v>
          </cell>
          <cell r="AJ1182">
            <v>45529</v>
          </cell>
          <cell r="AM1182" t="str">
            <v>TEMP</v>
          </cell>
          <cell r="AN1182" t="str">
            <v>3P Onsite Worker</v>
          </cell>
          <cell r="AO1182" t="str">
            <v>A</v>
          </cell>
          <cell r="AP1182">
            <v>7</v>
          </cell>
          <cell r="AQ1182">
            <v>0</v>
          </cell>
          <cell r="AR1182">
            <v>1</v>
          </cell>
          <cell r="AS1182">
            <v>1</v>
          </cell>
          <cell r="AT1182">
            <v>0</v>
          </cell>
          <cell r="AU1182">
            <v>0</v>
          </cell>
        </row>
        <row r="1183">
          <cell r="D1183" t="str">
            <v>ialoalex</v>
          </cell>
          <cell r="E1183">
            <v>206348020</v>
          </cell>
          <cell r="F1183" t="str">
            <v>A</v>
          </cell>
          <cell r="G1183" t="str">
            <v>GREEN</v>
          </cell>
          <cell r="H1183" t="str">
            <v>FULL_TIME</v>
          </cell>
          <cell r="I1183">
            <v>900234</v>
          </cell>
          <cell r="J1183" t="str">
            <v>Dulsco L.L.C.</v>
          </cell>
          <cell r="K1183" t="str">
            <v>ALORO ALEX</v>
          </cell>
          <cell r="L1183" t="str">
            <v>Warehouse Associate (TEMP)</v>
          </cell>
          <cell r="M1183" t="str">
            <v>Warehouse Associate 8W</v>
          </cell>
          <cell r="N1183" t="str">
            <v>nelstche</v>
          </cell>
          <cell r="O1183">
            <v>1181</v>
          </cell>
          <cell r="P1183" t="str">
            <v>AUH3</v>
          </cell>
          <cell r="Q1183" t="str">
            <v>ARE</v>
          </cell>
          <cell r="R1183" t="str">
            <v>FC562</v>
          </cell>
          <cell r="T1183">
            <v>99</v>
          </cell>
          <cell r="U1183" t="str">
            <v>MENA_UAE_FC</v>
          </cell>
          <cell r="X1183">
            <v>46257.333333333336</v>
          </cell>
          <cell r="Y1183">
            <v>46257.75</v>
          </cell>
          <cell r="Z1183" t="str">
            <v>Rest Day</v>
          </cell>
          <cell r="AA1183" t="str">
            <v>Not Scheduled</v>
          </cell>
          <cell r="AB1183" t="str">
            <v>Not Present</v>
          </cell>
          <cell r="AC1183" t="str">
            <v>Warehouse deals</v>
          </cell>
          <cell r="AD1183" t="str">
            <v>Warehouse Deals</v>
          </cell>
          <cell r="AE1183" t="str">
            <v>Warehouse deals</v>
          </cell>
          <cell r="AH1183">
            <v>32</v>
          </cell>
          <cell r="AJ1183">
            <v>45956</v>
          </cell>
          <cell r="AM1183" t="str">
            <v>TEMP</v>
          </cell>
          <cell r="AN1183" t="str">
            <v>3P Onsite Worker</v>
          </cell>
          <cell r="AO1183" t="str">
            <v>A</v>
          </cell>
          <cell r="AP1183">
            <v>9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</row>
        <row r="1184">
          <cell r="D1184" t="str">
            <v>iankiwee</v>
          </cell>
          <cell r="E1184">
            <v>206348041</v>
          </cell>
          <cell r="F1184" t="str">
            <v>A</v>
          </cell>
          <cell r="G1184" t="str">
            <v>GREEN</v>
          </cell>
          <cell r="H1184" t="str">
            <v>FULL_TIME</v>
          </cell>
          <cell r="I1184">
            <v>900234</v>
          </cell>
          <cell r="J1184" t="str">
            <v>Dulsco L.L.C.</v>
          </cell>
          <cell r="K1184" t="str">
            <v>KIWEESI IAN</v>
          </cell>
          <cell r="L1184" t="str">
            <v>Warehouse Associate (TEMP)</v>
          </cell>
          <cell r="M1184" t="str">
            <v>Warehouse Associate 8W</v>
          </cell>
          <cell r="N1184" t="str">
            <v>gylrdg</v>
          </cell>
          <cell r="O1184">
            <v>1181</v>
          </cell>
          <cell r="P1184" t="str">
            <v>AUH3</v>
          </cell>
          <cell r="Q1184" t="str">
            <v>ARE</v>
          </cell>
          <cell r="R1184" t="str">
            <v>FC555</v>
          </cell>
          <cell r="S1184" t="str">
            <v>Night Shift</v>
          </cell>
          <cell r="T1184">
            <v>99</v>
          </cell>
          <cell r="U1184" t="str">
            <v>MENA_UAE_FC</v>
          </cell>
          <cell r="V1184">
            <v>46257.755555555559</v>
          </cell>
          <cell r="X1184">
            <v>46257.756944444445</v>
          </cell>
          <cell r="Y1184">
            <v>46258.090277777781</v>
          </cell>
          <cell r="AA1184" t="str">
            <v>Scheduled</v>
          </cell>
          <cell r="AB1184" t="str">
            <v>Present</v>
          </cell>
          <cell r="AC1184" t="str">
            <v>Warehouse deals</v>
          </cell>
          <cell r="AD1184" t="str">
            <v>Warehouse Deals</v>
          </cell>
          <cell r="AE1184" t="str">
            <v>Warehouse deals</v>
          </cell>
          <cell r="AF1184" t="str">
            <v>Monday</v>
          </cell>
          <cell r="AG1184" t="str">
            <v>Tuesday</v>
          </cell>
          <cell r="AH1184">
            <v>32</v>
          </cell>
          <cell r="AJ1184">
            <v>45956</v>
          </cell>
          <cell r="AM1184" t="str">
            <v>TEMP</v>
          </cell>
          <cell r="AN1184" t="str">
            <v>3P Onsite Worker</v>
          </cell>
          <cell r="AO1184" t="str">
            <v>A</v>
          </cell>
          <cell r="AP1184">
            <v>7</v>
          </cell>
          <cell r="AQ1184">
            <v>0</v>
          </cell>
          <cell r="AR1184">
            <v>1</v>
          </cell>
          <cell r="AS1184">
            <v>1</v>
          </cell>
          <cell r="AT1184">
            <v>0</v>
          </cell>
          <cell r="AU1184">
            <v>0</v>
          </cell>
        </row>
        <row r="1185">
          <cell r="D1185" t="str">
            <v>ijameasa</v>
          </cell>
          <cell r="E1185">
            <v>206348027</v>
          </cell>
          <cell r="F1185" t="str">
            <v>A</v>
          </cell>
          <cell r="G1185" t="str">
            <v>GREEN</v>
          </cell>
          <cell r="H1185" t="str">
            <v>FULL_TIME</v>
          </cell>
          <cell r="I1185">
            <v>900234</v>
          </cell>
          <cell r="J1185" t="str">
            <v>Dulsco L.L.C.</v>
          </cell>
          <cell r="K1185" t="str">
            <v>ASABA JAMES</v>
          </cell>
          <cell r="L1185" t="str">
            <v>Warehouse Associate (TEMP)</v>
          </cell>
          <cell r="M1185" t="str">
            <v>Warehouse Associate 8W</v>
          </cell>
          <cell r="N1185" t="str">
            <v>gylrdg</v>
          </cell>
          <cell r="O1185">
            <v>1181</v>
          </cell>
          <cell r="P1185" t="str">
            <v>AUH3</v>
          </cell>
          <cell r="Q1185" t="str">
            <v>ARE</v>
          </cell>
          <cell r="R1185" t="str">
            <v>FC554</v>
          </cell>
          <cell r="S1185" t="str">
            <v>Night Shift</v>
          </cell>
          <cell r="T1185">
            <v>99</v>
          </cell>
          <cell r="U1185" t="str">
            <v>MENA_UAE_FC</v>
          </cell>
          <cell r="X1185">
            <v>46257.756944444445</v>
          </cell>
          <cell r="Y1185">
            <v>46258.090277777781</v>
          </cell>
          <cell r="Z1185" t="str">
            <v>Rest Day</v>
          </cell>
          <cell r="AA1185" t="str">
            <v>Not Scheduled</v>
          </cell>
          <cell r="AB1185" t="str">
            <v>Not Present</v>
          </cell>
          <cell r="AC1185" t="str">
            <v>Warehouse deals</v>
          </cell>
          <cell r="AD1185" t="str">
            <v>Warehouse Deals</v>
          </cell>
          <cell r="AE1185" t="str">
            <v>Warehouse deals</v>
          </cell>
          <cell r="AF1185" t="str">
            <v>Sunday</v>
          </cell>
          <cell r="AG1185" t="str">
            <v>Monday</v>
          </cell>
          <cell r="AH1185">
            <v>32</v>
          </cell>
          <cell r="AJ1185">
            <v>45956</v>
          </cell>
          <cell r="AM1185" t="str">
            <v>TEMP</v>
          </cell>
          <cell r="AN1185" t="str">
            <v>3P Onsite Worker</v>
          </cell>
          <cell r="AO1185" t="str">
            <v>A</v>
          </cell>
          <cell r="AP1185">
            <v>7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</row>
        <row r="1186">
          <cell r="D1186" t="str">
            <v>ivinceas</v>
          </cell>
          <cell r="E1186">
            <v>205609755</v>
          </cell>
          <cell r="F1186" t="str">
            <v>A</v>
          </cell>
          <cell r="G1186" t="str">
            <v>GREEN</v>
          </cell>
          <cell r="H1186" t="str">
            <v>FULL_TIME</v>
          </cell>
          <cell r="I1186">
            <v>900234</v>
          </cell>
          <cell r="J1186" t="str">
            <v>Dulsco L.L.C.</v>
          </cell>
          <cell r="K1186" t="str">
            <v>VINCENT ASHITEY</v>
          </cell>
          <cell r="L1186" t="str">
            <v>Warehouse Associate (TEMP)</v>
          </cell>
          <cell r="M1186" t="str">
            <v>Warehouse Associate 8W</v>
          </cell>
          <cell r="N1186" t="str">
            <v>gylrdg</v>
          </cell>
          <cell r="O1186">
            <v>1299</v>
          </cell>
          <cell r="P1186" t="str">
            <v>AUH3</v>
          </cell>
          <cell r="Q1186" t="str">
            <v>ARE</v>
          </cell>
          <cell r="R1186" t="str">
            <v>LK013</v>
          </cell>
          <cell r="S1186" t="str">
            <v>Night Shift</v>
          </cell>
          <cell r="T1186">
            <v>99</v>
          </cell>
          <cell r="U1186" t="str">
            <v>MENA_UAE_FC</v>
          </cell>
          <cell r="X1186">
            <v>46257.756944444445</v>
          </cell>
          <cell r="Y1186">
            <v>46258.173611111109</v>
          </cell>
          <cell r="Z1186" t="str">
            <v>Rest Day</v>
          </cell>
          <cell r="AA1186" t="str">
            <v>Not Scheduled</v>
          </cell>
          <cell r="AB1186" t="str">
            <v>Not Present</v>
          </cell>
          <cell r="AC1186" t="str">
            <v>Warehouse deals</v>
          </cell>
          <cell r="AD1186" t="str">
            <v>Warehouse Deals</v>
          </cell>
          <cell r="AE1186" t="str">
            <v>Warehouse deals</v>
          </cell>
          <cell r="AF1186" t="str">
            <v>Sunday</v>
          </cell>
          <cell r="AG1186" t="str">
            <v>Monday</v>
          </cell>
          <cell r="AH1186">
            <v>32</v>
          </cell>
          <cell r="AJ1186">
            <v>45844</v>
          </cell>
          <cell r="AM1186" t="str">
            <v>TEMP</v>
          </cell>
          <cell r="AN1186" t="str">
            <v>3P Onsite Worker</v>
          </cell>
          <cell r="AO1186" t="str">
            <v>A</v>
          </cell>
          <cell r="AP1186">
            <v>9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</row>
        <row r="1187">
          <cell r="D1187" t="str">
            <v>jemuelc</v>
          </cell>
          <cell r="E1187">
            <v>105545779</v>
          </cell>
          <cell r="F1187" t="str">
            <v>A</v>
          </cell>
          <cell r="G1187" t="str">
            <v>BLUE</v>
          </cell>
          <cell r="H1187" t="str">
            <v>FULL_TIME</v>
          </cell>
          <cell r="I1187" t="str">
            <v>P03251</v>
          </cell>
          <cell r="K1187" t="str">
            <v>Jemuel sanchez Cortez</v>
          </cell>
          <cell r="L1187" t="str">
            <v>FC Associate I</v>
          </cell>
          <cell r="M1187" t="str">
            <v>FC Associate I</v>
          </cell>
          <cell r="N1187" t="str">
            <v>nelstche</v>
          </cell>
          <cell r="O1187">
            <v>1182</v>
          </cell>
          <cell r="P1187" t="str">
            <v>AUH3</v>
          </cell>
          <cell r="Q1187" t="str">
            <v>ARE</v>
          </cell>
          <cell r="R1187" t="str">
            <v>FC009</v>
          </cell>
          <cell r="S1187" t="str">
            <v>Day Shift</v>
          </cell>
          <cell r="T1187">
            <v>1</v>
          </cell>
          <cell r="U1187" t="str">
            <v>MENA_UAE_FC</v>
          </cell>
          <cell r="V1187">
            <v>46257.330555555556</v>
          </cell>
          <cell r="W1187">
            <v>46257.50277777778</v>
          </cell>
          <cell r="X1187">
            <v>46257.333333333336</v>
          </cell>
          <cell r="Y1187">
            <v>46257.75</v>
          </cell>
          <cell r="AA1187" t="str">
            <v>Scheduled</v>
          </cell>
          <cell r="AB1187" t="str">
            <v>Present</v>
          </cell>
          <cell r="AC1187" t="str">
            <v>Warehouse deals</v>
          </cell>
          <cell r="AD1187" t="str">
            <v>Warehouse Deals</v>
          </cell>
          <cell r="AE1187" t="str">
            <v>Warehouse deals</v>
          </cell>
          <cell r="AF1187" t="str">
            <v>Friday</v>
          </cell>
          <cell r="AG1187" t="str">
            <v>Saturday</v>
          </cell>
          <cell r="AH1187">
            <v>32</v>
          </cell>
          <cell r="AJ1187">
            <v>44723</v>
          </cell>
          <cell r="AM1187" t="str">
            <v>FC</v>
          </cell>
          <cell r="AN1187" t="str">
            <v>Regular Full Time</v>
          </cell>
          <cell r="AO1187" t="str">
            <v>A</v>
          </cell>
          <cell r="AP1187">
            <v>9</v>
          </cell>
          <cell r="AQ1187">
            <v>0</v>
          </cell>
          <cell r="AR1187">
            <v>1</v>
          </cell>
          <cell r="AS1187">
            <v>1</v>
          </cell>
          <cell r="AT1187">
            <v>0</v>
          </cell>
          <cell r="AU1187">
            <v>0</v>
          </cell>
        </row>
        <row r="1188">
          <cell r="D1188" t="str">
            <v>jeptoonf</v>
          </cell>
          <cell r="E1188">
            <v>206958064</v>
          </cell>
          <cell r="F1188" t="str">
            <v>A</v>
          </cell>
          <cell r="G1188" t="str">
            <v>GREEN</v>
          </cell>
          <cell r="H1188" t="str">
            <v>FULL_TIME</v>
          </cell>
          <cell r="I1188">
            <v>900234</v>
          </cell>
          <cell r="J1188" t="str">
            <v>EFS Facilities Services</v>
          </cell>
          <cell r="K1188" t="str">
            <v>Nancy Jeptoo</v>
          </cell>
          <cell r="L1188" t="str">
            <v>Warehouse Associate (TEMP)</v>
          </cell>
          <cell r="M1188" t="str">
            <v>Warehouse Associate 8W</v>
          </cell>
          <cell r="N1188" t="str">
            <v>gylrdg</v>
          </cell>
          <cell r="O1188">
            <v>1181</v>
          </cell>
          <cell r="P1188" t="str">
            <v>AUH3</v>
          </cell>
          <cell r="Q1188" t="str">
            <v>ARE</v>
          </cell>
          <cell r="R1188" t="str">
            <v>LK012</v>
          </cell>
          <cell r="S1188" t="str">
            <v>Night Shift</v>
          </cell>
          <cell r="T1188">
            <v>99</v>
          </cell>
          <cell r="U1188" t="str">
            <v>MENA_UAE_FC</v>
          </cell>
          <cell r="X1188">
            <v>46257.756944444445</v>
          </cell>
          <cell r="Y1188">
            <v>46258.173611111109</v>
          </cell>
          <cell r="Z1188" t="str">
            <v>Rest Day</v>
          </cell>
          <cell r="AA1188" t="str">
            <v>Not Scheduled</v>
          </cell>
          <cell r="AB1188" t="str">
            <v>Not Present</v>
          </cell>
          <cell r="AC1188" t="str">
            <v>Warehouse deals</v>
          </cell>
          <cell r="AD1188" t="str">
            <v>Warehouse Deals</v>
          </cell>
          <cell r="AE1188" t="str">
            <v>Warehouse deals</v>
          </cell>
          <cell r="AF1188" t="str">
            <v>Saturday</v>
          </cell>
          <cell r="AG1188" t="str">
            <v>Sunday</v>
          </cell>
          <cell r="AH1188">
            <v>32</v>
          </cell>
          <cell r="AJ1188">
            <v>46047</v>
          </cell>
          <cell r="AM1188" t="str">
            <v>TEMP</v>
          </cell>
          <cell r="AN1188" t="str">
            <v>3P Onsite Worker</v>
          </cell>
          <cell r="AO1188" t="str">
            <v>A</v>
          </cell>
          <cell r="AP1188">
            <v>9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</row>
        <row r="1189">
          <cell r="D1189" t="str">
            <v>jgichuhi</v>
          </cell>
          <cell r="E1189">
            <v>206361785</v>
          </cell>
          <cell r="F1189" t="str">
            <v>A</v>
          </cell>
          <cell r="G1189" t="str">
            <v>GREEN</v>
          </cell>
          <cell r="H1189" t="str">
            <v>FULL_TIME</v>
          </cell>
          <cell r="I1189">
            <v>900234</v>
          </cell>
          <cell r="J1189" t="str">
            <v>EFS Facilities Services</v>
          </cell>
          <cell r="K1189" t="str">
            <v>Jeniffer Wanjiku Gichuhi</v>
          </cell>
          <cell r="L1189" t="str">
            <v>Warehouse Associate (TEMP)</v>
          </cell>
          <cell r="M1189" t="str">
            <v>Warehouse Associate 8W</v>
          </cell>
          <cell r="N1189" t="str">
            <v>gylrdg</v>
          </cell>
          <cell r="O1189">
            <v>1181</v>
          </cell>
          <cell r="P1189" t="str">
            <v>AUH3</v>
          </cell>
          <cell r="Q1189" t="str">
            <v>ARE</v>
          </cell>
          <cell r="R1189" t="str">
            <v>LK017</v>
          </cell>
          <cell r="S1189" t="str">
            <v>Night Shift</v>
          </cell>
          <cell r="T1189">
            <v>99</v>
          </cell>
          <cell r="U1189" t="str">
            <v>MENA_UAE_FC</v>
          </cell>
          <cell r="V1189">
            <v>46257.754861111112</v>
          </cell>
          <cell r="X1189">
            <v>46257.756944444445</v>
          </cell>
          <cell r="Y1189">
            <v>46258.173611111109</v>
          </cell>
          <cell r="AA1189" t="str">
            <v>Scheduled</v>
          </cell>
          <cell r="AB1189" t="str">
            <v>Present</v>
          </cell>
          <cell r="AC1189" t="str">
            <v>Warehouse deals</v>
          </cell>
          <cell r="AD1189" t="str">
            <v>Warehouse Deals</v>
          </cell>
          <cell r="AE1189" t="str">
            <v>Warehouse deals</v>
          </cell>
          <cell r="AF1189" t="str">
            <v>Thursday</v>
          </cell>
          <cell r="AG1189" t="str">
            <v>Friday</v>
          </cell>
          <cell r="AH1189">
            <v>32</v>
          </cell>
          <cell r="AJ1189">
            <v>45956</v>
          </cell>
          <cell r="AM1189" t="str">
            <v>TEMP</v>
          </cell>
          <cell r="AN1189" t="str">
            <v>3P Onsite Worker</v>
          </cell>
          <cell r="AO1189" t="str">
            <v>A</v>
          </cell>
          <cell r="AP1189">
            <v>9</v>
          </cell>
          <cell r="AQ1189">
            <v>0</v>
          </cell>
          <cell r="AR1189">
            <v>1</v>
          </cell>
          <cell r="AS1189">
            <v>1</v>
          </cell>
          <cell r="AT1189">
            <v>0</v>
          </cell>
          <cell r="AU1189">
            <v>0</v>
          </cell>
        </row>
        <row r="1190">
          <cell r="D1190" t="str">
            <v>jokisolo</v>
          </cell>
          <cell r="E1190">
            <v>206348048</v>
          </cell>
          <cell r="F1190" t="str">
            <v>A</v>
          </cell>
          <cell r="G1190" t="str">
            <v>GREEN</v>
          </cell>
          <cell r="H1190" t="str">
            <v>FULL_TIME</v>
          </cell>
          <cell r="I1190">
            <v>900234</v>
          </cell>
          <cell r="J1190" t="str">
            <v>Dulsco L.L.C.</v>
          </cell>
          <cell r="K1190" t="str">
            <v>KISOLO JOHN</v>
          </cell>
          <cell r="L1190" t="str">
            <v>Warehouse Associate (TEMP)</v>
          </cell>
          <cell r="M1190" t="str">
            <v>Warehouse Associate 8W</v>
          </cell>
          <cell r="N1190" t="str">
            <v>nelstche</v>
          </cell>
          <cell r="O1190">
            <v>1181</v>
          </cell>
          <cell r="P1190" t="str">
            <v>AUH3</v>
          </cell>
          <cell r="Q1190" t="str">
            <v>ARE</v>
          </cell>
          <cell r="R1190" t="str">
            <v>FC566</v>
          </cell>
          <cell r="T1190">
            <v>99</v>
          </cell>
          <cell r="U1190" t="str">
            <v>MENA_UAE_FC</v>
          </cell>
          <cell r="V1190">
            <v>46257.331250000003</v>
          </cell>
          <cell r="W1190">
            <v>46257.669444444444</v>
          </cell>
          <cell r="X1190">
            <v>46257.333333333336</v>
          </cell>
          <cell r="Y1190">
            <v>46257.75</v>
          </cell>
          <cell r="AA1190" t="str">
            <v>Scheduled</v>
          </cell>
          <cell r="AB1190" t="str">
            <v>Present</v>
          </cell>
          <cell r="AC1190" t="str">
            <v>Warehouse deals</v>
          </cell>
          <cell r="AD1190" t="str">
            <v>Warehouse Deals</v>
          </cell>
          <cell r="AE1190" t="str">
            <v>Warehouse deals</v>
          </cell>
          <cell r="AH1190">
            <v>32</v>
          </cell>
          <cell r="AJ1190">
            <v>45956</v>
          </cell>
          <cell r="AM1190" t="str">
            <v>TEMP</v>
          </cell>
          <cell r="AN1190" t="str">
            <v>3P Onsite Worker</v>
          </cell>
          <cell r="AO1190" t="str">
            <v>A</v>
          </cell>
          <cell r="AP1190">
            <v>9</v>
          </cell>
          <cell r="AQ1190">
            <v>0</v>
          </cell>
          <cell r="AR1190">
            <v>1</v>
          </cell>
          <cell r="AS1190">
            <v>1</v>
          </cell>
          <cell r="AT1190">
            <v>0</v>
          </cell>
          <cell r="AU1190">
            <v>0</v>
          </cell>
        </row>
        <row r="1191">
          <cell r="D1191" t="str">
            <v>joshatta</v>
          </cell>
          <cell r="E1191">
            <v>203875180</v>
          </cell>
          <cell r="F1191" t="str">
            <v>A</v>
          </cell>
          <cell r="G1191" t="str">
            <v>GREEN</v>
          </cell>
          <cell r="H1191" t="str">
            <v>FULL_TIME</v>
          </cell>
          <cell r="I1191">
            <v>900234</v>
          </cell>
          <cell r="J1191" t="str">
            <v>Fastlink Outsourcing</v>
          </cell>
          <cell r="K1191" t="str">
            <v>Joshua Attam</v>
          </cell>
          <cell r="L1191" t="str">
            <v>Warehouse Associate (TEMP)</v>
          </cell>
          <cell r="M1191" t="str">
            <v>Warehouse Associate 12M</v>
          </cell>
          <cell r="N1191" t="str">
            <v>gylrdg</v>
          </cell>
          <cell r="O1191">
            <v>1181</v>
          </cell>
          <cell r="P1191" t="str">
            <v>DAD1</v>
          </cell>
          <cell r="Q1191" t="str">
            <v>ARE</v>
          </cell>
          <cell r="R1191" t="str">
            <v>FC554</v>
          </cell>
          <cell r="T1191">
            <v>99</v>
          </cell>
          <cell r="U1191" t="str">
            <v>MENA_UAE_AMZL</v>
          </cell>
          <cell r="X1191">
            <v>46257.756944444445</v>
          </cell>
          <cell r="Y1191">
            <v>46258.090277777781</v>
          </cell>
          <cell r="Z1191" t="str">
            <v>Rest Day</v>
          </cell>
          <cell r="AA1191" t="str">
            <v>Not Scheduled</v>
          </cell>
          <cell r="AB1191" t="str">
            <v>Not Present</v>
          </cell>
          <cell r="AC1191" t="str">
            <v>Warehouse deals</v>
          </cell>
          <cell r="AD1191" t="str">
            <v>Warehouse Deals</v>
          </cell>
          <cell r="AE1191" t="str">
            <v>Warehouse deals</v>
          </cell>
          <cell r="AH1191">
            <v>32</v>
          </cell>
          <cell r="AJ1191">
            <v>45529</v>
          </cell>
          <cell r="AM1191" t="str">
            <v>TEMP</v>
          </cell>
          <cell r="AN1191" t="str">
            <v>3P Onsite Worker</v>
          </cell>
          <cell r="AO1191" t="str">
            <v>A</v>
          </cell>
          <cell r="AP1191">
            <v>7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</row>
        <row r="1192">
          <cell r="D1192" t="str">
            <v>juntataw</v>
          </cell>
          <cell r="E1192">
            <v>203555155</v>
          </cell>
          <cell r="F1192" t="str">
            <v>A</v>
          </cell>
          <cell r="G1192" t="str">
            <v>GREEN</v>
          </cell>
          <cell r="H1192" t="str">
            <v>FULL_TIME</v>
          </cell>
          <cell r="I1192">
            <v>900234</v>
          </cell>
          <cell r="J1192" t="str">
            <v>Fastlink Outsourcing</v>
          </cell>
          <cell r="K1192" t="str">
            <v>Junita Tataw</v>
          </cell>
          <cell r="L1192" t="str">
            <v>Warehouse Associate (TEMP)</v>
          </cell>
          <cell r="M1192" t="str">
            <v>Warehouse Associate 12M</v>
          </cell>
          <cell r="N1192" t="str">
            <v>nelstche</v>
          </cell>
          <cell r="O1192">
            <v>1181</v>
          </cell>
          <cell r="P1192" t="str">
            <v>AUH3</v>
          </cell>
          <cell r="Q1192" t="str">
            <v>ARE</v>
          </cell>
          <cell r="R1192" t="str">
            <v>FC059</v>
          </cell>
          <cell r="S1192" t="str">
            <v>Day Shift</v>
          </cell>
          <cell r="T1192">
            <v>99</v>
          </cell>
          <cell r="U1192" t="str">
            <v>MENA_UAE_FC</v>
          </cell>
          <cell r="X1192">
            <v>46257.333333333336</v>
          </cell>
          <cell r="Y1192">
            <v>46257.75</v>
          </cell>
          <cell r="Z1192" t="str">
            <v>Rest Day</v>
          </cell>
          <cell r="AA1192" t="str">
            <v>Not Scheduled</v>
          </cell>
          <cell r="AB1192" t="str">
            <v>Not Present</v>
          </cell>
          <cell r="AC1192" t="str">
            <v>Warehouse deals</v>
          </cell>
          <cell r="AD1192" t="str">
            <v>Warehouse Deals</v>
          </cell>
          <cell r="AE1192" t="str">
            <v>Warehouse deals</v>
          </cell>
          <cell r="AF1192" t="str">
            <v>Sunday</v>
          </cell>
          <cell r="AG1192" t="str">
            <v>Monday</v>
          </cell>
          <cell r="AH1192">
            <v>32</v>
          </cell>
          <cell r="AJ1192">
            <v>45469</v>
          </cell>
          <cell r="AM1192" t="str">
            <v>TEMP</v>
          </cell>
          <cell r="AN1192" t="str">
            <v>3P Onsite Worker</v>
          </cell>
          <cell r="AO1192" t="str">
            <v>A</v>
          </cell>
          <cell r="AP1192">
            <v>9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</row>
        <row r="1193">
          <cell r="D1193" t="str">
            <v>kadyamus</v>
          </cell>
          <cell r="E1193">
            <v>203555221</v>
          </cell>
          <cell r="F1193" t="str">
            <v>A</v>
          </cell>
          <cell r="G1193" t="str">
            <v>GREEN</v>
          </cell>
          <cell r="H1193" t="str">
            <v>FULL_TIME</v>
          </cell>
          <cell r="I1193">
            <v>900234</v>
          </cell>
          <cell r="J1193" t="str">
            <v>Fastlink Outsourcing</v>
          </cell>
          <cell r="K1193" t="str">
            <v>Phoebe Kadyamusuma</v>
          </cell>
          <cell r="L1193" t="str">
            <v>Warehouse Associate (TEMP)</v>
          </cell>
          <cell r="M1193" t="str">
            <v>Warehouse Associate 12M</v>
          </cell>
          <cell r="N1193" t="str">
            <v>nelstche</v>
          </cell>
          <cell r="O1193">
            <v>1181</v>
          </cell>
          <cell r="P1193" t="str">
            <v>AUH3</v>
          </cell>
          <cell r="Q1193" t="str">
            <v>ARE</v>
          </cell>
          <cell r="R1193" t="str">
            <v>FC034</v>
          </cell>
          <cell r="S1193" t="str">
            <v>Day Shift</v>
          </cell>
          <cell r="T1193">
            <v>99</v>
          </cell>
          <cell r="U1193" t="str">
            <v>MENA_UAE_FC</v>
          </cell>
          <cell r="X1193">
            <v>46257.333333333336</v>
          </cell>
          <cell r="Y1193">
            <v>46257.75</v>
          </cell>
          <cell r="Z1193" t="str">
            <v>Rest Day</v>
          </cell>
          <cell r="AA1193" t="str">
            <v>Not Scheduled</v>
          </cell>
          <cell r="AB1193" t="str">
            <v>Not Present</v>
          </cell>
          <cell r="AC1193" t="str">
            <v>Warehouse deals</v>
          </cell>
          <cell r="AD1193" t="str">
            <v>Warehouse Deals</v>
          </cell>
          <cell r="AE1193" t="str">
            <v>Warehouse deals</v>
          </cell>
          <cell r="AF1193" t="str">
            <v>Saturday</v>
          </cell>
          <cell r="AG1193" t="str">
            <v>Sunday</v>
          </cell>
          <cell r="AH1193">
            <v>32</v>
          </cell>
          <cell r="AJ1193">
            <v>45469</v>
          </cell>
          <cell r="AM1193" t="str">
            <v>TEMP</v>
          </cell>
          <cell r="AN1193" t="str">
            <v>3P Onsite Worker</v>
          </cell>
          <cell r="AO1193" t="str">
            <v>A</v>
          </cell>
          <cell r="AP1193">
            <v>9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</row>
        <row r="1194">
          <cell r="D1194" t="str">
            <v>kemeelij</v>
          </cell>
          <cell r="E1194">
            <v>206361295</v>
          </cell>
          <cell r="F1194" t="str">
            <v>A</v>
          </cell>
          <cell r="G1194" t="str">
            <v>GREEN</v>
          </cell>
          <cell r="H1194" t="str">
            <v>FULL_TIME</v>
          </cell>
          <cell r="I1194">
            <v>900234</v>
          </cell>
          <cell r="J1194" t="str">
            <v>EFS Facilities Services</v>
          </cell>
          <cell r="K1194" t="str">
            <v>ELIJAH KEMEI</v>
          </cell>
          <cell r="L1194" t="str">
            <v>Warehouse Associate (TEMP)</v>
          </cell>
          <cell r="M1194" t="str">
            <v>Warehouse Associate 8W</v>
          </cell>
          <cell r="N1194" t="str">
            <v>gylrdg</v>
          </cell>
          <cell r="O1194">
            <v>1181</v>
          </cell>
          <cell r="P1194" t="str">
            <v>AUH3</v>
          </cell>
          <cell r="Q1194" t="str">
            <v>ARE</v>
          </cell>
          <cell r="R1194" t="str">
            <v>LK013</v>
          </cell>
          <cell r="S1194" t="str">
            <v>Night Shift</v>
          </cell>
          <cell r="T1194">
            <v>99</v>
          </cell>
          <cell r="U1194" t="str">
            <v>MENA_UAE_FC</v>
          </cell>
          <cell r="X1194">
            <v>46257.756944444445</v>
          </cell>
          <cell r="Y1194">
            <v>46258.173611111109</v>
          </cell>
          <cell r="Z1194" t="str">
            <v>Rest Day</v>
          </cell>
          <cell r="AA1194" t="str">
            <v>Not Scheduled</v>
          </cell>
          <cell r="AB1194" t="str">
            <v>Not Present</v>
          </cell>
          <cell r="AC1194" t="str">
            <v>Warehouse deals</v>
          </cell>
          <cell r="AD1194" t="str">
            <v>Warehouse Deals</v>
          </cell>
          <cell r="AE1194" t="str">
            <v>Warehouse deals</v>
          </cell>
          <cell r="AF1194" t="str">
            <v>Sunday</v>
          </cell>
          <cell r="AG1194" t="str">
            <v>Monday</v>
          </cell>
          <cell r="AH1194">
            <v>32</v>
          </cell>
          <cell r="AJ1194">
            <v>45956</v>
          </cell>
          <cell r="AM1194" t="str">
            <v>TEMP</v>
          </cell>
          <cell r="AN1194" t="str">
            <v>3P Onsite Worker</v>
          </cell>
          <cell r="AO1194" t="str">
            <v>A</v>
          </cell>
          <cell r="AP1194">
            <v>9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</row>
        <row r="1195">
          <cell r="D1195" t="str">
            <v>kezirkis</v>
          </cell>
          <cell r="E1195">
            <v>206348049</v>
          </cell>
          <cell r="F1195" t="str">
            <v>A</v>
          </cell>
          <cell r="G1195" t="str">
            <v>GREEN</v>
          </cell>
          <cell r="H1195" t="str">
            <v>FULL_TIME</v>
          </cell>
          <cell r="I1195">
            <v>900234</v>
          </cell>
          <cell r="J1195" t="str">
            <v>Dulsco L.L.C.</v>
          </cell>
          <cell r="K1195" t="str">
            <v>KISOLO KEZIRON ISAAC</v>
          </cell>
          <cell r="L1195" t="str">
            <v>Warehouse Associate (TEMP)</v>
          </cell>
          <cell r="M1195" t="str">
            <v>Warehouse Associate 8W</v>
          </cell>
          <cell r="N1195" t="str">
            <v>nelstche</v>
          </cell>
          <cell r="O1195">
            <v>1181</v>
          </cell>
          <cell r="P1195" t="str">
            <v>AUH3</v>
          </cell>
          <cell r="Q1195" t="str">
            <v>ARE</v>
          </cell>
          <cell r="R1195" t="str">
            <v>FC570</v>
          </cell>
          <cell r="T1195">
            <v>99</v>
          </cell>
          <cell r="U1195" t="str">
            <v>MENA_UAE_FC</v>
          </cell>
          <cell r="V1195">
            <v>46257.331944444442</v>
          </cell>
          <cell r="W1195">
            <v>46257.668055555558</v>
          </cell>
          <cell r="X1195">
            <v>46257.333333333336</v>
          </cell>
          <cell r="Y1195">
            <v>46257.75</v>
          </cell>
          <cell r="AA1195" t="str">
            <v>Scheduled</v>
          </cell>
          <cell r="AB1195" t="str">
            <v>Present</v>
          </cell>
          <cell r="AC1195" t="str">
            <v>Warehouse deals</v>
          </cell>
          <cell r="AD1195" t="str">
            <v>Warehouse Deals</v>
          </cell>
          <cell r="AE1195" t="str">
            <v>Warehouse deals</v>
          </cell>
          <cell r="AH1195">
            <v>32</v>
          </cell>
          <cell r="AJ1195">
            <v>45956</v>
          </cell>
          <cell r="AM1195" t="str">
            <v>TEMP</v>
          </cell>
          <cell r="AN1195" t="str">
            <v>3P Onsite Worker</v>
          </cell>
          <cell r="AO1195" t="str">
            <v>A</v>
          </cell>
          <cell r="AP1195">
            <v>9</v>
          </cell>
          <cell r="AQ1195">
            <v>0</v>
          </cell>
          <cell r="AR1195">
            <v>1</v>
          </cell>
          <cell r="AS1195">
            <v>1</v>
          </cell>
          <cell r="AT1195">
            <v>0</v>
          </cell>
          <cell r="AU1195">
            <v>0</v>
          </cell>
        </row>
        <row r="1196">
          <cell r="D1196" t="str">
            <v>kibujame</v>
          </cell>
          <cell r="E1196">
            <v>206348030</v>
          </cell>
          <cell r="F1196" t="str">
            <v>A</v>
          </cell>
          <cell r="G1196" t="str">
            <v>GREEN</v>
          </cell>
          <cell r="H1196" t="str">
            <v>FULL_TIME</v>
          </cell>
          <cell r="I1196">
            <v>900234</v>
          </cell>
          <cell r="J1196" t="str">
            <v>Dulsco L.L.C.</v>
          </cell>
          <cell r="K1196" t="str">
            <v>KIBUUKA JAMES</v>
          </cell>
          <cell r="L1196" t="str">
            <v>Warehouse Associate (TEMP)</v>
          </cell>
          <cell r="M1196" t="str">
            <v>Warehouse Associate 8W</v>
          </cell>
          <cell r="N1196" t="str">
            <v>nelstche</v>
          </cell>
          <cell r="O1196">
            <v>1181</v>
          </cell>
          <cell r="P1196" t="str">
            <v>AUH3</v>
          </cell>
          <cell r="Q1196" t="str">
            <v>ARE</v>
          </cell>
          <cell r="R1196" t="str">
            <v>FC562</v>
          </cell>
          <cell r="T1196">
            <v>99</v>
          </cell>
          <cell r="U1196" t="str">
            <v>MENA_UAE_FC</v>
          </cell>
          <cell r="X1196">
            <v>46257.333333333336</v>
          </cell>
          <cell r="Y1196">
            <v>46257.75</v>
          </cell>
          <cell r="Z1196" t="str">
            <v>Rest Day</v>
          </cell>
          <cell r="AA1196" t="str">
            <v>Not Scheduled</v>
          </cell>
          <cell r="AB1196" t="str">
            <v>Not Present</v>
          </cell>
          <cell r="AC1196" t="str">
            <v>Warehouse deals</v>
          </cell>
          <cell r="AD1196" t="str">
            <v>Warehouse Deals</v>
          </cell>
          <cell r="AE1196" t="str">
            <v>Warehouse deals</v>
          </cell>
          <cell r="AH1196">
            <v>32</v>
          </cell>
          <cell r="AJ1196">
            <v>45956</v>
          </cell>
          <cell r="AM1196" t="str">
            <v>TEMP</v>
          </cell>
          <cell r="AN1196" t="str">
            <v>3P Onsite Worker</v>
          </cell>
          <cell r="AO1196" t="str">
            <v>A</v>
          </cell>
          <cell r="AP1196">
            <v>9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</row>
        <row r="1197">
          <cell r="D1197" t="str">
            <v>kmintahe</v>
          </cell>
          <cell r="E1197">
            <v>203513400</v>
          </cell>
          <cell r="F1197" t="str">
            <v>A</v>
          </cell>
          <cell r="G1197" t="str">
            <v>GREEN</v>
          </cell>
          <cell r="H1197" t="str">
            <v>FULL_TIME</v>
          </cell>
          <cell r="I1197">
            <v>900234</v>
          </cell>
          <cell r="J1197" t="str">
            <v>Fastlink Outsourcing</v>
          </cell>
          <cell r="K1197" t="str">
            <v>Evans Mintah</v>
          </cell>
          <cell r="L1197" t="str">
            <v>Warehouse Associate (TEMP)</v>
          </cell>
          <cell r="M1197" t="str">
            <v>Warehouse Associate 12M</v>
          </cell>
          <cell r="N1197" t="str">
            <v>nelstche</v>
          </cell>
          <cell r="O1197">
            <v>1181</v>
          </cell>
          <cell r="P1197" t="str">
            <v>AUH3</v>
          </cell>
          <cell r="Q1197" t="str">
            <v>ARE</v>
          </cell>
          <cell r="R1197" t="str">
            <v>FC034</v>
          </cell>
          <cell r="S1197" t="str">
            <v>Day Shift</v>
          </cell>
          <cell r="T1197">
            <v>99</v>
          </cell>
          <cell r="U1197" t="str">
            <v>MENA_UAE_FC</v>
          </cell>
          <cell r="X1197">
            <v>46257.333333333336</v>
          </cell>
          <cell r="Y1197">
            <v>46257.75</v>
          </cell>
          <cell r="Z1197" t="str">
            <v>Rest Day</v>
          </cell>
          <cell r="AA1197" t="str">
            <v>Not Scheduled</v>
          </cell>
          <cell r="AB1197" t="str">
            <v>Not Present</v>
          </cell>
          <cell r="AC1197" t="str">
            <v>Warehouse deals</v>
          </cell>
          <cell r="AD1197" t="str">
            <v>Warehouse Deals</v>
          </cell>
          <cell r="AE1197" t="str">
            <v>Warehouse deals</v>
          </cell>
          <cell r="AF1197" t="str">
            <v>Saturday</v>
          </cell>
          <cell r="AG1197" t="str">
            <v>Sunday</v>
          </cell>
          <cell r="AH1197">
            <v>32</v>
          </cell>
          <cell r="AJ1197">
            <v>45462</v>
          </cell>
          <cell r="AM1197" t="str">
            <v>TEMP</v>
          </cell>
          <cell r="AN1197" t="str">
            <v>3P Onsite Worker</v>
          </cell>
          <cell r="AO1197" t="str">
            <v>A</v>
          </cell>
          <cell r="AP1197">
            <v>9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</row>
        <row r="1198">
          <cell r="D1198" t="str">
            <v>kmokube</v>
          </cell>
          <cell r="E1198">
            <v>102582351</v>
          </cell>
          <cell r="F1198" t="str">
            <v>A</v>
          </cell>
          <cell r="G1198" t="str">
            <v>BLUE</v>
          </cell>
          <cell r="H1198" t="str">
            <v>FULL_TIME</v>
          </cell>
          <cell r="I1198" t="str">
            <v>P03251</v>
          </cell>
          <cell r="K1198" t="str">
            <v>Kingsley Mokube Ikoe</v>
          </cell>
          <cell r="L1198" t="str">
            <v>FC Associate I</v>
          </cell>
          <cell r="M1198" t="str">
            <v>Logistics Assistant</v>
          </cell>
          <cell r="N1198" t="str">
            <v>nelstche</v>
          </cell>
          <cell r="O1198">
            <v>1182</v>
          </cell>
          <cell r="P1198" t="str">
            <v>AUH3</v>
          </cell>
          <cell r="Q1198" t="str">
            <v>ARE</v>
          </cell>
          <cell r="R1198" t="str">
            <v>FC009</v>
          </cell>
          <cell r="S1198" t="str">
            <v>Day Shift</v>
          </cell>
          <cell r="T1198">
            <v>1</v>
          </cell>
          <cell r="U1198" t="str">
            <v>MENA_UAE_FC</v>
          </cell>
          <cell r="V1198">
            <v>46257.331944444442</v>
          </cell>
          <cell r="W1198">
            <v>46257.746527777781</v>
          </cell>
          <cell r="X1198">
            <v>46257.333333333336</v>
          </cell>
          <cell r="Y1198">
            <v>46257.75</v>
          </cell>
          <cell r="AA1198" t="str">
            <v>Scheduled</v>
          </cell>
          <cell r="AB1198" t="str">
            <v>Present</v>
          </cell>
          <cell r="AC1198" t="str">
            <v>Warehouse deals</v>
          </cell>
          <cell r="AD1198" t="str">
            <v>Warehouse Deals</v>
          </cell>
          <cell r="AE1198" t="str">
            <v>Warehouse deals</v>
          </cell>
          <cell r="AF1198" t="str">
            <v>Friday</v>
          </cell>
          <cell r="AG1198" t="str">
            <v>Saturday</v>
          </cell>
          <cell r="AH1198">
            <v>32</v>
          </cell>
          <cell r="AJ1198">
            <v>42961</v>
          </cell>
          <cell r="AM1198" t="str">
            <v>FC</v>
          </cell>
          <cell r="AN1198" t="str">
            <v>Regular Full Time</v>
          </cell>
          <cell r="AO1198" t="str">
            <v>A</v>
          </cell>
          <cell r="AP1198">
            <v>9</v>
          </cell>
          <cell r="AQ1198">
            <v>0</v>
          </cell>
          <cell r="AR1198">
            <v>1</v>
          </cell>
          <cell r="AS1198">
            <v>1</v>
          </cell>
          <cell r="AT1198">
            <v>0</v>
          </cell>
          <cell r="AU1198">
            <v>0</v>
          </cell>
        </row>
        <row r="1199">
          <cell r="D1199" t="str">
            <v>kuffourg</v>
          </cell>
          <cell r="E1199">
            <v>203875089</v>
          </cell>
          <cell r="F1199" t="str">
            <v>A</v>
          </cell>
          <cell r="G1199" t="str">
            <v>GREEN</v>
          </cell>
          <cell r="H1199" t="str">
            <v>FULL_TIME</v>
          </cell>
          <cell r="I1199">
            <v>900234</v>
          </cell>
          <cell r="J1199" t="str">
            <v>Fastlink Outsourcing</v>
          </cell>
          <cell r="K1199" t="str">
            <v>Grace Kuffour</v>
          </cell>
          <cell r="L1199" t="str">
            <v>Warehouse Associate (TEMP)</v>
          </cell>
          <cell r="M1199" t="str">
            <v>Warehouse Associate 12M</v>
          </cell>
          <cell r="N1199" t="str">
            <v>gylrdg</v>
          </cell>
          <cell r="O1199">
            <v>1181</v>
          </cell>
          <cell r="P1199" t="str">
            <v>DAD1</v>
          </cell>
          <cell r="Q1199" t="str">
            <v>ARE</v>
          </cell>
          <cell r="R1199" t="str">
            <v>FC558</v>
          </cell>
          <cell r="T1199">
            <v>99</v>
          </cell>
          <cell r="U1199" t="str">
            <v>MENA_UAE_AMZL</v>
          </cell>
          <cell r="V1199">
            <v>46257.754861111112</v>
          </cell>
          <cell r="X1199">
            <v>46257.756944444445</v>
          </cell>
          <cell r="Y1199">
            <v>46258.090277777781</v>
          </cell>
          <cell r="AA1199" t="str">
            <v>Scheduled</v>
          </cell>
          <cell r="AB1199" t="str">
            <v>Present</v>
          </cell>
          <cell r="AC1199" t="str">
            <v>Warehouse deals</v>
          </cell>
          <cell r="AD1199" t="str">
            <v>Warehouse Deals</v>
          </cell>
          <cell r="AE1199" t="str">
            <v>Warehouse deals</v>
          </cell>
          <cell r="AH1199">
            <v>32</v>
          </cell>
          <cell r="AJ1199">
            <v>45529</v>
          </cell>
          <cell r="AM1199" t="str">
            <v>TEMP</v>
          </cell>
          <cell r="AN1199" t="str">
            <v>3P Onsite Worker</v>
          </cell>
          <cell r="AO1199" t="str">
            <v>A</v>
          </cell>
          <cell r="AP1199">
            <v>7</v>
          </cell>
          <cell r="AQ1199">
            <v>0</v>
          </cell>
          <cell r="AR1199">
            <v>1</v>
          </cell>
          <cell r="AS1199">
            <v>1</v>
          </cell>
          <cell r="AT1199">
            <v>0</v>
          </cell>
          <cell r="AU1199">
            <v>0</v>
          </cell>
        </row>
        <row r="1200">
          <cell r="D1200" t="str">
            <v>labcamar</v>
          </cell>
          <cell r="E1200">
            <v>204246155</v>
          </cell>
          <cell r="F1200" t="str">
            <v>A</v>
          </cell>
          <cell r="G1200" t="str">
            <v>GREEN</v>
          </cell>
          <cell r="H1200" t="str">
            <v>FULL_TIME</v>
          </cell>
          <cell r="I1200">
            <v>900234</v>
          </cell>
          <cell r="J1200" t="str">
            <v>Quesscorp</v>
          </cell>
          <cell r="K1200" t="str">
            <v>Abdourahamane Camara</v>
          </cell>
          <cell r="L1200" t="str">
            <v>Warehouse Associate (TEMP)</v>
          </cell>
          <cell r="M1200" t="str">
            <v>Warehouse Associate 24M</v>
          </cell>
          <cell r="N1200" t="str">
            <v>nelstche</v>
          </cell>
          <cell r="O1200">
            <v>1299</v>
          </cell>
          <cell r="P1200" t="str">
            <v>AUH3</v>
          </cell>
          <cell r="Q1200" t="str">
            <v>ARE</v>
          </cell>
          <cell r="R1200" t="str">
            <v>FC034</v>
          </cell>
          <cell r="S1200" t="str">
            <v>Day Shift</v>
          </cell>
          <cell r="T1200">
            <v>99</v>
          </cell>
          <cell r="U1200" t="str">
            <v>MENA_UAE_FC</v>
          </cell>
          <cell r="X1200">
            <v>46257.333333333336</v>
          </cell>
          <cell r="Y1200">
            <v>46257.75</v>
          </cell>
          <cell r="Z1200" t="str">
            <v>Rest Day</v>
          </cell>
          <cell r="AA1200" t="str">
            <v>Not Scheduled</v>
          </cell>
          <cell r="AB1200" t="str">
            <v>Not Present</v>
          </cell>
          <cell r="AC1200" t="str">
            <v>Warehouse deals</v>
          </cell>
          <cell r="AD1200" t="str">
            <v>Warehouse Deals</v>
          </cell>
          <cell r="AE1200" t="str">
            <v>Warehouse deals</v>
          </cell>
          <cell r="AF1200" t="str">
            <v>Saturday</v>
          </cell>
          <cell r="AG1200" t="str">
            <v>Sunday</v>
          </cell>
          <cell r="AH1200">
            <v>32</v>
          </cell>
          <cell r="AJ1200">
            <v>45578</v>
          </cell>
          <cell r="AM1200" t="str">
            <v>TEMP</v>
          </cell>
          <cell r="AN1200" t="str">
            <v>3P Onsite Worker</v>
          </cell>
          <cell r="AO1200" t="str">
            <v>A</v>
          </cell>
          <cell r="AP1200">
            <v>9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</row>
        <row r="1201">
          <cell r="D1201" t="str">
            <v>loventia</v>
          </cell>
          <cell r="E1201">
            <v>205276097</v>
          </cell>
          <cell r="F1201" t="str">
            <v>A</v>
          </cell>
          <cell r="G1201" t="str">
            <v>GREEN</v>
          </cell>
          <cell r="H1201" t="str">
            <v>FULL_TIME</v>
          </cell>
          <cell r="I1201">
            <v>900234</v>
          </cell>
          <cell r="J1201" t="str">
            <v>Dulsco L.L.C.</v>
          </cell>
          <cell r="K1201" t="str">
            <v>LOVELACE NTIAMOAH</v>
          </cell>
          <cell r="L1201" t="str">
            <v>Warehouse Associate (TEMP)</v>
          </cell>
          <cell r="M1201" t="str">
            <v>Warehouse Associate 8W</v>
          </cell>
          <cell r="N1201" t="str">
            <v>gylrdg</v>
          </cell>
          <cell r="O1201">
            <v>1181</v>
          </cell>
          <cell r="P1201" t="str">
            <v>AUH3</v>
          </cell>
          <cell r="Q1201" t="str">
            <v>ARE</v>
          </cell>
          <cell r="R1201" t="str">
            <v>LK015</v>
          </cell>
          <cell r="S1201" t="str">
            <v>Night Shift</v>
          </cell>
          <cell r="T1201">
            <v>99</v>
          </cell>
          <cell r="U1201" t="str">
            <v>MENA_UAE_FC</v>
          </cell>
          <cell r="V1201">
            <v>46257.754861111112</v>
          </cell>
          <cell r="X1201">
            <v>46257.756944444445</v>
          </cell>
          <cell r="Y1201">
            <v>46258.173611111109</v>
          </cell>
          <cell r="AA1201" t="str">
            <v>Scheduled</v>
          </cell>
          <cell r="AB1201" t="str">
            <v>Present</v>
          </cell>
          <cell r="AC1201" t="str">
            <v>Warehouse deals</v>
          </cell>
          <cell r="AD1201" t="str">
            <v>Warehouse Deals</v>
          </cell>
          <cell r="AE1201" t="str">
            <v>Warehouse deals</v>
          </cell>
          <cell r="AF1201" t="str">
            <v>Tuesday</v>
          </cell>
          <cell r="AG1201" t="str">
            <v>Wednesday</v>
          </cell>
          <cell r="AH1201">
            <v>32</v>
          </cell>
          <cell r="AJ1201">
            <v>45795</v>
          </cell>
          <cell r="AM1201" t="str">
            <v>TEMP</v>
          </cell>
          <cell r="AN1201" t="str">
            <v>3P Onsite Worker</v>
          </cell>
          <cell r="AO1201" t="str">
            <v>A</v>
          </cell>
          <cell r="AP1201">
            <v>9</v>
          </cell>
          <cell r="AQ1201">
            <v>0</v>
          </cell>
          <cell r="AR1201">
            <v>1</v>
          </cell>
          <cell r="AS1201">
            <v>1</v>
          </cell>
          <cell r="AT1201">
            <v>0</v>
          </cell>
          <cell r="AU1201">
            <v>0</v>
          </cell>
        </row>
        <row r="1202">
          <cell r="D1202" t="str">
            <v>mavhunga</v>
          </cell>
          <cell r="E1202">
            <v>203635598</v>
          </cell>
          <cell r="F1202" t="str">
            <v>A</v>
          </cell>
          <cell r="G1202" t="str">
            <v>GREEN</v>
          </cell>
          <cell r="H1202" t="str">
            <v>FULL_TIME</v>
          </cell>
          <cell r="I1202">
            <v>900234</v>
          </cell>
          <cell r="J1202" t="str">
            <v>Fastlink Outsourcing</v>
          </cell>
          <cell r="K1202" t="str">
            <v>Admire Mavhunga</v>
          </cell>
          <cell r="L1202" t="str">
            <v>Warehouse Associate (TEMP)</v>
          </cell>
          <cell r="M1202" t="str">
            <v>Warehouse Associate 12M</v>
          </cell>
          <cell r="N1202" t="str">
            <v>nelstche</v>
          </cell>
          <cell r="O1202">
            <v>1181</v>
          </cell>
          <cell r="P1202" t="str">
            <v>AUH3</v>
          </cell>
          <cell r="Q1202" t="str">
            <v>ARE</v>
          </cell>
          <cell r="R1202" t="str">
            <v>FC159</v>
          </cell>
          <cell r="S1202" t="str">
            <v>Day Shift</v>
          </cell>
          <cell r="T1202">
            <v>99</v>
          </cell>
          <cell r="U1202" t="str">
            <v>MENA_UAE_FC</v>
          </cell>
          <cell r="V1202">
            <v>46257.331944444442</v>
          </cell>
          <cell r="W1202">
            <v>46257.74722222222</v>
          </cell>
          <cell r="X1202">
            <v>46257.333333333336</v>
          </cell>
          <cell r="Y1202">
            <v>46257.75</v>
          </cell>
          <cell r="AA1202" t="str">
            <v>Scheduled</v>
          </cell>
          <cell r="AB1202" t="str">
            <v>Present</v>
          </cell>
          <cell r="AC1202" t="str">
            <v>Warehouse deals</v>
          </cell>
          <cell r="AD1202" t="str">
            <v>Warehouse Deals</v>
          </cell>
          <cell r="AE1202" t="str">
            <v>Warehouse deals</v>
          </cell>
          <cell r="AF1202" t="str">
            <v>Thursday</v>
          </cell>
          <cell r="AG1202" t="str">
            <v>Friday</v>
          </cell>
          <cell r="AH1202">
            <v>32</v>
          </cell>
          <cell r="AJ1202">
            <v>45480</v>
          </cell>
          <cell r="AM1202" t="str">
            <v>TEMP</v>
          </cell>
          <cell r="AN1202" t="str">
            <v>3P Onsite Worker</v>
          </cell>
          <cell r="AO1202" t="str">
            <v>A</v>
          </cell>
          <cell r="AP1202">
            <v>9</v>
          </cell>
          <cell r="AQ1202">
            <v>0</v>
          </cell>
          <cell r="AR1202">
            <v>1</v>
          </cell>
          <cell r="AS1202">
            <v>1</v>
          </cell>
          <cell r="AT1202">
            <v>0</v>
          </cell>
          <cell r="AU1202">
            <v>0</v>
          </cell>
        </row>
        <row r="1203">
          <cell r="D1203" t="str">
            <v>maxweoaw</v>
          </cell>
          <cell r="E1203">
            <v>203875183</v>
          </cell>
          <cell r="F1203" t="str">
            <v>A</v>
          </cell>
          <cell r="G1203" t="str">
            <v>GREEN</v>
          </cell>
          <cell r="H1203" t="str">
            <v>FULL_TIME</v>
          </cell>
          <cell r="I1203">
            <v>900234</v>
          </cell>
          <cell r="J1203" t="str">
            <v>Fastlink Outsourcing</v>
          </cell>
          <cell r="K1203" t="str">
            <v>Maxwell Awu</v>
          </cell>
          <cell r="L1203" t="str">
            <v>Warehouse Associate (TEMP)</v>
          </cell>
          <cell r="M1203" t="str">
            <v>Warehouse Associate 12M</v>
          </cell>
          <cell r="N1203" t="str">
            <v>gylrdg</v>
          </cell>
          <cell r="O1203">
            <v>1181</v>
          </cell>
          <cell r="P1203" t="str">
            <v>DAD1</v>
          </cell>
          <cell r="Q1203" t="str">
            <v>ARE</v>
          </cell>
          <cell r="R1203" t="str">
            <v>FC557</v>
          </cell>
          <cell r="T1203">
            <v>99</v>
          </cell>
          <cell r="U1203" t="str">
            <v>MENA_UAE_AMZL</v>
          </cell>
          <cell r="V1203">
            <v>46257.756944444445</v>
          </cell>
          <cell r="X1203">
            <v>46257.756944444445</v>
          </cell>
          <cell r="Y1203">
            <v>46258.090277777781</v>
          </cell>
          <cell r="AA1203" t="str">
            <v>Scheduled</v>
          </cell>
          <cell r="AB1203" t="str">
            <v>Present</v>
          </cell>
          <cell r="AC1203" t="str">
            <v>Warehouse deals</v>
          </cell>
          <cell r="AD1203" t="str">
            <v>Warehouse Deals</v>
          </cell>
          <cell r="AE1203" t="str">
            <v>Warehouse deals</v>
          </cell>
          <cell r="AH1203">
            <v>32</v>
          </cell>
          <cell r="AJ1203">
            <v>45529</v>
          </cell>
          <cell r="AM1203" t="str">
            <v>TEMP</v>
          </cell>
          <cell r="AN1203" t="str">
            <v>3P Onsite Worker</v>
          </cell>
          <cell r="AO1203" t="str">
            <v>A</v>
          </cell>
          <cell r="AP1203">
            <v>7</v>
          </cell>
          <cell r="AQ1203">
            <v>0</v>
          </cell>
          <cell r="AR1203">
            <v>1</v>
          </cell>
          <cell r="AS1203">
            <v>1</v>
          </cell>
          <cell r="AT1203">
            <v>0</v>
          </cell>
          <cell r="AU1203">
            <v>0</v>
          </cell>
        </row>
        <row r="1204">
          <cell r="D1204" t="str">
            <v>meahyema</v>
          </cell>
          <cell r="E1204">
            <v>206957733</v>
          </cell>
          <cell r="F1204" t="str">
            <v>A</v>
          </cell>
          <cell r="G1204" t="str">
            <v>GREEN</v>
          </cell>
          <cell r="H1204" t="str">
            <v>FULL_TIME</v>
          </cell>
          <cell r="I1204">
            <v>900234</v>
          </cell>
          <cell r="J1204" t="str">
            <v>EFS Facilities Services</v>
          </cell>
          <cell r="K1204" t="str">
            <v>Mercy Ahyemang</v>
          </cell>
          <cell r="L1204" t="str">
            <v>Warehouse Associate (TEMP)</v>
          </cell>
          <cell r="M1204" t="str">
            <v>Warehouse Associate 8W</v>
          </cell>
          <cell r="N1204" t="str">
            <v>gylrdg</v>
          </cell>
          <cell r="O1204">
            <v>1181</v>
          </cell>
          <cell r="P1204" t="str">
            <v>AUH3</v>
          </cell>
          <cell r="Q1204" t="str">
            <v>ARE</v>
          </cell>
          <cell r="R1204" t="str">
            <v>LK012</v>
          </cell>
          <cell r="S1204" t="str">
            <v>Night Shift</v>
          </cell>
          <cell r="T1204">
            <v>99</v>
          </cell>
          <cell r="U1204" t="str">
            <v>MENA_UAE_FC</v>
          </cell>
          <cell r="X1204">
            <v>46257.756944444445</v>
          </cell>
          <cell r="Y1204">
            <v>46258.173611111109</v>
          </cell>
          <cell r="Z1204" t="str">
            <v>Rest Day</v>
          </cell>
          <cell r="AA1204" t="str">
            <v>Not Scheduled</v>
          </cell>
          <cell r="AB1204" t="str">
            <v>Not Present</v>
          </cell>
          <cell r="AC1204" t="str">
            <v>Warehouse deals</v>
          </cell>
          <cell r="AD1204" t="str">
            <v>Warehouse Deals</v>
          </cell>
          <cell r="AE1204" t="str">
            <v>Warehouse deals</v>
          </cell>
          <cell r="AF1204" t="str">
            <v>Saturday</v>
          </cell>
          <cell r="AG1204" t="str">
            <v>Sunday</v>
          </cell>
          <cell r="AH1204">
            <v>32</v>
          </cell>
          <cell r="AJ1204">
            <v>46047</v>
          </cell>
          <cell r="AM1204" t="str">
            <v>TEMP</v>
          </cell>
          <cell r="AN1204" t="str">
            <v>3P Onsite Worker</v>
          </cell>
          <cell r="AO1204" t="str">
            <v>A</v>
          </cell>
          <cell r="AP1204">
            <v>9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</row>
        <row r="1205">
          <cell r="D1205" t="str">
            <v>milldboa</v>
          </cell>
          <cell r="E1205">
            <v>206368538</v>
          </cell>
          <cell r="F1205" t="str">
            <v>A</v>
          </cell>
          <cell r="G1205" t="str">
            <v>GREEN</v>
          </cell>
          <cell r="H1205" t="str">
            <v>FULL_TIME</v>
          </cell>
          <cell r="I1205">
            <v>900234</v>
          </cell>
          <cell r="J1205" t="str">
            <v>EFS Facilities Services</v>
          </cell>
          <cell r="K1205" t="str">
            <v>MILLICENT BOADI</v>
          </cell>
          <cell r="L1205" t="str">
            <v>Warehouse Associate (TEMP)</v>
          </cell>
          <cell r="M1205" t="str">
            <v>Warehouse Associate 8W</v>
          </cell>
          <cell r="N1205" t="str">
            <v>gylrdg</v>
          </cell>
          <cell r="O1205">
            <v>1181</v>
          </cell>
          <cell r="P1205" t="str">
            <v>AUH3</v>
          </cell>
          <cell r="Q1205" t="str">
            <v>ARE</v>
          </cell>
          <cell r="R1205" t="str">
            <v>FC559</v>
          </cell>
          <cell r="S1205" t="str">
            <v>Night Shift</v>
          </cell>
          <cell r="T1205">
            <v>99</v>
          </cell>
          <cell r="U1205" t="str">
            <v>MENA_UAE_FC</v>
          </cell>
          <cell r="X1205">
            <v>46257.756944444445</v>
          </cell>
          <cell r="Y1205">
            <v>46258.090277777781</v>
          </cell>
          <cell r="Z1205" t="str">
            <v>Rest Day</v>
          </cell>
          <cell r="AA1205" t="str">
            <v>Not Scheduled</v>
          </cell>
          <cell r="AB1205" t="str">
            <v>Not Present</v>
          </cell>
          <cell r="AC1205" t="str">
            <v>Warehouse deals</v>
          </cell>
          <cell r="AD1205" t="str">
            <v>Warehouse Deals</v>
          </cell>
          <cell r="AE1205" t="str">
            <v>Warehouse deals</v>
          </cell>
          <cell r="AF1205" t="str">
            <v>Saturday</v>
          </cell>
          <cell r="AG1205" t="str">
            <v>Sunday</v>
          </cell>
          <cell r="AH1205">
            <v>32</v>
          </cell>
          <cell r="AJ1205">
            <v>45956</v>
          </cell>
          <cell r="AM1205" t="str">
            <v>TEMP</v>
          </cell>
          <cell r="AN1205" t="str">
            <v>3P Onsite Worker</v>
          </cell>
          <cell r="AO1205" t="str">
            <v>A</v>
          </cell>
          <cell r="AP1205">
            <v>7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</row>
        <row r="1206">
          <cell r="D1206" t="str">
            <v>modhadij</v>
          </cell>
          <cell r="E1206">
            <v>206348024</v>
          </cell>
          <cell r="F1206" t="str">
            <v>A</v>
          </cell>
          <cell r="G1206" t="str">
            <v>GREEN</v>
          </cell>
          <cell r="H1206" t="str">
            <v>FULL_TIME</v>
          </cell>
          <cell r="I1206">
            <v>900234</v>
          </cell>
          <cell r="J1206" t="str">
            <v>Fastlink Outsourcing</v>
          </cell>
          <cell r="K1206" t="str">
            <v>HADIJA MOHAMMED</v>
          </cell>
          <cell r="L1206" t="str">
            <v>Warehouse Associate (TEMP)</v>
          </cell>
          <cell r="M1206" t="str">
            <v>Warehouse Associate 8W</v>
          </cell>
          <cell r="N1206" t="str">
            <v>gylrdg</v>
          </cell>
          <cell r="O1206">
            <v>1181</v>
          </cell>
          <cell r="P1206" t="str">
            <v>AUH3</v>
          </cell>
          <cell r="Q1206" t="str">
            <v>ARE</v>
          </cell>
          <cell r="R1206" t="str">
            <v>LK017</v>
          </cell>
          <cell r="S1206" t="str">
            <v>Night Shift</v>
          </cell>
          <cell r="T1206">
            <v>99</v>
          </cell>
          <cell r="U1206" t="str">
            <v>MENA_UAE_FC</v>
          </cell>
          <cell r="V1206">
            <v>46257.755555555559</v>
          </cell>
          <cell r="X1206">
            <v>46257.756944444445</v>
          </cell>
          <cell r="Y1206">
            <v>46258.173611111109</v>
          </cell>
          <cell r="AA1206" t="str">
            <v>Scheduled</v>
          </cell>
          <cell r="AB1206" t="str">
            <v>Present</v>
          </cell>
          <cell r="AC1206" t="str">
            <v>Warehouse deals</v>
          </cell>
          <cell r="AD1206" t="str">
            <v>Warehouse Deals</v>
          </cell>
          <cell r="AE1206" t="str">
            <v>Warehouse deals</v>
          </cell>
          <cell r="AF1206" t="str">
            <v>Thursday</v>
          </cell>
          <cell r="AG1206" t="str">
            <v>Friday</v>
          </cell>
          <cell r="AH1206">
            <v>32</v>
          </cell>
          <cell r="AJ1206">
            <v>45956</v>
          </cell>
          <cell r="AM1206" t="str">
            <v>TEMP</v>
          </cell>
          <cell r="AN1206" t="str">
            <v>3P Onsite Worker</v>
          </cell>
          <cell r="AO1206" t="str">
            <v>A</v>
          </cell>
          <cell r="AP1206">
            <v>9</v>
          </cell>
          <cell r="AQ1206">
            <v>0</v>
          </cell>
          <cell r="AR1206">
            <v>1</v>
          </cell>
          <cell r="AS1206">
            <v>1</v>
          </cell>
          <cell r="AT1206">
            <v>0</v>
          </cell>
          <cell r="AU1206">
            <v>0</v>
          </cell>
        </row>
        <row r="1207">
          <cell r="D1207" t="str">
            <v>mohasopj</v>
          </cell>
          <cell r="E1207">
            <v>206958297</v>
          </cell>
          <cell r="F1207" t="str">
            <v>A</v>
          </cell>
          <cell r="G1207" t="str">
            <v>GREEN</v>
          </cell>
          <cell r="H1207" t="str">
            <v>FULL_TIME</v>
          </cell>
          <cell r="I1207">
            <v>900234</v>
          </cell>
          <cell r="J1207" t="str">
            <v>EFS Facilities Services</v>
          </cell>
          <cell r="K1207" t="str">
            <v>Sophia Andaiyi Mohammed</v>
          </cell>
          <cell r="L1207" t="str">
            <v>Warehouse Associate (TEMP)</v>
          </cell>
          <cell r="M1207" t="str">
            <v>Warehouse Associate 12M</v>
          </cell>
          <cell r="N1207" t="str">
            <v>gylrdg</v>
          </cell>
          <cell r="O1207">
            <v>1181</v>
          </cell>
          <cell r="P1207" t="str">
            <v>AUH3</v>
          </cell>
          <cell r="Q1207" t="str">
            <v>ARE</v>
          </cell>
          <cell r="R1207" t="str">
            <v>LK017</v>
          </cell>
          <cell r="S1207" t="str">
            <v>Night Shift</v>
          </cell>
          <cell r="T1207">
            <v>99</v>
          </cell>
          <cell r="U1207" t="str">
            <v>MENA_UAE_FC</v>
          </cell>
          <cell r="V1207">
            <v>46257.755555555559</v>
          </cell>
          <cell r="X1207">
            <v>46257.756944444445</v>
          </cell>
          <cell r="Y1207">
            <v>46258.173611111109</v>
          </cell>
          <cell r="AA1207" t="str">
            <v>Scheduled</v>
          </cell>
          <cell r="AB1207" t="str">
            <v>Present</v>
          </cell>
          <cell r="AC1207" t="str">
            <v>Warehouse deals</v>
          </cell>
          <cell r="AD1207" t="str">
            <v>Warehouse Deals</v>
          </cell>
          <cell r="AE1207" t="str">
            <v>Warehouse deals</v>
          </cell>
          <cell r="AF1207" t="str">
            <v>Thursday</v>
          </cell>
          <cell r="AG1207" t="str">
            <v>Friday</v>
          </cell>
          <cell r="AH1207">
            <v>32</v>
          </cell>
          <cell r="AJ1207">
            <v>46047</v>
          </cell>
          <cell r="AM1207" t="str">
            <v>TEMP</v>
          </cell>
          <cell r="AN1207" t="str">
            <v>3P Onsite Worker</v>
          </cell>
          <cell r="AO1207" t="str">
            <v>A</v>
          </cell>
          <cell r="AP1207">
            <v>9</v>
          </cell>
          <cell r="AQ1207">
            <v>0</v>
          </cell>
          <cell r="AR1207">
            <v>1</v>
          </cell>
          <cell r="AS1207">
            <v>1</v>
          </cell>
          <cell r="AT1207">
            <v>0</v>
          </cell>
          <cell r="AU1207">
            <v>0</v>
          </cell>
        </row>
        <row r="1208">
          <cell r="D1208" t="str">
            <v>mosseruv</v>
          </cell>
          <cell r="E1208">
            <v>205845548</v>
          </cell>
          <cell r="F1208" t="str">
            <v>A</v>
          </cell>
          <cell r="G1208" t="str">
            <v>GREEN</v>
          </cell>
          <cell r="H1208" t="str">
            <v>FULL_TIME</v>
          </cell>
          <cell r="I1208">
            <v>900234</v>
          </cell>
          <cell r="J1208" t="str">
            <v>Dulsco L.L.C.</v>
          </cell>
          <cell r="K1208" t="str">
            <v>MOSES SSERUWUJJO</v>
          </cell>
          <cell r="L1208" t="str">
            <v>Warehouse Associate (TEMP)</v>
          </cell>
          <cell r="M1208" t="str">
            <v>Warehouse Associate 8W</v>
          </cell>
          <cell r="N1208" t="str">
            <v>gylrdg</v>
          </cell>
          <cell r="O1208">
            <v>1181</v>
          </cell>
          <cell r="P1208" t="str">
            <v>AUH3</v>
          </cell>
          <cell r="Q1208" t="str">
            <v>ARE</v>
          </cell>
          <cell r="R1208" t="str">
            <v>LK014</v>
          </cell>
          <cell r="S1208" t="str">
            <v>Night Shift</v>
          </cell>
          <cell r="T1208">
            <v>99</v>
          </cell>
          <cell r="U1208" t="str">
            <v>MENA_UAE_FC</v>
          </cell>
          <cell r="V1208">
            <v>46257.755555555559</v>
          </cell>
          <cell r="X1208">
            <v>46257.756944444445</v>
          </cell>
          <cell r="Y1208">
            <v>46258.173611111109</v>
          </cell>
          <cell r="AA1208" t="str">
            <v>Scheduled</v>
          </cell>
          <cell r="AB1208" t="str">
            <v>Present</v>
          </cell>
          <cell r="AC1208" t="str">
            <v>Warehouse deals</v>
          </cell>
          <cell r="AD1208" t="str">
            <v>Warehouse Deals</v>
          </cell>
          <cell r="AE1208" t="str">
            <v>Warehouse deals</v>
          </cell>
          <cell r="AF1208" t="str">
            <v>Monday</v>
          </cell>
          <cell r="AG1208" t="str">
            <v>Tuesday</v>
          </cell>
          <cell r="AH1208">
            <v>32</v>
          </cell>
          <cell r="AJ1208">
            <v>45893</v>
          </cell>
          <cell r="AM1208" t="str">
            <v>TEMP</v>
          </cell>
          <cell r="AN1208" t="str">
            <v>3P Onsite Worker</v>
          </cell>
          <cell r="AO1208" t="str">
            <v>A</v>
          </cell>
          <cell r="AP1208">
            <v>9</v>
          </cell>
          <cell r="AQ1208">
            <v>0</v>
          </cell>
          <cell r="AR1208">
            <v>1</v>
          </cell>
          <cell r="AS1208">
            <v>1</v>
          </cell>
          <cell r="AT1208">
            <v>0</v>
          </cell>
          <cell r="AU1208">
            <v>0</v>
          </cell>
        </row>
        <row r="1209">
          <cell r="D1209" t="str">
            <v>muhimbis</v>
          </cell>
          <cell r="E1209">
            <v>206348029</v>
          </cell>
          <cell r="F1209" t="str">
            <v>A</v>
          </cell>
          <cell r="G1209" t="str">
            <v>GREEN</v>
          </cell>
          <cell r="H1209" t="str">
            <v>FULL_TIME</v>
          </cell>
          <cell r="I1209">
            <v>900234</v>
          </cell>
          <cell r="J1209" t="str">
            <v>Dulsco L.L.C.</v>
          </cell>
          <cell r="K1209" t="str">
            <v>MUHIMBISE JACKSON</v>
          </cell>
          <cell r="L1209" t="str">
            <v>Warehouse Associate (TEMP)</v>
          </cell>
          <cell r="M1209" t="str">
            <v>Warehouse Associate 8W</v>
          </cell>
          <cell r="N1209" t="str">
            <v>gylrdg</v>
          </cell>
          <cell r="O1209">
            <v>1181</v>
          </cell>
          <cell r="P1209" t="str">
            <v>AUH3</v>
          </cell>
          <cell r="Q1209" t="str">
            <v>ARE</v>
          </cell>
          <cell r="R1209" t="str">
            <v>FC559</v>
          </cell>
          <cell r="S1209" t="str">
            <v>Night Shift</v>
          </cell>
          <cell r="T1209">
            <v>99</v>
          </cell>
          <cell r="U1209" t="str">
            <v>MENA_UAE_FC</v>
          </cell>
          <cell r="X1209">
            <v>46257.756944444445</v>
          </cell>
          <cell r="Y1209">
            <v>46258.090277777781</v>
          </cell>
          <cell r="Z1209" t="str">
            <v>Rest Day</v>
          </cell>
          <cell r="AA1209" t="str">
            <v>Not Scheduled</v>
          </cell>
          <cell r="AB1209" t="str">
            <v>Not Present</v>
          </cell>
          <cell r="AC1209" t="str">
            <v>Warehouse deals</v>
          </cell>
          <cell r="AD1209" t="str">
            <v>Warehouse Deals</v>
          </cell>
          <cell r="AE1209" t="str">
            <v>Warehouse deals</v>
          </cell>
          <cell r="AF1209" t="str">
            <v>Saturday</v>
          </cell>
          <cell r="AG1209" t="str">
            <v>Sunday</v>
          </cell>
          <cell r="AH1209">
            <v>32</v>
          </cell>
          <cell r="AJ1209">
            <v>45956</v>
          </cell>
          <cell r="AM1209" t="str">
            <v>TEMP</v>
          </cell>
          <cell r="AN1209" t="str">
            <v>3P Onsite Worker</v>
          </cell>
          <cell r="AO1209" t="str">
            <v>A</v>
          </cell>
          <cell r="AP1209">
            <v>7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</row>
        <row r="1210">
          <cell r="D1210" t="str">
            <v>muhpinha</v>
          </cell>
          <cell r="E1210">
            <v>206361787</v>
          </cell>
          <cell r="F1210" t="str">
            <v>A</v>
          </cell>
          <cell r="G1210" t="str">
            <v>GREEN</v>
          </cell>
          <cell r="H1210" t="str">
            <v>FULL_TIME</v>
          </cell>
          <cell r="I1210">
            <v>900234</v>
          </cell>
          <cell r="J1210" t="str">
            <v>EFS Facilities Services</v>
          </cell>
          <cell r="K1210" t="str">
            <v>PINHAS MUHUTHIA</v>
          </cell>
          <cell r="L1210" t="str">
            <v>Warehouse Associate (TEMP)</v>
          </cell>
          <cell r="M1210" t="str">
            <v>Warehouse Associate 8W</v>
          </cell>
          <cell r="N1210" t="str">
            <v>gylrdg</v>
          </cell>
          <cell r="O1210">
            <v>1181</v>
          </cell>
          <cell r="P1210" t="str">
            <v>AUH3</v>
          </cell>
          <cell r="Q1210" t="str">
            <v>ARE</v>
          </cell>
          <cell r="R1210" t="str">
            <v>LK015</v>
          </cell>
          <cell r="S1210" t="str">
            <v>Night Shift</v>
          </cell>
          <cell r="T1210">
            <v>99</v>
          </cell>
          <cell r="U1210" t="str">
            <v>MENA_UAE_FC</v>
          </cell>
          <cell r="V1210">
            <v>46257.756249999999</v>
          </cell>
          <cell r="X1210">
            <v>46257.756944444445</v>
          </cell>
          <cell r="Y1210">
            <v>46258.173611111109</v>
          </cell>
          <cell r="AA1210" t="str">
            <v>Scheduled</v>
          </cell>
          <cell r="AB1210" t="str">
            <v>Present</v>
          </cell>
          <cell r="AC1210" t="str">
            <v>Warehouse deals</v>
          </cell>
          <cell r="AD1210" t="str">
            <v>Warehouse Deals</v>
          </cell>
          <cell r="AE1210" t="str">
            <v>Warehouse deals</v>
          </cell>
          <cell r="AF1210" t="str">
            <v>Tuesday</v>
          </cell>
          <cell r="AG1210" t="str">
            <v>Wednesday</v>
          </cell>
          <cell r="AH1210">
            <v>32</v>
          </cell>
          <cell r="AJ1210">
            <v>45956</v>
          </cell>
          <cell r="AM1210" t="str">
            <v>TEMP</v>
          </cell>
          <cell r="AN1210" t="str">
            <v>3P Onsite Worker</v>
          </cell>
          <cell r="AO1210" t="str">
            <v>A</v>
          </cell>
          <cell r="AP1210">
            <v>9</v>
          </cell>
          <cell r="AQ1210">
            <v>0</v>
          </cell>
          <cell r="AR1210">
            <v>1</v>
          </cell>
          <cell r="AS1210">
            <v>1</v>
          </cell>
          <cell r="AT1210">
            <v>0</v>
          </cell>
          <cell r="AU1210">
            <v>0</v>
          </cell>
        </row>
        <row r="1211">
          <cell r="D1211" t="str">
            <v>munibmoh</v>
          </cell>
          <cell r="E1211">
            <v>203635498</v>
          </cell>
          <cell r="F1211" t="str">
            <v>A</v>
          </cell>
          <cell r="G1211" t="str">
            <v>GREEN</v>
          </cell>
          <cell r="H1211" t="str">
            <v>FULL_TIME</v>
          </cell>
          <cell r="I1211">
            <v>900234</v>
          </cell>
          <cell r="J1211" t="str">
            <v>Fastlink Outsourcing</v>
          </cell>
          <cell r="K1211" t="str">
            <v>Muniru Mohammed</v>
          </cell>
          <cell r="L1211" t="str">
            <v>Warehouse Associate (TEMP)</v>
          </cell>
          <cell r="M1211" t="str">
            <v>Warehouse Associate 12M</v>
          </cell>
          <cell r="N1211" t="str">
            <v>gylrdg</v>
          </cell>
          <cell r="O1211">
            <v>1181</v>
          </cell>
          <cell r="P1211" t="str">
            <v>AUH3</v>
          </cell>
          <cell r="Q1211" t="str">
            <v>ARE</v>
          </cell>
          <cell r="R1211" t="str">
            <v>LK017</v>
          </cell>
          <cell r="S1211" t="str">
            <v>Night Shift</v>
          </cell>
          <cell r="T1211">
            <v>99</v>
          </cell>
          <cell r="U1211" t="str">
            <v>MENA_UAE_FC</v>
          </cell>
          <cell r="V1211">
            <v>46257.753472222219</v>
          </cell>
          <cell r="X1211">
            <v>46257.756944444445</v>
          </cell>
          <cell r="Y1211">
            <v>46258.173611111109</v>
          </cell>
          <cell r="AA1211" t="str">
            <v>Scheduled</v>
          </cell>
          <cell r="AB1211" t="str">
            <v>Present</v>
          </cell>
          <cell r="AC1211" t="str">
            <v>Warehouse deals</v>
          </cell>
          <cell r="AD1211" t="str">
            <v>Warehouse Deals</v>
          </cell>
          <cell r="AE1211" t="str">
            <v>Warehouse deals</v>
          </cell>
          <cell r="AF1211" t="str">
            <v>Thursday</v>
          </cell>
          <cell r="AG1211" t="str">
            <v>Friday</v>
          </cell>
          <cell r="AH1211">
            <v>32</v>
          </cell>
          <cell r="AJ1211">
            <v>45573</v>
          </cell>
          <cell r="AM1211" t="str">
            <v>TEMP</v>
          </cell>
          <cell r="AN1211" t="str">
            <v>3P Onsite Worker</v>
          </cell>
          <cell r="AO1211" t="str">
            <v>A</v>
          </cell>
          <cell r="AP1211">
            <v>9</v>
          </cell>
          <cell r="AQ1211">
            <v>0</v>
          </cell>
          <cell r="AR1211">
            <v>1</v>
          </cell>
          <cell r="AS1211">
            <v>1</v>
          </cell>
          <cell r="AT1211">
            <v>0</v>
          </cell>
          <cell r="AU1211">
            <v>0</v>
          </cell>
        </row>
        <row r="1212">
          <cell r="D1212" t="str">
            <v>namudirq</v>
          </cell>
          <cell r="E1212">
            <v>206958286</v>
          </cell>
          <cell r="F1212" t="str">
            <v>A</v>
          </cell>
          <cell r="G1212" t="str">
            <v>GREEN</v>
          </cell>
          <cell r="H1212" t="str">
            <v>FULL_TIME</v>
          </cell>
          <cell r="I1212">
            <v>900234</v>
          </cell>
          <cell r="J1212" t="str">
            <v>EFS Facilities Services</v>
          </cell>
          <cell r="K1212" t="str">
            <v>MARIAM KAGOYA NAMUDIRA</v>
          </cell>
          <cell r="L1212" t="str">
            <v>Warehouse Associate (TEMP)</v>
          </cell>
          <cell r="M1212" t="str">
            <v>Warehouse Associate 8W</v>
          </cell>
          <cell r="N1212" t="str">
            <v>nelstche</v>
          </cell>
          <cell r="O1212">
            <v>1299</v>
          </cell>
          <cell r="P1212" t="str">
            <v>AUH3</v>
          </cell>
          <cell r="Q1212" t="str">
            <v>ARE</v>
          </cell>
          <cell r="R1212" t="str">
            <v>FC034</v>
          </cell>
          <cell r="S1212" t="str">
            <v>Day Shift</v>
          </cell>
          <cell r="T1212">
            <v>99</v>
          </cell>
          <cell r="U1212" t="str">
            <v>MENA_UAE_FC</v>
          </cell>
          <cell r="X1212">
            <v>46257.333333333336</v>
          </cell>
          <cell r="Y1212">
            <v>46257.75</v>
          </cell>
          <cell r="Z1212" t="str">
            <v>Rest Day</v>
          </cell>
          <cell r="AA1212" t="str">
            <v>Not Scheduled</v>
          </cell>
          <cell r="AB1212" t="str">
            <v>Not Present</v>
          </cell>
          <cell r="AC1212" t="str">
            <v>Warehouse deals</v>
          </cell>
          <cell r="AD1212" t="str">
            <v>Warehouse Deals</v>
          </cell>
          <cell r="AE1212" t="str">
            <v>Warehouse deals</v>
          </cell>
          <cell r="AF1212" t="str">
            <v>Saturday</v>
          </cell>
          <cell r="AG1212" t="str">
            <v>Sunday</v>
          </cell>
          <cell r="AH1212">
            <v>32</v>
          </cell>
          <cell r="AJ1212">
            <v>46047</v>
          </cell>
          <cell r="AM1212" t="str">
            <v>TEMP</v>
          </cell>
          <cell r="AN1212" t="str">
            <v>3P Onsite Worker</v>
          </cell>
          <cell r="AO1212" t="str">
            <v>A</v>
          </cell>
          <cell r="AP1212">
            <v>9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</row>
        <row r="1213">
          <cell r="D1213" t="str">
            <v>nclearan</v>
          </cell>
          <cell r="E1213">
            <v>103640429</v>
          </cell>
          <cell r="F1213" t="str">
            <v>A</v>
          </cell>
          <cell r="G1213" t="str">
            <v>BLUE</v>
          </cell>
          <cell r="H1213" t="str">
            <v>FULL_TIME</v>
          </cell>
          <cell r="I1213" t="str">
            <v>P03251</v>
          </cell>
          <cell r="K1213" t="str">
            <v>Clarence Forbit</v>
          </cell>
          <cell r="L1213" t="str">
            <v>FC Associate I</v>
          </cell>
          <cell r="M1213" t="str">
            <v>FC Associate I</v>
          </cell>
          <cell r="N1213" t="str">
            <v>gylrdg</v>
          </cell>
          <cell r="O1213">
            <v>1182</v>
          </cell>
          <cell r="P1213" t="str">
            <v>AUH3</v>
          </cell>
          <cell r="Q1213" t="str">
            <v>ARE</v>
          </cell>
          <cell r="R1213" t="str">
            <v>LK011</v>
          </cell>
          <cell r="S1213" t="str">
            <v>Night Shift</v>
          </cell>
          <cell r="T1213">
            <v>1</v>
          </cell>
          <cell r="U1213" t="str">
            <v>MENA_UAE_FC</v>
          </cell>
          <cell r="V1213">
            <v>46257.754166666666</v>
          </cell>
          <cell r="X1213">
            <v>46257.756944444445</v>
          </cell>
          <cell r="Y1213">
            <v>46258.173611111109</v>
          </cell>
          <cell r="AA1213" t="str">
            <v>Scheduled</v>
          </cell>
          <cell r="AB1213" t="str">
            <v>Present</v>
          </cell>
          <cell r="AC1213" t="str">
            <v>Warehouse deals</v>
          </cell>
          <cell r="AD1213" t="str">
            <v>Warehouse Deals</v>
          </cell>
          <cell r="AE1213" t="str">
            <v>Warehouse deals</v>
          </cell>
          <cell r="AF1213" t="str">
            <v>Friday</v>
          </cell>
          <cell r="AG1213" t="str">
            <v>Saturday</v>
          </cell>
          <cell r="AH1213">
            <v>32</v>
          </cell>
          <cell r="AJ1213">
            <v>44723</v>
          </cell>
          <cell r="AM1213" t="str">
            <v>FC</v>
          </cell>
          <cell r="AN1213" t="str">
            <v>Regular Full Time</v>
          </cell>
          <cell r="AO1213" t="str">
            <v>A</v>
          </cell>
          <cell r="AP1213">
            <v>9</v>
          </cell>
          <cell r="AQ1213">
            <v>0</v>
          </cell>
          <cell r="AR1213">
            <v>1</v>
          </cell>
          <cell r="AS1213">
            <v>1</v>
          </cell>
          <cell r="AT1213">
            <v>0</v>
          </cell>
          <cell r="AU1213">
            <v>0</v>
          </cell>
        </row>
        <row r="1214">
          <cell r="D1214" t="str">
            <v>nestherm</v>
          </cell>
          <cell r="E1214">
            <v>206368539</v>
          </cell>
          <cell r="F1214" t="str">
            <v>A</v>
          </cell>
          <cell r="G1214" t="str">
            <v>GREEN</v>
          </cell>
          <cell r="H1214" t="str">
            <v>FULL_TIME</v>
          </cell>
          <cell r="I1214">
            <v>900234</v>
          </cell>
          <cell r="J1214" t="str">
            <v>EFS Facilities Services</v>
          </cell>
          <cell r="K1214" t="str">
            <v>ESTHER MUMBE NZOMO</v>
          </cell>
          <cell r="L1214" t="str">
            <v>Warehouse Associate (TEMP)</v>
          </cell>
          <cell r="M1214" t="str">
            <v>Warehouse Associate 8W</v>
          </cell>
          <cell r="N1214" t="str">
            <v>gylrdg</v>
          </cell>
          <cell r="O1214">
            <v>1181</v>
          </cell>
          <cell r="P1214" t="str">
            <v>AUH3</v>
          </cell>
          <cell r="Q1214" t="str">
            <v>ARE</v>
          </cell>
          <cell r="R1214" t="str">
            <v>LK012</v>
          </cell>
          <cell r="S1214" t="str">
            <v>Night Shift</v>
          </cell>
          <cell r="T1214">
            <v>99</v>
          </cell>
          <cell r="U1214" t="str">
            <v>MENA_UAE_FC</v>
          </cell>
          <cell r="X1214">
            <v>46257.756944444445</v>
          </cell>
          <cell r="Y1214">
            <v>46258.173611111109</v>
          </cell>
          <cell r="Z1214" t="str">
            <v>Rest Day</v>
          </cell>
          <cell r="AA1214" t="str">
            <v>Not Scheduled</v>
          </cell>
          <cell r="AB1214" t="str">
            <v>Not Present</v>
          </cell>
          <cell r="AC1214" t="str">
            <v>Warehouse deals</v>
          </cell>
          <cell r="AD1214" t="str">
            <v>Warehouse Deals</v>
          </cell>
          <cell r="AE1214" t="str">
            <v>Warehouse deals</v>
          </cell>
          <cell r="AF1214" t="str">
            <v>Saturday</v>
          </cell>
          <cell r="AG1214" t="str">
            <v>Sunday</v>
          </cell>
          <cell r="AH1214">
            <v>32</v>
          </cell>
          <cell r="AJ1214">
            <v>45956</v>
          </cell>
          <cell r="AM1214" t="str">
            <v>TEMP</v>
          </cell>
          <cell r="AN1214" t="str">
            <v>3P Onsite Worker</v>
          </cell>
          <cell r="AO1214" t="str">
            <v>A</v>
          </cell>
          <cell r="AP1214">
            <v>9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</row>
        <row r="1215">
          <cell r="D1215" t="str">
            <v>nichasii</v>
          </cell>
          <cell r="E1215">
            <v>205845547</v>
          </cell>
          <cell r="F1215" t="str">
            <v>A</v>
          </cell>
          <cell r="G1215" t="str">
            <v>GREEN</v>
          </cell>
          <cell r="H1215" t="str">
            <v>FULL_TIME</v>
          </cell>
          <cell r="I1215">
            <v>900234</v>
          </cell>
          <cell r="J1215" t="str">
            <v>Dulsco L.L.C.</v>
          </cell>
          <cell r="K1215" t="str">
            <v>NICHOLAS ASIIMWE</v>
          </cell>
          <cell r="L1215" t="str">
            <v>Warehouse Associate (TEMP)</v>
          </cell>
          <cell r="M1215" t="str">
            <v>Warehouse Associate 8W</v>
          </cell>
          <cell r="N1215" t="str">
            <v>gylrdg</v>
          </cell>
          <cell r="O1215">
            <v>1181</v>
          </cell>
          <cell r="P1215" t="str">
            <v>AUH3</v>
          </cell>
          <cell r="Q1215" t="str">
            <v>ARE</v>
          </cell>
          <cell r="R1215" t="str">
            <v>LK015</v>
          </cell>
          <cell r="S1215" t="str">
            <v>Night Shift</v>
          </cell>
          <cell r="T1215">
            <v>99</v>
          </cell>
          <cell r="U1215" t="str">
            <v>MENA_UAE_FC</v>
          </cell>
          <cell r="V1215">
            <v>46257.755555555559</v>
          </cell>
          <cell r="X1215">
            <v>46257.756944444445</v>
          </cell>
          <cell r="Y1215">
            <v>46258.173611111109</v>
          </cell>
          <cell r="AA1215" t="str">
            <v>Scheduled</v>
          </cell>
          <cell r="AB1215" t="str">
            <v>Present</v>
          </cell>
          <cell r="AC1215" t="str">
            <v>Warehouse deals</v>
          </cell>
          <cell r="AD1215" t="str">
            <v>Warehouse Deals</v>
          </cell>
          <cell r="AE1215" t="str">
            <v>Warehouse deals</v>
          </cell>
          <cell r="AF1215" t="str">
            <v>Tuesday</v>
          </cell>
          <cell r="AG1215" t="str">
            <v>Wednesday</v>
          </cell>
          <cell r="AH1215">
            <v>32</v>
          </cell>
          <cell r="AJ1215">
            <v>45893</v>
          </cell>
          <cell r="AM1215" t="str">
            <v>TEMP</v>
          </cell>
          <cell r="AN1215" t="str">
            <v>3P Onsite Worker</v>
          </cell>
          <cell r="AO1215" t="str">
            <v>A</v>
          </cell>
          <cell r="AP1215">
            <v>9</v>
          </cell>
          <cell r="AQ1215">
            <v>0</v>
          </cell>
          <cell r="AR1215">
            <v>1</v>
          </cell>
          <cell r="AS1215">
            <v>1</v>
          </cell>
          <cell r="AT1215">
            <v>0</v>
          </cell>
          <cell r="AU1215">
            <v>0</v>
          </cell>
        </row>
        <row r="1216">
          <cell r="D1216" t="str">
            <v>nkrumaai</v>
          </cell>
          <cell r="E1216">
            <v>204319797</v>
          </cell>
          <cell r="F1216" t="str">
            <v>A</v>
          </cell>
          <cell r="G1216" t="str">
            <v>GREEN</v>
          </cell>
          <cell r="H1216" t="str">
            <v>FULL_TIME</v>
          </cell>
          <cell r="I1216">
            <v>900234</v>
          </cell>
          <cell r="J1216" t="str">
            <v>Quesscorp</v>
          </cell>
          <cell r="K1216" t="str">
            <v>Alex Nkrumah</v>
          </cell>
          <cell r="L1216" t="str">
            <v>Warehouse Associate (TEMP)</v>
          </cell>
          <cell r="M1216" t="str">
            <v>Warehouse Associate 24M</v>
          </cell>
          <cell r="N1216" t="str">
            <v>abbaszoo</v>
          </cell>
          <cell r="O1216">
            <v>1299</v>
          </cell>
          <cell r="P1216" t="str">
            <v>AUH3</v>
          </cell>
          <cell r="Q1216" t="str">
            <v>ARE</v>
          </cell>
          <cell r="R1216" t="str">
            <v>FC109</v>
          </cell>
          <cell r="S1216" t="str">
            <v>Day Shift</v>
          </cell>
          <cell r="T1216">
            <v>99</v>
          </cell>
          <cell r="U1216" t="str">
            <v>MENA_UAE_FC</v>
          </cell>
          <cell r="V1216">
            <v>46257.333333333336</v>
          </cell>
          <cell r="W1216">
            <v>46257.749305555553</v>
          </cell>
          <cell r="X1216">
            <v>46257.333333333336</v>
          </cell>
          <cell r="Y1216">
            <v>46257.75</v>
          </cell>
          <cell r="AA1216" t="str">
            <v>Scheduled</v>
          </cell>
          <cell r="AB1216" t="str">
            <v>Present</v>
          </cell>
          <cell r="AC1216" t="str">
            <v>Warehouse deals</v>
          </cell>
          <cell r="AD1216" t="str">
            <v>Warehouse Deals</v>
          </cell>
          <cell r="AE1216" t="str">
            <v>Warehouse deals</v>
          </cell>
          <cell r="AF1216" t="str">
            <v>Tuesday</v>
          </cell>
          <cell r="AG1216" t="str">
            <v>Wednesday</v>
          </cell>
          <cell r="AH1216">
            <v>32</v>
          </cell>
          <cell r="AJ1216">
            <v>45588</v>
          </cell>
          <cell r="AM1216" t="str">
            <v>TEMP</v>
          </cell>
          <cell r="AN1216" t="str">
            <v>3P Onsite Worker</v>
          </cell>
          <cell r="AO1216" t="str">
            <v>A</v>
          </cell>
          <cell r="AP1216">
            <v>9</v>
          </cell>
          <cell r="AQ1216">
            <v>0</v>
          </cell>
          <cell r="AR1216">
            <v>1</v>
          </cell>
          <cell r="AS1216">
            <v>1</v>
          </cell>
          <cell r="AT1216">
            <v>0</v>
          </cell>
          <cell r="AU1216">
            <v>0</v>
          </cell>
        </row>
        <row r="1217">
          <cell r="D1217" t="str">
            <v>nuhpiddr</v>
          </cell>
          <cell r="E1217">
            <v>205275960</v>
          </cell>
          <cell r="F1217" t="str">
            <v>A</v>
          </cell>
          <cell r="G1217" t="str">
            <v>GREEN</v>
          </cell>
          <cell r="H1217" t="str">
            <v>FULL_TIME</v>
          </cell>
          <cell r="I1217">
            <v>900234</v>
          </cell>
          <cell r="J1217" t="str">
            <v>Dulsco L.L.C.</v>
          </cell>
          <cell r="K1217" t="str">
            <v>IDDRISU NUHU</v>
          </cell>
          <cell r="L1217" t="str">
            <v>Warehouse Associate (TEMP)</v>
          </cell>
          <cell r="M1217" t="str">
            <v>Warehouse Associate 8W</v>
          </cell>
          <cell r="N1217" t="str">
            <v>nelstche</v>
          </cell>
          <cell r="O1217">
            <v>1181</v>
          </cell>
          <cell r="P1217" t="str">
            <v>AUH3</v>
          </cell>
          <cell r="Q1217" t="str">
            <v>ARE</v>
          </cell>
          <cell r="R1217" t="str">
            <v>FC084</v>
          </cell>
          <cell r="S1217" t="str">
            <v>Day Shift</v>
          </cell>
          <cell r="T1217">
            <v>99</v>
          </cell>
          <cell r="U1217" t="str">
            <v>MENA_UAE_FC</v>
          </cell>
          <cell r="V1217">
            <v>46257.330555555556</v>
          </cell>
          <cell r="W1217">
            <v>46257.74722222222</v>
          </cell>
          <cell r="X1217">
            <v>46257.333333333336</v>
          </cell>
          <cell r="Y1217">
            <v>46257.75</v>
          </cell>
          <cell r="AA1217" t="str">
            <v>Scheduled</v>
          </cell>
          <cell r="AB1217" t="str">
            <v>Present</v>
          </cell>
          <cell r="AC1217" t="str">
            <v>Warehouse deals</v>
          </cell>
          <cell r="AD1217" t="str">
            <v>Warehouse Deals</v>
          </cell>
          <cell r="AE1217" t="str">
            <v>Warehouse deals</v>
          </cell>
          <cell r="AF1217" t="str">
            <v>Monday</v>
          </cell>
          <cell r="AG1217" t="str">
            <v>Tuesday</v>
          </cell>
          <cell r="AH1217">
            <v>32</v>
          </cell>
          <cell r="AJ1217">
            <v>45795</v>
          </cell>
          <cell r="AM1217" t="str">
            <v>TEMP</v>
          </cell>
          <cell r="AN1217" t="str">
            <v>3P Onsite Worker</v>
          </cell>
          <cell r="AO1217" t="str">
            <v>A</v>
          </cell>
          <cell r="AP1217">
            <v>9</v>
          </cell>
          <cell r="AQ1217">
            <v>0</v>
          </cell>
          <cell r="AR1217">
            <v>1</v>
          </cell>
          <cell r="AS1217">
            <v>1</v>
          </cell>
          <cell r="AT1217">
            <v>0</v>
          </cell>
          <cell r="AU1217">
            <v>0</v>
          </cell>
        </row>
        <row r="1218">
          <cell r="D1218" t="str">
            <v>oahabdi</v>
          </cell>
          <cell r="E1218">
            <v>206191961</v>
          </cell>
          <cell r="F1218" t="str">
            <v>A</v>
          </cell>
          <cell r="G1218" t="str">
            <v>GREEN</v>
          </cell>
          <cell r="H1218" t="str">
            <v>FULL_TIME</v>
          </cell>
          <cell r="I1218">
            <v>900234</v>
          </cell>
          <cell r="J1218" t="str">
            <v>EFS Facilities Services</v>
          </cell>
          <cell r="K1218" t="str">
            <v>AHMED RASHID ABDI</v>
          </cell>
          <cell r="L1218" t="str">
            <v>Warehouse Associate (TEMP)</v>
          </cell>
          <cell r="M1218" t="str">
            <v>Warehouse Associate 8W</v>
          </cell>
          <cell r="N1218" t="str">
            <v>nelstche</v>
          </cell>
          <cell r="O1218">
            <v>1299</v>
          </cell>
          <cell r="P1218" t="str">
            <v>AUH3</v>
          </cell>
          <cell r="Q1218" t="str">
            <v>ARE</v>
          </cell>
          <cell r="R1218" t="str">
            <v>FC059</v>
          </cell>
          <cell r="S1218" t="str">
            <v>Day Shift</v>
          </cell>
          <cell r="T1218">
            <v>99</v>
          </cell>
          <cell r="U1218" t="str">
            <v>MENA_UAE_FC</v>
          </cell>
          <cell r="X1218">
            <v>46257.333333333336</v>
          </cell>
          <cell r="Y1218">
            <v>46257.75</v>
          </cell>
          <cell r="Z1218" t="str">
            <v>Rest Day</v>
          </cell>
          <cell r="AA1218" t="str">
            <v>Not Scheduled</v>
          </cell>
          <cell r="AB1218" t="str">
            <v>Not Present</v>
          </cell>
          <cell r="AC1218" t="str">
            <v>Warehouse deals</v>
          </cell>
          <cell r="AD1218" t="str">
            <v>Warehouse Deals</v>
          </cell>
          <cell r="AE1218" t="str">
            <v>Warehouse deals</v>
          </cell>
          <cell r="AF1218" t="str">
            <v>Sunday</v>
          </cell>
          <cell r="AG1218" t="str">
            <v>Monday</v>
          </cell>
          <cell r="AH1218">
            <v>32</v>
          </cell>
          <cell r="AJ1218">
            <v>45935</v>
          </cell>
          <cell r="AM1218" t="str">
            <v>TEMP</v>
          </cell>
          <cell r="AN1218" t="str">
            <v>3P Onsite Worker</v>
          </cell>
          <cell r="AO1218" t="str">
            <v>A</v>
          </cell>
          <cell r="AP1218">
            <v>9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</row>
        <row r="1219">
          <cell r="D1219" t="str">
            <v>ochanapa</v>
          </cell>
          <cell r="E1219">
            <v>205839953</v>
          </cell>
          <cell r="F1219" t="str">
            <v>A</v>
          </cell>
          <cell r="G1219" t="str">
            <v>GREEN</v>
          </cell>
          <cell r="H1219" t="str">
            <v>FULL_TIME</v>
          </cell>
          <cell r="I1219">
            <v>900234</v>
          </cell>
          <cell r="J1219" t="str">
            <v>Dulsco L.L.C.</v>
          </cell>
          <cell r="K1219" t="str">
            <v>PATRICK OCHANA</v>
          </cell>
          <cell r="L1219" t="str">
            <v>Warehouse Associate (TEMP)</v>
          </cell>
          <cell r="M1219" t="str">
            <v>Warehouse Associate 8W</v>
          </cell>
          <cell r="N1219" t="str">
            <v>gylrdg</v>
          </cell>
          <cell r="O1219">
            <v>1181</v>
          </cell>
          <cell r="P1219" t="str">
            <v>AUH3</v>
          </cell>
          <cell r="Q1219" t="str">
            <v>ARE</v>
          </cell>
          <cell r="R1219" t="str">
            <v>LK016</v>
          </cell>
          <cell r="S1219" t="str">
            <v>Night Shift</v>
          </cell>
          <cell r="T1219">
            <v>99</v>
          </cell>
          <cell r="U1219" t="str">
            <v>MENA_UAE_FC</v>
          </cell>
          <cell r="V1219">
            <v>46257.755555555559</v>
          </cell>
          <cell r="X1219">
            <v>46257.756944444445</v>
          </cell>
          <cell r="Y1219">
            <v>46258.173611111109</v>
          </cell>
          <cell r="AA1219" t="str">
            <v>Scheduled</v>
          </cell>
          <cell r="AB1219" t="str">
            <v>Present</v>
          </cell>
          <cell r="AC1219" t="str">
            <v>Warehouse deals</v>
          </cell>
          <cell r="AD1219" t="str">
            <v>Warehouse Deals</v>
          </cell>
          <cell r="AE1219" t="str">
            <v>Warehouse deals</v>
          </cell>
          <cell r="AF1219" t="str">
            <v>Wednesday</v>
          </cell>
          <cell r="AG1219" t="str">
            <v>Thursday</v>
          </cell>
          <cell r="AH1219">
            <v>32</v>
          </cell>
          <cell r="AJ1219">
            <v>45893</v>
          </cell>
          <cell r="AM1219" t="str">
            <v>TEMP</v>
          </cell>
          <cell r="AN1219" t="str">
            <v>3P Onsite Worker</v>
          </cell>
          <cell r="AO1219" t="str">
            <v>A</v>
          </cell>
          <cell r="AP1219">
            <v>9</v>
          </cell>
          <cell r="AQ1219">
            <v>0</v>
          </cell>
          <cell r="AR1219">
            <v>1</v>
          </cell>
          <cell r="AS1219">
            <v>1</v>
          </cell>
          <cell r="AT1219">
            <v>0</v>
          </cell>
          <cell r="AU1219">
            <v>0</v>
          </cell>
        </row>
        <row r="1220">
          <cell r="D1220" t="str">
            <v>ocshadra</v>
          </cell>
          <cell r="E1220">
            <v>203513498</v>
          </cell>
          <cell r="F1220" t="str">
            <v>A</v>
          </cell>
          <cell r="G1220" t="str">
            <v>GREEN</v>
          </cell>
          <cell r="H1220" t="str">
            <v>FULL_TIME</v>
          </cell>
          <cell r="I1220">
            <v>900234</v>
          </cell>
          <cell r="J1220" t="str">
            <v>Fastlink Outsourcing</v>
          </cell>
          <cell r="K1220" t="str">
            <v>Shadrack Otoo</v>
          </cell>
          <cell r="L1220" t="str">
            <v>Warehouse Associate (TEMP)</v>
          </cell>
          <cell r="M1220" t="str">
            <v>Warehouse Associate 12M</v>
          </cell>
          <cell r="N1220" t="str">
            <v>gylrdg</v>
          </cell>
          <cell r="O1220">
            <v>1181</v>
          </cell>
          <cell r="P1220" t="str">
            <v>AUH3</v>
          </cell>
          <cell r="Q1220" t="str">
            <v>ARE</v>
          </cell>
          <cell r="R1220" t="str">
            <v>LK015</v>
          </cell>
          <cell r="S1220" t="str">
            <v>Night Shift</v>
          </cell>
          <cell r="T1220">
            <v>99</v>
          </cell>
          <cell r="U1220" t="str">
            <v>MENA_UAE_FC</v>
          </cell>
          <cell r="V1220">
            <v>46257.756249999999</v>
          </cell>
          <cell r="X1220">
            <v>46257.756944444445</v>
          </cell>
          <cell r="Y1220">
            <v>46258.173611111109</v>
          </cell>
          <cell r="AA1220" t="str">
            <v>Scheduled</v>
          </cell>
          <cell r="AB1220" t="str">
            <v>Present</v>
          </cell>
          <cell r="AC1220" t="str">
            <v>Warehouse deals</v>
          </cell>
          <cell r="AD1220" t="str">
            <v>Warehouse Deals</v>
          </cell>
          <cell r="AE1220" t="str">
            <v>Warehouse deals</v>
          </cell>
          <cell r="AF1220" t="str">
            <v>Tuesday</v>
          </cell>
          <cell r="AG1220" t="str">
            <v>Wednesday</v>
          </cell>
          <cell r="AH1220">
            <v>32</v>
          </cell>
          <cell r="AJ1220">
            <v>45462</v>
          </cell>
          <cell r="AM1220" t="str">
            <v>TEMP</v>
          </cell>
          <cell r="AN1220" t="str">
            <v>3P Onsite Worker</v>
          </cell>
          <cell r="AO1220" t="str">
            <v>A</v>
          </cell>
          <cell r="AP1220">
            <v>9</v>
          </cell>
          <cell r="AQ1220">
            <v>0</v>
          </cell>
          <cell r="AR1220">
            <v>1</v>
          </cell>
          <cell r="AS1220">
            <v>1</v>
          </cell>
          <cell r="AT1220">
            <v>0</v>
          </cell>
          <cell r="AU1220">
            <v>0</v>
          </cell>
        </row>
        <row r="1221">
          <cell r="D1221" t="str">
            <v>onebarug</v>
          </cell>
          <cell r="E1221">
            <v>205845552</v>
          </cell>
          <cell r="F1221" t="str">
            <v>A</v>
          </cell>
          <cell r="G1221" t="str">
            <v>GREEN</v>
          </cell>
          <cell r="H1221" t="str">
            <v>FULL_TIME</v>
          </cell>
          <cell r="I1221">
            <v>900234</v>
          </cell>
          <cell r="J1221" t="str">
            <v>Dulsco L.L.C.</v>
          </cell>
          <cell r="K1221" t="str">
            <v>ONESMUS BARUGAHARE</v>
          </cell>
          <cell r="L1221" t="str">
            <v>Warehouse Associate (TEMP)</v>
          </cell>
          <cell r="M1221" t="str">
            <v>Warehouse Associate 8W</v>
          </cell>
          <cell r="N1221" t="str">
            <v>gylrdg</v>
          </cell>
          <cell r="O1221">
            <v>1181</v>
          </cell>
          <cell r="P1221" t="str">
            <v>AUH3</v>
          </cell>
          <cell r="Q1221" t="str">
            <v>ARE</v>
          </cell>
          <cell r="R1221" t="str">
            <v>FC559</v>
          </cell>
          <cell r="S1221" t="str">
            <v>Night Shift</v>
          </cell>
          <cell r="T1221">
            <v>99</v>
          </cell>
          <cell r="U1221" t="str">
            <v>MENA_UAE_FC</v>
          </cell>
          <cell r="X1221">
            <v>46257.756944444445</v>
          </cell>
          <cell r="Y1221">
            <v>46258.090277777781</v>
          </cell>
          <cell r="Z1221" t="str">
            <v>Rest Day</v>
          </cell>
          <cell r="AA1221" t="str">
            <v>Not Scheduled</v>
          </cell>
          <cell r="AB1221" t="str">
            <v>Not Present</v>
          </cell>
          <cell r="AC1221" t="str">
            <v>Warehouse deals</v>
          </cell>
          <cell r="AD1221" t="str">
            <v>Warehouse Deals</v>
          </cell>
          <cell r="AE1221" t="str">
            <v>Warehouse deals</v>
          </cell>
          <cell r="AF1221" t="str">
            <v>Saturday</v>
          </cell>
          <cell r="AG1221" t="str">
            <v>Sunday</v>
          </cell>
          <cell r="AH1221">
            <v>32</v>
          </cell>
          <cell r="AJ1221">
            <v>45893</v>
          </cell>
          <cell r="AM1221" t="str">
            <v>TEMP</v>
          </cell>
          <cell r="AN1221" t="str">
            <v>3P Onsite Worker</v>
          </cell>
          <cell r="AO1221" t="str">
            <v>A</v>
          </cell>
          <cell r="AP1221">
            <v>7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</row>
        <row r="1222">
          <cell r="D1222" t="str">
            <v>owusucle</v>
          </cell>
          <cell r="E1222">
            <v>205275768</v>
          </cell>
          <cell r="F1222" t="str">
            <v>A</v>
          </cell>
          <cell r="G1222" t="str">
            <v>GREEN</v>
          </cell>
          <cell r="H1222" t="str">
            <v>FULL_TIME</v>
          </cell>
          <cell r="I1222">
            <v>900234</v>
          </cell>
          <cell r="J1222" t="str">
            <v>Dulsco L.L.C.</v>
          </cell>
          <cell r="K1222" t="str">
            <v>CLEMENT OWUSU</v>
          </cell>
          <cell r="L1222" t="str">
            <v>Warehouse Associate (TEMP)</v>
          </cell>
          <cell r="M1222" t="str">
            <v>Warehouse Associate 8W</v>
          </cell>
          <cell r="N1222" t="str">
            <v>nelstche</v>
          </cell>
          <cell r="O1222">
            <v>1181</v>
          </cell>
          <cell r="P1222" t="str">
            <v>AUH3</v>
          </cell>
          <cell r="Q1222" t="str">
            <v>ARE</v>
          </cell>
          <cell r="R1222" t="str">
            <v>FC109</v>
          </cell>
          <cell r="S1222" t="str">
            <v>Day Shift</v>
          </cell>
          <cell r="T1222">
            <v>99</v>
          </cell>
          <cell r="U1222" t="str">
            <v>MENA_UAE_FC</v>
          </cell>
          <cell r="V1222">
            <v>46257.330555555556</v>
          </cell>
          <cell r="W1222">
            <v>46257.74722222222</v>
          </cell>
          <cell r="X1222">
            <v>46257.333333333336</v>
          </cell>
          <cell r="Y1222">
            <v>46257.75</v>
          </cell>
          <cell r="AA1222" t="str">
            <v>Scheduled</v>
          </cell>
          <cell r="AB1222" t="str">
            <v>Present</v>
          </cell>
          <cell r="AC1222" t="str">
            <v>Warehouse deals</v>
          </cell>
          <cell r="AD1222" t="str">
            <v>Warehouse Deals</v>
          </cell>
          <cell r="AE1222" t="str">
            <v>Warehouse deals</v>
          </cell>
          <cell r="AF1222" t="str">
            <v>Tuesday</v>
          </cell>
          <cell r="AG1222" t="str">
            <v>Wednesday</v>
          </cell>
          <cell r="AH1222">
            <v>32</v>
          </cell>
          <cell r="AJ1222">
            <v>45795</v>
          </cell>
          <cell r="AM1222" t="str">
            <v>TEMP</v>
          </cell>
          <cell r="AN1222" t="str">
            <v>3P Onsite Worker</v>
          </cell>
          <cell r="AO1222" t="str">
            <v>A</v>
          </cell>
          <cell r="AP1222">
            <v>9</v>
          </cell>
          <cell r="AQ1222">
            <v>0</v>
          </cell>
          <cell r="AR1222">
            <v>1</v>
          </cell>
          <cell r="AS1222">
            <v>1</v>
          </cell>
          <cell r="AT1222">
            <v>0</v>
          </cell>
          <cell r="AU1222">
            <v>0</v>
          </cell>
        </row>
        <row r="1223">
          <cell r="D1223" t="str">
            <v>patrisir</v>
          </cell>
          <cell r="E1223">
            <v>206958290</v>
          </cell>
          <cell r="F1223" t="str">
            <v>A</v>
          </cell>
          <cell r="G1223" t="str">
            <v>GREEN</v>
          </cell>
          <cell r="H1223" t="str">
            <v>FULL_TIME</v>
          </cell>
          <cell r="I1223">
            <v>900234</v>
          </cell>
          <cell r="J1223" t="str">
            <v>EFS Facilities Services</v>
          </cell>
          <cell r="K1223" t="str">
            <v>Patrick BARZILAI SIRGOI</v>
          </cell>
          <cell r="L1223" t="str">
            <v>Warehouse Associate (TEMP)</v>
          </cell>
          <cell r="M1223" t="str">
            <v>Warehouse Associate 8W</v>
          </cell>
          <cell r="N1223" t="str">
            <v>gylrdg</v>
          </cell>
          <cell r="O1223">
            <v>1181</v>
          </cell>
          <cell r="P1223" t="str">
            <v>AUH3</v>
          </cell>
          <cell r="Q1223" t="str">
            <v>ARE</v>
          </cell>
          <cell r="R1223" t="str">
            <v>LK015</v>
          </cell>
          <cell r="S1223" t="str">
            <v>Night Shift</v>
          </cell>
          <cell r="T1223">
            <v>99</v>
          </cell>
          <cell r="U1223" t="str">
            <v>MENA_UAE_FC</v>
          </cell>
          <cell r="V1223">
            <v>46257.755555555559</v>
          </cell>
          <cell r="X1223">
            <v>46257.756944444445</v>
          </cell>
          <cell r="Y1223">
            <v>46258.173611111109</v>
          </cell>
          <cell r="AA1223" t="str">
            <v>Scheduled</v>
          </cell>
          <cell r="AB1223" t="str">
            <v>Present</v>
          </cell>
          <cell r="AC1223" t="str">
            <v>Warehouse deals</v>
          </cell>
          <cell r="AD1223" t="str">
            <v>Warehouse Deals</v>
          </cell>
          <cell r="AE1223" t="str">
            <v>Warehouse deals</v>
          </cell>
          <cell r="AF1223" t="str">
            <v>Tuesday</v>
          </cell>
          <cell r="AG1223" t="str">
            <v>Wednesday</v>
          </cell>
          <cell r="AH1223">
            <v>32</v>
          </cell>
          <cell r="AJ1223">
            <v>46047</v>
          </cell>
          <cell r="AM1223" t="str">
            <v>TEMP</v>
          </cell>
          <cell r="AN1223" t="str">
            <v>3P Onsite Worker</v>
          </cell>
          <cell r="AO1223" t="str">
            <v>A</v>
          </cell>
          <cell r="AP1223">
            <v>9</v>
          </cell>
          <cell r="AQ1223">
            <v>0</v>
          </cell>
          <cell r="AR1223">
            <v>1</v>
          </cell>
          <cell r="AS1223">
            <v>1</v>
          </cell>
          <cell r="AT1223">
            <v>0</v>
          </cell>
          <cell r="AU1223">
            <v>0</v>
          </cell>
        </row>
        <row r="1224">
          <cell r="D1224" t="str">
            <v>powusuaa</v>
          </cell>
          <cell r="E1224">
            <v>203875185</v>
          </cell>
          <cell r="F1224" t="str">
            <v>A</v>
          </cell>
          <cell r="G1224" t="str">
            <v>GREEN</v>
          </cell>
          <cell r="H1224" t="str">
            <v>FULL_TIME</v>
          </cell>
          <cell r="I1224">
            <v>900234</v>
          </cell>
          <cell r="J1224" t="str">
            <v>Fastlink Outsourcing</v>
          </cell>
          <cell r="K1224" t="str">
            <v>Owusuaa Priscilla</v>
          </cell>
          <cell r="L1224" t="str">
            <v>Warehouse Associate (TEMP)</v>
          </cell>
          <cell r="M1224" t="str">
            <v>Warehouse Associate 12M</v>
          </cell>
          <cell r="N1224" t="str">
            <v>gylrdg</v>
          </cell>
          <cell r="O1224">
            <v>1181</v>
          </cell>
          <cell r="P1224" t="str">
            <v>DAD1</v>
          </cell>
          <cell r="Q1224" t="str">
            <v>ARE</v>
          </cell>
          <cell r="R1224" t="str">
            <v>FC552</v>
          </cell>
          <cell r="T1224">
            <v>99</v>
          </cell>
          <cell r="U1224" t="str">
            <v>MENA_UAE_AMZL</v>
          </cell>
          <cell r="V1224">
            <v>46257.755555555559</v>
          </cell>
          <cell r="X1224">
            <v>46257.756944444445</v>
          </cell>
          <cell r="Y1224">
            <v>46258.090277777781</v>
          </cell>
          <cell r="AA1224" t="str">
            <v>Scheduled</v>
          </cell>
          <cell r="AB1224" t="str">
            <v>Present</v>
          </cell>
          <cell r="AC1224" t="str">
            <v>Warehouse deals</v>
          </cell>
          <cell r="AD1224" t="str">
            <v>Warehouse Deals</v>
          </cell>
          <cell r="AE1224" t="str">
            <v>Warehouse deals</v>
          </cell>
          <cell r="AH1224">
            <v>32</v>
          </cell>
          <cell r="AJ1224">
            <v>45529</v>
          </cell>
          <cell r="AM1224" t="str">
            <v>TEMP</v>
          </cell>
          <cell r="AN1224" t="str">
            <v>3P Onsite Worker</v>
          </cell>
          <cell r="AO1224" t="str">
            <v>A</v>
          </cell>
          <cell r="AP1224">
            <v>7</v>
          </cell>
          <cell r="AQ1224">
            <v>0</v>
          </cell>
          <cell r="AR1224">
            <v>1</v>
          </cell>
          <cell r="AS1224">
            <v>1</v>
          </cell>
          <cell r="AT1224">
            <v>0</v>
          </cell>
          <cell r="AU1224">
            <v>0</v>
          </cell>
        </row>
        <row r="1225">
          <cell r="D1225" t="str">
            <v>priokyer</v>
          </cell>
          <cell r="E1225">
            <v>204137712</v>
          </cell>
          <cell r="F1225" t="str">
            <v>A</v>
          </cell>
          <cell r="G1225" t="str">
            <v>GREEN</v>
          </cell>
          <cell r="H1225" t="str">
            <v>FULL_TIME</v>
          </cell>
          <cell r="I1225">
            <v>900234</v>
          </cell>
          <cell r="J1225" t="str">
            <v>Quesscorp</v>
          </cell>
          <cell r="K1225" t="str">
            <v>Priscilla Aboagyewaa Okyere</v>
          </cell>
          <cell r="L1225" t="str">
            <v>Warehouse Associate (TEMP)</v>
          </cell>
          <cell r="M1225" t="str">
            <v>Warehouse Associate 24M</v>
          </cell>
          <cell r="N1225" t="str">
            <v>nelstche</v>
          </cell>
          <cell r="O1225">
            <v>1181</v>
          </cell>
          <cell r="P1225" t="str">
            <v>AUH3</v>
          </cell>
          <cell r="Q1225" t="str">
            <v>ARE</v>
          </cell>
          <cell r="R1225" t="str">
            <v>FC134</v>
          </cell>
          <cell r="S1225" t="str">
            <v>Day Shift</v>
          </cell>
          <cell r="T1225">
            <v>99</v>
          </cell>
          <cell r="U1225" t="str">
            <v>MENA_UAE_FC</v>
          </cell>
          <cell r="V1225">
            <v>46257.330555555556</v>
          </cell>
          <cell r="W1225">
            <v>46257.74722222222</v>
          </cell>
          <cell r="X1225">
            <v>46257.333333333336</v>
          </cell>
          <cell r="Y1225">
            <v>46257.75</v>
          </cell>
          <cell r="AA1225" t="str">
            <v>Scheduled</v>
          </cell>
          <cell r="AB1225" t="str">
            <v>Present</v>
          </cell>
          <cell r="AC1225" t="str">
            <v>Warehouse deals</v>
          </cell>
          <cell r="AD1225" t="str">
            <v>Warehouse Deals</v>
          </cell>
          <cell r="AE1225" t="str">
            <v>Warehouse deals</v>
          </cell>
          <cell r="AF1225" t="str">
            <v>Wednesday</v>
          </cell>
          <cell r="AG1225" t="str">
            <v>Thursday</v>
          </cell>
          <cell r="AH1225">
            <v>32</v>
          </cell>
          <cell r="AJ1225">
            <v>45564</v>
          </cell>
          <cell r="AM1225" t="str">
            <v>TEMP</v>
          </cell>
          <cell r="AN1225" t="str">
            <v>3P Onsite Worker</v>
          </cell>
          <cell r="AO1225" t="str">
            <v>A</v>
          </cell>
          <cell r="AP1225">
            <v>9</v>
          </cell>
          <cell r="AQ1225">
            <v>0</v>
          </cell>
          <cell r="AR1225">
            <v>1</v>
          </cell>
          <cell r="AS1225">
            <v>1</v>
          </cell>
          <cell r="AT1225">
            <v>0</v>
          </cell>
          <cell r="AU1225">
            <v>0</v>
          </cell>
        </row>
        <row r="1226">
          <cell r="D1226" t="str">
            <v>raskkalu</v>
          </cell>
          <cell r="E1226">
            <v>206348045</v>
          </cell>
          <cell r="F1226" t="str">
            <v>A</v>
          </cell>
          <cell r="G1226" t="str">
            <v>GREEN</v>
          </cell>
          <cell r="H1226" t="str">
            <v>FULL_TIME</v>
          </cell>
          <cell r="I1226">
            <v>900234</v>
          </cell>
          <cell r="J1226" t="str">
            <v>Dulsco L.L.C.</v>
          </cell>
          <cell r="K1226" t="str">
            <v>KALULE RASHID</v>
          </cell>
          <cell r="L1226" t="str">
            <v>Warehouse Associate (TEMP)</v>
          </cell>
          <cell r="M1226" t="str">
            <v>Warehouse Associate 8W</v>
          </cell>
          <cell r="N1226" t="str">
            <v>nelstche</v>
          </cell>
          <cell r="O1226">
            <v>1181</v>
          </cell>
          <cell r="P1226" t="str">
            <v>AUH3</v>
          </cell>
          <cell r="Q1226" t="str">
            <v>ARE</v>
          </cell>
          <cell r="R1226" t="str">
            <v>FC566</v>
          </cell>
          <cell r="T1226">
            <v>99</v>
          </cell>
          <cell r="U1226" t="str">
            <v>MENA_UAE_FC</v>
          </cell>
          <cell r="V1226">
            <v>46257.330555555556</v>
          </cell>
          <cell r="W1226">
            <v>46257.621527777781</v>
          </cell>
          <cell r="X1226">
            <v>46257.333333333336</v>
          </cell>
          <cell r="Y1226">
            <v>46257.75</v>
          </cell>
          <cell r="AA1226" t="str">
            <v>Scheduled</v>
          </cell>
          <cell r="AB1226" t="str">
            <v>Present</v>
          </cell>
          <cell r="AC1226" t="str">
            <v>Warehouse deals</v>
          </cell>
          <cell r="AD1226" t="str">
            <v>Warehouse Deals</v>
          </cell>
          <cell r="AE1226" t="str">
            <v>Warehouse deals</v>
          </cell>
          <cell r="AH1226">
            <v>32</v>
          </cell>
          <cell r="AJ1226">
            <v>45956</v>
          </cell>
          <cell r="AM1226" t="str">
            <v>TEMP</v>
          </cell>
          <cell r="AN1226" t="str">
            <v>3P Onsite Worker</v>
          </cell>
          <cell r="AO1226" t="str">
            <v>A</v>
          </cell>
          <cell r="AP1226">
            <v>9</v>
          </cell>
          <cell r="AQ1226">
            <v>0</v>
          </cell>
          <cell r="AR1226">
            <v>1</v>
          </cell>
          <cell r="AS1226">
            <v>1</v>
          </cell>
          <cell r="AT1226">
            <v>0</v>
          </cell>
          <cell r="AU1226">
            <v>0</v>
          </cell>
        </row>
        <row r="1227">
          <cell r="D1227" t="str">
            <v>rggeroni</v>
          </cell>
          <cell r="E1227">
            <v>102205690</v>
          </cell>
          <cell r="F1227" t="str">
            <v>A</v>
          </cell>
          <cell r="G1227" t="str">
            <v>BLUE</v>
          </cell>
          <cell r="H1227" t="str">
            <v>FULL_TIME</v>
          </cell>
          <cell r="I1227" t="str">
            <v>P03251</v>
          </cell>
          <cell r="K1227" t="str">
            <v>Roland Geronimo</v>
          </cell>
          <cell r="L1227" t="str">
            <v>FC Associate I</v>
          </cell>
          <cell r="M1227" t="str">
            <v>Logistics Assistant</v>
          </cell>
          <cell r="N1227" t="str">
            <v>gylrdg</v>
          </cell>
          <cell r="O1227">
            <v>1182</v>
          </cell>
          <cell r="P1227" t="str">
            <v>AUH3</v>
          </cell>
          <cell r="Q1227" t="str">
            <v>ARE</v>
          </cell>
          <cell r="R1227" t="str">
            <v>LK014</v>
          </cell>
          <cell r="S1227" t="str">
            <v>Night Shift</v>
          </cell>
          <cell r="T1227">
            <v>1</v>
          </cell>
          <cell r="U1227" t="str">
            <v>MENA_UAE_FC</v>
          </cell>
          <cell r="V1227">
            <v>46257.754861111112</v>
          </cell>
          <cell r="X1227">
            <v>46257.756944444445</v>
          </cell>
          <cell r="Y1227">
            <v>46258.173611111109</v>
          </cell>
          <cell r="AA1227" t="str">
            <v>Scheduled</v>
          </cell>
          <cell r="AB1227" t="str">
            <v>Present</v>
          </cell>
          <cell r="AC1227" t="str">
            <v>Warehouse deals</v>
          </cell>
          <cell r="AD1227" t="str">
            <v>Warehouse Deals</v>
          </cell>
          <cell r="AE1227" t="str">
            <v>Warehouse deals</v>
          </cell>
          <cell r="AF1227" t="str">
            <v>Monday</v>
          </cell>
          <cell r="AG1227" t="str">
            <v>Tuesday</v>
          </cell>
          <cell r="AH1227">
            <v>32</v>
          </cell>
          <cell r="AJ1227">
            <v>42867</v>
          </cell>
          <cell r="AM1227" t="str">
            <v>FC</v>
          </cell>
          <cell r="AN1227" t="str">
            <v>Regular Full Time</v>
          </cell>
          <cell r="AO1227" t="str">
            <v>A</v>
          </cell>
          <cell r="AP1227">
            <v>9</v>
          </cell>
          <cell r="AQ1227">
            <v>0</v>
          </cell>
          <cell r="AR1227">
            <v>1</v>
          </cell>
          <cell r="AS1227">
            <v>1</v>
          </cell>
          <cell r="AT1227">
            <v>0</v>
          </cell>
          <cell r="AU1227">
            <v>0</v>
          </cell>
        </row>
        <row r="1228">
          <cell r="D1228" t="str">
            <v>rikoe</v>
          </cell>
          <cell r="E1228">
            <v>102582357</v>
          </cell>
          <cell r="F1228" t="str">
            <v>A</v>
          </cell>
          <cell r="G1228" t="str">
            <v>BLUE</v>
          </cell>
          <cell r="H1228" t="str">
            <v>FULL_TIME</v>
          </cell>
          <cell r="I1228" t="str">
            <v>P03231</v>
          </cell>
          <cell r="K1228" t="str">
            <v>Rudolf Ikoe Itoe</v>
          </cell>
          <cell r="L1228" t="str">
            <v>FC Associate III</v>
          </cell>
          <cell r="M1228" t="str">
            <v>Operations Supervisor</v>
          </cell>
          <cell r="N1228" t="str">
            <v>gylrdg</v>
          </cell>
          <cell r="O1228">
            <v>1299</v>
          </cell>
          <cell r="P1228" t="str">
            <v>AUH3</v>
          </cell>
          <cell r="Q1228" t="str">
            <v>ARE</v>
          </cell>
          <cell r="R1228" t="str">
            <v>LK017</v>
          </cell>
          <cell r="S1228" t="str">
            <v>Night Shift</v>
          </cell>
          <cell r="T1228">
            <v>3</v>
          </cell>
          <cell r="U1228" t="str">
            <v>MENA_UAE_FC</v>
          </cell>
          <cell r="V1228">
            <v>46257.742361111108</v>
          </cell>
          <cell r="X1228">
            <v>46257.756944444445</v>
          </cell>
          <cell r="Y1228">
            <v>46258.173611111109</v>
          </cell>
          <cell r="AA1228" t="str">
            <v>Scheduled</v>
          </cell>
          <cell r="AB1228" t="str">
            <v>Present</v>
          </cell>
          <cell r="AC1228" t="str">
            <v>Warehouse deals</v>
          </cell>
          <cell r="AD1228" t="str">
            <v>Warehouse Deals</v>
          </cell>
          <cell r="AE1228" t="str">
            <v>Warehouse deals</v>
          </cell>
          <cell r="AF1228" t="str">
            <v>Thursday</v>
          </cell>
          <cell r="AG1228" t="str">
            <v>Friday</v>
          </cell>
          <cell r="AH1228">
            <v>32</v>
          </cell>
          <cell r="AJ1228">
            <v>42961</v>
          </cell>
          <cell r="AM1228" t="str">
            <v>FC</v>
          </cell>
          <cell r="AN1228" t="str">
            <v>Regular Full Time</v>
          </cell>
          <cell r="AO1228" t="str">
            <v>A</v>
          </cell>
          <cell r="AP1228">
            <v>9</v>
          </cell>
          <cell r="AQ1228">
            <v>0</v>
          </cell>
          <cell r="AR1228">
            <v>1</v>
          </cell>
          <cell r="AS1228">
            <v>1</v>
          </cell>
          <cell r="AT1228">
            <v>0</v>
          </cell>
          <cell r="AU1228">
            <v>0</v>
          </cell>
        </row>
        <row r="1229">
          <cell r="D1229" t="str">
            <v>romemetu</v>
          </cell>
          <cell r="E1229">
            <v>202444409</v>
          </cell>
          <cell r="F1229" t="str">
            <v>A</v>
          </cell>
          <cell r="G1229" t="str">
            <v>GREEN</v>
          </cell>
          <cell r="H1229" t="str">
            <v>FULL_TIME</v>
          </cell>
          <cell r="I1229">
            <v>900234</v>
          </cell>
          <cell r="J1229" t="str">
            <v>Quesscorp</v>
          </cell>
          <cell r="K1229" t="str">
            <v>Romeo Mesape Metuge</v>
          </cell>
          <cell r="L1229" t="str">
            <v>Warehouse Associate (TEMP)</v>
          </cell>
          <cell r="M1229" t="str">
            <v>Warehouse Associate 24M</v>
          </cell>
          <cell r="N1229" t="str">
            <v>nnahla</v>
          </cell>
          <cell r="O1229">
            <v>1299</v>
          </cell>
          <cell r="P1229" t="str">
            <v>AUH3</v>
          </cell>
          <cell r="Q1229" t="str">
            <v>ARE</v>
          </cell>
          <cell r="R1229" t="str">
            <v>LK013</v>
          </cell>
          <cell r="S1229" t="str">
            <v>Night Shift</v>
          </cell>
          <cell r="T1229">
            <v>99</v>
          </cell>
          <cell r="U1229" t="str">
            <v>MENA_UAE_FC</v>
          </cell>
          <cell r="X1229">
            <v>46257.756944444445</v>
          </cell>
          <cell r="Y1229">
            <v>46258.173611111109</v>
          </cell>
          <cell r="Z1229" t="str">
            <v>Rest Day</v>
          </cell>
          <cell r="AA1229" t="str">
            <v>Not Scheduled</v>
          </cell>
          <cell r="AB1229" t="str">
            <v>Not Present</v>
          </cell>
          <cell r="AC1229" t="str">
            <v>Warehouse deals</v>
          </cell>
          <cell r="AD1229" t="str">
            <v>Warehouse Deals</v>
          </cell>
          <cell r="AE1229" t="str">
            <v>Warehouse deals</v>
          </cell>
          <cell r="AF1229" t="str">
            <v>Sunday</v>
          </cell>
          <cell r="AG1229" t="str">
            <v>Monday</v>
          </cell>
          <cell r="AH1229">
            <v>32</v>
          </cell>
          <cell r="AJ1229">
            <v>45578</v>
          </cell>
          <cell r="AM1229" t="str">
            <v>TEMP</v>
          </cell>
          <cell r="AN1229" t="str">
            <v>3P Onsite Worker</v>
          </cell>
          <cell r="AO1229" t="str">
            <v>A</v>
          </cell>
          <cell r="AP1229">
            <v>9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</row>
        <row r="1230">
          <cell r="D1230" t="str">
            <v>sabenjau</v>
          </cell>
          <cell r="E1230">
            <v>206348052</v>
          </cell>
          <cell r="F1230" t="str">
            <v>A</v>
          </cell>
          <cell r="G1230" t="str">
            <v>GREEN</v>
          </cell>
          <cell r="H1230" t="str">
            <v>FULL_TIME</v>
          </cell>
          <cell r="I1230">
            <v>900234</v>
          </cell>
          <cell r="J1230" t="str">
            <v>Dulsco L.L.C.</v>
          </cell>
          <cell r="K1230" t="str">
            <v>SANDE BENJAMIN</v>
          </cell>
          <cell r="L1230" t="str">
            <v>Warehouse Associate (TEMP)</v>
          </cell>
          <cell r="M1230" t="str">
            <v>Warehouse Associate 8W</v>
          </cell>
          <cell r="N1230" t="str">
            <v>nelstche</v>
          </cell>
          <cell r="O1230">
            <v>1181</v>
          </cell>
          <cell r="P1230" t="str">
            <v>AUH3</v>
          </cell>
          <cell r="Q1230" t="str">
            <v>ARE</v>
          </cell>
          <cell r="R1230" t="str">
            <v>FC564</v>
          </cell>
          <cell r="T1230">
            <v>99</v>
          </cell>
          <cell r="U1230" t="str">
            <v>MENA_UAE_FC</v>
          </cell>
          <cell r="V1230">
            <v>46257.331944444442</v>
          </cell>
          <cell r="W1230">
            <v>46257.667361111111</v>
          </cell>
          <cell r="X1230">
            <v>46257.333333333336</v>
          </cell>
          <cell r="Y1230">
            <v>46257.75</v>
          </cell>
          <cell r="AA1230" t="str">
            <v>Scheduled</v>
          </cell>
          <cell r="AB1230" t="str">
            <v>Present</v>
          </cell>
          <cell r="AC1230" t="str">
            <v>Warehouse deals</v>
          </cell>
          <cell r="AD1230" t="str">
            <v>Warehouse Deals</v>
          </cell>
          <cell r="AE1230" t="str">
            <v>Warehouse deals</v>
          </cell>
          <cell r="AH1230">
            <v>32</v>
          </cell>
          <cell r="AJ1230">
            <v>45956</v>
          </cell>
          <cell r="AM1230" t="str">
            <v>TEMP</v>
          </cell>
          <cell r="AN1230" t="str">
            <v>3P Onsite Worker</v>
          </cell>
          <cell r="AO1230" t="str">
            <v>A</v>
          </cell>
          <cell r="AP1230">
            <v>9</v>
          </cell>
          <cell r="AQ1230">
            <v>0</v>
          </cell>
          <cell r="AR1230">
            <v>1</v>
          </cell>
          <cell r="AS1230">
            <v>1</v>
          </cell>
          <cell r="AT1230">
            <v>0</v>
          </cell>
          <cell r="AU1230">
            <v>0</v>
          </cell>
        </row>
        <row r="1231">
          <cell r="D1231" t="str">
            <v>sahajame</v>
          </cell>
          <cell r="E1231">
            <v>206296204</v>
          </cell>
          <cell r="F1231" t="str">
            <v>A</v>
          </cell>
          <cell r="G1231" t="str">
            <v>GREEN</v>
          </cell>
          <cell r="H1231" t="str">
            <v>FULL_TIME</v>
          </cell>
          <cell r="I1231">
            <v>900234</v>
          </cell>
          <cell r="J1231" t="str">
            <v>EFS Facilities Services</v>
          </cell>
          <cell r="K1231" t="str">
            <v>SAHR ELISHA JAMES</v>
          </cell>
          <cell r="L1231" t="str">
            <v>Warehouse Associate (TEMP)</v>
          </cell>
          <cell r="M1231" t="str">
            <v>Warehouse Associate 8W</v>
          </cell>
          <cell r="N1231" t="str">
            <v>gylrdg</v>
          </cell>
          <cell r="O1231">
            <v>1299</v>
          </cell>
          <cell r="P1231" t="str">
            <v>AUH3</v>
          </cell>
          <cell r="Q1231" t="str">
            <v>ARE</v>
          </cell>
          <cell r="R1231" t="str">
            <v>LK015</v>
          </cell>
          <cell r="S1231" t="str">
            <v>Night Shift</v>
          </cell>
          <cell r="T1231">
            <v>99</v>
          </cell>
          <cell r="U1231" t="str">
            <v>MENA_UAE_FC</v>
          </cell>
          <cell r="V1231">
            <v>46257.754861111112</v>
          </cell>
          <cell r="X1231">
            <v>46257.756944444445</v>
          </cell>
          <cell r="Y1231">
            <v>46258.173611111109</v>
          </cell>
          <cell r="AA1231" t="str">
            <v>Scheduled</v>
          </cell>
          <cell r="AB1231" t="str">
            <v>Present</v>
          </cell>
          <cell r="AC1231" t="str">
            <v>Warehouse deals</v>
          </cell>
          <cell r="AD1231" t="str">
            <v>Warehouse Deals</v>
          </cell>
          <cell r="AE1231" t="str">
            <v>Warehouse deals</v>
          </cell>
          <cell r="AF1231" t="str">
            <v>Tuesday</v>
          </cell>
          <cell r="AG1231" t="str">
            <v>Wednesday</v>
          </cell>
          <cell r="AH1231">
            <v>32</v>
          </cell>
          <cell r="AJ1231">
            <v>45949</v>
          </cell>
          <cell r="AM1231" t="str">
            <v>TEMP</v>
          </cell>
          <cell r="AN1231" t="str">
            <v>3P Onsite Worker</v>
          </cell>
          <cell r="AO1231" t="str">
            <v>A</v>
          </cell>
          <cell r="AP1231">
            <v>9</v>
          </cell>
          <cell r="AQ1231">
            <v>0</v>
          </cell>
          <cell r="AR1231">
            <v>1</v>
          </cell>
          <cell r="AS1231">
            <v>1</v>
          </cell>
          <cell r="AT1231">
            <v>0</v>
          </cell>
          <cell r="AU1231">
            <v>0</v>
          </cell>
        </row>
        <row r="1232">
          <cell r="D1232" t="str">
            <v>sasalifu</v>
          </cell>
          <cell r="E1232">
            <v>205845551</v>
          </cell>
          <cell r="F1232" t="str">
            <v>A</v>
          </cell>
          <cell r="G1232" t="str">
            <v>GREEN</v>
          </cell>
          <cell r="H1232" t="str">
            <v>FULL_TIME</v>
          </cell>
          <cell r="I1232">
            <v>900234</v>
          </cell>
          <cell r="J1232" t="str">
            <v>Dulsco L.L.C.</v>
          </cell>
          <cell r="K1232" t="str">
            <v>SADICK SALIFU AZUMAH</v>
          </cell>
          <cell r="L1232" t="str">
            <v>Warehouse Associate (TEMP)</v>
          </cell>
          <cell r="M1232" t="str">
            <v>Warehouse Associate 8W</v>
          </cell>
          <cell r="N1232" t="str">
            <v>gylrdg</v>
          </cell>
          <cell r="O1232">
            <v>1181</v>
          </cell>
          <cell r="P1232" t="str">
            <v>AUH3</v>
          </cell>
          <cell r="Q1232" t="str">
            <v>ARE</v>
          </cell>
          <cell r="R1232" t="str">
            <v>LK014</v>
          </cell>
          <cell r="S1232" t="str">
            <v>Night Shift</v>
          </cell>
          <cell r="T1232">
            <v>99</v>
          </cell>
          <cell r="U1232" t="str">
            <v>MENA_UAE_FC</v>
          </cell>
          <cell r="V1232">
            <v>46257.758333333331</v>
          </cell>
          <cell r="X1232">
            <v>46257.756944444445</v>
          </cell>
          <cell r="Y1232">
            <v>46258.173611111109</v>
          </cell>
          <cell r="AA1232" t="str">
            <v>Scheduled</v>
          </cell>
          <cell r="AB1232" t="str">
            <v>Present</v>
          </cell>
          <cell r="AC1232" t="str">
            <v>Warehouse deals</v>
          </cell>
          <cell r="AD1232" t="str">
            <v>Warehouse Deals</v>
          </cell>
          <cell r="AE1232" t="str">
            <v>Warehouse deals</v>
          </cell>
          <cell r="AF1232" t="str">
            <v>Monday</v>
          </cell>
          <cell r="AG1232" t="str">
            <v>Tuesday</v>
          </cell>
          <cell r="AH1232">
            <v>32</v>
          </cell>
          <cell r="AJ1232">
            <v>45893</v>
          </cell>
          <cell r="AM1232" t="str">
            <v>TEMP</v>
          </cell>
          <cell r="AN1232" t="str">
            <v>3P Onsite Worker</v>
          </cell>
          <cell r="AO1232" t="str">
            <v>A</v>
          </cell>
          <cell r="AP1232">
            <v>9</v>
          </cell>
          <cell r="AQ1232">
            <v>0</v>
          </cell>
          <cell r="AR1232">
            <v>1</v>
          </cell>
          <cell r="AS1232">
            <v>1</v>
          </cell>
          <cell r="AT1232">
            <v>0</v>
          </cell>
          <cell r="AU1232">
            <v>0</v>
          </cell>
        </row>
        <row r="1233">
          <cell r="D1233" t="str">
            <v>senesthe</v>
          </cell>
          <cell r="E1233">
            <v>203555213</v>
          </cell>
          <cell r="F1233" t="str">
            <v>A</v>
          </cell>
          <cell r="G1233" t="str">
            <v>GREEN</v>
          </cell>
          <cell r="H1233" t="str">
            <v>FULL_TIME</v>
          </cell>
          <cell r="I1233">
            <v>900234</v>
          </cell>
          <cell r="J1233" t="str">
            <v>Fastlink Outsourcing</v>
          </cell>
          <cell r="K1233" t="str">
            <v>Esther Senahey</v>
          </cell>
          <cell r="L1233" t="str">
            <v>Warehouse Associate (TEMP)</v>
          </cell>
          <cell r="M1233" t="str">
            <v>Warehouse Associate 12M</v>
          </cell>
          <cell r="N1233" t="str">
            <v>gylrdg</v>
          </cell>
          <cell r="O1233">
            <v>1181</v>
          </cell>
          <cell r="P1233" t="str">
            <v>AUH3</v>
          </cell>
          <cell r="Q1233" t="str">
            <v>ARE</v>
          </cell>
          <cell r="R1233" t="str">
            <v>LK012</v>
          </cell>
          <cell r="S1233" t="str">
            <v>Night Shift</v>
          </cell>
          <cell r="T1233">
            <v>99</v>
          </cell>
          <cell r="U1233" t="str">
            <v>MENA_UAE_FC</v>
          </cell>
          <cell r="X1233">
            <v>46257.756944444445</v>
          </cell>
          <cell r="Y1233">
            <v>46258.173611111109</v>
          </cell>
          <cell r="Z1233" t="str">
            <v>Rest Day</v>
          </cell>
          <cell r="AA1233" t="str">
            <v>Not Scheduled</v>
          </cell>
          <cell r="AB1233" t="str">
            <v>Not Present</v>
          </cell>
          <cell r="AC1233" t="str">
            <v>Warehouse deals</v>
          </cell>
          <cell r="AD1233" t="str">
            <v>Warehouse Deals</v>
          </cell>
          <cell r="AE1233" t="str">
            <v>Warehouse deals</v>
          </cell>
          <cell r="AF1233" t="str">
            <v>Saturday</v>
          </cell>
          <cell r="AG1233" t="str">
            <v>Sunday</v>
          </cell>
          <cell r="AH1233">
            <v>32</v>
          </cell>
          <cell r="AJ1233">
            <v>45469</v>
          </cell>
          <cell r="AM1233" t="str">
            <v>TEMP</v>
          </cell>
          <cell r="AN1233" t="str">
            <v>3P Onsite Worker</v>
          </cell>
          <cell r="AO1233" t="str">
            <v>A</v>
          </cell>
          <cell r="AP1233">
            <v>9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</row>
        <row r="1234">
          <cell r="D1234" t="str">
            <v>sibwelli</v>
          </cell>
          <cell r="E1234">
            <v>203965526</v>
          </cell>
          <cell r="F1234" t="str">
            <v>A</v>
          </cell>
          <cell r="G1234" t="str">
            <v>GREEN</v>
          </cell>
          <cell r="H1234" t="str">
            <v>FULL_TIME</v>
          </cell>
          <cell r="I1234">
            <v>900234</v>
          </cell>
          <cell r="J1234" t="str">
            <v>Fastlink Outsourcing</v>
          </cell>
          <cell r="K1234" t="str">
            <v>Wellington Sibanda</v>
          </cell>
          <cell r="L1234" t="str">
            <v>Warehouse Associate (TEMP)</v>
          </cell>
          <cell r="M1234" t="str">
            <v>Warehouse Associate 12M</v>
          </cell>
          <cell r="N1234" t="str">
            <v>gylrdg</v>
          </cell>
          <cell r="O1234">
            <v>1299</v>
          </cell>
          <cell r="P1234" t="str">
            <v>AUH3</v>
          </cell>
          <cell r="Q1234" t="str">
            <v>ARE</v>
          </cell>
          <cell r="R1234" t="str">
            <v>LK013</v>
          </cell>
          <cell r="S1234" t="str">
            <v>Night Shift</v>
          </cell>
          <cell r="T1234">
            <v>99</v>
          </cell>
          <cell r="U1234" t="str">
            <v>MENA_UAE_FC</v>
          </cell>
          <cell r="X1234">
            <v>46257.333333333336</v>
          </cell>
          <cell r="Y1234">
            <v>46257.75</v>
          </cell>
          <cell r="Z1234" t="str">
            <v>Rest Day</v>
          </cell>
          <cell r="AA1234" t="str">
            <v>Not Scheduled</v>
          </cell>
          <cell r="AB1234" t="str">
            <v>Not Present</v>
          </cell>
          <cell r="AC1234" t="str">
            <v>Warehouse deals</v>
          </cell>
          <cell r="AD1234" t="str">
            <v>Warehouse Deals</v>
          </cell>
          <cell r="AE1234" t="str">
            <v>Warehouse deals</v>
          </cell>
          <cell r="AF1234" t="str">
            <v>Sunday</v>
          </cell>
          <cell r="AG1234" t="str">
            <v>Monday</v>
          </cell>
          <cell r="AH1234">
            <v>32</v>
          </cell>
          <cell r="AJ1234">
            <v>45543</v>
          </cell>
          <cell r="AM1234" t="str">
            <v>TEMP</v>
          </cell>
          <cell r="AN1234" t="str">
            <v>3P Onsite Worker</v>
          </cell>
          <cell r="AO1234" t="str">
            <v>A</v>
          </cell>
          <cell r="AP1234">
            <v>9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</row>
        <row r="1235">
          <cell r="D1235" t="str">
            <v>simontwe</v>
          </cell>
          <cell r="E1235">
            <v>204115629</v>
          </cell>
          <cell r="F1235" t="str">
            <v>A</v>
          </cell>
          <cell r="G1235" t="str">
            <v>GREEN</v>
          </cell>
          <cell r="H1235" t="str">
            <v>FULL_TIME</v>
          </cell>
          <cell r="I1235">
            <v>900234</v>
          </cell>
          <cell r="J1235" t="str">
            <v>Quesscorp</v>
          </cell>
          <cell r="K1235" t="str">
            <v>Simon Twene</v>
          </cell>
          <cell r="L1235" t="str">
            <v>Warehouse Associate (TEMP)</v>
          </cell>
          <cell r="M1235" t="str">
            <v>Warehouse Associate 24M</v>
          </cell>
          <cell r="N1235" t="str">
            <v>nelstche</v>
          </cell>
          <cell r="O1235">
            <v>1181</v>
          </cell>
          <cell r="P1235" t="str">
            <v>AUH3</v>
          </cell>
          <cell r="Q1235" t="str">
            <v>ARE</v>
          </cell>
          <cell r="R1235" t="str">
            <v>FC034</v>
          </cell>
          <cell r="S1235" t="str">
            <v>Day Shift</v>
          </cell>
          <cell r="T1235">
            <v>99</v>
          </cell>
          <cell r="U1235" t="str">
            <v>MENA_UAE_FC</v>
          </cell>
          <cell r="X1235">
            <v>46257.333333333336</v>
          </cell>
          <cell r="Y1235">
            <v>46257.75</v>
          </cell>
          <cell r="Z1235" t="str">
            <v>Rest Day</v>
          </cell>
          <cell r="AA1235" t="str">
            <v>Not Scheduled</v>
          </cell>
          <cell r="AB1235" t="str">
            <v>Not Present</v>
          </cell>
          <cell r="AC1235" t="str">
            <v>Warehouse deals</v>
          </cell>
          <cell r="AD1235" t="str">
            <v>Warehouse Deals</v>
          </cell>
          <cell r="AE1235" t="str">
            <v>Warehouse deals</v>
          </cell>
          <cell r="AF1235" t="str">
            <v>Saturday</v>
          </cell>
          <cell r="AG1235" t="str">
            <v>Sunday</v>
          </cell>
          <cell r="AH1235">
            <v>32</v>
          </cell>
          <cell r="AJ1235">
            <v>45560</v>
          </cell>
          <cell r="AM1235" t="str">
            <v>TEMP</v>
          </cell>
          <cell r="AN1235" t="str">
            <v>3P Onsite Worker</v>
          </cell>
          <cell r="AO1235" t="str">
            <v>A</v>
          </cell>
          <cell r="AP1235">
            <v>9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</row>
        <row r="1236">
          <cell r="D1236" t="str">
            <v>skayikka</v>
          </cell>
          <cell r="E1236">
            <v>102205553</v>
          </cell>
          <cell r="F1236" t="str">
            <v>A</v>
          </cell>
          <cell r="G1236" t="str">
            <v>BLUE</v>
          </cell>
          <cell r="H1236" t="str">
            <v>FULL_TIME</v>
          </cell>
          <cell r="I1236" t="str">
            <v>P03251</v>
          </cell>
          <cell r="K1236" t="str">
            <v>Sudheer Kumar Ayikkara Valappil</v>
          </cell>
          <cell r="L1236" t="str">
            <v>FC Associate I</v>
          </cell>
          <cell r="M1236" t="str">
            <v>Logistics Assistant</v>
          </cell>
          <cell r="N1236" t="str">
            <v>gylrdg</v>
          </cell>
          <cell r="O1236">
            <v>1182</v>
          </cell>
          <cell r="P1236" t="str">
            <v>AUH3</v>
          </cell>
          <cell r="Q1236" t="str">
            <v>ARE</v>
          </cell>
          <cell r="R1236" t="str">
            <v>LK011</v>
          </cell>
          <cell r="S1236" t="str">
            <v>Night Shift</v>
          </cell>
          <cell r="T1236">
            <v>1</v>
          </cell>
          <cell r="U1236" t="str">
            <v>MENA_UAE_FC</v>
          </cell>
          <cell r="V1236">
            <v>46257.753472222219</v>
          </cell>
          <cell r="X1236">
            <v>46257.756944444445</v>
          </cell>
          <cell r="Y1236">
            <v>46258.173611111109</v>
          </cell>
          <cell r="AA1236" t="str">
            <v>Scheduled</v>
          </cell>
          <cell r="AB1236" t="str">
            <v>Present</v>
          </cell>
          <cell r="AC1236" t="str">
            <v>Warehouse deals</v>
          </cell>
          <cell r="AD1236" t="str">
            <v>Warehouse Deals</v>
          </cell>
          <cell r="AE1236" t="str">
            <v>Warehouse deals</v>
          </cell>
          <cell r="AF1236" t="str">
            <v>Friday</v>
          </cell>
          <cell r="AG1236" t="str">
            <v>Saturday</v>
          </cell>
          <cell r="AH1236">
            <v>32</v>
          </cell>
          <cell r="AJ1236">
            <v>42867</v>
          </cell>
          <cell r="AM1236" t="str">
            <v>FC</v>
          </cell>
          <cell r="AN1236" t="str">
            <v>Regular Full Time</v>
          </cell>
          <cell r="AO1236" t="str">
            <v>A</v>
          </cell>
          <cell r="AP1236">
            <v>9</v>
          </cell>
          <cell r="AQ1236">
            <v>0</v>
          </cell>
          <cell r="AR1236">
            <v>1</v>
          </cell>
          <cell r="AS1236">
            <v>1</v>
          </cell>
          <cell r="AT1236">
            <v>0</v>
          </cell>
          <cell r="AU1236">
            <v>0</v>
          </cell>
        </row>
        <row r="1237">
          <cell r="D1237" t="str">
            <v>skoromal</v>
          </cell>
          <cell r="E1237">
            <v>203635597</v>
          </cell>
          <cell r="F1237" t="str">
            <v>A</v>
          </cell>
          <cell r="G1237" t="str">
            <v>GREEN</v>
          </cell>
          <cell r="H1237" t="str">
            <v>FULL_TIME</v>
          </cell>
          <cell r="I1237">
            <v>900234</v>
          </cell>
          <cell r="J1237" t="str">
            <v>Fastlink Outsourcing</v>
          </cell>
          <cell r="K1237" t="str">
            <v>Lans Koroma Koroma</v>
          </cell>
          <cell r="L1237" t="str">
            <v>Warehouse Associate (TEMP)</v>
          </cell>
          <cell r="M1237" t="str">
            <v>Warehouse Associate 12M</v>
          </cell>
          <cell r="N1237" t="str">
            <v>nelstche</v>
          </cell>
          <cell r="O1237">
            <v>1181</v>
          </cell>
          <cell r="P1237" t="str">
            <v>AUH3</v>
          </cell>
          <cell r="Q1237" t="str">
            <v>ARE</v>
          </cell>
          <cell r="R1237" t="str">
            <v>FC134</v>
          </cell>
          <cell r="S1237" t="str">
            <v>Day Shift</v>
          </cell>
          <cell r="T1237">
            <v>99</v>
          </cell>
          <cell r="U1237" t="str">
            <v>MENA_UAE_FC</v>
          </cell>
          <cell r="V1237">
            <v>46257.331944444442</v>
          </cell>
          <cell r="W1237">
            <v>46257.747916666667</v>
          </cell>
          <cell r="X1237">
            <v>46257.333333333336</v>
          </cell>
          <cell r="Y1237">
            <v>46257.75</v>
          </cell>
          <cell r="AA1237" t="str">
            <v>Scheduled</v>
          </cell>
          <cell r="AB1237" t="str">
            <v>Present</v>
          </cell>
          <cell r="AC1237" t="str">
            <v>Warehouse deals</v>
          </cell>
          <cell r="AD1237" t="str">
            <v>Warehouse Deals</v>
          </cell>
          <cell r="AE1237" t="str">
            <v>Warehouse deals</v>
          </cell>
          <cell r="AF1237" t="str">
            <v>Wednesday</v>
          </cell>
          <cell r="AG1237" t="str">
            <v>Thursday</v>
          </cell>
          <cell r="AH1237">
            <v>32</v>
          </cell>
          <cell r="AJ1237">
            <v>45480</v>
          </cell>
          <cell r="AM1237" t="str">
            <v>TEMP</v>
          </cell>
          <cell r="AN1237" t="str">
            <v>3P Onsite Worker</v>
          </cell>
          <cell r="AO1237" t="str">
            <v>A</v>
          </cell>
          <cell r="AP1237">
            <v>9</v>
          </cell>
          <cell r="AQ1237">
            <v>0</v>
          </cell>
          <cell r="AR1237">
            <v>1</v>
          </cell>
          <cell r="AS1237">
            <v>1</v>
          </cell>
          <cell r="AT1237">
            <v>0</v>
          </cell>
          <cell r="AU1237">
            <v>0</v>
          </cell>
        </row>
        <row r="1238">
          <cell r="D1238" t="str">
            <v>solnuako</v>
          </cell>
          <cell r="E1238">
            <v>203875091</v>
          </cell>
          <cell r="F1238" t="str">
            <v>A</v>
          </cell>
          <cell r="G1238" t="str">
            <v>GREEN</v>
          </cell>
          <cell r="H1238" t="str">
            <v>FULL_TIME</v>
          </cell>
          <cell r="I1238">
            <v>900234</v>
          </cell>
          <cell r="J1238" t="str">
            <v>Fastlink Outsourcing</v>
          </cell>
          <cell r="K1238" t="str">
            <v>Nuako Solomon</v>
          </cell>
          <cell r="L1238" t="str">
            <v>Warehouse Associate (TEMP)</v>
          </cell>
          <cell r="M1238" t="str">
            <v>Warehouse Associate 12M</v>
          </cell>
          <cell r="N1238" t="str">
            <v>gylrdg</v>
          </cell>
          <cell r="O1238">
            <v>1181</v>
          </cell>
          <cell r="P1238" t="str">
            <v>DAD1</v>
          </cell>
          <cell r="Q1238" t="str">
            <v>ARE</v>
          </cell>
          <cell r="R1238" t="str">
            <v>FC556</v>
          </cell>
          <cell r="T1238">
            <v>99</v>
          </cell>
          <cell r="U1238" t="str">
            <v>MENA_UAE_AMZL</v>
          </cell>
          <cell r="V1238">
            <v>46257.756249999999</v>
          </cell>
          <cell r="X1238">
            <v>46257.756944444445</v>
          </cell>
          <cell r="Y1238">
            <v>46258.090277777781</v>
          </cell>
          <cell r="AA1238" t="str">
            <v>Scheduled</v>
          </cell>
          <cell r="AB1238" t="str">
            <v>Present</v>
          </cell>
          <cell r="AC1238" t="str">
            <v>Warehouse deals</v>
          </cell>
          <cell r="AD1238" t="str">
            <v>Warehouse Deals</v>
          </cell>
          <cell r="AE1238" t="str">
            <v>Warehouse deals</v>
          </cell>
          <cell r="AH1238">
            <v>32</v>
          </cell>
          <cell r="AJ1238">
            <v>45529</v>
          </cell>
          <cell r="AM1238" t="str">
            <v>TEMP</v>
          </cell>
          <cell r="AN1238" t="str">
            <v>3P Onsite Worker</v>
          </cell>
          <cell r="AO1238" t="str">
            <v>A</v>
          </cell>
          <cell r="AP1238">
            <v>7</v>
          </cell>
          <cell r="AQ1238">
            <v>0</v>
          </cell>
          <cell r="AR1238">
            <v>1</v>
          </cell>
          <cell r="AS1238">
            <v>1</v>
          </cell>
          <cell r="AT1238">
            <v>0</v>
          </cell>
          <cell r="AU1238">
            <v>0</v>
          </cell>
        </row>
        <row r="1239">
          <cell r="D1239" t="str">
            <v>ssecharl</v>
          </cell>
          <cell r="E1239">
            <v>206348054</v>
          </cell>
          <cell r="F1239" t="str">
            <v>A</v>
          </cell>
          <cell r="G1239" t="str">
            <v>GREEN</v>
          </cell>
          <cell r="H1239" t="str">
            <v>FULL_TIME</v>
          </cell>
          <cell r="I1239">
            <v>900234</v>
          </cell>
          <cell r="J1239" t="str">
            <v>Dulsco L.L.C.</v>
          </cell>
          <cell r="K1239" t="str">
            <v>SSEMUGAGGA CHARLES</v>
          </cell>
          <cell r="L1239" t="str">
            <v>Warehouse Associate (TEMP)</v>
          </cell>
          <cell r="M1239" t="str">
            <v>Warehouse Associate 8W</v>
          </cell>
          <cell r="N1239" t="str">
            <v>nelstche</v>
          </cell>
          <cell r="O1239">
            <v>1181</v>
          </cell>
          <cell r="P1239" t="str">
            <v>AUH3</v>
          </cell>
          <cell r="Q1239" t="str">
            <v>ARE</v>
          </cell>
          <cell r="R1239" t="str">
            <v>FC565</v>
          </cell>
          <cell r="T1239">
            <v>99</v>
          </cell>
          <cell r="U1239" t="str">
            <v>MENA_UAE_FC</v>
          </cell>
          <cell r="V1239">
            <v>46257.331250000003</v>
          </cell>
          <cell r="W1239">
            <v>46257.668055555558</v>
          </cell>
          <cell r="X1239">
            <v>46257.333333333336</v>
          </cell>
          <cell r="Y1239">
            <v>46257.75</v>
          </cell>
          <cell r="AA1239" t="str">
            <v>Scheduled</v>
          </cell>
          <cell r="AB1239" t="str">
            <v>Present</v>
          </cell>
          <cell r="AC1239" t="str">
            <v>Warehouse deals</v>
          </cell>
          <cell r="AD1239" t="str">
            <v>Warehouse Deals</v>
          </cell>
          <cell r="AE1239" t="str">
            <v>Warehouse deals</v>
          </cell>
          <cell r="AH1239">
            <v>32</v>
          </cell>
          <cell r="AJ1239">
            <v>45956</v>
          </cell>
          <cell r="AM1239" t="str">
            <v>TEMP</v>
          </cell>
          <cell r="AN1239" t="str">
            <v>3P Onsite Worker</v>
          </cell>
          <cell r="AO1239" t="str">
            <v>A</v>
          </cell>
          <cell r="AP1239">
            <v>9</v>
          </cell>
          <cell r="AQ1239">
            <v>0</v>
          </cell>
          <cell r="AR1239">
            <v>1</v>
          </cell>
          <cell r="AS1239">
            <v>1</v>
          </cell>
          <cell r="AT1239">
            <v>0</v>
          </cell>
          <cell r="AU1239">
            <v>0</v>
          </cell>
        </row>
        <row r="1240">
          <cell r="D1240" t="str">
            <v>susanwak</v>
          </cell>
          <cell r="E1240">
            <v>206958449</v>
          </cell>
          <cell r="F1240" t="str">
            <v>A</v>
          </cell>
          <cell r="G1240" t="str">
            <v>GREEN</v>
          </cell>
          <cell r="H1240" t="str">
            <v>FULL_TIME</v>
          </cell>
          <cell r="I1240">
            <v>900234</v>
          </cell>
          <cell r="J1240" t="str">
            <v>EFS Facilities Services</v>
          </cell>
          <cell r="K1240" t="str">
            <v>Susan Waruguru Kanyi</v>
          </cell>
          <cell r="L1240" t="str">
            <v>Warehouse Associate (TEMP)</v>
          </cell>
          <cell r="M1240" t="str">
            <v>Warehouse Associate 12M</v>
          </cell>
          <cell r="N1240" t="str">
            <v>gylrdg</v>
          </cell>
          <cell r="O1240">
            <v>1181</v>
          </cell>
          <cell r="P1240" t="str">
            <v>AUH3</v>
          </cell>
          <cell r="Q1240" t="str">
            <v>ARE</v>
          </cell>
          <cell r="R1240" t="str">
            <v>LK017</v>
          </cell>
          <cell r="S1240" t="str">
            <v>Night Shift</v>
          </cell>
          <cell r="T1240">
            <v>99</v>
          </cell>
          <cell r="U1240" t="str">
            <v>MENA_UAE_FC</v>
          </cell>
          <cell r="V1240">
            <v>46257.754861111112</v>
          </cell>
          <cell r="X1240">
            <v>46257.756944444445</v>
          </cell>
          <cell r="Y1240">
            <v>46258.173611111109</v>
          </cell>
          <cell r="AA1240" t="str">
            <v>Scheduled</v>
          </cell>
          <cell r="AB1240" t="str">
            <v>Present</v>
          </cell>
          <cell r="AC1240" t="str">
            <v>Warehouse deals</v>
          </cell>
          <cell r="AD1240" t="str">
            <v>Warehouse Deals</v>
          </cell>
          <cell r="AE1240" t="str">
            <v>Warehouse deals</v>
          </cell>
          <cell r="AF1240" t="str">
            <v>Thursday</v>
          </cell>
          <cell r="AG1240" t="str">
            <v>Friday</v>
          </cell>
          <cell r="AH1240">
            <v>32</v>
          </cell>
          <cell r="AJ1240">
            <v>46047</v>
          </cell>
          <cell r="AM1240" t="str">
            <v>TEMP</v>
          </cell>
          <cell r="AN1240" t="str">
            <v>3P Onsite Worker</v>
          </cell>
          <cell r="AO1240" t="str">
            <v>A</v>
          </cell>
          <cell r="AP1240">
            <v>9</v>
          </cell>
          <cell r="AQ1240">
            <v>0</v>
          </cell>
          <cell r="AR1240">
            <v>1</v>
          </cell>
          <cell r="AS1240">
            <v>1</v>
          </cell>
          <cell r="AT1240">
            <v>0</v>
          </cell>
          <cell r="AU1240">
            <v>0</v>
          </cell>
        </row>
        <row r="1241">
          <cell r="D1241" t="str">
            <v>tettjenn</v>
          </cell>
          <cell r="E1241">
            <v>203875090</v>
          </cell>
          <cell r="F1241" t="str">
            <v>A</v>
          </cell>
          <cell r="G1241" t="str">
            <v>GREEN</v>
          </cell>
          <cell r="H1241" t="str">
            <v>FULL_TIME</v>
          </cell>
          <cell r="I1241">
            <v>900234</v>
          </cell>
          <cell r="J1241" t="str">
            <v>Fastlink Outsourcing</v>
          </cell>
          <cell r="K1241" t="str">
            <v>Jennifer Tetteh</v>
          </cell>
          <cell r="L1241" t="str">
            <v>Warehouse Associate (TEMP)</v>
          </cell>
          <cell r="M1241" t="str">
            <v>Warehouse Associate 12M</v>
          </cell>
          <cell r="N1241" t="str">
            <v>gylrdg</v>
          </cell>
          <cell r="O1241">
            <v>1181</v>
          </cell>
          <cell r="P1241" t="str">
            <v>DAD1</v>
          </cell>
          <cell r="Q1241" t="str">
            <v>ARE</v>
          </cell>
          <cell r="R1241" t="str">
            <v>FC552</v>
          </cell>
          <cell r="T1241">
            <v>99</v>
          </cell>
          <cell r="U1241" t="str">
            <v>MENA_UAE_AMZL</v>
          </cell>
          <cell r="V1241">
            <v>46257.754861111112</v>
          </cell>
          <cell r="X1241">
            <v>46257.756944444445</v>
          </cell>
          <cell r="Y1241">
            <v>46258.090277777781</v>
          </cell>
          <cell r="AA1241" t="str">
            <v>Scheduled</v>
          </cell>
          <cell r="AB1241" t="str">
            <v>Present</v>
          </cell>
          <cell r="AC1241" t="str">
            <v>Warehouse deals</v>
          </cell>
          <cell r="AD1241" t="str">
            <v>Warehouse Deals</v>
          </cell>
          <cell r="AE1241" t="str">
            <v>Warehouse deals</v>
          </cell>
          <cell r="AH1241">
            <v>32</v>
          </cell>
          <cell r="AJ1241">
            <v>45529</v>
          </cell>
          <cell r="AM1241" t="str">
            <v>TEMP</v>
          </cell>
          <cell r="AN1241" t="str">
            <v>3P Onsite Worker</v>
          </cell>
          <cell r="AO1241" t="str">
            <v>A</v>
          </cell>
          <cell r="AP1241">
            <v>7</v>
          </cell>
          <cell r="AQ1241">
            <v>0</v>
          </cell>
          <cell r="AR1241">
            <v>1</v>
          </cell>
          <cell r="AS1241">
            <v>1</v>
          </cell>
          <cell r="AT1241">
            <v>0</v>
          </cell>
          <cell r="AU1241">
            <v>0</v>
          </cell>
        </row>
        <row r="1242">
          <cell r="D1242" t="str">
            <v>tmukunal</v>
          </cell>
          <cell r="E1242">
            <v>203875186</v>
          </cell>
          <cell r="F1242" t="str">
            <v>A</v>
          </cell>
          <cell r="G1242" t="str">
            <v>GREEN</v>
          </cell>
          <cell r="H1242" t="str">
            <v>FULL_TIME</v>
          </cell>
          <cell r="I1242">
            <v>900234</v>
          </cell>
          <cell r="J1242" t="str">
            <v>Fastlink Outsourcing</v>
          </cell>
          <cell r="K1242" t="str">
            <v>Tanya Mukuna</v>
          </cell>
          <cell r="L1242" t="str">
            <v>Warehouse Associate (TEMP)</v>
          </cell>
          <cell r="M1242" t="str">
            <v>Warehouse Associate 12M</v>
          </cell>
          <cell r="N1242" t="str">
            <v>gylrdg</v>
          </cell>
          <cell r="O1242">
            <v>1181</v>
          </cell>
          <cell r="P1242" t="str">
            <v>DAD1</v>
          </cell>
          <cell r="Q1242" t="str">
            <v>ARE</v>
          </cell>
          <cell r="R1242" t="str">
            <v>FC559</v>
          </cell>
          <cell r="T1242">
            <v>99</v>
          </cell>
          <cell r="U1242" t="str">
            <v>MENA_UAE_AMZL</v>
          </cell>
          <cell r="X1242">
            <v>46257.756944444445</v>
          </cell>
          <cell r="Y1242">
            <v>46258.090277777781</v>
          </cell>
          <cell r="Z1242" t="str">
            <v>Rest Day</v>
          </cell>
          <cell r="AA1242" t="str">
            <v>Not Scheduled</v>
          </cell>
          <cell r="AB1242" t="str">
            <v>Not Present</v>
          </cell>
          <cell r="AC1242" t="str">
            <v>Warehouse deals</v>
          </cell>
          <cell r="AD1242" t="str">
            <v>Warehouse Deals</v>
          </cell>
          <cell r="AE1242" t="str">
            <v>Warehouse deals</v>
          </cell>
          <cell r="AH1242">
            <v>32</v>
          </cell>
          <cell r="AJ1242">
            <v>45529</v>
          </cell>
          <cell r="AM1242" t="str">
            <v>TEMP</v>
          </cell>
          <cell r="AN1242" t="str">
            <v>3P Onsite Worker</v>
          </cell>
          <cell r="AO1242" t="str">
            <v>A</v>
          </cell>
          <cell r="AP1242">
            <v>7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</row>
        <row r="1243">
          <cell r="D1243" t="str">
            <v>tubwebag</v>
          </cell>
          <cell r="E1243">
            <v>206851162</v>
          </cell>
          <cell r="F1243" t="str">
            <v>A</v>
          </cell>
          <cell r="G1243" t="str">
            <v>GREEN</v>
          </cell>
          <cell r="H1243" t="str">
            <v>FULL_TIME</v>
          </cell>
          <cell r="I1243">
            <v>900234</v>
          </cell>
          <cell r="J1243" t="str">
            <v>Dulsco L.L.C.</v>
          </cell>
          <cell r="K1243" t="str">
            <v>TUBWEBAZE GILBERT</v>
          </cell>
          <cell r="L1243" t="str">
            <v>Warehouse Associate (TEMP)</v>
          </cell>
          <cell r="M1243" t="str">
            <v>Warehouse Associate 8W</v>
          </cell>
          <cell r="N1243" t="str">
            <v>gylrdg</v>
          </cell>
          <cell r="O1243">
            <v>1299</v>
          </cell>
          <cell r="P1243" t="str">
            <v>AUH3</v>
          </cell>
          <cell r="Q1243" t="str">
            <v>ARE</v>
          </cell>
          <cell r="R1243" t="str">
            <v>LK015</v>
          </cell>
          <cell r="S1243" t="str">
            <v>Night Shift</v>
          </cell>
          <cell r="T1243">
            <v>99</v>
          </cell>
          <cell r="U1243" t="str">
            <v>MENA_UAE_FC</v>
          </cell>
          <cell r="V1243">
            <v>46257.755555555559</v>
          </cell>
          <cell r="X1243">
            <v>46257.756944444445</v>
          </cell>
          <cell r="Y1243">
            <v>46258.173611111109</v>
          </cell>
          <cell r="AA1243" t="str">
            <v>Scheduled</v>
          </cell>
          <cell r="AB1243" t="str">
            <v>Present</v>
          </cell>
          <cell r="AC1243" t="str">
            <v>Warehouse deals</v>
          </cell>
          <cell r="AD1243" t="str">
            <v>Warehouse Deals</v>
          </cell>
          <cell r="AE1243" t="str">
            <v>Warehouse deals</v>
          </cell>
          <cell r="AF1243" t="str">
            <v>Tuesday</v>
          </cell>
          <cell r="AG1243" t="str">
            <v>Wednesday</v>
          </cell>
          <cell r="AH1243">
            <v>32</v>
          </cell>
          <cell r="AJ1243">
            <v>46012</v>
          </cell>
          <cell r="AM1243" t="str">
            <v>TEMP</v>
          </cell>
          <cell r="AN1243" t="str">
            <v>3P Onsite Worker</v>
          </cell>
          <cell r="AO1243" t="str">
            <v>A</v>
          </cell>
          <cell r="AP1243">
            <v>9</v>
          </cell>
          <cell r="AQ1243">
            <v>0</v>
          </cell>
          <cell r="AR1243">
            <v>1</v>
          </cell>
          <cell r="AS1243">
            <v>1</v>
          </cell>
          <cell r="AT1243">
            <v>0</v>
          </cell>
          <cell r="AU1243">
            <v>0</v>
          </cell>
        </row>
        <row r="1244">
          <cell r="D1244" t="str">
            <v>umerr</v>
          </cell>
          <cell r="E1244">
            <v>104042345</v>
          </cell>
          <cell r="F1244" t="str">
            <v>A</v>
          </cell>
          <cell r="G1244" t="str">
            <v>BLUE</v>
          </cell>
          <cell r="H1244" t="str">
            <v>FULL_TIME</v>
          </cell>
          <cell r="I1244" t="str">
            <v>P03231</v>
          </cell>
          <cell r="K1244" t="str">
            <v>Umer Rasheed</v>
          </cell>
          <cell r="L1244" t="str">
            <v>FC Associate III</v>
          </cell>
          <cell r="M1244" t="str">
            <v>Operations Supervisor</v>
          </cell>
          <cell r="N1244" t="str">
            <v>nelstche</v>
          </cell>
          <cell r="O1244">
            <v>1299</v>
          </cell>
          <cell r="P1244" t="str">
            <v>AUH3</v>
          </cell>
          <cell r="Q1244" t="str">
            <v>ARE</v>
          </cell>
          <cell r="R1244" t="str">
            <v>FC134</v>
          </cell>
          <cell r="S1244" t="str">
            <v>Day Shift</v>
          </cell>
          <cell r="T1244">
            <v>3</v>
          </cell>
          <cell r="U1244" t="str">
            <v>MENA_UAE_FC</v>
          </cell>
          <cell r="V1244">
            <v>46257.324999999997</v>
          </cell>
          <cell r="W1244">
            <v>46257.752083333333</v>
          </cell>
          <cell r="X1244">
            <v>46257.333333333336</v>
          </cell>
          <cell r="Y1244">
            <v>46257.75</v>
          </cell>
          <cell r="AA1244" t="str">
            <v>Scheduled</v>
          </cell>
          <cell r="AB1244" t="str">
            <v>Present</v>
          </cell>
          <cell r="AC1244" t="str">
            <v>Warehouse deals</v>
          </cell>
          <cell r="AD1244" t="str">
            <v>Warehouse Deals</v>
          </cell>
          <cell r="AE1244" t="str">
            <v>Warehouse deals</v>
          </cell>
          <cell r="AF1244" t="str">
            <v>Wednesday</v>
          </cell>
          <cell r="AG1244" t="str">
            <v>Thursday</v>
          </cell>
          <cell r="AH1244">
            <v>32</v>
          </cell>
          <cell r="AJ1244">
            <v>44723</v>
          </cell>
          <cell r="AM1244" t="str">
            <v>FC</v>
          </cell>
          <cell r="AN1244" t="str">
            <v>Regular Full Time</v>
          </cell>
          <cell r="AO1244" t="str">
            <v>A</v>
          </cell>
          <cell r="AP1244">
            <v>9</v>
          </cell>
          <cell r="AQ1244">
            <v>0</v>
          </cell>
          <cell r="AR1244">
            <v>1</v>
          </cell>
          <cell r="AS1244">
            <v>1</v>
          </cell>
          <cell r="AT1244">
            <v>0</v>
          </cell>
          <cell r="AU1244">
            <v>0</v>
          </cell>
        </row>
        <row r="1245">
          <cell r="D1245" t="str">
            <v>villaraz</v>
          </cell>
          <cell r="E1245">
            <v>102206142</v>
          </cell>
          <cell r="F1245" t="str">
            <v>A</v>
          </cell>
          <cell r="G1245" t="str">
            <v>BLUE</v>
          </cell>
          <cell r="H1245" t="str">
            <v>FULL_TIME</v>
          </cell>
          <cell r="I1245" t="str">
            <v>P03251</v>
          </cell>
          <cell r="K1245" t="str">
            <v>Francis-Benedict Villaraza</v>
          </cell>
          <cell r="L1245" t="str">
            <v>FC Associate I</v>
          </cell>
          <cell r="M1245" t="str">
            <v>Logistics Assistant</v>
          </cell>
          <cell r="N1245" t="str">
            <v>nelstche</v>
          </cell>
          <cell r="O1245">
            <v>1182</v>
          </cell>
          <cell r="P1245" t="str">
            <v>AUH3</v>
          </cell>
          <cell r="Q1245" t="str">
            <v>ARE</v>
          </cell>
          <cell r="R1245" t="str">
            <v>FC059</v>
          </cell>
          <cell r="S1245" t="str">
            <v>Day Shift</v>
          </cell>
          <cell r="T1245">
            <v>1</v>
          </cell>
          <cell r="U1245" t="str">
            <v>MENA_UAE_FC</v>
          </cell>
          <cell r="X1245">
            <v>46257.333333333336</v>
          </cell>
          <cell r="Y1245">
            <v>46257.75</v>
          </cell>
          <cell r="Z1245" t="str">
            <v>Rest Day</v>
          </cell>
          <cell r="AA1245" t="str">
            <v>Not Scheduled</v>
          </cell>
          <cell r="AB1245" t="str">
            <v>Not Present</v>
          </cell>
          <cell r="AC1245" t="str">
            <v>Warehouse deals</v>
          </cell>
          <cell r="AD1245" t="str">
            <v>Warehouse Deals</v>
          </cell>
          <cell r="AE1245" t="str">
            <v>Warehouse deals</v>
          </cell>
          <cell r="AF1245" t="str">
            <v>Sunday</v>
          </cell>
          <cell r="AG1245" t="str">
            <v>Monday</v>
          </cell>
          <cell r="AH1245">
            <v>32</v>
          </cell>
          <cell r="AJ1245">
            <v>42867</v>
          </cell>
          <cell r="AM1245" t="str">
            <v>FC</v>
          </cell>
          <cell r="AN1245" t="str">
            <v>Regular Full Time</v>
          </cell>
          <cell r="AO1245" t="str">
            <v>A</v>
          </cell>
          <cell r="AP1245">
            <v>9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</row>
        <row r="1246">
          <cell r="D1246" t="str">
            <v>wisacola</v>
          </cell>
          <cell r="E1246">
            <v>205285507</v>
          </cell>
          <cell r="F1246" t="str">
            <v>A</v>
          </cell>
          <cell r="G1246" t="str">
            <v>GREEN</v>
          </cell>
          <cell r="H1246" t="str">
            <v>FULL_TIME</v>
          </cell>
          <cell r="I1246">
            <v>900234</v>
          </cell>
          <cell r="J1246" t="str">
            <v>Dulsco L.L.C.</v>
          </cell>
          <cell r="K1246" t="str">
            <v>WISDOM DELE ACOLATSE</v>
          </cell>
          <cell r="L1246" t="str">
            <v>Warehouse Associate (TEMP)</v>
          </cell>
          <cell r="M1246" t="str">
            <v>Warehouse Associate 8W</v>
          </cell>
          <cell r="N1246" t="str">
            <v>gylrdg</v>
          </cell>
          <cell r="O1246">
            <v>1299</v>
          </cell>
          <cell r="P1246" t="str">
            <v>AUH3</v>
          </cell>
          <cell r="Q1246" t="str">
            <v>ARE</v>
          </cell>
          <cell r="R1246" t="str">
            <v>LK011</v>
          </cell>
          <cell r="S1246" t="str">
            <v>Night Shift</v>
          </cell>
          <cell r="T1246">
            <v>99</v>
          </cell>
          <cell r="U1246" t="str">
            <v>MENA_UAE_FC</v>
          </cell>
          <cell r="V1246">
            <v>46257.755555555559</v>
          </cell>
          <cell r="X1246">
            <v>46257.756944444445</v>
          </cell>
          <cell r="Y1246">
            <v>46258.173611111109</v>
          </cell>
          <cell r="AA1246" t="str">
            <v>Scheduled</v>
          </cell>
          <cell r="AB1246" t="str">
            <v>Present</v>
          </cell>
          <cell r="AC1246" t="str">
            <v>Warehouse deals</v>
          </cell>
          <cell r="AD1246" t="str">
            <v>Warehouse Deals</v>
          </cell>
          <cell r="AE1246" t="str">
            <v>Warehouse deals</v>
          </cell>
          <cell r="AF1246" t="str">
            <v>Friday</v>
          </cell>
          <cell r="AG1246" t="str">
            <v>Saturday</v>
          </cell>
          <cell r="AH1246">
            <v>32</v>
          </cell>
          <cell r="AJ1246">
            <v>45795</v>
          </cell>
          <cell r="AM1246" t="str">
            <v>TEMP</v>
          </cell>
          <cell r="AN1246" t="str">
            <v>3P Onsite Worker</v>
          </cell>
          <cell r="AO1246" t="str">
            <v>A</v>
          </cell>
          <cell r="AP1246">
            <v>9</v>
          </cell>
          <cell r="AQ1246">
            <v>0</v>
          </cell>
          <cell r="AR1246">
            <v>1</v>
          </cell>
          <cell r="AS1246">
            <v>1</v>
          </cell>
          <cell r="AT1246">
            <v>0</v>
          </cell>
          <cell r="AU1246">
            <v>0</v>
          </cell>
        </row>
        <row r="1247">
          <cell r="D1247" t="str">
            <v>xsamkhat</v>
          </cell>
          <cell r="E1247">
            <v>206958074</v>
          </cell>
          <cell r="F1247" t="str">
            <v>A</v>
          </cell>
          <cell r="G1247" t="str">
            <v>GREEN</v>
          </cell>
          <cell r="H1247" t="str">
            <v>FULL_TIME</v>
          </cell>
          <cell r="I1247">
            <v>900234</v>
          </cell>
          <cell r="J1247" t="str">
            <v>EFS Facilities Services</v>
          </cell>
          <cell r="K1247" t="str">
            <v>Samina Khatoon</v>
          </cell>
          <cell r="L1247" t="str">
            <v>Warehouse Associate (TEMP)</v>
          </cell>
          <cell r="M1247" t="str">
            <v>Warehouse Associate 12M</v>
          </cell>
          <cell r="N1247" t="str">
            <v>gylrdg</v>
          </cell>
          <cell r="O1247">
            <v>1181</v>
          </cell>
          <cell r="P1247" t="str">
            <v>AUH3</v>
          </cell>
          <cell r="Q1247" t="str">
            <v>ARE</v>
          </cell>
          <cell r="R1247" t="str">
            <v>LK017</v>
          </cell>
          <cell r="S1247" t="str">
            <v>Night Shift</v>
          </cell>
          <cell r="T1247">
            <v>99</v>
          </cell>
          <cell r="U1247" t="str">
            <v>MENA_UAE_FC</v>
          </cell>
          <cell r="V1247">
            <v>46257.754861111112</v>
          </cell>
          <cell r="X1247">
            <v>46257.756944444445</v>
          </cell>
          <cell r="Y1247">
            <v>46258.173611111109</v>
          </cell>
          <cell r="AA1247" t="str">
            <v>Scheduled</v>
          </cell>
          <cell r="AB1247" t="str">
            <v>Present</v>
          </cell>
          <cell r="AC1247" t="str">
            <v>Warehouse deals</v>
          </cell>
          <cell r="AD1247" t="str">
            <v>Warehouse Deals</v>
          </cell>
          <cell r="AE1247" t="str">
            <v>Warehouse deals</v>
          </cell>
          <cell r="AF1247" t="str">
            <v>Thursday</v>
          </cell>
          <cell r="AG1247" t="str">
            <v>Friday</v>
          </cell>
          <cell r="AH1247">
            <v>32</v>
          </cell>
          <cell r="AJ1247">
            <v>46047</v>
          </cell>
          <cell r="AM1247" t="str">
            <v>TEMP</v>
          </cell>
          <cell r="AN1247" t="str">
            <v>3P Onsite Worker</v>
          </cell>
          <cell r="AO1247" t="str">
            <v>A</v>
          </cell>
          <cell r="AP1247">
            <v>9</v>
          </cell>
          <cell r="AQ1247">
            <v>0</v>
          </cell>
          <cell r="AR1247">
            <v>1</v>
          </cell>
          <cell r="AS1247">
            <v>1</v>
          </cell>
          <cell r="AT1247">
            <v>0</v>
          </cell>
          <cell r="AU1247">
            <v>0</v>
          </cell>
        </row>
        <row r="1248">
          <cell r="D1248" t="str">
            <v>agyeklin</v>
          </cell>
          <cell r="E1248">
            <v>206200811</v>
          </cell>
          <cell r="F1248" t="str">
            <v>A</v>
          </cell>
          <cell r="G1248" t="str">
            <v>GREEN</v>
          </cell>
          <cell r="H1248" t="str">
            <v>FULL_TIME</v>
          </cell>
          <cell r="I1248">
            <v>900234</v>
          </cell>
          <cell r="J1248" t="str">
            <v>Fastlink Outsourcing</v>
          </cell>
          <cell r="K1248" t="str">
            <v>KLINSMAN AGYEI</v>
          </cell>
          <cell r="L1248" t="str">
            <v>Warehouse Associate (TEMP)</v>
          </cell>
          <cell r="M1248" t="str">
            <v>Warehouse Associate 8W</v>
          </cell>
          <cell r="N1248" t="str">
            <v>helrashd</v>
          </cell>
          <cell r="O1248">
            <v>1299</v>
          </cell>
          <cell r="P1248" t="str">
            <v>AUH1</v>
          </cell>
          <cell r="Q1248" t="str">
            <v>ARE</v>
          </cell>
          <cell r="R1248" t="str">
            <v>FC559</v>
          </cell>
          <cell r="S1248" t="str">
            <v>Night Shift</v>
          </cell>
          <cell r="T1248">
            <v>99</v>
          </cell>
          <cell r="U1248" t="str">
            <v>MENA_UAE_FC</v>
          </cell>
          <cell r="W1248">
            <v>46257.756944444445</v>
          </cell>
          <cell r="X1248">
            <v>46257.333333333336</v>
          </cell>
          <cell r="Y1248">
            <v>46257.75</v>
          </cell>
          <cell r="AA1248" t="str">
            <v>Scheduled</v>
          </cell>
          <cell r="AB1248" t="str">
            <v>Not Present</v>
          </cell>
          <cell r="AC1248" t="str">
            <v>Outbound</v>
          </cell>
          <cell r="AD1248" t="str">
            <v>Picking</v>
          </cell>
          <cell r="AE1248" t="str">
            <v>Pick</v>
          </cell>
          <cell r="AF1248" t="str">
            <v>Saturday</v>
          </cell>
          <cell r="AG1248" t="str">
            <v>Sunday</v>
          </cell>
          <cell r="AH1248">
            <v>13</v>
          </cell>
          <cell r="AJ1248">
            <v>46225</v>
          </cell>
          <cell r="AM1248" t="str">
            <v>TEMP</v>
          </cell>
          <cell r="AN1248" t="str">
            <v>3P Onsite Worker</v>
          </cell>
          <cell r="AO1248" t="str">
            <v>A</v>
          </cell>
          <cell r="AP1248">
            <v>9</v>
          </cell>
          <cell r="AQ1248">
            <v>0</v>
          </cell>
          <cell r="AR1248">
            <v>0</v>
          </cell>
          <cell r="AS1248">
            <v>1</v>
          </cell>
          <cell r="AT1248">
            <v>0</v>
          </cell>
          <cell r="AU1248">
            <v>1</v>
          </cell>
        </row>
        <row r="1249">
          <cell r="D1249" t="str">
            <v>ahabwebi</v>
          </cell>
          <cell r="E1249">
            <v>203908328</v>
          </cell>
          <cell r="F1249" t="str">
            <v>A</v>
          </cell>
          <cell r="G1249" t="str">
            <v>GREEN</v>
          </cell>
          <cell r="H1249" t="str">
            <v>FULL_TIME</v>
          </cell>
          <cell r="I1249">
            <v>900234</v>
          </cell>
          <cell r="J1249" t="str">
            <v>Dulsco L.L.C.</v>
          </cell>
          <cell r="K1249" t="str">
            <v>BISMARK AHABWE</v>
          </cell>
          <cell r="L1249" t="str">
            <v>Warehouse Associate (TEMP)</v>
          </cell>
          <cell r="M1249" t="str">
            <v>Warehouse Associate 8W</v>
          </cell>
          <cell r="N1249" t="str">
            <v>ansammar</v>
          </cell>
          <cell r="O1249">
            <v>1299</v>
          </cell>
          <cell r="P1249" t="str">
            <v>AUH1</v>
          </cell>
          <cell r="Q1249" t="str">
            <v>ARE</v>
          </cell>
          <cell r="R1249" t="str">
            <v>FC134</v>
          </cell>
          <cell r="S1249" t="str">
            <v>Day Shift</v>
          </cell>
          <cell r="T1249">
            <v>99</v>
          </cell>
          <cell r="U1249" t="str">
            <v>MENA_UAE_FC</v>
          </cell>
          <cell r="X1249">
            <v>46257.333333333336</v>
          </cell>
          <cell r="Y1249">
            <v>46257.75</v>
          </cell>
          <cell r="AA1249" t="str">
            <v>Scheduled</v>
          </cell>
          <cell r="AB1249" t="str">
            <v>Not Present</v>
          </cell>
          <cell r="AC1249" t="str">
            <v>Outbound</v>
          </cell>
          <cell r="AD1249" t="str">
            <v>Picking</v>
          </cell>
          <cell r="AE1249" t="str">
            <v>Pick</v>
          </cell>
          <cell r="AF1249" t="str">
            <v>Wednesday</v>
          </cell>
          <cell r="AG1249" t="str">
            <v>Thursday</v>
          </cell>
          <cell r="AH1249">
            <v>13</v>
          </cell>
          <cell r="AJ1249">
            <v>45536</v>
          </cell>
          <cell r="AM1249" t="str">
            <v>TEMP</v>
          </cell>
          <cell r="AN1249" t="str">
            <v>3P Onsite Worker</v>
          </cell>
          <cell r="AO1249" t="str">
            <v>A</v>
          </cell>
          <cell r="AP1249">
            <v>9</v>
          </cell>
          <cell r="AQ1249">
            <v>0</v>
          </cell>
          <cell r="AR1249">
            <v>0</v>
          </cell>
          <cell r="AS1249">
            <v>1</v>
          </cell>
          <cell r="AT1249">
            <v>0</v>
          </cell>
          <cell r="AU1249">
            <v>1</v>
          </cell>
        </row>
        <row r="1250">
          <cell r="D1250" t="str">
            <v>alusikor</v>
          </cell>
          <cell r="E1250">
            <v>205477618</v>
          </cell>
          <cell r="F1250" t="str">
            <v>A</v>
          </cell>
          <cell r="G1250" t="str">
            <v>GREEN</v>
          </cell>
          <cell r="H1250" t="str">
            <v>FULL_TIME</v>
          </cell>
          <cell r="I1250">
            <v>900234</v>
          </cell>
          <cell r="J1250" t="str">
            <v>Dulsco L.L.C.</v>
          </cell>
          <cell r="K1250" t="str">
            <v>ALUSINE KOROMA</v>
          </cell>
          <cell r="L1250" t="str">
            <v>Warehouse Associate (TEMP)</v>
          </cell>
          <cell r="M1250" t="str">
            <v>Warehouse Associate 24M</v>
          </cell>
          <cell r="N1250" t="str">
            <v>abbaszoo</v>
          </cell>
          <cell r="O1250">
            <v>1299</v>
          </cell>
          <cell r="P1250" t="str">
            <v>AUH1</v>
          </cell>
          <cell r="Q1250" t="str">
            <v>ARE</v>
          </cell>
          <cell r="R1250" t="str">
            <v>FC159</v>
          </cell>
          <cell r="S1250" t="str">
            <v>Day Shift</v>
          </cell>
          <cell r="T1250">
            <v>99</v>
          </cell>
          <cell r="U1250" t="str">
            <v>MENA_UAE_FC</v>
          </cell>
          <cell r="X1250">
            <v>46257.333333333336</v>
          </cell>
          <cell r="Y1250">
            <v>46257.75</v>
          </cell>
          <cell r="AA1250" t="str">
            <v>Scheduled</v>
          </cell>
          <cell r="AB1250" t="str">
            <v>Not Present</v>
          </cell>
          <cell r="AC1250" t="str">
            <v>Inbound</v>
          </cell>
          <cell r="AD1250" t="str">
            <v>Receive Dock</v>
          </cell>
          <cell r="AE1250" t="str">
            <v>Receive</v>
          </cell>
          <cell r="AF1250" t="str">
            <v>Thursday</v>
          </cell>
          <cell r="AG1250" t="str">
            <v>Friday</v>
          </cell>
          <cell r="AH1250">
            <v>2</v>
          </cell>
          <cell r="AJ1250">
            <v>45830</v>
          </cell>
          <cell r="AM1250" t="str">
            <v>TEMP</v>
          </cell>
          <cell r="AN1250" t="str">
            <v>3P Onsite Worker</v>
          </cell>
          <cell r="AO1250" t="str">
            <v>A</v>
          </cell>
          <cell r="AP1250">
            <v>9</v>
          </cell>
          <cell r="AQ1250">
            <v>0</v>
          </cell>
          <cell r="AR1250">
            <v>0</v>
          </cell>
          <cell r="AS1250">
            <v>1</v>
          </cell>
          <cell r="AT1250">
            <v>0</v>
          </cell>
          <cell r="AU1250">
            <v>1</v>
          </cell>
        </row>
        <row r="1251">
          <cell r="D1251" t="str">
            <v>ashiegbi</v>
          </cell>
          <cell r="E1251">
            <v>203881601</v>
          </cell>
          <cell r="F1251" t="str">
            <v>A</v>
          </cell>
          <cell r="G1251" t="str">
            <v>GREEN</v>
          </cell>
          <cell r="H1251" t="str">
            <v>FULL_TIME</v>
          </cell>
          <cell r="I1251">
            <v>900234</v>
          </cell>
          <cell r="J1251" t="str">
            <v>Fastlink Outsourcing</v>
          </cell>
          <cell r="K1251" t="str">
            <v>Clemence Ashiegbi</v>
          </cell>
          <cell r="L1251" t="str">
            <v>Warehouse Associate (TEMP)</v>
          </cell>
          <cell r="M1251" t="str">
            <v>Warehouse Associate 12M</v>
          </cell>
          <cell r="N1251" t="str">
            <v>pparsin</v>
          </cell>
          <cell r="O1251">
            <v>1299</v>
          </cell>
          <cell r="P1251" t="str">
            <v>AUH1</v>
          </cell>
          <cell r="Q1251" t="str">
            <v>ARE</v>
          </cell>
          <cell r="R1251" t="str">
            <v>FC159</v>
          </cell>
          <cell r="S1251" t="str">
            <v>Day Shift</v>
          </cell>
          <cell r="T1251">
            <v>99</v>
          </cell>
          <cell r="U1251" t="str">
            <v>MENA_UAE_FC</v>
          </cell>
          <cell r="X1251">
            <v>46257.333333333336</v>
          </cell>
          <cell r="Y1251">
            <v>46257.75</v>
          </cell>
          <cell r="AA1251" t="str">
            <v>Scheduled</v>
          </cell>
          <cell r="AB1251" t="str">
            <v>Not Present</v>
          </cell>
          <cell r="AC1251" t="str">
            <v>Inbound</v>
          </cell>
          <cell r="AD1251" t="str">
            <v>Inbound Stow</v>
          </cell>
          <cell r="AE1251" t="str">
            <v>Stow</v>
          </cell>
          <cell r="AF1251" t="str">
            <v>Thursday</v>
          </cell>
          <cell r="AG1251" t="str">
            <v>Friday</v>
          </cell>
          <cell r="AH1251">
            <v>3</v>
          </cell>
          <cell r="AJ1251">
            <v>45529</v>
          </cell>
          <cell r="AM1251" t="str">
            <v>TEMP</v>
          </cell>
          <cell r="AN1251" t="str">
            <v>3P Onsite Worker</v>
          </cell>
          <cell r="AO1251" t="str">
            <v>A</v>
          </cell>
          <cell r="AP1251">
            <v>9</v>
          </cell>
          <cell r="AQ1251">
            <v>0</v>
          </cell>
          <cell r="AR1251">
            <v>0</v>
          </cell>
          <cell r="AS1251">
            <v>1</v>
          </cell>
          <cell r="AT1251">
            <v>0</v>
          </cell>
          <cell r="AU1251">
            <v>1</v>
          </cell>
        </row>
        <row r="1252">
          <cell r="D1252" t="str">
            <v>chepkodf</v>
          </cell>
          <cell r="E1252">
            <v>205647827</v>
          </cell>
          <cell r="F1252" t="str">
            <v>A</v>
          </cell>
          <cell r="G1252" t="str">
            <v>GREEN</v>
          </cell>
          <cell r="H1252" t="str">
            <v>FULL_TIME</v>
          </cell>
          <cell r="I1252">
            <v>900234</v>
          </cell>
          <cell r="J1252" t="str">
            <v>EFS Facilities Services</v>
          </cell>
          <cell r="K1252" t="str">
            <v>Faith Chepkosgei</v>
          </cell>
          <cell r="L1252" t="str">
            <v>Warehouse Associate (TEMP)</v>
          </cell>
          <cell r="M1252" t="str">
            <v>Warehouse Associate 8W</v>
          </cell>
          <cell r="N1252" t="str">
            <v>aanso</v>
          </cell>
          <cell r="O1252">
            <v>1299</v>
          </cell>
          <cell r="P1252" t="str">
            <v>AUH1</v>
          </cell>
          <cell r="Q1252" t="str">
            <v>ARE</v>
          </cell>
          <cell r="R1252" t="str">
            <v>LK015</v>
          </cell>
          <cell r="S1252" t="str">
            <v>Night Shift</v>
          </cell>
          <cell r="T1252">
            <v>99</v>
          </cell>
          <cell r="U1252" t="str">
            <v>MENA_UAE_FC</v>
          </cell>
          <cell r="X1252">
            <v>46257.756944444445</v>
          </cell>
          <cell r="Y1252">
            <v>46258.173611111109</v>
          </cell>
          <cell r="AA1252" t="str">
            <v>Scheduled</v>
          </cell>
          <cell r="AB1252" t="str">
            <v>Not Present</v>
          </cell>
          <cell r="AC1252" t="str">
            <v>Customer returns</v>
          </cell>
          <cell r="AD1252" t="str">
            <v>Customer Returns</v>
          </cell>
          <cell r="AE1252" t="str">
            <v>Customer returns</v>
          </cell>
          <cell r="AF1252" t="str">
            <v>Tuesday</v>
          </cell>
          <cell r="AG1252" t="str">
            <v>Wednesday</v>
          </cell>
          <cell r="AH1252">
            <v>22</v>
          </cell>
          <cell r="AJ1252">
            <v>45851</v>
          </cell>
          <cell r="AM1252" t="str">
            <v>TEMP</v>
          </cell>
          <cell r="AN1252" t="str">
            <v>3P Onsite Worker</v>
          </cell>
          <cell r="AO1252" t="str">
            <v>A</v>
          </cell>
          <cell r="AP1252">
            <v>9</v>
          </cell>
          <cell r="AQ1252">
            <v>0</v>
          </cell>
          <cell r="AR1252">
            <v>0</v>
          </cell>
          <cell r="AS1252">
            <v>1</v>
          </cell>
          <cell r="AT1252">
            <v>0</v>
          </cell>
          <cell r="AU1252">
            <v>1</v>
          </cell>
        </row>
        <row r="1253">
          <cell r="D1253" t="str">
            <v>chkwinni</v>
          </cell>
          <cell r="E1253">
            <v>206192237</v>
          </cell>
          <cell r="F1253" t="str">
            <v>A</v>
          </cell>
          <cell r="G1253" t="str">
            <v>GREEN</v>
          </cell>
          <cell r="H1253" t="str">
            <v>FULL_TIME</v>
          </cell>
          <cell r="I1253">
            <v>900234</v>
          </cell>
          <cell r="J1253" t="str">
            <v>EFS Facilities Services</v>
          </cell>
          <cell r="K1253" t="str">
            <v>Winnie Chepchirchir</v>
          </cell>
          <cell r="L1253" t="str">
            <v>Warehouse Associate (TEMP)</v>
          </cell>
          <cell r="M1253" t="str">
            <v>Warehouse Associate 8W</v>
          </cell>
          <cell r="N1253" t="str">
            <v>bizthoma</v>
          </cell>
          <cell r="O1253">
            <v>1299</v>
          </cell>
          <cell r="P1253" t="str">
            <v>AUH1</v>
          </cell>
          <cell r="Q1253" t="str">
            <v>ARE</v>
          </cell>
          <cell r="R1253" t="str">
            <v>FC555</v>
          </cell>
          <cell r="S1253" t="str">
            <v>Night Shift</v>
          </cell>
          <cell r="T1253">
            <v>99</v>
          </cell>
          <cell r="U1253" t="str">
            <v>MENA_UAE_FC</v>
          </cell>
          <cell r="X1253">
            <v>46257.756944444445</v>
          </cell>
          <cell r="Y1253">
            <v>46258.090277777781</v>
          </cell>
          <cell r="AA1253" t="str">
            <v>Scheduled</v>
          </cell>
          <cell r="AB1253" t="str">
            <v>Not Present</v>
          </cell>
          <cell r="AC1253" t="str">
            <v>Outbound</v>
          </cell>
          <cell r="AD1253" t="str">
            <v>Picking</v>
          </cell>
          <cell r="AE1253" t="str">
            <v>Pick</v>
          </cell>
          <cell r="AF1253" t="str">
            <v>Monday</v>
          </cell>
          <cell r="AG1253" t="str">
            <v>Tuesday</v>
          </cell>
          <cell r="AH1253">
            <v>13</v>
          </cell>
          <cell r="AJ1253">
            <v>46225</v>
          </cell>
          <cell r="AM1253" t="str">
            <v>TEMP</v>
          </cell>
          <cell r="AN1253" t="str">
            <v>3P Onsite Worker</v>
          </cell>
          <cell r="AO1253" t="str">
            <v>A</v>
          </cell>
          <cell r="AP1253">
            <v>7</v>
          </cell>
          <cell r="AQ1253">
            <v>0</v>
          </cell>
          <cell r="AR1253">
            <v>0</v>
          </cell>
          <cell r="AS1253">
            <v>1</v>
          </cell>
          <cell r="AT1253">
            <v>0</v>
          </cell>
          <cell r="AU1253">
            <v>1</v>
          </cell>
        </row>
        <row r="1254">
          <cell r="D1254" t="str">
            <v>chucopet</v>
          </cell>
          <cell r="E1254">
            <v>205271087</v>
          </cell>
          <cell r="F1254" t="str">
            <v>A</v>
          </cell>
          <cell r="G1254" t="str">
            <v>GREEN</v>
          </cell>
          <cell r="H1254" t="str">
            <v>REDUCED</v>
          </cell>
          <cell r="I1254">
            <v>900234</v>
          </cell>
          <cell r="J1254" t="str">
            <v>EFS Facilities Services</v>
          </cell>
          <cell r="K1254" t="str">
            <v>Peter Njoroge Chuchi</v>
          </cell>
          <cell r="L1254" t="str">
            <v>Warehouse Associate (TEMP)</v>
          </cell>
          <cell r="M1254" t="str">
            <v>Warehouse Associate 8W</v>
          </cell>
          <cell r="N1254" t="str">
            <v>ansammar</v>
          </cell>
          <cell r="O1254">
            <v>1299</v>
          </cell>
          <cell r="P1254" t="str">
            <v>AUH1</v>
          </cell>
          <cell r="Q1254" t="str">
            <v>ARE</v>
          </cell>
          <cell r="R1254" t="str">
            <v>FC558</v>
          </cell>
          <cell r="S1254" t="str">
            <v>Night Shift</v>
          </cell>
          <cell r="T1254">
            <v>99</v>
          </cell>
          <cell r="U1254" t="str">
            <v>MENA_UAE_FC</v>
          </cell>
          <cell r="X1254">
            <v>46257.756944444445</v>
          </cell>
          <cell r="Y1254">
            <v>46258.090277777781</v>
          </cell>
          <cell r="AA1254" t="str">
            <v>Scheduled</v>
          </cell>
          <cell r="AB1254" t="str">
            <v>Not Present</v>
          </cell>
          <cell r="AC1254" t="str">
            <v>Outbound</v>
          </cell>
          <cell r="AD1254" t="str">
            <v>Picking</v>
          </cell>
          <cell r="AE1254" t="str">
            <v>Pick</v>
          </cell>
          <cell r="AF1254" t="str">
            <v>Thursday</v>
          </cell>
          <cell r="AG1254" t="str">
            <v>Friday</v>
          </cell>
          <cell r="AH1254">
            <v>13</v>
          </cell>
          <cell r="AJ1254">
            <v>46246</v>
          </cell>
          <cell r="AM1254" t="str">
            <v>TEMP</v>
          </cell>
          <cell r="AN1254" t="str">
            <v>3P Onsite Worker</v>
          </cell>
          <cell r="AO1254" t="str">
            <v>A</v>
          </cell>
          <cell r="AP1254">
            <v>7</v>
          </cell>
          <cell r="AQ1254">
            <v>0</v>
          </cell>
          <cell r="AR1254">
            <v>0</v>
          </cell>
          <cell r="AS1254">
            <v>1</v>
          </cell>
          <cell r="AT1254">
            <v>0</v>
          </cell>
          <cell r="AU1254">
            <v>1</v>
          </cell>
        </row>
        <row r="1255">
          <cell r="D1255" t="str">
            <v>damatile</v>
          </cell>
          <cell r="E1255">
            <v>205133785</v>
          </cell>
          <cell r="F1255" t="str">
            <v>A</v>
          </cell>
          <cell r="G1255" t="str">
            <v>GREEN</v>
          </cell>
          <cell r="H1255" t="str">
            <v>FULL_TIME</v>
          </cell>
          <cell r="I1255">
            <v>900234</v>
          </cell>
          <cell r="J1255" t="str">
            <v>EFS Facilities Services</v>
          </cell>
          <cell r="K1255" t="str">
            <v>Tilesh Damai</v>
          </cell>
          <cell r="L1255" t="str">
            <v>Warehouse Associate (TEMP)</v>
          </cell>
          <cell r="M1255" t="str">
            <v>Warehouse Associate 12M</v>
          </cell>
          <cell r="N1255" t="str">
            <v>scariav</v>
          </cell>
          <cell r="O1255">
            <v>1299</v>
          </cell>
          <cell r="P1255" t="str">
            <v>AUH1</v>
          </cell>
          <cell r="Q1255" t="str">
            <v>ARE</v>
          </cell>
          <cell r="R1255" t="str">
            <v>LK017</v>
          </cell>
          <cell r="S1255" t="str">
            <v>Night Shift</v>
          </cell>
          <cell r="T1255">
            <v>99</v>
          </cell>
          <cell r="U1255" t="str">
            <v>MENA_UAE_FC</v>
          </cell>
          <cell r="X1255">
            <v>46257.756944444445</v>
          </cell>
          <cell r="Y1255">
            <v>46258.173611111109</v>
          </cell>
          <cell r="AA1255" t="str">
            <v>Scheduled</v>
          </cell>
          <cell r="AB1255" t="str">
            <v>Not Present</v>
          </cell>
          <cell r="AC1255" t="str">
            <v>Outbound</v>
          </cell>
          <cell r="AD1255" t="str">
            <v>Picking</v>
          </cell>
          <cell r="AE1255" t="str">
            <v>Pick</v>
          </cell>
          <cell r="AF1255" t="str">
            <v>Thursday</v>
          </cell>
          <cell r="AG1255" t="str">
            <v>Friday</v>
          </cell>
          <cell r="AH1255">
            <v>13</v>
          </cell>
          <cell r="AJ1255">
            <v>45756</v>
          </cell>
          <cell r="AM1255" t="str">
            <v>TEMP</v>
          </cell>
          <cell r="AN1255" t="str">
            <v>3P Onsite Worker</v>
          </cell>
          <cell r="AO1255" t="str">
            <v>A</v>
          </cell>
          <cell r="AP1255">
            <v>9</v>
          </cell>
          <cell r="AQ1255">
            <v>0</v>
          </cell>
          <cell r="AR1255">
            <v>0</v>
          </cell>
          <cell r="AS1255">
            <v>1</v>
          </cell>
          <cell r="AT1255">
            <v>0</v>
          </cell>
          <cell r="AU1255">
            <v>1</v>
          </cell>
        </row>
        <row r="1256">
          <cell r="D1256" t="str">
            <v>douglakw</v>
          </cell>
          <cell r="E1256">
            <v>204882814</v>
          </cell>
          <cell r="F1256" t="str">
            <v>A</v>
          </cell>
          <cell r="G1256" t="str">
            <v>GREEN</v>
          </cell>
          <cell r="H1256" t="str">
            <v>FULL_TIME</v>
          </cell>
          <cell r="I1256">
            <v>900234</v>
          </cell>
          <cell r="J1256" t="str">
            <v>Dulsco L.L.C.</v>
          </cell>
          <cell r="K1256" t="str">
            <v>DOUGLAS KWAYIE</v>
          </cell>
          <cell r="L1256" t="str">
            <v>Warehouse Associate (TEMP)</v>
          </cell>
          <cell r="M1256" t="str">
            <v>Warehouse Associate 24M</v>
          </cell>
          <cell r="N1256" t="str">
            <v>bizthoma</v>
          </cell>
          <cell r="O1256">
            <v>1299</v>
          </cell>
          <cell r="P1256" t="str">
            <v>AUH1</v>
          </cell>
          <cell r="Q1256" t="str">
            <v>ARE</v>
          </cell>
          <cell r="R1256" t="str">
            <v>LK015</v>
          </cell>
          <cell r="S1256" t="str">
            <v>Night Shift</v>
          </cell>
          <cell r="T1256">
            <v>99</v>
          </cell>
          <cell r="U1256" t="str">
            <v>MENA_UAE_FC</v>
          </cell>
          <cell r="X1256">
            <v>46257.756944444445</v>
          </cell>
          <cell r="Y1256">
            <v>46258.173611111109</v>
          </cell>
          <cell r="AA1256" t="str">
            <v>Scheduled</v>
          </cell>
          <cell r="AB1256" t="str">
            <v>Not Present</v>
          </cell>
          <cell r="AC1256" t="str">
            <v>Outbound</v>
          </cell>
          <cell r="AD1256" t="str">
            <v>Picking</v>
          </cell>
          <cell r="AE1256" t="str">
            <v>Pick</v>
          </cell>
          <cell r="AF1256" t="str">
            <v>Tuesday</v>
          </cell>
          <cell r="AG1256" t="str">
            <v>Wednesday</v>
          </cell>
          <cell r="AH1256">
            <v>13</v>
          </cell>
          <cell r="AJ1256">
            <v>45690</v>
          </cell>
          <cell r="AM1256" t="str">
            <v>TEMP</v>
          </cell>
          <cell r="AN1256" t="str">
            <v>3P Onsite Worker</v>
          </cell>
          <cell r="AO1256" t="str">
            <v>A</v>
          </cell>
          <cell r="AP1256">
            <v>9</v>
          </cell>
          <cell r="AQ1256">
            <v>0</v>
          </cell>
          <cell r="AR1256">
            <v>0</v>
          </cell>
          <cell r="AS1256">
            <v>1</v>
          </cell>
          <cell r="AT1256">
            <v>0</v>
          </cell>
          <cell r="AU1256">
            <v>1</v>
          </cell>
        </row>
        <row r="1257">
          <cell r="D1257" t="str">
            <v>fsarckoh</v>
          </cell>
          <cell r="E1257">
            <v>206239524</v>
          </cell>
          <cell r="F1257" t="str">
            <v>A</v>
          </cell>
          <cell r="G1257" t="str">
            <v>GREEN</v>
          </cell>
          <cell r="H1257" t="str">
            <v>FULL_TIME</v>
          </cell>
          <cell r="I1257">
            <v>900234</v>
          </cell>
          <cell r="J1257" t="str">
            <v>Fastlink Outsourcing</v>
          </cell>
          <cell r="K1257" t="str">
            <v>FATU F SARCKOH BONARWOLO</v>
          </cell>
          <cell r="L1257" t="str">
            <v>Warehouse Associate (TEMP)</v>
          </cell>
          <cell r="M1257" t="str">
            <v>Warehouse Associate 8W</v>
          </cell>
          <cell r="N1257" t="str">
            <v>scariav</v>
          </cell>
          <cell r="O1257">
            <v>1299</v>
          </cell>
          <cell r="P1257" t="str">
            <v>AUH1</v>
          </cell>
          <cell r="Q1257" t="str">
            <v>ARE</v>
          </cell>
          <cell r="R1257" t="str">
            <v>FC552</v>
          </cell>
          <cell r="S1257" t="str">
            <v>Night Shift</v>
          </cell>
          <cell r="T1257">
            <v>99</v>
          </cell>
          <cell r="U1257" t="str">
            <v>MENA_UAE_FC</v>
          </cell>
          <cell r="X1257">
            <v>46257.756944444445</v>
          </cell>
          <cell r="Y1257">
            <v>46258.090277777781</v>
          </cell>
          <cell r="AA1257" t="str">
            <v>Scheduled</v>
          </cell>
          <cell r="AB1257" t="str">
            <v>Not Present</v>
          </cell>
          <cell r="AF1257" t="str">
            <v>Friday</v>
          </cell>
          <cell r="AG1257" t="str">
            <v>Saturday</v>
          </cell>
          <cell r="AJ1257">
            <v>46237</v>
          </cell>
          <cell r="AM1257" t="str">
            <v>TEMP</v>
          </cell>
          <cell r="AN1257" t="str">
            <v>3P Onsite Worker</v>
          </cell>
          <cell r="AO1257" t="str">
            <v>A</v>
          </cell>
          <cell r="AP1257">
            <v>7</v>
          </cell>
          <cell r="AQ1257">
            <v>0</v>
          </cell>
          <cell r="AR1257">
            <v>0</v>
          </cell>
          <cell r="AS1257">
            <v>1</v>
          </cell>
          <cell r="AT1257">
            <v>0</v>
          </cell>
          <cell r="AU1257">
            <v>1</v>
          </cell>
        </row>
        <row r="1258">
          <cell r="D1258" t="str">
            <v>gamprosp</v>
          </cell>
          <cell r="E1258">
            <v>204246605</v>
          </cell>
          <cell r="F1258" t="str">
            <v>A</v>
          </cell>
          <cell r="G1258" t="str">
            <v>GREEN</v>
          </cell>
          <cell r="H1258" t="str">
            <v>FULL_TIME</v>
          </cell>
          <cell r="I1258">
            <v>900234</v>
          </cell>
          <cell r="J1258" t="str">
            <v>Quesscorp</v>
          </cell>
          <cell r="K1258" t="str">
            <v>Prosper Gamah</v>
          </cell>
          <cell r="L1258" t="str">
            <v>Warehouse Associate (TEMP)</v>
          </cell>
          <cell r="M1258" t="str">
            <v>Warehouse Associate 24M</v>
          </cell>
          <cell r="N1258" t="str">
            <v>vkkatyal</v>
          </cell>
          <cell r="O1258">
            <v>1299</v>
          </cell>
          <cell r="P1258" t="str">
            <v>AUH1</v>
          </cell>
          <cell r="Q1258" t="str">
            <v>ARE</v>
          </cell>
          <cell r="R1258" t="str">
            <v>FC084</v>
          </cell>
          <cell r="S1258" t="str">
            <v>Day Shift</v>
          </cell>
          <cell r="T1258">
            <v>99</v>
          </cell>
          <cell r="U1258" t="str">
            <v>MENA_UAE_FC</v>
          </cell>
          <cell r="X1258">
            <v>46257.333333333336</v>
          </cell>
          <cell r="Y1258">
            <v>46257.75</v>
          </cell>
          <cell r="AA1258" t="str">
            <v>Scheduled</v>
          </cell>
          <cell r="AB1258" t="str">
            <v>Not Present</v>
          </cell>
          <cell r="AC1258" t="str">
            <v>Inbound</v>
          </cell>
          <cell r="AD1258" t="str">
            <v>Replenishment</v>
          </cell>
          <cell r="AE1258" t="str">
            <v>Stow</v>
          </cell>
          <cell r="AF1258" t="str">
            <v>Monday</v>
          </cell>
          <cell r="AG1258" t="str">
            <v>Tuesday</v>
          </cell>
          <cell r="AH1258">
            <v>4</v>
          </cell>
          <cell r="AJ1258">
            <v>45578</v>
          </cell>
          <cell r="AM1258" t="str">
            <v>TEMP</v>
          </cell>
          <cell r="AN1258" t="str">
            <v>3P Onsite Worker</v>
          </cell>
          <cell r="AO1258" t="str">
            <v>A</v>
          </cell>
          <cell r="AP1258">
            <v>9</v>
          </cell>
          <cell r="AQ1258">
            <v>0</v>
          </cell>
          <cell r="AR1258">
            <v>0</v>
          </cell>
          <cell r="AS1258">
            <v>1</v>
          </cell>
          <cell r="AT1258">
            <v>0</v>
          </cell>
          <cell r="AU1258">
            <v>1</v>
          </cell>
        </row>
        <row r="1259">
          <cell r="D1259" t="str">
            <v>jaypeel</v>
          </cell>
          <cell r="E1259">
            <v>102582334</v>
          </cell>
          <cell r="F1259" t="str">
            <v>A</v>
          </cell>
          <cell r="G1259" t="str">
            <v>BLUE</v>
          </cell>
          <cell r="H1259" t="str">
            <v>FULL_TIME</v>
          </cell>
          <cell r="I1259" t="str">
            <v>P03251</v>
          </cell>
          <cell r="K1259" t="str">
            <v>Jaypee Lopez</v>
          </cell>
          <cell r="L1259" t="str">
            <v>FC Associate I</v>
          </cell>
          <cell r="M1259" t="str">
            <v>FC Associate I</v>
          </cell>
          <cell r="N1259" t="str">
            <v>bavameer</v>
          </cell>
          <cell r="O1259">
            <v>1299</v>
          </cell>
          <cell r="P1259" t="str">
            <v>AUH1</v>
          </cell>
          <cell r="Q1259" t="str">
            <v>ARE</v>
          </cell>
          <cell r="R1259" t="str">
            <v>FC009</v>
          </cell>
          <cell r="S1259" t="str">
            <v>Day Shift</v>
          </cell>
          <cell r="T1259">
            <v>1</v>
          </cell>
          <cell r="U1259" t="str">
            <v>MENA_UAE_FC</v>
          </cell>
          <cell r="X1259">
            <v>46257.333333333336</v>
          </cell>
          <cell r="Y1259">
            <v>46257.75</v>
          </cell>
          <cell r="AA1259" t="str">
            <v>Scheduled</v>
          </cell>
          <cell r="AB1259" t="str">
            <v>Not Present</v>
          </cell>
          <cell r="AC1259" t="str">
            <v>Customer returns</v>
          </cell>
          <cell r="AD1259" t="str">
            <v>Customer Returns</v>
          </cell>
          <cell r="AE1259" t="str">
            <v>Customer returns</v>
          </cell>
          <cell r="AF1259" t="str">
            <v>Friday</v>
          </cell>
          <cell r="AG1259" t="str">
            <v>Saturday</v>
          </cell>
          <cell r="AH1259">
            <v>22</v>
          </cell>
          <cell r="AJ1259">
            <v>42959</v>
          </cell>
          <cell r="AM1259" t="str">
            <v>FC</v>
          </cell>
          <cell r="AN1259" t="str">
            <v>Regular Full Time</v>
          </cell>
          <cell r="AO1259" t="str">
            <v>A</v>
          </cell>
          <cell r="AP1259">
            <v>9</v>
          </cell>
          <cell r="AQ1259">
            <v>0</v>
          </cell>
          <cell r="AR1259">
            <v>0</v>
          </cell>
          <cell r="AS1259">
            <v>1</v>
          </cell>
          <cell r="AT1259">
            <v>0</v>
          </cell>
          <cell r="AU1259">
            <v>1</v>
          </cell>
        </row>
        <row r="1260">
          <cell r="D1260" t="str">
            <v>joagyeku</v>
          </cell>
          <cell r="E1260">
            <v>203851007</v>
          </cell>
          <cell r="F1260" t="str">
            <v>A</v>
          </cell>
          <cell r="G1260" t="str">
            <v>GREEN</v>
          </cell>
          <cell r="H1260" t="str">
            <v>FULL_TIME</v>
          </cell>
          <cell r="I1260">
            <v>900234</v>
          </cell>
          <cell r="J1260" t="str">
            <v>Fastlink Outsourcing</v>
          </cell>
          <cell r="K1260" t="str">
            <v>Joseph Agyekum</v>
          </cell>
          <cell r="L1260" t="str">
            <v>Warehouse Associate (TEMP)</v>
          </cell>
          <cell r="M1260" t="str">
            <v>Warehouse Associate 12M</v>
          </cell>
          <cell r="N1260" t="str">
            <v>nnahla</v>
          </cell>
          <cell r="O1260">
            <v>1299</v>
          </cell>
          <cell r="P1260" t="str">
            <v>AUH1</v>
          </cell>
          <cell r="Q1260" t="str">
            <v>ARE</v>
          </cell>
          <cell r="R1260" t="str">
            <v>FC109</v>
          </cell>
          <cell r="S1260" t="str">
            <v>Day Shift</v>
          </cell>
          <cell r="T1260">
            <v>99</v>
          </cell>
          <cell r="U1260" t="str">
            <v>MENA_UAE_FC</v>
          </cell>
          <cell r="X1260">
            <v>46257.333333333336</v>
          </cell>
          <cell r="Y1260">
            <v>46257.75</v>
          </cell>
          <cell r="AA1260" t="str">
            <v>Scheduled</v>
          </cell>
          <cell r="AB1260" t="str">
            <v>Not Present</v>
          </cell>
          <cell r="AC1260" t="str">
            <v>Inbound</v>
          </cell>
          <cell r="AD1260" t="str">
            <v>Vendor Receive</v>
          </cell>
          <cell r="AE1260" t="str">
            <v>Receive</v>
          </cell>
          <cell r="AF1260" t="str">
            <v>Tuesday</v>
          </cell>
          <cell r="AG1260" t="str">
            <v>Wednesday</v>
          </cell>
          <cell r="AH1260">
            <v>1</v>
          </cell>
          <cell r="AJ1260">
            <v>45523</v>
          </cell>
          <cell r="AM1260" t="str">
            <v>TEMP</v>
          </cell>
          <cell r="AN1260" t="str">
            <v>3P Onsite Worker</v>
          </cell>
          <cell r="AO1260" t="str">
            <v>A</v>
          </cell>
          <cell r="AP1260">
            <v>9</v>
          </cell>
          <cell r="AQ1260">
            <v>0</v>
          </cell>
          <cell r="AR1260">
            <v>0</v>
          </cell>
          <cell r="AS1260">
            <v>1</v>
          </cell>
          <cell r="AT1260">
            <v>0</v>
          </cell>
          <cell r="AU1260">
            <v>1</v>
          </cell>
        </row>
        <row r="1261">
          <cell r="D1261" t="str">
            <v>joakhili</v>
          </cell>
          <cell r="E1261">
            <v>203965006</v>
          </cell>
          <cell r="F1261" t="str">
            <v>A</v>
          </cell>
          <cell r="G1261" t="str">
            <v>GREEN</v>
          </cell>
          <cell r="H1261" t="str">
            <v>FULL_TIME</v>
          </cell>
          <cell r="I1261">
            <v>900234</v>
          </cell>
          <cell r="J1261" t="str">
            <v>Adecco</v>
          </cell>
          <cell r="K1261" t="str">
            <v>Akhil Joy</v>
          </cell>
          <cell r="L1261" t="str">
            <v>Warehouse Associate (TEMP)</v>
          </cell>
          <cell r="M1261" t="str">
            <v>Warehouse Associate 24M</v>
          </cell>
          <cell r="N1261" t="str">
            <v>bizthoma</v>
          </cell>
          <cell r="O1261">
            <v>1299</v>
          </cell>
          <cell r="P1261" t="str">
            <v>AUH1</v>
          </cell>
          <cell r="Q1261" t="str">
            <v>ARE</v>
          </cell>
          <cell r="R1261" t="str">
            <v>LK014</v>
          </cell>
          <cell r="S1261" t="str">
            <v>Night Shift</v>
          </cell>
          <cell r="T1261">
            <v>99</v>
          </cell>
          <cell r="U1261" t="str">
            <v>MENA_UAE_FC</v>
          </cell>
          <cell r="X1261">
            <v>46257.756944444445</v>
          </cell>
          <cell r="Y1261">
            <v>46258.173611111109</v>
          </cell>
          <cell r="AA1261" t="str">
            <v>Scheduled</v>
          </cell>
          <cell r="AB1261" t="str">
            <v>Not Present</v>
          </cell>
          <cell r="AC1261" t="str">
            <v>Outbound</v>
          </cell>
          <cell r="AD1261" t="str">
            <v>Picking</v>
          </cell>
          <cell r="AE1261" t="str">
            <v>Pick</v>
          </cell>
          <cell r="AF1261" t="str">
            <v>Monday</v>
          </cell>
          <cell r="AG1261" t="str">
            <v>Tuesday</v>
          </cell>
          <cell r="AH1261">
            <v>13</v>
          </cell>
          <cell r="AJ1261">
            <v>45543</v>
          </cell>
          <cell r="AM1261" t="str">
            <v>TEMP</v>
          </cell>
          <cell r="AN1261" t="str">
            <v>3P Onsite Worker</v>
          </cell>
          <cell r="AO1261" t="str">
            <v>A</v>
          </cell>
          <cell r="AP1261">
            <v>9</v>
          </cell>
          <cell r="AQ1261">
            <v>0</v>
          </cell>
          <cell r="AR1261">
            <v>0</v>
          </cell>
          <cell r="AS1261">
            <v>1</v>
          </cell>
          <cell r="AT1261">
            <v>0</v>
          </cell>
          <cell r="AU1261">
            <v>1</v>
          </cell>
        </row>
        <row r="1262">
          <cell r="D1262" t="str">
            <v>kamorash</v>
          </cell>
          <cell r="E1262">
            <v>113433097</v>
          </cell>
          <cell r="F1262" t="str">
            <v>A</v>
          </cell>
          <cell r="G1262" t="str">
            <v>GREEN</v>
          </cell>
          <cell r="H1262" t="str">
            <v>FULL_TIME</v>
          </cell>
          <cell r="I1262">
            <v>900234</v>
          </cell>
          <cell r="J1262" t="str">
            <v>Adecco</v>
          </cell>
          <cell r="K1262" t="str">
            <v>MORAS. KAMAL..</v>
          </cell>
          <cell r="L1262" t="str">
            <v>Warehouse Associate (TEMP)</v>
          </cell>
          <cell r="M1262" t="str">
            <v>Warehouse Associate 24M</v>
          </cell>
          <cell r="N1262" t="str">
            <v>mnarshad</v>
          </cell>
          <cell r="O1262">
            <v>1299</v>
          </cell>
          <cell r="P1262" t="str">
            <v>AUH1</v>
          </cell>
          <cell r="Q1262" t="str">
            <v>ARE</v>
          </cell>
          <cell r="R1262" t="str">
            <v>FC109</v>
          </cell>
          <cell r="S1262" t="str">
            <v>Day Shift</v>
          </cell>
          <cell r="T1262">
            <v>99</v>
          </cell>
          <cell r="U1262" t="str">
            <v>MENA_UAE_FC</v>
          </cell>
          <cell r="X1262">
            <v>46257.333333333336</v>
          </cell>
          <cell r="Y1262">
            <v>46257.75</v>
          </cell>
          <cell r="AA1262" t="str">
            <v>Scheduled</v>
          </cell>
          <cell r="AB1262" t="str">
            <v>Not Present</v>
          </cell>
          <cell r="AC1262" t="str">
            <v>Outbound</v>
          </cell>
          <cell r="AD1262" t="str">
            <v>Picking</v>
          </cell>
          <cell r="AE1262" t="str">
            <v>Pick</v>
          </cell>
          <cell r="AF1262" t="str">
            <v>Tuesday</v>
          </cell>
          <cell r="AG1262" t="str">
            <v>Wednesday</v>
          </cell>
          <cell r="AH1262">
            <v>13</v>
          </cell>
          <cell r="AJ1262">
            <v>45536</v>
          </cell>
          <cell r="AM1262" t="str">
            <v>TEMP</v>
          </cell>
          <cell r="AN1262" t="str">
            <v>3P Onsite Worker</v>
          </cell>
          <cell r="AO1262" t="str">
            <v>A</v>
          </cell>
          <cell r="AP1262">
            <v>9</v>
          </cell>
          <cell r="AQ1262">
            <v>0</v>
          </cell>
          <cell r="AR1262">
            <v>0</v>
          </cell>
          <cell r="AS1262">
            <v>1</v>
          </cell>
          <cell r="AT1262">
            <v>0</v>
          </cell>
          <cell r="AU1262">
            <v>1</v>
          </cell>
        </row>
        <row r="1263">
          <cell r="D1263" t="str">
            <v>lmathewt</v>
          </cell>
          <cell r="E1263">
            <v>203964997</v>
          </cell>
          <cell r="F1263" t="str">
            <v>A</v>
          </cell>
          <cell r="G1263" t="str">
            <v>GREEN</v>
          </cell>
          <cell r="H1263" t="str">
            <v>FULL_TIME</v>
          </cell>
          <cell r="I1263">
            <v>900234</v>
          </cell>
          <cell r="J1263" t="str">
            <v>Adecco</v>
          </cell>
          <cell r="K1263" t="str">
            <v>Tom Mathew</v>
          </cell>
          <cell r="L1263" t="str">
            <v>Warehouse Associate (TEMP)</v>
          </cell>
          <cell r="M1263" t="str">
            <v>Warehouse Associate 24M</v>
          </cell>
          <cell r="N1263" t="str">
            <v>amanmish</v>
          </cell>
          <cell r="O1263">
            <v>1299</v>
          </cell>
          <cell r="P1263" t="str">
            <v>AUH1</v>
          </cell>
          <cell r="Q1263" t="str">
            <v>ARE</v>
          </cell>
          <cell r="R1263" t="str">
            <v>FC109</v>
          </cell>
          <cell r="S1263" t="str">
            <v>Day Shift</v>
          </cell>
          <cell r="T1263">
            <v>99</v>
          </cell>
          <cell r="U1263" t="str">
            <v>MENA_UAE_FC</v>
          </cell>
          <cell r="X1263">
            <v>46257.333333333336</v>
          </cell>
          <cell r="Y1263">
            <v>46257.75</v>
          </cell>
          <cell r="AA1263" t="str">
            <v>Scheduled</v>
          </cell>
          <cell r="AB1263" t="str">
            <v>Not Present</v>
          </cell>
          <cell r="AC1263" t="str">
            <v>Outbound</v>
          </cell>
          <cell r="AD1263" t="str">
            <v>Picking</v>
          </cell>
          <cell r="AE1263" t="str">
            <v>Pick</v>
          </cell>
          <cell r="AF1263" t="str">
            <v>Tuesday</v>
          </cell>
          <cell r="AG1263" t="str">
            <v>Wednesday</v>
          </cell>
          <cell r="AH1263">
            <v>13</v>
          </cell>
          <cell r="AJ1263">
            <v>45543</v>
          </cell>
          <cell r="AM1263" t="str">
            <v>TEMP</v>
          </cell>
          <cell r="AN1263" t="str">
            <v>3P Onsite Worker</v>
          </cell>
          <cell r="AO1263" t="str">
            <v>A</v>
          </cell>
          <cell r="AP1263">
            <v>9</v>
          </cell>
          <cell r="AQ1263">
            <v>0</v>
          </cell>
          <cell r="AR1263">
            <v>0</v>
          </cell>
          <cell r="AS1263">
            <v>1</v>
          </cell>
          <cell r="AT1263">
            <v>0</v>
          </cell>
          <cell r="AU1263">
            <v>1</v>
          </cell>
        </row>
        <row r="1264">
          <cell r="D1264" t="str">
            <v>lmohsyed</v>
          </cell>
          <cell r="E1264">
            <v>107117478</v>
          </cell>
          <cell r="F1264" t="str">
            <v>A</v>
          </cell>
          <cell r="G1264" t="str">
            <v>BLUE</v>
          </cell>
          <cell r="H1264" t="str">
            <v>FULL_TIME</v>
          </cell>
          <cell r="I1264" t="str">
            <v>P03231</v>
          </cell>
          <cell r="K1264" t="str">
            <v>Syed Ibrahim ajeem Mohamed Basheer</v>
          </cell>
          <cell r="L1264" t="str">
            <v>FC Associate III</v>
          </cell>
          <cell r="M1264" t="str">
            <v>Operations Supervisor</v>
          </cell>
          <cell r="N1264" t="str">
            <v>aanso</v>
          </cell>
          <cell r="O1264">
            <v>1299</v>
          </cell>
          <cell r="P1264" t="str">
            <v>AUH1</v>
          </cell>
          <cell r="Q1264" t="str">
            <v>ARE</v>
          </cell>
          <cell r="R1264" t="str">
            <v>FC159</v>
          </cell>
          <cell r="S1264" t="str">
            <v>Day Shift</v>
          </cell>
          <cell r="T1264">
            <v>3</v>
          </cell>
          <cell r="U1264" t="str">
            <v>MENA_UAE_FC</v>
          </cell>
          <cell r="X1264">
            <v>46257.333333333336</v>
          </cell>
          <cell r="Y1264">
            <v>46257.75</v>
          </cell>
          <cell r="AA1264" t="str">
            <v>Scheduled</v>
          </cell>
          <cell r="AB1264" t="str">
            <v>Not Present</v>
          </cell>
          <cell r="AC1264" t="str">
            <v>Customer returns</v>
          </cell>
          <cell r="AD1264" t="str">
            <v>Customer Returns</v>
          </cell>
          <cell r="AE1264" t="str">
            <v>Customer returns</v>
          </cell>
          <cell r="AF1264" t="str">
            <v>Thursday</v>
          </cell>
          <cell r="AG1264" t="str">
            <v>Friday</v>
          </cell>
          <cell r="AH1264">
            <v>22</v>
          </cell>
          <cell r="AJ1264">
            <v>44796</v>
          </cell>
          <cell r="AM1264" t="str">
            <v>FC</v>
          </cell>
          <cell r="AN1264" t="str">
            <v>Regular Full Time</v>
          </cell>
          <cell r="AO1264" t="str">
            <v>A</v>
          </cell>
          <cell r="AP1264">
            <v>9</v>
          </cell>
          <cell r="AQ1264">
            <v>0</v>
          </cell>
          <cell r="AR1264">
            <v>0</v>
          </cell>
          <cell r="AS1264">
            <v>1</v>
          </cell>
          <cell r="AT1264">
            <v>0</v>
          </cell>
          <cell r="AU1264">
            <v>1</v>
          </cell>
        </row>
        <row r="1265">
          <cell r="D1265" t="str">
            <v>matilove</v>
          </cell>
          <cell r="E1265">
            <v>204117684</v>
          </cell>
          <cell r="F1265" t="str">
            <v>A</v>
          </cell>
          <cell r="G1265" t="str">
            <v>GREEN</v>
          </cell>
          <cell r="H1265" t="str">
            <v>FULL_TIME</v>
          </cell>
          <cell r="I1265">
            <v>900234</v>
          </cell>
          <cell r="J1265" t="str">
            <v>Quesscorp</v>
          </cell>
          <cell r="K1265" t="str">
            <v>Lovejoy Matika</v>
          </cell>
          <cell r="L1265" t="str">
            <v>Warehouse Associate (TEMP)</v>
          </cell>
          <cell r="M1265" t="str">
            <v>Warehouse Associate 24M</v>
          </cell>
          <cell r="N1265" t="str">
            <v>bizthoma</v>
          </cell>
          <cell r="O1265">
            <v>1299</v>
          </cell>
          <cell r="P1265" t="str">
            <v>AUH1</v>
          </cell>
          <cell r="Q1265" t="str">
            <v>ARE</v>
          </cell>
          <cell r="R1265" t="str">
            <v>FC109</v>
          </cell>
          <cell r="S1265" t="str">
            <v>Day Shift</v>
          </cell>
          <cell r="T1265">
            <v>99</v>
          </cell>
          <cell r="U1265" t="str">
            <v>MENA_UAE_FC</v>
          </cell>
          <cell r="X1265">
            <v>46257.333333333336</v>
          </cell>
          <cell r="Y1265">
            <v>46257.75</v>
          </cell>
          <cell r="AA1265" t="str">
            <v>Scheduled</v>
          </cell>
          <cell r="AB1265" t="str">
            <v>Not Present</v>
          </cell>
          <cell r="AC1265" t="str">
            <v>Outbound</v>
          </cell>
          <cell r="AD1265" t="str">
            <v>Picking</v>
          </cell>
          <cell r="AE1265" t="str">
            <v>Pick</v>
          </cell>
          <cell r="AF1265" t="str">
            <v>Tuesday</v>
          </cell>
          <cell r="AG1265" t="str">
            <v>Wednesday</v>
          </cell>
          <cell r="AH1265">
            <v>13</v>
          </cell>
          <cell r="AJ1265">
            <v>45560</v>
          </cell>
          <cell r="AM1265" t="str">
            <v>TEMP</v>
          </cell>
          <cell r="AN1265" t="str">
            <v>3P Onsite Worker</v>
          </cell>
          <cell r="AO1265" t="str">
            <v>A</v>
          </cell>
          <cell r="AP1265">
            <v>9</v>
          </cell>
          <cell r="AQ1265">
            <v>0</v>
          </cell>
          <cell r="AR1265">
            <v>0</v>
          </cell>
          <cell r="AS1265">
            <v>1</v>
          </cell>
          <cell r="AT1265">
            <v>0</v>
          </cell>
          <cell r="AU1265">
            <v>1</v>
          </cell>
        </row>
        <row r="1266">
          <cell r="D1266" t="str">
            <v>memercyo</v>
          </cell>
          <cell r="E1266">
            <v>201857481</v>
          </cell>
          <cell r="F1266" t="str">
            <v>A</v>
          </cell>
          <cell r="G1266" t="str">
            <v>GREEN</v>
          </cell>
          <cell r="H1266" t="str">
            <v>FULL_TIME</v>
          </cell>
          <cell r="I1266">
            <v>900234</v>
          </cell>
          <cell r="J1266" t="str">
            <v>Quesscorp</v>
          </cell>
          <cell r="K1266" t="str">
            <v>Mercy Ofori</v>
          </cell>
          <cell r="L1266" t="str">
            <v>Warehouse Associate (TEMP)</v>
          </cell>
          <cell r="M1266" t="str">
            <v>Warehouse Associate 24M</v>
          </cell>
          <cell r="N1266" t="str">
            <v>bizthoma</v>
          </cell>
          <cell r="O1266">
            <v>1299</v>
          </cell>
          <cell r="P1266" t="str">
            <v>AUH1</v>
          </cell>
          <cell r="Q1266" t="str">
            <v>ARE</v>
          </cell>
          <cell r="R1266" t="str">
            <v>LK016</v>
          </cell>
          <cell r="S1266" t="str">
            <v>Night Shift</v>
          </cell>
          <cell r="T1266">
            <v>99</v>
          </cell>
          <cell r="U1266" t="str">
            <v>MENA_UAE_FC</v>
          </cell>
          <cell r="X1266">
            <v>46257.756944444445</v>
          </cell>
          <cell r="Y1266">
            <v>46258.173611111109</v>
          </cell>
          <cell r="AA1266" t="str">
            <v>Scheduled</v>
          </cell>
          <cell r="AB1266" t="str">
            <v>Not Present</v>
          </cell>
          <cell r="AC1266" t="str">
            <v>Outbound</v>
          </cell>
          <cell r="AD1266" t="str">
            <v>Pack - Batch</v>
          </cell>
          <cell r="AE1266" t="str">
            <v>Pack</v>
          </cell>
          <cell r="AF1266" t="str">
            <v>Wednesday</v>
          </cell>
          <cell r="AG1266" t="str">
            <v>Thursday</v>
          </cell>
          <cell r="AH1266">
            <v>17</v>
          </cell>
          <cell r="AJ1266">
            <v>45585</v>
          </cell>
          <cell r="AM1266" t="str">
            <v>TEMP</v>
          </cell>
          <cell r="AN1266" t="str">
            <v>3P Onsite Worker</v>
          </cell>
          <cell r="AO1266" t="str">
            <v>A</v>
          </cell>
          <cell r="AP1266">
            <v>9</v>
          </cell>
          <cell r="AQ1266">
            <v>0</v>
          </cell>
          <cell r="AR1266">
            <v>0</v>
          </cell>
          <cell r="AS1266">
            <v>1</v>
          </cell>
          <cell r="AT1266">
            <v>0</v>
          </cell>
          <cell r="AU1266">
            <v>1</v>
          </cell>
        </row>
        <row r="1267">
          <cell r="D1267" t="str">
            <v>mensmarg</v>
          </cell>
          <cell r="E1267">
            <v>110492547</v>
          </cell>
          <cell r="F1267" t="str">
            <v>A</v>
          </cell>
          <cell r="G1267" t="str">
            <v>BLUE</v>
          </cell>
          <cell r="H1267" t="str">
            <v>FULL_TIME</v>
          </cell>
          <cell r="I1267" t="str">
            <v>P03251</v>
          </cell>
          <cell r="K1267" t="str">
            <v>Margaret Mensah</v>
          </cell>
          <cell r="L1267" t="str">
            <v>FC Associate I</v>
          </cell>
          <cell r="M1267" t="str">
            <v>FC Associate I</v>
          </cell>
          <cell r="N1267" t="str">
            <v>amanmish</v>
          </cell>
          <cell r="O1267">
            <v>1299</v>
          </cell>
          <cell r="P1267" t="str">
            <v>AUH1</v>
          </cell>
          <cell r="Q1267" t="str">
            <v>ARE</v>
          </cell>
          <cell r="R1267" t="str">
            <v>FC084</v>
          </cell>
          <cell r="S1267" t="str">
            <v>Day Shift</v>
          </cell>
          <cell r="T1267">
            <v>1</v>
          </cell>
          <cell r="U1267" t="str">
            <v>MENA_UAE_FC</v>
          </cell>
          <cell r="X1267">
            <v>46257.333333333336</v>
          </cell>
          <cell r="Y1267">
            <v>46257.75</v>
          </cell>
          <cell r="AA1267" t="str">
            <v>Scheduled</v>
          </cell>
          <cell r="AB1267" t="str">
            <v>Not Present</v>
          </cell>
          <cell r="AC1267" t="str">
            <v>Outbound</v>
          </cell>
          <cell r="AD1267" t="str">
            <v>Picking</v>
          </cell>
          <cell r="AE1267" t="str">
            <v>Pick</v>
          </cell>
          <cell r="AF1267" t="str">
            <v>Monday</v>
          </cell>
          <cell r="AG1267" t="str">
            <v>Tuesday</v>
          </cell>
          <cell r="AH1267">
            <v>13</v>
          </cell>
          <cell r="AJ1267">
            <v>44756</v>
          </cell>
          <cell r="AM1267" t="str">
            <v>FC</v>
          </cell>
          <cell r="AN1267" t="str">
            <v>Regular Full Time</v>
          </cell>
          <cell r="AO1267" t="str">
            <v>A</v>
          </cell>
          <cell r="AP1267">
            <v>9</v>
          </cell>
          <cell r="AQ1267">
            <v>0</v>
          </cell>
          <cell r="AR1267">
            <v>0</v>
          </cell>
          <cell r="AS1267">
            <v>1</v>
          </cell>
          <cell r="AT1267">
            <v>0</v>
          </cell>
          <cell r="AU1267">
            <v>1</v>
          </cell>
        </row>
        <row r="1268">
          <cell r="D1268" t="str">
            <v>mokkwedh</v>
          </cell>
          <cell r="E1268">
            <v>206886735</v>
          </cell>
          <cell r="F1268" t="str">
            <v>A</v>
          </cell>
          <cell r="G1268" t="str">
            <v>GREEN</v>
          </cell>
          <cell r="H1268" t="str">
            <v>FULL_TIME</v>
          </cell>
          <cell r="I1268">
            <v>900234</v>
          </cell>
          <cell r="J1268" t="str">
            <v>EFS Facilities Services</v>
          </cell>
          <cell r="K1268" t="str">
            <v>MOKA KWEDI</v>
          </cell>
          <cell r="L1268" t="str">
            <v>Warehouse Associate (TEMP)</v>
          </cell>
          <cell r="M1268" t="str">
            <v>Warehouse Associate 8W</v>
          </cell>
          <cell r="N1268" t="str">
            <v>mnarshad</v>
          </cell>
          <cell r="O1268">
            <v>1299</v>
          </cell>
          <cell r="P1268" t="str">
            <v>AUH1</v>
          </cell>
          <cell r="Q1268" t="str">
            <v>ARE</v>
          </cell>
          <cell r="R1268" t="str">
            <v>FC134</v>
          </cell>
          <cell r="S1268" t="str">
            <v>Day Shift</v>
          </cell>
          <cell r="T1268">
            <v>99</v>
          </cell>
          <cell r="U1268" t="str">
            <v>MENA_UAE_FC</v>
          </cell>
          <cell r="X1268">
            <v>46257.333333333336</v>
          </cell>
          <cell r="Y1268">
            <v>46257.75</v>
          </cell>
          <cell r="AA1268" t="str">
            <v>Scheduled</v>
          </cell>
          <cell r="AB1268" t="str">
            <v>Not Present</v>
          </cell>
          <cell r="AC1268" t="str">
            <v>Outbound</v>
          </cell>
          <cell r="AD1268" t="str">
            <v>Picking</v>
          </cell>
          <cell r="AE1268" t="str">
            <v>Pick</v>
          </cell>
          <cell r="AF1268" t="str">
            <v>Wednesday</v>
          </cell>
          <cell r="AG1268" t="str">
            <v>Thursday</v>
          </cell>
          <cell r="AH1268">
            <v>13</v>
          </cell>
          <cell r="AJ1268">
            <v>46026</v>
          </cell>
          <cell r="AM1268" t="str">
            <v>TEMP</v>
          </cell>
          <cell r="AN1268" t="str">
            <v>3P Onsite Worker</v>
          </cell>
          <cell r="AO1268" t="str">
            <v>A</v>
          </cell>
          <cell r="AP1268">
            <v>9</v>
          </cell>
          <cell r="AQ1268">
            <v>0</v>
          </cell>
          <cell r="AR1268">
            <v>0</v>
          </cell>
          <cell r="AS1268">
            <v>1</v>
          </cell>
          <cell r="AT1268">
            <v>0</v>
          </cell>
          <cell r="AU1268">
            <v>1</v>
          </cell>
        </row>
        <row r="1269">
          <cell r="D1269" t="str">
            <v>muhanrod</v>
          </cell>
          <cell r="E1269">
            <v>206846697</v>
          </cell>
          <cell r="F1269" t="str">
            <v>A</v>
          </cell>
          <cell r="G1269" t="str">
            <v>GREEN</v>
          </cell>
          <cell r="H1269" t="str">
            <v>FULL_TIME</v>
          </cell>
          <cell r="I1269">
            <v>900234</v>
          </cell>
          <cell r="J1269" t="str">
            <v>Dulsco L.L.C.</v>
          </cell>
          <cell r="K1269" t="str">
            <v>MUHANGI RODGERS</v>
          </cell>
          <cell r="L1269" t="str">
            <v>Warehouse Associate (TEMP)</v>
          </cell>
          <cell r="M1269" t="str">
            <v>Warehouse Associate 8W</v>
          </cell>
          <cell r="N1269" t="str">
            <v>vkkatyal</v>
          </cell>
          <cell r="O1269">
            <v>1299</v>
          </cell>
          <cell r="P1269" t="str">
            <v>AUH1</v>
          </cell>
          <cell r="Q1269" t="str">
            <v>ARE</v>
          </cell>
          <cell r="R1269" t="str">
            <v>FC059</v>
          </cell>
          <cell r="S1269" t="str">
            <v>Day Shift</v>
          </cell>
          <cell r="T1269">
            <v>99</v>
          </cell>
          <cell r="U1269" t="str">
            <v>MENA_UAE_FC</v>
          </cell>
          <cell r="X1269">
            <v>46257.333333333336</v>
          </cell>
          <cell r="Y1269">
            <v>46257.75</v>
          </cell>
          <cell r="AA1269" t="str">
            <v>Scheduled</v>
          </cell>
          <cell r="AB1269" t="str">
            <v>Not Present</v>
          </cell>
          <cell r="AC1269" t="str">
            <v>Inbound</v>
          </cell>
          <cell r="AD1269" t="str">
            <v>Inbound Stow</v>
          </cell>
          <cell r="AE1269" t="str">
            <v>Stow</v>
          </cell>
          <cell r="AF1269" t="str">
            <v>Sunday</v>
          </cell>
          <cell r="AG1269" t="str">
            <v>Monday</v>
          </cell>
          <cell r="AH1269">
            <v>3</v>
          </cell>
          <cell r="AJ1269">
            <v>46012</v>
          </cell>
          <cell r="AM1269" t="str">
            <v>TEMP</v>
          </cell>
          <cell r="AN1269" t="str">
            <v>3P Onsite Worker</v>
          </cell>
          <cell r="AO1269" t="str">
            <v>A</v>
          </cell>
          <cell r="AP1269">
            <v>9</v>
          </cell>
          <cell r="AQ1269">
            <v>0</v>
          </cell>
          <cell r="AR1269">
            <v>0</v>
          </cell>
          <cell r="AS1269">
            <v>1</v>
          </cell>
          <cell r="AT1269">
            <v>0</v>
          </cell>
          <cell r="AU1269">
            <v>1</v>
          </cell>
        </row>
        <row r="1270">
          <cell r="D1270" t="str">
            <v>odelap</v>
          </cell>
          <cell r="E1270">
            <v>102434089</v>
          </cell>
          <cell r="F1270" t="str">
            <v>A</v>
          </cell>
          <cell r="G1270" t="str">
            <v>BLUE</v>
          </cell>
          <cell r="H1270" t="str">
            <v>FULL_TIME</v>
          </cell>
          <cell r="I1270" t="str">
            <v>P03231</v>
          </cell>
          <cell r="K1270" t="str">
            <v>Orbes Dela Pane</v>
          </cell>
          <cell r="L1270" t="str">
            <v>FC Associate III</v>
          </cell>
          <cell r="M1270" t="str">
            <v>Operations Supervisor</v>
          </cell>
          <cell r="N1270" t="str">
            <v>scariav</v>
          </cell>
          <cell r="O1270">
            <v>1299</v>
          </cell>
          <cell r="P1270" t="str">
            <v>AUH1</v>
          </cell>
          <cell r="Q1270" t="str">
            <v>ARE</v>
          </cell>
          <cell r="R1270" t="str">
            <v>FC009</v>
          </cell>
          <cell r="S1270" t="str">
            <v>Day Shift</v>
          </cell>
          <cell r="T1270">
            <v>3</v>
          </cell>
          <cell r="U1270" t="str">
            <v>MENA_UAE_FC</v>
          </cell>
          <cell r="X1270">
            <v>46257.333333333336</v>
          </cell>
          <cell r="Y1270">
            <v>46257.75</v>
          </cell>
          <cell r="AA1270" t="str">
            <v>Scheduled</v>
          </cell>
          <cell r="AB1270" t="str">
            <v>Not Present</v>
          </cell>
          <cell r="AC1270" t="str">
            <v>Outbound</v>
          </cell>
          <cell r="AD1270" t="str">
            <v>OB Lead/PA</v>
          </cell>
          <cell r="AE1270" t="str">
            <v>Pack</v>
          </cell>
          <cell r="AF1270" t="str">
            <v>Friday</v>
          </cell>
          <cell r="AG1270" t="str">
            <v>Saturday</v>
          </cell>
          <cell r="AH1270">
            <v>19</v>
          </cell>
          <cell r="AJ1270">
            <v>42896</v>
          </cell>
          <cell r="AM1270" t="str">
            <v>FC</v>
          </cell>
          <cell r="AN1270" t="str">
            <v>Regular Full Time</v>
          </cell>
          <cell r="AO1270" t="str">
            <v>A</v>
          </cell>
          <cell r="AP1270">
            <v>9</v>
          </cell>
          <cell r="AQ1270">
            <v>0</v>
          </cell>
          <cell r="AR1270">
            <v>0</v>
          </cell>
          <cell r="AS1270">
            <v>1</v>
          </cell>
          <cell r="AT1270">
            <v>0</v>
          </cell>
          <cell r="AU1270">
            <v>1</v>
          </cell>
        </row>
        <row r="1271">
          <cell r="D1271" t="str">
            <v>owunanie</v>
          </cell>
          <cell r="E1271">
            <v>206004601</v>
          </cell>
          <cell r="F1271" t="str">
            <v>A</v>
          </cell>
          <cell r="G1271" t="str">
            <v>GREEN</v>
          </cell>
          <cell r="H1271" t="str">
            <v>FULL_TIME</v>
          </cell>
          <cell r="I1271">
            <v>900234</v>
          </cell>
          <cell r="J1271" t="str">
            <v>Fastlink Outsourcing</v>
          </cell>
          <cell r="K1271" t="str">
            <v>NANIES OWUSU ANSAH</v>
          </cell>
          <cell r="L1271" t="str">
            <v>Warehouse Associate (TEMP)</v>
          </cell>
          <cell r="M1271" t="str">
            <v>Warehouse Associate 12M</v>
          </cell>
          <cell r="N1271" t="str">
            <v>ansammar</v>
          </cell>
          <cell r="O1271">
            <v>1299</v>
          </cell>
          <cell r="P1271" t="str">
            <v>AUH1</v>
          </cell>
          <cell r="Q1271" t="str">
            <v>ARE</v>
          </cell>
          <cell r="R1271" t="str">
            <v>LK016</v>
          </cell>
          <cell r="S1271" t="str">
            <v>Night Shift</v>
          </cell>
          <cell r="T1271">
            <v>99</v>
          </cell>
          <cell r="U1271" t="str">
            <v>MENA_UAE_FC</v>
          </cell>
          <cell r="X1271">
            <v>46257.333333333336</v>
          </cell>
          <cell r="Y1271">
            <v>46257.75</v>
          </cell>
          <cell r="AA1271" t="str">
            <v>Scheduled</v>
          </cell>
          <cell r="AB1271" t="str">
            <v>Not Present</v>
          </cell>
          <cell r="AC1271" t="str">
            <v>Outbound</v>
          </cell>
          <cell r="AD1271" t="str">
            <v>Picking</v>
          </cell>
          <cell r="AE1271" t="str">
            <v>Pick</v>
          </cell>
          <cell r="AF1271" t="str">
            <v>Wednesday</v>
          </cell>
          <cell r="AG1271" t="str">
            <v>Thursday</v>
          </cell>
          <cell r="AH1271">
            <v>13</v>
          </cell>
          <cell r="AJ1271">
            <v>45914</v>
          </cell>
          <cell r="AM1271" t="str">
            <v>TEMP</v>
          </cell>
          <cell r="AN1271" t="str">
            <v>3P Onsite Worker</v>
          </cell>
          <cell r="AO1271" t="str">
            <v>A</v>
          </cell>
          <cell r="AP1271">
            <v>9</v>
          </cell>
          <cell r="AQ1271">
            <v>0</v>
          </cell>
          <cell r="AR1271">
            <v>0</v>
          </cell>
          <cell r="AS1271">
            <v>1</v>
          </cell>
          <cell r="AT1271">
            <v>0</v>
          </cell>
          <cell r="AU1271">
            <v>1</v>
          </cell>
        </row>
        <row r="1272">
          <cell r="D1272" t="str">
            <v>pkamhuru</v>
          </cell>
          <cell r="E1272">
            <v>204883244</v>
          </cell>
          <cell r="F1272" t="str">
            <v>A</v>
          </cell>
          <cell r="G1272" t="str">
            <v>GREEN</v>
          </cell>
          <cell r="H1272" t="str">
            <v>FULL_TIME</v>
          </cell>
          <cell r="I1272">
            <v>900234</v>
          </cell>
          <cell r="J1272" t="str">
            <v>Quesscorp</v>
          </cell>
          <cell r="K1272" t="str">
            <v>Sharon Shingirirai Kamhuru</v>
          </cell>
          <cell r="L1272" t="str">
            <v>Warehouse Associate (TEMP)</v>
          </cell>
          <cell r="M1272" t="str">
            <v>Warehouse Associate 8W</v>
          </cell>
          <cell r="N1272" t="str">
            <v>bavameer</v>
          </cell>
          <cell r="O1272">
            <v>1299</v>
          </cell>
          <cell r="P1272" t="str">
            <v>AUH1</v>
          </cell>
          <cell r="Q1272" t="str">
            <v>ARE</v>
          </cell>
          <cell r="R1272" t="str">
            <v>FC159</v>
          </cell>
          <cell r="S1272" t="str">
            <v>Day Shift</v>
          </cell>
          <cell r="T1272">
            <v>99</v>
          </cell>
          <cell r="U1272" t="str">
            <v>MENA_UAE_FC</v>
          </cell>
          <cell r="X1272">
            <v>46257.333333333336</v>
          </cell>
          <cell r="Y1272">
            <v>46257.75</v>
          </cell>
          <cell r="AA1272" t="str">
            <v>Scheduled</v>
          </cell>
          <cell r="AB1272" t="str">
            <v>Not Present</v>
          </cell>
          <cell r="AC1272" t="str">
            <v>Customer returns</v>
          </cell>
          <cell r="AD1272" t="str">
            <v>Customer Returns</v>
          </cell>
          <cell r="AE1272" t="str">
            <v>Customer returns</v>
          </cell>
          <cell r="AF1272" t="str">
            <v>Thursday</v>
          </cell>
          <cell r="AG1272" t="str">
            <v>Friday</v>
          </cell>
          <cell r="AH1272">
            <v>22</v>
          </cell>
          <cell r="AJ1272">
            <v>45690</v>
          </cell>
          <cell r="AM1272" t="str">
            <v>TEMP</v>
          </cell>
          <cell r="AN1272" t="str">
            <v>3P Onsite Worker</v>
          </cell>
          <cell r="AO1272" t="str">
            <v>A</v>
          </cell>
          <cell r="AP1272">
            <v>9</v>
          </cell>
          <cell r="AQ1272">
            <v>0</v>
          </cell>
          <cell r="AR1272">
            <v>0</v>
          </cell>
          <cell r="AS1272">
            <v>1</v>
          </cell>
          <cell r="AT1272">
            <v>0</v>
          </cell>
          <cell r="AU1272">
            <v>1</v>
          </cell>
        </row>
        <row r="1273">
          <cell r="D1273" t="str">
            <v>sumahmba</v>
          </cell>
          <cell r="E1273">
            <v>204138496</v>
          </cell>
          <cell r="F1273" t="str">
            <v>A</v>
          </cell>
          <cell r="G1273" t="str">
            <v>GREEN</v>
          </cell>
          <cell r="H1273" t="str">
            <v>FULL_TIME</v>
          </cell>
          <cell r="I1273">
            <v>900234</v>
          </cell>
          <cell r="J1273" t="str">
            <v>Fastlink Outsourcing</v>
          </cell>
          <cell r="K1273" t="str">
            <v>mbalu sumah</v>
          </cell>
          <cell r="L1273" t="str">
            <v>Warehouse Associate (TEMP)</v>
          </cell>
          <cell r="M1273" t="str">
            <v>Warehouse Associate 12M</v>
          </cell>
          <cell r="N1273" t="str">
            <v>bizthoma</v>
          </cell>
          <cell r="O1273">
            <v>1299</v>
          </cell>
          <cell r="P1273" t="str">
            <v>AUH1</v>
          </cell>
          <cell r="Q1273" t="str">
            <v>ARE</v>
          </cell>
          <cell r="R1273" t="str">
            <v>LK011</v>
          </cell>
          <cell r="S1273" t="str">
            <v>Night Shift</v>
          </cell>
          <cell r="T1273">
            <v>99</v>
          </cell>
          <cell r="U1273" t="str">
            <v>MENA_UAE_FC</v>
          </cell>
          <cell r="X1273">
            <v>46257.756944444445</v>
          </cell>
          <cell r="Y1273">
            <v>46258.173611111109</v>
          </cell>
          <cell r="AA1273" t="str">
            <v>Scheduled</v>
          </cell>
          <cell r="AB1273" t="str">
            <v>Not Present</v>
          </cell>
          <cell r="AC1273" t="str">
            <v>Outbound</v>
          </cell>
          <cell r="AD1273" t="str">
            <v>Picking</v>
          </cell>
          <cell r="AE1273" t="str">
            <v>Pick</v>
          </cell>
          <cell r="AF1273" t="str">
            <v>Friday</v>
          </cell>
          <cell r="AG1273" t="str">
            <v>Saturday</v>
          </cell>
          <cell r="AH1273">
            <v>13</v>
          </cell>
          <cell r="AJ1273">
            <v>45564</v>
          </cell>
          <cell r="AM1273" t="str">
            <v>TEMP</v>
          </cell>
          <cell r="AN1273" t="str">
            <v>3P Onsite Worker</v>
          </cell>
          <cell r="AO1273" t="str">
            <v>A</v>
          </cell>
          <cell r="AP1273">
            <v>9</v>
          </cell>
          <cell r="AQ1273">
            <v>0</v>
          </cell>
          <cell r="AR1273">
            <v>0</v>
          </cell>
          <cell r="AS1273">
            <v>1</v>
          </cell>
          <cell r="AT1273">
            <v>0</v>
          </cell>
          <cell r="AU1273">
            <v>1</v>
          </cell>
        </row>
        <row r="1274">
          <cell r="D1274" t="str">
            <v>takmorri</v>
          </cell>
          <cell r="E1274">
            <v>203512952</v>
          </cell>
          <cell r="F1274" t="str">
            <v>A</v>
          </cell>
          <cell r="G1274" t="str">
            <v>GREEN</v>
          </cell>
          <cell r="H1274" t="str">
            <v>FULL_TIME</v>
          </cell>
          <cell r="I1274">
            <v>900234</v>
          </cell>
          <cell r="J1274" t="str">
            <v>Fastlink Outsourcing</v>
          </cell>
          <cell r="K1274" t="str">
            <v>Takudzwa Morris</v>
          </cell>
          <cell r="L1274" t="str">
            <v>Warehouse Associate (TEMP)</v>
          </cell>
          <cell r="M1274" t="str">
            <v>Warehouse Associate 12M</v>
          </cell>
          <cell r="N1274" t="str">
            <v>mnarshad</v>
          </cell>
          <cell r="O1274">
            <v>1299</v>
          </cell>
          <cell r="P1274" t="str">
            <v>AUH1</v>
          </cell>
          <cell r="Q1274" t="str">
            <v>ARE</v>
          </cell>
          <cell r="R1274" t="str">
            <v>FC109</v>
          </cell>
          <cell r="S1274" t="str">
            <v>Day Shift</v>
          </cell>
          <cell r="T1274">
            <v>99</v>
          </cell>
          <cell r="U1274" t="str">
            <v>MENA_UAE_FC</v>
          </cell>
          <cell r="X1274">
            <v>46257.333333333336</v>
          </cell>
          <cell r="Y1274">
            <v>46257.75</v>
          </cell>
          <cell r="AA1274" t="str">
            <v>Scheduled</v>
          </cell>
          <cell r="AB1274" t="str">
            <v>Not Present</v>
          </cell>
          <cell r="AC1274" t="str">
            <v>Outbound</v>
          </cell>
          <cell r="AD1274" t="str">
            <v>Picking</v>
          </cell>
          <cell r="AE1274" t="str">
            <v>Pick</v>
          </cell>
          <cell r="AF1274" t="str">
            <v>Tuesday</v>
          </cell>
          <cell r="AG1274" t="str">
            <v>Wednesday</v>
          </cell>
          <cell r="AH1274">
            <v>13</v>
          </cell>
          <cell r="AJ1274">
            <v>45462</v>
          </cell>
          <cell r="AM1274" t="str">
            <v>TEMP</v>
          </cell>
          <cell r="AN1274" t="str">
            <v>3P Onsite Worker</v>
          </cell>
          <cell r="AO1274" t="str">
            <v>A</v>
          </cell>
          <cell r="AP1274">
            <v>9</v>
          </cell>
          <cell r="AQ1274">
            <v>0</v>
          </cell>
          <cell r="AR1274">
            <v>0</v>
          </cell>
          <cell r="AS1274">
            <v>1</v>
          </cell>
          <cell r="AT1274">
            <v>0</v>
          </cell>
          <cell r="AU1274">
            <v>1</v>
          </cell>
        </row>
        <row r="1275">
          <cell r="D1275" t="str">
            <v>uernesme</v>
          </cell>
          <cell r="E1275">
            <v>203965492</v>
          </cell>
          <cell r="F1275" t="str">
            <v>A</v>
          </cell>
          <cell r="G1275" t="str">
            <v>GREEN</v>
          </cell>
          <cell r="H1275" t="str">
            <v>FULL_TIME</v>
          </cell>
          <cell r="I1275">
            <v>900234</v>
          </cell>
          <cell r="J1275" t="str">
            <v>Fastlink Outsourcing</v>
          </cell>
          <cell r="K1275" t="str">
            <v>Ernest Mensah Awudi</v>
          </cell>
          <cell r="L1275" t="str">
            <v>Warehouse Associate (TEMP)</v>
          </cell>
          <cell r="M1275" t="str">
            <v>Warehouse Associate 12M</v>
          </cell>
          <cell r="N1275" t="str">
            <v>pparsin</v>
          </cell>
          <cell r="O1275">
            <v>1299</v>
          </cell>
          <cell r="P1275" t="str">
            <v>AUH1</v>
          </cell>
          <cell r="Q1275" t="str">
            <v>ARE</v>
          </cell>
          <cell r="R1275" t="str">
            <v>LK015</v>
          </cell>
          <cell r="S1275" t="str">
            <v>Night Shift</v>
          </cell>
          <cell r="T1275">
            <v>99</v>
          </cell>
          <cell r="U1275" t="str">
            <v>MENA_UAE_FC</v>
          </cell>
          <cell r="X1275">
            <v>46257.756944444445</v>
          </cell>
          <cell r="Y1275">
            <v>46258.173611111109</v>
          </cell>
          <cell r="AA1275" t="str">
            <v>Scheduled</v>
          </cell>
          <cell r="AB1275" t="str">
            <v>Not Present</v>
          </cell>
          <cell r="AC1275" t="str">
            <v>Inbound</v>
          </cell>
          <cell r="AD1275" t="str">
            <v>Inbound Stow</v>
          </cell>
          <cell r="AE1275" t="str">
            <v>Stow</v>
          </cell>
          <cell r="AF1275" t="str">
            <v>Tuesday</v>
          </cell>
          <cell r="AG1275" t="str">
            <v>Wednesday</v>
          </cell>
          <cell r="AH1275">
            <v>3</v>
          </cell>
          <cell r="AJ1275">
            <v>45543</v>
          </cell>
          <cell r="AM1275" t="str">
            <v>TEMP</v>
          </cell>
          <cell r="AN1275" t="str">
            <v>3P Onsite Worker</v>
          </cell>
          <cell r="AO1275" t="str">
            <v>A</v>
          </cell>
          <cell r="AP1275">
            <v>9</v>
          </cell>
          <cell r="AQ1275">
            <v>0</v>
          </cell>
          <cell r="AR1275">
            <v>0</v>
          </cell>
          <cell r="AS1275">
            <v>1</v>
          </cell>
          <cell r="AT1275">
            <v>0</v>
          </cell>
          <cell r="AU1275">
            <v>1</v>
          </cell>
        </row>
        <row r="1276">
          <cell r="D1276" t="str">
            <v>wmuhumai</v>
          </cell>
          <cell r="E1276">
            <v>103868662</v>
          </cell>
          <cell r="F1276" t="str">
            <v>A</v>
          </cell>
          <cell r="G1276" t="str">
            <v>BLUE</v>
          </cell>
          <cell r="H1276" t="str">
            <v>FULL_TIME</v>
          </cell>
          <cell r="I1276" t="str">
            <v>P03251</v>
          </cell>
          <cell r="K1276" t="str">
            <v>Muhammad Umair</v>
          </cell>
          <cell r="L1276" t="str">
            <v>FC Associate I</v>
          </cell>
          <cell r="M1276" t="str">
            <v>FC Associate I</v>
          </cell>
          <cell r="N1276" t="str">
            <v>ansammar</v>
          </cell>
          <cell r="O1276">
            <v>1299</v>
          </cell>
          <cell r="P1276" t="str">
            <v>AUH1</v>
          </cell>
          <cell r="Q1276" t="str">
            <v>ARE</v>
          </cell>
          <cell r="R1276" t="str">
            <v>LK011</v>
          </cell>
          <cell r="S1276" t="str">
            <v>Night Shift</v>
          </cell>
          <cell r="T1276">
            <v>1</v>
          </cell>
          <cell r="U1276" t="str">
            <v>MENA_UAE_FC</v>
          </cell>
          <cell r="X1276">
            <v>46257.756944444445</v>
          </cell>
          <cell r="Y1276">
            <v>46258.173611111109</v>
          </cell>
          <cell r="AA1276" t="str">
            <v>Scheduled</v>
          </cell>
          <cell r="AB1276" t="str">
            <v>Not Present</v>
          </cell>
          <cell r="AC1276" t="str">
            <v>Outbound</v>
          </cell>
          <cell r="AD1276" t="str">
            <v>Pack - Single</v>
          </cell>
          <cell r="AE1276" t="str">
            <v>Pack</v>
          </cell>
          <cell r="AF1276" t="str">
            <v>Friday</v>
          </cell>
          <cell r="AG1276" t="str">
            <v>Saturday</v>
          </cell>
          <cell r="AH1276">
            <v>18</v>
          </cell>
          <cell r="AJ1276">
            <v>44838</v>
          </cell>
          <cell r="AM1276" t="str">
            <v>FC</v>
          </cell>
          <cell r="AN1276" t="str">
            <v>Regular Full Time</v>
          </cell>
          <cell r="AO1276" t="str">
            <v>A</v>
          </cell>
          <cell r="AP1276">
            <v>9</v>
          </cell>
          <cell r="AQ1276">
            <v>0</v>
          </cell>
          <cell r="AR1276">
            <v>0</v>
          </cell>
          <cell r="AS1276">
            <v>1</v>
          </cell>
          <cell r="AT1276">
            <v>0</v>
          </cell>
          <cell r="AU1276">
            <v>1</v>
          </cell>
        </row>
        <row r="1277">
          <cell r="D1277" t="str">
            <v>zsagramd</v>
          </cell>
          <cell r="E1277">
            <v>203736781</v>
          </cell>
          <cell r="F1277" t="str">
            <v>A</v>
          </cell>
          <cell r="G1277" t="str">
            <v>GREEN</v>
          </cell>
          <cell r="H1277" t="str">
            <v>FULL_TIME</v>
          </cell>
          <cell r="I1277">
            <v>900234</v>
          </cell>
          <cell r="J1277" t="str">
            <v>Adecco</v>
          </cell>
          <cell r="K1277" t="str">
            <v>Sagar Ramdan</v>
          </cell>
          <cell r="L1277" t="str">
            <v>Warehouse Associate (TEMP)</v>
          </cell>
          <cell r="M1277" t="str">
            <v>Warehouse Associate 24M</v>
          </cell>
          <cell r="N1277" t="str">
            <v>vkkatyal</v>
          </cell>
          <cell r="O1277">
            <v>1299</v>
          </cell>
          <cell r="P1277" t="str">
            <v>AUH1</v>
          </cell>
          <cell r="Q1277" t="str">
            <v>ARE</v>
          </cell>
          <cell r="R1277" t="str">
            <v>LK014</v>
          </cell>
          <cell r="S1277" t="str">
            <v>Night Shift</v>
          </cell>
          <cell r="T1277">
            <v>99</v>
          </cell>
          <cell r="U1277" t="str">
            <v>MENA_UAE_FC</v>
          </cell>
          <cell r="X1277">
            <v>46257.756944444445</v>
          </cell>
          <cell r="Y1277">
            <v>46258.173611111109</v>
          </cell>
          <cell r="AA1277" t="str">
            <v>Scheduled</v>
          </cell>
          <cell r="AB1277" t="str">
            <v>Not Present</v>
          </cell>
          <cell r="AC1277" t="str">
            <v>Inbound</v>
          </cell>
          <cell r="AD1277" t="str">
            <v>Inbound Stow</v>
          </cell>
          <cell r="AE1277" t="str">
            <v>Stow</v>
          </cell>
          <cell r="AF1277" t="str">
            <v>Monday</v>
          </cell>
          <cell r="AG1277" t="str">
            <v>Tuesday</v>
          </cell>
          <cell r="AH1277">
            <v>3</v>
          </cell>
          <cell r="AJ1277">
            <v>45501</v>
          </cell>
          <cell r="AM1277" t="str">
            <v>TEMP</v>
          </cell>
          <cell r="AN1277" t="str">
            <v>3P Onsite Worker</v>
          </cell>
          <cell r="AO1277" t="str">
            <v>A</v>
          </cell>
          <cell r="AP1277">
            <v>9</v>
          </cell>
          <cell r="AQ1277">
            <v>0</v>
          </cell>
          <cell r="AR1277">
            <v>0</v>
          </cell>
          <cell r="AS1277">
            <v>1</v>
          </cell>
          <cell r="AT1277">
            <v>0</v>
          </cell>
          <cell r="AU1277">
            <v>1</v>
          </cell>
        </row>
        <row r="1278">
          <cell r="D1278" t="str">
            <v>boanoami</v>
          </cell>
          <cell r="E1278">
            <v>203875088</v>
          </cell>
          <cell r="F1278" t="str">
            <v>A</v>
          </cell>
          <cell r="G1278" t="str">
            <v>GREEN</v>
          </cell>
          <cell r="H1278" t="str">
            <v>FULL_TIME</v>
          </cell>
          <cell r="I1278">
            <v>900234</v>
          </cell>
          <cell r="J1278" t="str">
            <v>Fastlink Outsourcing</v>
          </cell>
          <cell r="K1278" t="str">
            <v>Noami Boateng</v>
          </cell>
          <cell r="L1278" t="str">
            <v>Warehouse Associate (TEMP)</v>
          </cell>
          <cell r="M1278" t="str">
            <v>Warehouse Associate 12M</v>
          </cell>
          <cell r="N1278" t="str">
            <v>gylrdg</v>
          </cell>
          <cell r="O1278">
            <v>1181</v>
          </cell>
          <cell r="P1278" t="str">
            <v>DAD1</v>
          </cell>
          <cell r="Q1278" t="str">
            <v>ARE</v>
          </cell>
          <cell r="R1278" t="str">
            <v>FC555</v>
          </cell>
          <cell r="T1278">
            <v>99</v>
          </cell>
          <cell r="U1278" t="str">
            <v>MENA_UAE_AMZL</v>
          </cell>
          <cell r="X1278">
            <v>46257.756944444445</v>
          </cell>
          <cell r="Y1278">
            <v>46258.090277777781</v>
          </cell>
          <cell r="AA1278" t="str">
            <v>Scheduled</v>
          </cell>
          <cell r="AB1278" t="str">
            <v>Not Present</v>
          </cell>
          <cell r="AC1278" t="str">
            <v>Warehouse deals</v>
          </cell>
          <cell r="AD1278" t="str">
            <v>Warehouse Deals</v>
          </cell>
          <cell r="AE1278" t="str">
            <v>Warehouse deals</v>
          </cell>
          <cell r="AH1278">
            <v>32</v>
          </cell>
          <cell r="AJ1278">
            <v>45529</v>
          </cell>
          <cell r="AM1278" t="str">
            <v>TEMP</v>
          </cell>
          <cell r="AN1278" t="str">
            <v>3P Onsite Worker</v>
          </cell>
          <cell r="AO1278" t="str">
            <v>A</v>
          </cell>
          <cell r="AP1278">
            <v>7</v>
          </cell>
          <cell r="AQ1278">
            <v>0</v>
          </cell>
          <cell r="AR1278">
            <v>0</v>
          </cell>
          <cell r="AS1278">
            <v>1</v>
          </cell>
          <cell r="AT1278">
            <v>0</v>
          </cell>
          <cell r="AU1278">
            <v>1</v>
          </cell>
        </row>
        <row r="1279">
          <cell r="D1279" t="str">
            <v>ponnormx</v>
          </cell>
          <cell r="E1279">
            <v>203737146</v>
          </cell>
          <cell r="F1279" t="str">
            <v>A</v>
          </cell>
          <cell r="G1279" t="str">
            <v>GREEN</v>
          </cell>
          <cell r="H1279" t="str">
            <v>FULL_TIME</v>
          </cell>
          <cell r="I1279">
            <v>900234</v>
          </cell>
          <cell r="J1279" t="str">
            <v>Fastlink Outsourcing</v>
          </cell>
          <cell r="K1279" t="str">
            <v>Norman Ponce</v>
          </cell>
          <cell r="L1279" t="str">
            <v>Warehouse Associate (TEMP)</v>
          </cell>
          <cell r="M1279" t="str">
            <v>Warehouse Associate 12M</v>
          </cell>
          <cell r="N1279" t="str">
            <v>amanmish</v>
          </cell>
          <cell r="O1279">
            <v>1299</v>
          </cell>
          <cell r="P1279" t="str">
            <v>AUH1</v>
          </cell>
          <cell r="Q1279" t="str">
            <v>ARE</v>
          </cell>
          <cell r="R1279" t="str">
            <v>FC059</v>
          </cell>
          <cell r="S1279" t="str">
            <v>Day Shift</v>
          </cell>
          <cell r="T1279">
            <v>99</v>
          </cell>
          <cell r="U1279" t="str">
            <v>MENA_UAE_FC</v>
          </cell>
          <cell r="X1279">
            <v>46257.333333333336</v>
          </cell>
          <cell r="Y1279">
            <v>46257.75</v>
          </cell>
          <cell r="Z1279" t="str">
            <v>Rest Day</v>
          </cell>
          <cell r="AA1279" t="str">
            <v>Not Scheduled</v>
          </cell>
          <cell r="AB1279" t="str">
            <v>Not Present</v>
          </cell>
          <cell r="AC1279" t="str">
            <v>Support</v>
          </cell>
          <cell r="AD1279" t="str">
            <v>Admin/HR/IT</v>
          </cell>
          <cell r="AE1279" t="str">
            <v>Support</v>
          </cell>
          <cell r="AF1279" t="str">
            <v>Sunday</v>
          </cell>
          <cell r="AG1279" t="str">
            <v>Monday</v>
          </cell>
          <cell r="AH1279">
            <v>26</v>
          </cell>
          <cell r="AJ1279">
            <v>45501</v>
          </cell>
          <cell r="AM1279" t="str">
            <v>TEMP</v>
          </cell>
          <cell r="AN1279" t="str">
            <v>3P Onsite Worker</v>
          </cell>
          <cell r="AO1279" t="str">
            <v>A</v>
          </cell>
          <cell r="AP1279">
            <v>9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</row>
        <row r="1280">
          <cell r="D1280" t="str">
            <v>tunayj</v>
          </cell>
          <cell r="E1280">
            <v>102865829</v>
          </cell>
          <cell r="F1280" t="str">
            <v>A</v>
          </cell>
          <cell r="G1280" t="str">
            <v>BLUE</v>
          </cell>
          <cell r="H1280" t="str">
            <v>FULL_TIME</v>
          </cell>
          <cell r="I1280" t="str">
            <v>P03251</v>
          </cell>
          <cell r="K1280" t="str">
            <v>Jayson Tunay</v>
          </cell>
          <cell r="L1280" t="str">
            <v>FC Associate I</v>
          </cell>
          <cell r="M1280" t="str">
            <v>FC Associate I</v>
          </cell>
          <cell r="N1280" t="str">
            <v>ansammar</v>
          </cell>
          <cell r="O1280">
            <v>1299</v>
          </cell>
          <cell r="P1280" t="str">
            <v>AUH1</v>
          </cell>
          <cell r="Q1280" t="str">
            <v>ARE</v>
          </cell>
          <cell r="R1280" t="str">
            <v>FC109</v>
          </cell>
          <cell r="S1280" t="str">
            <v>Day Shift</v>
          </cell>
          <cell r="T1280">
            <v>1</v>
          </cell>
          <cell r="U1280" t="str">
            <v>MENA_UAE_FC</v>
          </cell>
          <cell r="V1280">
            <v>46257.328472222223</v>
          </cell>
          <cell r="W1280">
            <v>46257.743750000001</v>
          </cell>
          <cell r="X1280">
            <v>46257.333333333336</v>
          </cell>
          <cell r="Y1280">
            <v>46257.75</v>
          </cell>
          <cell r="AA1280" t="str">
            <v>Scheduled</v>
          </cell>
          <cell r="AB1280" t="str">
            <v>Present</v>
          </cell>
          <cell r="AC1280" t="str">
            <v>Support</v>
          </cell>
          <cell r="AD1280" t="str">
            <v>Admin/HR/IT</v>
          </cell>
          <cell r="AE1280" t="str">
            <v>Support</v>
          </cell>
          <cell r="AF1280" t="str">
            <v>Tuesday</v>
          </cell>
          <cell r="AG1280" t="str">
            <v>Wednesday</v>
          </cell>
          <cell r="AH1280">
            <v>26</v>
          </cell>
          <cell r="AJ1280">
            <v>43011</v>
          </cell>
          <cell r="AM1280" t="str">
            <v>FC</v>
          </cell>
          <cell r="AN1280" t="str">
            <v>Regular Full Time</v>
          </cell>
          <cell r="AO1280" t="str">
            <v>A</v>
          </cell>
          <cell r="AP1280">
            <v>9</v>
          </cell>
          <cell r="AQ1280">
            <v>0</v>
          </cell>
          <cell r="AR1280">
            <v>1</v>
          </cell>
          <cell r="AS1280">
            <v>1</v>
          </cell>
          <cell r="AT1280">
            <v>0</v>
          </cell>
          <cell r="AU1280">
            <v>0</v>
          </cell>
        </row>
        <row r="1281">
          <cell r="D1281" t="str">
            <v>amnajami</v>
          </cell>
          <cell r="E1281">
            <v>204155451</v>
          </cell>
          <cell r="F1281" t="str">
            <v>A</v>
          </cell>
          <cell r="G1281" t="str">
            <v>GREEN</v>
          </cell>
          <cell r="H1281" t="str">
            <v>FULL_TIME</v>
          </cell>
          <cell r="I1281">
            <v>900572</v>
          </cell>
          <cell r="J1281" t="str">
            <v>Dulsco L.L.C.</v>
          </cell>
          <cell r="K1281" t="str">
            <v>AMNA JAMIL</v>
          </cell>
          <cell r="L1281" t="str">
            <v>HR Assistant (TEMP)</v>
          </cell>
          <cell r="M1281" t="str">
            <v>Dulsco - Vendor POC</v>
          </cell>
          <cell r="N1281" t="str">
            <v>anrdhj</v>
          </cell>
          <cell r="O1281">
            <v>1299</v>
          </cell>
          <cell r="P1281" t="str">
            <v>AUH1</v>
          </cell>
          <cell r="Q1281" t="str">
            <v>ARE</v>
          </cell>
          <cell r="R1281" t="str">
            <v>FC059</v>
          </cell>
          <cell r="S1281" t="str">
            <v>Day Shift</v>
          </cell>
          <cell r="T1281">
            <v>99</v>
          </cell>
          <cell r="U1281" t="str">
            <v>MENA_UAE_FC</v>
          </cell>
          <cell r="V1281">
            <v>46257.326388888891</v>
          </cell>
          <cell r="W1281">
            <v>46257.541666666664</v>
          </cell>
          <cell r="X1281">
            <v>46257.333333333336</v>
          </cell>
          <cell r="Y1281">
            <v>46257.75</v>
          </cell>
          <cell r="AA1281" t="str">
            <v>Scheduled</v>
          </cell>
          <cell r="AB1281" t="str">
            <v>Present</v>
          </cell>
          <cell r="AC1281" t="str">
            <v>Support</v>
          </cell>
          <cell r="AD1281" t="str">
            <v>Admin/HR/IT</v>
          </cell>
          <cell r="AE1281" t="str">
            <v>Support</v>
          </cell>
          <cell r="AF1281" t="str">
            <v>Sunday</v>
          </cell>
          <cell r="AG1281" t="str">
            <v>Monday</v>
          </cell>
          <cell r="AH1281">
            <v>26</v>
          </cell>
          <cell r="AJ1281">
            <v>45565</v>
          </cell>
          <cell r="AM1281" t="str">
            <v>TEMP</v>
          </cell>
          <cell r="AN1281" t="str">
            <v>3P Onsite Worker</v>
          </cell>
          <cell r="AO1281" t="str">
            <v>A</v>
          </cell>
          <cell r="AP1281">
            <v>9</v>
          </cell>
          <cell r="AQ1281">
            <v>0</v>
          </cell>
          <cell r="AR1281">
            <v>1</v>
          </cell>
          <cell r="AS1281">
            <v>1</v>
          </cell>
          <cell r="AT1281">
            <v>0</v>
          </cell>
          <cell r="AU1281">
            <v>0</v>
          </cell>
        </row>
        <row r="1282">
          <cell r="D1282" t="str">
            <v>anasomoh</v>
          </cell>
          <cell r="E1282">
            <v>204469338</v>
          </cell>
          <cell r="F1282" t="str">
            <v>A</v>
          </cell>
          <cell r="G1282" t="str">
            <v>GREEN</v>
          </cell>
          <cell r="H1282" t="str">
            <v>FULL_TIME</v>
          </cell>
          <cell r="I1282">
            <v>900572</v>
          </cell>
          <cell r="J1282" t="str">
            <v>Fastlink Outsourcing</v>
          </cell>
          <cell r="K1282" t="str">
            <v>Mohammad Anas Mohammad Habeeb</v>
          </cell>
          <cell r="L1282" t="str">
            <v>HR Assistant (TEMP)</v>
          </cell>
          <cell r="M1282" t="str">
            <v>Fastlink - Vendor POC</v>
          </cell>
          <cell r="N1282" t="str">
            <v>anrdhj</v>
          </cell>
          <cell r="O1282">
            <v>1299</v>
          </cell>
          <cell r="P1282" t="str">
            <v>AUH1</v>
          </cell>
          <cell r="Q1282" t="str">
            <v>ARE</v>
          </cell>
          <cell r="R1282" t="str">
            <v>LK013</v>
          </cell>
          <cell r="S1282" t="str">
            <v>Night Shift</v>
          </cell>
          <cell r="T1282">
            <v>99</v>
          </cell>
          <cell r="U1282" t="str">
            <v>MENA_UAE_FC</v>
          </cell>
          <cell r="V1282">
            <v>46257.333333333336</v>
          </cell>
          <cell r="W1282">
            <v>46257.760416666664</v>
          </cell>
          <cell r="X1282">
            <v>46257.333333333336</v>
          </cell>
          <cell r="Y1282">
            <v>46257.75</v>
          </cell>
          <cell r="AA1282" t="str">
            <v>Scheduled</v>
          </cell>
          <cell r="AB1282" t="str">
            <v>Present</v>
          </cell>
          <cell r="AC1282" t="str">
            <v>Support</v>
          </cell>
          <cell r="AD1282" t="str">
            <v>Admin/HR/IT</v>
          </cell>
          <cell r="AE1282" t="str">
            <v>Support</v>
          </cell>
          <cell r="AF1282" t="str">
            <v>Sunday</v>
          </cell>
          <cell r="AG1282" t="str">
            <v>Monday</v>
          </cell>
          <cell r="AH1282">
            <v>26</v>
          </cell>
          <cell r="AJ1282">
            <v>45602</v>
          </cell>
          <cell r="AM1282" t="str">
            <v>TEMP</v>
          </cell>
          <cell r="AN1282" t="str">
            <v>3P Onsite Worker</v>
          </cell>
          <cell r="AO1282" t="str">
            <v>A</v>
          </cell>
          <cell r="AP1282">
            <v>9</v>
          </cell>
          <cell r="AQ1282">
            <v>0</v>
          </cell>
          <cell r="AR1282">
            <v>1</v>
          </cell>
          <cell r="AS1282">
            <v>1</v>
          </cell>
          <cell r="AT1282">
            <v>0</v>
          </cell>
          <cell r="AU1282">
            <v>0</v>
          </cell>
        </row>
        <row r="1283">
          <cell r="D1283" t="str">
            <v>arathikx</v>
          </cell>
          <cell r="E1283">
            <v>207282341</v>
          </cell>
          <cell r="F1283" t="str">
            <v>A</v>
          </cell>
          <cell r="G1283" t="str">
            <v>GREEN</v>
          </cell>
          <cell r="H1283" t="str">
            <v>FULL_TIME</v>
          </cell>
          <cell r="I1283">
            <v>900572</v>
          </cell>
          <cell r="J1283" t="str">
            <v>EFS Facilities Services</v>
          </cell>
          <cell r="K1283" t="str">
            <v>ARATHI KARICHERY</v>
          </cell>
          <cell r="L1283" t="str">
            <v>HR Assistant (TEMP)</v>
          </cell>
          <cell r="M1283" t="str">
            <v>EFS - Vendor POC</v>
          </cell>
          <cell r="N1283" t="str">
            <v>anrdhj</v>
          </cell>
          <cell r="O1283">
            <v>1299</v>
          </cell>
          <cell r="P1283" t="str">
            <v>AUH1</v>
          </cell>
          <cell r="Q1283" t="str">
            <v>ARE</v>
          </cell>
          <cell r="R1283" t="str">
            <v>Varies</v>
          </cell>
          <cell r="T1283">
            <v>99</v>
          </cell>
          <cell r="U1283" t="str">
            <v>MENA_UAE_FC</v>
          </cell>
          <cell r="V1283">
            <v>46257.756944444445</v>
          </cell>
          <cell r="X1283">
            <v>46257.75</v>
          </cell>
          <cell r="Y1283">
            <v>46258.166666666664</v>
          </cell>
          <cell r="AA1283" t="str">
            <v>Scheduled</v>
          </cell>
          <cell r="AB1283" t="str">
            <v>Present</v>
          </cell>
          <cell r="AJ1283">
            <v>46122</v>
          </cell>
          <cell r="AM1283" t="str">
            <v>TEMP</v>
          </cell>
          <cell r="AN1283" t="str">
            <v>3P Onsite Worker</v>
          </cell>
          <cell r="AO1283" t="str">
            <v>A</v>
          </cell>
          <cell r="AP1283">
            <v>9</v>
          </cell>
          <cell r="AQ1283">
            <v>0</v>
          </cell>
          <cell r="AR1283">
            <v>1</v>
          </cell>
          <cell r="AS1283">
            <v>1</v>
          </cell>
          <cell r="AT1283">
            <v>0</v>
          </cell>
          <cell r="AU1283">
            <v>0</v>
          </cell>
        </row>
        <row r="1284">
          <cell r="D1284" t="str">
            <v>canudamo</v>
          </cell>
          <cell r="E1284">
            <v>205837449</v>
          </cell>
          <cell r="F1284" t="str">
            <v>A</v>
          </cell>
          <cell r="G1284" t="str">
            <v>GREEN</v>
          </cell>
          <cell r="H1284" t="str">
            <v>FULL_TIME</v>
          </cell>
          <cell r="I1284">
            <v>900572</v>
          </cell>
          <cell r="J1284" t="str">
            <v>EFS Facilities Services</v>
          </cell>
          <cell r="K1284" t="str">
            <v>Anu Damodaran</v>
          </cell>
          <cell r="L1284" t="str">
            <v>HR Assistant (TEMP)</v>
          </cell>
          <cell r="M1284" t="str">
            <v>EFS - Vendor POC</v>
          </cell>
          <cell r="N1284" t="str">
            <v>anrdhj</v>
          </cell>
          <cell r="O1284">
            <v>1299</v>
          </cell>
          <cell r="P1284" t="str">
            <v>AUH1</v>
          </cell>
          <cell r="Q1284" t="str">
            <v>ARE</v>
          </cell>
          <cell r="R1284" t="str">
            <v>FC059</v>
          </cell>
          <cell r="S1284" t="str">
            <v>Day Shift</v>
          </cell>
          <cell r="T1284">
            <v>99</v>
          </cell>
          <cell r="U1284" t="str">
            <v>MENA_UAE_FC</v>
          </cell>
          <cell r="V1284">
            <v>46257.329861111109</v>
          </cell>
          <cell r="W1284">
            <v>46257.541666666664</v>
          </cell>
          <cell r="X1284">
            <v>46257.333333333336</v>
          </cell>
          <cell r="Y1284">
            <v>46257.75</v>
          </cell>
          <cell r="AA1284" t="str">
            <v>Scheduled</v>
          </cell>
          <cell r="AB1284" t="str">
            <v>Present</v>
          </cell>
          <cell r="AC1284" t="str">
            <v>Support</v>
          </cell>
          <cell r="AD1284" t="str">
            <v>Admin/HR/IT</v>
          </cell>
          <cell r="AE1284" t="str">
            <v>Support</v>
          </cell>
          <cell r="AF1284" t="str">
            <v>Sunday</v>
          </cell>
          <cell r="AG1284" t="str">
            <v>Monday</v>
          </cell>
          <cell r="AH1284">
            <v>26</v>
          </cell>
          <cell r="AJ1284">
            <v>45889</v>
          </cell>
          <cell r="AM1284" t="str">
            <v>TEMP</v>
          </cell>
          <cell r="AN1284" t="str">
            <v>3P Onsite Worker</v>
          </cell>
          <cell r="AO1284" t="str">
            <v>A</v>
          </cell>
          <cell r="AP1284">
            <v>9</v>
          </cell>
          <cell r="AQ1284">
            <v>0</v>
          </cell>
          <cell r="AR1284">
            <v>1</v>
          </cell>
          <cell r="AS1284">
            <v>1</v>
          </cell>
          <cell r="AT1284">
            <v>0</v>
          </cell>
          <cell r="AU1284">
            <v>0</v>
          </cell>
        </row>
        <row r="1285">
          <cell r="D1285" t="str">
            <v>hkhwabdu</v>
          </cell>
          <cell r="E1285">
            <v>203940975</v>
          </cell>
          <cell r="F1285" t="str">
            <v>A</v>
          </cell>
          <cell r="G1285" t="str">
            <v>GREEN</v>
          </cell>
          <cell r="H1285" t="str">
            <v>FULL_TIME</v>
          </cell>
          <cell r="I1285">
            <v>900572</v>
          </cell>
          <cell r="J1285" t="str">
            <v>Adecco</v>
          </cell>
          <cell r="K1285" t="str">
            <v>Abdul Khwaja</v>
          </cell>
          <cell r="L1285" t="str">
            <v>HR Assistant (TEMP)</v>
          </cell>
          <cell r="M1285" t="str">
            <v>Adecco - WFS Admin</v>
          </cell>
          <cell r="N1285" t="str">
            <v>neeruamz</v>
          </cell>
          <cell r="O1285">
            <v>1299</v>
          </cell>
          <cell r="P1285" t="str">
            <v>AUH1</v>
          </cell>
          <cell r="Q1285" t="str">
            <v>ARE</v>
          </cell>
          <cell r="R1285" t="str">
            <v>FC009</v>
          </cell>
          <cell r="S1285" t="str">
            <v>Day Shift</v>
          </cell>
          <cell r="T1285">
            <v>99</v>
          </cell>
          <cell r="U1285" t="str">
            <v>MENA_UAE_FC</v>
          </cell>
          <cell r="X1285">
            <v>46257.375</v>
          </cell>
          <cell r="Y1285">
            <v>46257.75</v>
          </cell>
          <cell r="Z1285" t="str">
            <v>Rest Day</v>
          </cell>
          <cell r="AA1285" t="str">
            <v>Not Scheduled</v>
          </cell>
          <cell r="AB1285" t="str">
            <v>Not Present</v>
          </cell>
          <cell r="AC1285" t="str">
            <v>Support</v>
          </cell>
          <cell r="AD1285" t="str">
            <v>Admin/HR/IT</v>
          </cell>
          <cell r="AE1285" t="str">
            <v>Support</v>
          </cell>
          <cell r="AF1285" t="str">
            <v>Friday</v>
          </cell>
          <cell r="AG1285" t="str">
            <v>Saturday</v>
          </cell>
          <cell r="AH1285">
            <v>26</v>
          </cell>
          <cell r="AJ1285">
            <v>45539</v>
          </cell>
          <cell r="AM1285" t="str">
            <v>TEMP</v>
          </cell>
          <cell r="AN1285" t="str">
            <v>3P Onsite Worker</v>
          </cell>
          <cell r="AO1285" t="str">
            <v>A</v>
          </cell>
          <cell r="AP1285">
            <v>8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</row>
        <row r="1286">
          <cell r="D1286" t="str">
            <v>manavedk</v>
          </cell>
          <cell r="E1286">
            <v>203750137</v>
          </cell>
          <cell r="F1286" t="str">
            <v>A</v>
          </cell>
          <cell r="G1286" t="str">
            <v>GREEN</v>
          </cell>
          <cell r="H1286" t="str">
            <v>FULL_TIME</v>
          </cell>
          <cell r="I1286">
            <v>900572</v>
          </cell>
          <cell r="J1286" t="str">
            <v>Fastlink Outsourcing</v>
          </cell>
          <cell r="K1286" t="str">
            <v>Naved Khan Maqdoom khan</v>
          </cell>
          <cell r="L1286" t="str">
            <v>HR Assistant (TEMP)</v>
          </cell>
          <cell r="M1286" t="str">
            <v>Fastlink - Vendor POC</v>
          </cell>
          <cell r="N1286" t="str">
            <v>anrdhj</v>
          </cell>
          <cell r="O1286">
            <v>1299</v>
          </cell>
          <cell r="P1286" t="str">
            <v>AUH1</v>
          </cell>
          <cell r="Q1286" t="str">
            <v>ARE</v>
          </cell>
          <cell r="R1286" t="str">
            <v>FC009</v>
          </cell>
          <cell r="S1286" t="str">
            <v>Day Shift</v>
          </cell>
          <cell r="T1286">
            <v>99</v>
          </cell>
          <cell r="U1286" t="str">
            <v>MENA_UAE_FC</v>
          </cell>
          <cell r="V1286">
            <v>46257.75</v>
          </cell>
          <cell r="X1286">
            <v>46257.75</v>
          </cell>
          <cell r="Y1286">
            <v>46258.166666666664</v>
          </cell>
          <cell r="AA1286" t="str">
            <v>Scheduled</v>
          </cell>
          <cell r="AB1286" t="str">
            <v>Present</v>
          </cell>
          <cell r="AC1286" t="str">
            <v>Support</v>
          </cell>
          <cell r="AD1286" t="str">
            <v>Admin/HR/IT</v>
          </cell>
          <cell r="AE1286" t="str">
            <v>Support</v>
          </cell>
          <cell r="AF1286" t="str">
            <v>Friday</v>
          </cell>
          <cell r="AG1286" t="str">
            <v>Saturday</v>
          </cell>
          <cell r="AH1286">
            <v>26</v>
          </cell>
          <cell r="AJ1286">
            <v>45502</v>
          </cell>
          <cell r="AM1286" t="str">
            <v>TEMP</v>
          </cell>
          <cell r="AN1286" t="str">
            <v>3P Onsite Worker</v>
          </cell>
          <cell r="AO1286" t="str">
            <v>A</v>
          </cell>
          <cell r="AP1286">
            <v>9</v>
          </cell>
          <cell r="AQ1286">
            <v>0</v>
          </cell>
          <cell r="AR1286">
            <v>1</v>
          </cell>
          <cell r="AS1286">
            <v>1</v>
          </cell>
          <cell r="AT1286">
            <v>0</v>
          </cell>
          <cell r="AU1286">
            <v>0</v>
          </cell>
        </row>
        <row r="1287">
          <cell r="D1287" t="str">
            <v>nsaluall</v>
          </cell>
          <cell r="E1287">
            <v>206332542</v>
          </cell>
          <cell r="F1287" t="str">
            <v>A</v>
          </cell>
          <cell r="G1287" t="str">
            <v>GREEN</v>
          </cell>
          <cell r="H1287" t="str">
            <v>FULL_TIME</v>
          </cell>
          <cell r="I1287">
            <v>900572</v>
          </cell>
          <cell r="J1287" t="str">
            <v>Dulsco L.L.C.</v>
          </cell>
          <cell r="K1287" t="str">
            <v>ALLYZA ASHLEY SALUDO DIMAFELIX</v>
          </cell>
          <cell r="L1287" t="str">
            <v>HR Assistant (TEMP)</v>
          </cell>
          <cell r="M1287" t="str">
            <v>Dulsco - Vendor POC</v>
          </cell>
          <cell r="N1287" t="str">
            <v>anrdhj</v>
          </cell>
          <cell r="O1287">
            <v>1299</v>
          </cell>
          <cell r="P1287" t="str">
            <v>AUH1</v>
          </cell>
          <cell r="Q1287" t="str">
            <v>ARE</v>
          </cell>
          <cell r="R1287" t="str">
            <v>LK011</v>
          </cell>
          <cell r="S1287" t="str">
            <v>Night Shift</v>
          </cell>
          <cell r="T1287">
            <v>99</v>
          </cell>
          <cell r="U1287" t="str">
            <v>MENA_UAE_FC</v>
          </cell>
          <cell r="X1287">
            <v>46257.75</v>
          </cell>
          <cell r="Y1287">
            <v>46258.166666666664</v>
          </cell>
          <cell r="Z1287" t="str">
            <v>Rest Day</v>
          </cell>
          <cell r="AA1287" t="str">
            <v>Not Scheduled</v>
          </cell>
          <cell r="AB1287" t="str">
            <v>Not Present</v>
          </cell>
          <cell r="AC1287" t="str">
            <v>Support</v>
          </cell>
          <cell r="AD1287" t="str">
            <v>Admin/HR/IT</v>
          </cell>
          <cell r="AE1287" t="str">
            <v>Support</v>
          </cell>
          <cell r="AF1287" t="str">
            <v>Friday</v>
          </cell>
          <cell r="AG1287" t="str">
            <v>Saturday</v>
          </cell>
          <cell r="AH1287">
            <v>26</v>
          </cell>
          <cell r="AJ1287">
            <v>45956</v>
          </cell>
          <cell r="AM1287" t="str">
            <v>TEMP</v>
          </cell>
          <cell r="AN1287" t="str">
            <v>3P Onsite Worker</v>
          </cell>
          <cell r="AO1287" t="str">
            <v>A</v>
          </cell>
          <cell r="AP1287">
            <v>9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</row>
        <row r="1288">
          <cell r="D1288" t="str">
            <v>sheshame</v>
          </cell>
          <cell r="E1288">
            <v>205247340</v>
          </cell>
          <cell r="F1288" t="str">
            <v>A</v>
          </cell>
          <cell r="G1288" t="str">
            <v>GREEN</v>
          </cell>
          <cell r="H1288" t="str">
            <v>FULL_TIME</v>
          </cell>
          <cell r="I1288">
            <v>900572</v>
          </cell>
          <cell r="J1288" t="str">
            <v>Quesscorp</v>
          </cell>
          <cell r="K1288" t="str">
            <v>Sheikh Muhammad Shameer</v>
          </cell>
          <cell r="L1288" t="str">
            <v>HR Assistant (TEMP)</v>
          </cell>
          <cell r="M1288" t="str">
            <v>Quesscorp - Vendor POC</v>
          </cell>
          <cell r="N1288" t="str">
            <v>anrdhj</v>
          </cell>
          <cell r="O1288">
            <v>1299</v>
          </cell>
          <cell r="P1288" t="str">
            <v>AUH1</v>
          </cell>
          <cell r="Q1288" t="str">
            <v>ARE</v>
          </cell>
          <cell r="R1288" t="str">
            <v>FC009</v>
          </cell>
          <cell r="S1288" t="str">
            <v>Day Shift</v>
          </cell>
          <cell r="T1288">
            <v>99</v>
          </cell>
          <cell r="U1288" t="str">
            <v>MENA_UAE_FC</v>
          </cell>
          <cell r="V1288">
            <v>46257.333333333336</v>
          </cell>
          <cell r="W1288">
            <v>46257.625</v>
          </cell>
          <cell r="X1288">
            <v>46257.333333333336</v>
          </cell>
          <cell r="Y1288">
            <v>46257.75</v>
          </cell>
          <cell r="Z1288" t="str">
            <v>Rest Day</v>
          </cell>
          <cell r="AA1288" t="str">
            <v>Not Scheduled</v>
          </cell>
          <cell r="AB1288" t="str">
            <v>Present</v>
          </cell>
          <cell r="AC1288" t="str">
            <v>Support</v>
          </cell>
          <cell r="AD1288" t="str">
            <v>Admin/HR/IT</v>
          </cell>
          <cell r="AE1288" t="str">
            <v>Support</v>
          </cell>
          <cell r="AF1288" t="str">
            <v>Friday</v>
          </cell>
          <cell r="AG1288" t="str">
            <v>Saturday</v>
          </cell>
          <cell r="AH1288">
            <v>26</v>
          </cell>
          <cell r="AJ1288">
            <v>45784</v>
          </cell>
          <cell r="AM1288" t="str">
            <v>TEMP</v>
          </cell>
          <cell r="AN1288" t="str">
            <v>3P Onsite Worker</v>
          </cell>
          <cell r="AO1288" t="str">
            <v>A</v>
          </cell>
          <cell r="AP1288">
            <v>9</v>
          </cell>
          <cell r="AQ1288">
            <v>1</v>
          </cell>
          <cell r="AR1288">
            <v>1</v>
          </cell>
          <cell r="AS1288">
            <v>0</v>
          </cell>
          <cell r="AT1288">
            <v>0</v>
          </cell>
          <cell r="AU1288">
            <v>0</v>
          </cell>
        </row>
        <row r="1289">
          <cell r="D1289" t="str">
            <v>thomtonp</v>
          </cell>
          <cell r="E1289">
            <v>207283258</v>
          </cell>
          <cell r="F1289" t="str">
            <v>A</v>
          </cell>
          <cell r="G1289" t="str">
            <v>GREEN</v>
          </cell>
          <cell r="H1289" t="str">
            <v>FULL_TIME</v>
          </cell>
          <cell r="I1289">
            <v>900572</v>
          </cell>
          <cell r="J1289" t="str">
            <v>Dulsco L.L.C.</v>
          </cell>
          <cell r="K1289" t="str">
            <v>TONY THOMAS JOSEPH</v>
          </cell>
          <cell r="L1289" t="str">
            <v>HR Assistant (TEMP)</v>
          </cell>
          <cell r="M1289" t="str">
            <v>Dulsco - Vendor POC</v>
          </cell>
          <cell r="N1289" t="str">
            <v>anrdhj</v>
          </cell>
          <cell r="O1289">
            <v>1299</v>
          </cell>
          <cell r="P1289" t="str">
            <v>AUH1</v>
          </cell>
          <cell r="Q1289" t="str">
            <v>ARE</v>
          </cell>
          <cell r="R1289" t="str">
            <v>Varies</v>
          </cell>
          <cell r="T1289">
            <v>99</v>
          </cell>
          <cell r="U1289" t="str">
            <v>MENA_UAE_FC</v>
          </cell>
          <cell r="V1289">
            <v>46257.754861111112</v>
          </cell>
          <cell r="X1289">
            <v>46257.75</v>
          </cell>
          <cell r="Y1289">
            <v>46258.166666666664</v>
          </cell>
          <cell r="AA1289" t="str">
            <v>Scheduled</v>
          </cell>
          <cell r="AB1289" t="str">
            <v>Present</v>
          </cell>
          <cell r="AJ1289">
            <v>46125</v>
          </cell>
          <cell r="AM1289" t="str">
            <v>TEMP</v>
          </cell>
          <cell r="AN1289" t="str">
            <v>3P Onsite Worker</v>
          </cell>
          <cell r="AO1289" t="str">
            <v>A</v>
          </cell>
          <cell r="AP1289">
            <v>9</v>
          </cell>
          <cell r="AQ1289">
            <v>0</v>
          </cell>
          <cell r="AR1289">
            <v>1</v>
          </cell>
          <cell r="AS1289">
            <v>1</v>
          </cell>
          <cell r="AT1289">
            <v>0</v>
          </cell>
          <cell r="AU1289">
            <v>0</v>
          </cell>
        </row>
        <row r="1290">
          <cell r="D1290" t="str">
            <v>mohehsaf</v>
          </cell>
          <cell r="E1290">
            <v>112463068</v>
          </cell>
          <cell r="F1290" t="str">
            <v>A</v>
          </cell>
          <cell r="G1290" t="str">
            <v>GREEN</v>
          </cell>
          <cell r="H1290" t="str">
            <v>FULL_TIME</v>
          </cell>
          <cell r="I1290">
            <v>901161</v>
          </cell>
          <cell r="J1290" t="str">
            <v>Fastlink Outsourcing</v>
          </cell>
          <cell r="K1290" t="str">
            <v>Mohsin Ehsan Ehsan Ullah</v>
          </cell>
          <cell r="L1290" t="str">
            <v>Delivery Station Assoc (TEMP)</v>
          </cell>
          <cell r="M1290" t="str">
            <v>Warehouse Associate 12M</v>
          </cell>
          <cell r="N1290" t="str">
            <v>gylrdg</v>
          </cell>
          <cell r="O1290">
            <v>1181</v>
          </cell>
          <cell r="P1290" t="str">
            <v>DAD1</v>
          </cell>
          <cell r="Q1290" t="str">
            <v>ARE</v>
          </cell>
          <cell r="R1290" t="str">
            <v>FC558</v>
          </cell>
          <cell r="T1290">
            <v>99</v>
          </cell>
          <cell r="U1290" t="str">
            <v>MENA_UAE_AMZL</v>
          </cell>
          <cell r="V1290">
            <v>46257.753472222219</v>
          </cell>
          <cell r="X1290">
            <v>46257.756944444445</v>
          </cell>
          <cell r="Y1290">
            <v>46258.090277777781</v>
          </cell>
          <cell r="AA1290" t="str">
            <v>Scheduled</v>
          </cell>
          <cell r="AB1290" t="str">
            <v>Present</v>
          </cell>
          <cell r="AC1290" t="str">
            <v>Warehouse deals</v>
          </cell>
          <cell r="AD1290" t="str">
            <v>Warehouse Deals</v>
          </cell>
          <cell r="AE1290" t="str">
            <v>Warehouse deals</v>
          </cell>
          <cell r="AH1290">
            <v>32</v>
          </cell>
          <cell r="AJ1290">
            <v>45529</v>
          </cell>
          <cell r="AM1290" t="str">
            <v>TEMP</v>
          </cell>
          <cell r="AN1290" t="str">
            <v>3P Onsite Worker</v>
          </cell>
          <cell r="AO1290" t="str">
            <v>A</v>
          </cell>
          <cell r="AP1290">
            <v>7</v>
          </cell>
          <cell r="AQ1290">
            <v>0</v>
          </cell>
          <cell r="AR1290">
            <v>1</v>
          </cell>
          <cell r="AS1290">
            <v>1</v>
          </cell>
          <cell r="AT1290">
            <v>0</v>
          </cell>
          <cell r="AU1290">
            <v>0</v>
          </cell>
        </row>
        <row r="1291">
          <cell r="D1291" t="str">
            <v>ashifzah</v>
          </cell>
          <cell r="E1291">
            <v>207383780</v>
          </cell>
          <cell r="F1291" t="str">
            <v>A</v>
          </cell>
          <cell r="G1291" t="str">
            <v>GREEN</v>
          </cell>
          <cell r="H1291" t="str">
            <v>FULL_TIME</v>
          </cell>
          <cell r="I1291">
            <v>900572</v>
          </cell>
          <cell r="J1291" t="str">
            <v>EFS Facilities Services</v>
          </cell>
          <cell r="K1291" t="str">
            <v>ASHIF AHAMED</v>
          </cell>
          <cell r="L1291" t="str">
            <v>HR Assistant (TEMP)</v>
          </cell>
          <cell r="M1291" t="str">
            <v>EFS - Vendor POC</v>
          </cell>
          <cell r="N1291" t="str">
            <v>anrdhj</v>
          </cell>
          <cell r="O1291">
            <v>1299</v>
          </cell>
          <cell r="P1291" t="str">
            <v>AUH1</v>
          </cell>
          <cell r="Q1291" t="str">
            <v>ARE</v>
          </cell>
          <cell r="R1291" t="str">
            <v>Varies</v>
          </cell>
          <cell r="T1291">
            <v>99</v>
          </cell>
          <cell r="U1291" t="str">
            <v>MENA_UAE_FC</v>
          </cell>
          <cell r="X1291">
            <v>46257.75</v>
          </cell>
          <cell r="Y1291">
            <v>46258.166666666664</v>
          </cell>
          <cell r="AA1291" t="str">
            <v>Scheduled</v>
          </cell>
          <cell r="AB1291" t="str">
            <v>Not Present</v>
          </cell>
          <cell r="AJ1291">
            <v>46140</v>
          </cell>
          <cell r="AM1291" t="str">
            <v>TEMP</v>
          </cell>
          <cell r="AN1291" t="str">
            <v>3P Onsite Worker</v>
          </cell>
          <cell r="AO1291" t="str">
            <v>A</v>
          </cell>
          <cell r="AP1291">
            <v>9</v>
          </cell>
          <cell r="AQ1291">
            <v>0</v>
          </cell>
          <cell r="AR1291">
            <v>0</v>
          </cell>
          <cell r="AS1291">
            <v>1</v>
          </cell>
          <cell r="AT1291">
            <v>0</v>
          </cell>
          <cell r="AU1291">
            <v>1</v>
          </cell>
        </row>
        <row r="1292">
          <cell r="D1292" t="str">
            <v>elizbaku</v>
          </cell>
          <cell r="E1292">
            <v>204341339</v>
          </cell>
          <cell r="F1292" t="str">
            <v>A</v>
          </cell>
          <cell r="G1292" t="str">
            <v>GREEN</v>
          </cell>
          <cell r="H1292" t="str">
            <v>FULL_TIME</v>
          </cell>
          <cell r="I1292">
            <v>900572</v>
          </cell>
          <cell r="J1292" t="str">
            <v>Dulsco L.L.C.</v>
          </cell>
          <cell r="K1292" t="str">
            <v>Elizbeth Akuoko</v>
          </cell>
          <cell r="L1292" t="str">
            <v>HR Assistant (TEMP)</v>
          </cell>
          <cell r="M1292" t="str">
            <v>Dulsco - Vendor POC</v>
          </cell>
          <cell r="N1292" t="str">
            <v>anrdhj</v>
          </cell>
          <cell r="O1292">
            <v>1299</v>
          </cell>
          <cell r="P1292" t="str">
            <v>AUH1</v>
          </cell>
          <cell r="Q1292" t="str">
            <v>ARE</v>
          </cell>
          <cell r="R1292" t="str">
            <v>FC059</v>
          </cell>
          <cell r="S1292" t="str">
            <v>Day Shift</v>
          </cell>
          <cell r="T1292">
            <v>99</v>
          </cell>
          <cell r="U1292" t="str">
            <v>MENA_UAE_FC</v>
          </cell>
          <cell r="X1292">
            <v>46257.333333333336</v>
          </cell>
          <cell r="Y1292">
            <v>46257.75</v>
          </cell>
          <cell r="AA1292" t="str">
            <v>Scheduled</v>
          </cell>
          <cell r="AB1292" t="str">
            <v>Not Present</v>
          </cell>
          <cell r="AC1292" t="str">
            <v>Support</v>
          </cell>
          <cell r="AD1292" t="str">
            <v>Admin/HR/IT</v>
          </cell>
          <cell r="AE1292" t="str">
            <v>Support</v>
          </cell>
          <cell r="AF1292" t="str">
            <v>Sunday</v>
          </cell>
          <cell r="AG1292" t="str">
            <v>Monday</v>
          </cell>
          <cell r="AH1292">
            <v>26</v>
          </cell>
          <cell r="AJ1292">
            <v>45588</v>
          </cell>
          <cell r="AM1292" t="str">
            <v>TEMP</v>
          </cell>
          <cell r="AN1292" t="str">
            <v>3P Onsite Worker</v>
          </cell>
          <cell r="AO1292" t="str">
            <v>A</v>
          </cell>
          <cell r="AP1292">
            <v>9</v>
          </cell>
          <cell r="AQ1292">
            <v>0</v>
          </cell>
          <cell r="AR1292">
            <v>0</v>
          </cell>
          <cell r="AS1292">
            <v>1</v>
          </cell>
          <cell r="AT1292">
            <v>0</v>
          </cell>
          <cell r="AU1292">
            <v>1</v>
          </cell>
        </row>
        <row r="1293">
          <cell r="D1293" t="str">
            <v>fairoowk</v>
          </cell>
          <cell r="E1293">
            <v>203555938</v>
          </cell>
          <cell r="F1293" t="str">
            <v>A</v>
          </cell>
          <cell r="G1293" t="str">
            <v>GREEN</v>
          </cell>
          <cell r="H1293" t="str">
            <v>FULL_TIME</v>
          </cell>
          <cell r="I1293">
            <v>900572</v>
          </cell>
          <cell r="J1293" t="str">
            <v>Adecco</v>
          </cell>
          <cell r="K1293" t="str">
            <v>Fairoose khader</v>
          </cell>
          <cell r="L1293" t="str">
            <v>HR Assistant (TEMP)</v>
          </cell>
          <cell r="M1293" t="str">
            <v>Adecco - Vendor POC</v>
          </cell>
          <cell r="N1293" t="str">
            <v>anrdhj</v>
          </cell>
          <cell r="O1293">
            <v>1299</v>
          </cell>
          <cell r="P1293" t="str">
            <v>AUH1</v>
          </cell>
          <cell r="Q1293" t="str">
            <v>ARE</v>
          </cell>
          <cell r="R1293" t="str">
            <v>LK013</v>
          </cell>
          <cell r="S1293" t="str">
            <v>Night Shift</v>
          </cell>
          <cell r="T1293">
            <v>99</v>
          </cell>
          <cell r="U1293" t="str">
            <v>MENA_UAE_FC</v>
          </cell>
          <cell r="W1293">
            <v>46257.758333333331</v>
          </cell>
          <cell r="X1293">
            <v>46257.333333333336</v>
          </cell>
          <cell r="Y1293">
            <v>46257.75</v>
          </cell>
          <cell r="AA1293" t="str">
            <v>Scheduled</v>
          </cell>
          <cell r="AB1293" t="str">
            <v>Not Present</v>
          </cell>
          <cell r="AC1293" t="str">
            <v>Support</v>
          </cell>
          <cell r="AD1293" t="str">
            <v>Admin/HR/IT</v>
          </cell>
          <cell r="AE1293" t="str">
            <v>Support</v>
          </cell>
          <cell r="AF1293" t="str">
            <v>Sunday</v>
          </cell>
          <cell r="AG1293" t="str">
            <v>Monday</v>
          </cell>
          <cell r="AH1293">
            <v>26</v>
          </cell>
          <cell r="AJ1293">
            <v>45468</v>
          </cell>
          <cell r="AM1293" t="str">
            <v>TEMP</v>
          </cell>
          <cell r="AN1293" t="str">
            <v>3P Onsite Worker</v>
          </cell>
          <cell r="AO1293" t="str">
            <v>A</v>
          </cell>
          <cell r="AP1293">
            <v>9</v>
          </cell>
          <cell r="AQ1293">
            <v>0</v>
          </cell>
          <cell r="AR1293">
            <v>0</v>
          </cell>
          <cell r="AS1293">
            <v>1</v>
          </cell>
          <cell r="AT1293">
            <v>0</v>
          </cell>
          <cell r="AU1293">
            <v>1</v>
          </cell>
        </row>
        <row r="1294">
          <cell r="D1294" t="str">
            <v>javmuhak</v>
          </cell>
          <cell r="E1294">
            <v>202383469</v>
          </cell>
          <cell r="F1294" t="str">
            <v>A</v>
          </cell>
          <cell r="G1294" t="str">
            <v>GREEN</v>
          </cell>
          <cell r="H1294" t="str">
            <v>FULL_TIME</v>
          </cell>
          <cell r="I1294">
            <v>900572</v>
          </cell>
          <cell r="J1294" t="str">
            <v>Quesscorp</v>
          </cell>
          <cell r="K1294" t="str">
            <v>Muhammad Usman</v>
          </cell>
          <cell r="L1294" t="str">
            <v>HR Assistant (TEMP)</v>
          </cell>
          <cell r="M1294" t="str">
            <v>Quesscorp - Vendor POC</v>
          </cell>
          <cell r="N1294" t="str">
            <v>anrdhj</v>
          </cell>
          <cell r="O1294">
            <v>1299</v>
          </cell>
          <cell r="P1294" t="str">
            <v>AUH1</v>
          </cell>
          <cell r="Q1294" t="str">
            <v>ARE</v>
          </cell>
          <cell r="R1294" t="str">
            <v>LK013</v>
          </cell>
          <cell r="S1294" t="str">
            <v>Night Shift</v>
          </cell>
          <cell r="T1294">
            <v>99</v>
          </cell>
          <cell r="U1294" t="str">
            <v>MENA_UAE_FC</v>
          </cell>
          <cell r="X1294">
            <v>46257.75</v>
          </cell>
          <cell r="Y1294">
            <v>46258.166666666664</v>
          </cell>
          <cell r="AA1294" t="str">
            <v>Scheduled</v>
          </cell>
          <cell r="AB1294" t="str">
            <v>Not Present</v>
          </cell>
          <cell r="AC1294" t="str">
            <v>Support</v>
          </cell>
          <cell r="AD1294" t="str">
            <v>Admin/HR/IT</v>
          </cell>
          <cell r="AE1294" t="str">
            <v>Support</v>
          </cell>
          <cell r="AF1294" t="str">
            <v>Sunday</v>
          </cell>
          <cell r="AG1294" t="str">
            <v>Monday</v>
          </cell>
          <cell r="AH1294">
            <v>26</v>
          </cell>
          <cell r="AJ1294">
            <v>45595</v>
          </cell>
          <cell r="AM1294" t="str">
            <v>TEMP</v>
          </cell>
          <cell r="AN1294" t="str">
            <v>3P Onsite Worker</v>
          </cell>
          <cell r="AO1294" t="str">
            <v>A</v>
          </cell>
          <cell r="AP1294">
            <v>9</v>
          </cell>
          <cell r="AQ1294">
            <v>0</v>
          </cell>
          <cell r="AR1294">
            <v>0</v>
          </cell>
          <cell r="AS1294">
            <v>1</v>
          </cell>
          <cell r="AT1294">
            <v>0</v>
          </cell>
          <cell r="AU1294">
            <v>1</v>
          </cell>
        </row>
        <row r="1295">
          <cell r="D1295" t="str">
            <v>kanuprly</v>
          </cell>
          <cell r="E1295">
            <v>204033425</v>
          </cell>
          <cell r="F1295" t="str">
            <v>A</v>
          </cell>
          <cell r="G1295" t="str">
            <v>GREEN</v>
          </cell>
          <cell r="H1295" t="str">
            <v>FULL_TIME</v>
          </cell>
          <cell r="I1295">
            <v>900572</v>
          </cell>
          <cell r="J1295" t="str">
            <v>Fastlink Outsourcing</v>
          </cell>
          <cell r="K1295" t="str">
            <v>Anupriya Kalaiselvan</v>
          </cell>
          <cell r="L1295" t="str">
            <v>HR Assistant (TEMP)</v>
          </cell>
          <cell r="M1295" t="str">
            <v>Fastlink - Vendor POC</v>
          </cell>
          <cell r="N1295" t="str">
            <v>anrdhj</v>
          </cell>
          <cell r="O1295">
            <v>1299</v>
          </cell>
          <cell r="P1295" t="str">
            <v>AUH1</v>
          </cell>
          <cell r="Q1295" t="str">
            <v>ARE</v>
          </cell>
          <cell r="R1295" t="str">
            <v>LK011</v>
          </cell>
          <cell r="S1295" t="str">
            <v>Night Shift</v>
          </cell>
          <cell r="T1295">
            <v>99</v>
          </cell>
          <cell r="U1295" t="str">
            <v>MENA_UAE_FC</v>
          </cell>
          <cell r="X1295">
            <v>46257.75</v>
          </cell>
          <cell r="Y1295">
            <v>46258.166666666664</v>
          </cell>
          <cell r="AA1295" t="str">
            <v>Scheduled</v>
          </cell>
          <cell r="AB1295" t="str">
            <v>Not Present</v>
          </cell>
          <cell r="AC1295" t="str">
            <v>Support</v>
          </cell>
          <cell r="AD1295" t="str">
            <v>Admin/HR/IT</v>
          </cell>
          <cell r="AE1295" t="str">
            <v>Support</v>
          </cell>
          <cell r="AF1295" t="str">
            <v>Friday</v>
          </cell>
          <cell r="AG1295" t="str">
            <v>Saturday</v>
          </cell>
          <cell r="AH1295">
            <v>26</v>
          </cell>
          <cell r="AJ1295">
            <v>45551</v>
          </cell>
          <cell r="AM1295" t="str">
            <v>TEMP</v>
          </cell>
          <cell r="AN1295" t="str">
            <v>3P Onsite Worker</v>
          </cell>
          <cell r="AO1295" t="str">
            <v>A</v>
          </cell>
          <cell r="AP1295">
            <v>9</v>
          </cell>
          <cell r="AQ1295">
            <v>0</v>
          </cell>
          <cell r="AR1295">
            <v>0</v>
          </cell>
          <cell r="AS1295">
            <v>1</v>
          </cell>
          <cell r="AT1295">
            <v>0</v>
          </cell>
          <cell r="AU1295">
            <v>1</v>
          </cell>
        </row>
        <row r="1296">
          <cell r="D1296" t="str">
            <v>benteroe</v>
          </cell>
          <cell r="E1296">
            <v>103060279</v>
          </cell>
          <cell r="F1296" t="str">
            <v>A</v>
          </cell>
          <cell r="G1296" t="str">
            <v>BLUE</v>
          </cell>
          <cell r="H1296" t="str">
            <v>FULL_TIME</v>
          </cell>
          <cell r="I1296" t="str">
            <v>P03251</v>
          </cell>
          <cell r="K1296" t="str">
            <v>Edito Bentero</v>
          </cell>
          <cell r="L1296" t="str">
            <v>FC Associate I</v>
          </cell>
          <cell r="M1296" t="str">
            <v>FC Associate I</v>
          </cell>
          <cell r="N1296" t="str">
            <v>abbaszoo</v>
          </cell>
          <cell r="O1296">
            <v>1299</v>
          </cell>
          <cell r="P1296" t="str">
            <v>AUH1</v>
          </cell>
          <cell r="Q1296" t="str">
            <v>ARE</v>
          </cell>
          <cell r="R1296" t="str">
            <v>FC084</v>
          </cell>
          <cell r="S1296" t="str">
            <v>Day Shift</v>
          </cell>
          <cell r="T1296">
            <v>1</v>
          </cell>
          <cell r="U1296" t="str">
            <v>MENA_UAE_FC</v>
          </cell>
          <cell r="X1296">
            <v>46257.333333333336</v>
          </cell>
          <cell r="Y1296">
            <v>46257.75</v>
          </cell>
          <cell r="AA1296" t="str">
            <v>Scheduled</v>
          </cell>
          <cell r="AB1296" t="str">
            <v>Not Present</v>
          </cell>
          <cell r="AC1296" t="str">
            <v>Inbound</v>
          </cell>
          <cell r="AD1296" t="str">
            <v>Receive Dock</v>
          </cell>
          <cell r="AE1296" t="str">
            <v>Receive</v>
          </cell>
          <cell r="AF1296" t="str">
            <v>Monday</v>
          </cell>
          <cell r="AG1296" t="str">
            <v>Tuesday</v>
          </cell>
          <cell r="AH1296">
            <v>2</v>
          </cell>
          <cell r="AJ1296">
            <v>43079</v>
          </cell>
          <cell r="AK1296" t="str">
            <v>TimeOff_ARE_OPS_AnnualLeave</v>
          </cell>
          <cell r="AM1296" t="str">
            <v>FC</v>
          </cell>
          <cell r="AN1296" t="str">
            <v>Regular Full Time</v>
          </cell>
          <cell r="AO1296" t="str">
            <v>A</v>
          </cell>
          <cell r="AP1296">
            <v>9</v>
          </cell>
          <cell r="AQ1296">
            <v>0</v>
          </cell>
          <cell r="AR1296">
            <v>0</v>
          </cell>
          <cell r="AS1296">
            <v>1</v>
          </cell>
          <cell r="AT1296">
            <v>1</v>
          </cell>
          <cell r="AU1296">
            <v>0</v>
          </cell>
        </row>
        <row r="1297">
          <cell r="D1297" t="str">
            <v>abkwaben</v>
          </cell>
          <cell r="E1297">
            <v>205608621</v>
          </cell>
          <cell r="F1297" t="str">
            <v>A</v>
          </cell>
          <cell r="G1297" t="str">
            <v>GREEN</v>
          </cell>
          <cell r="H1297" t="str">
            <v>FULL_TIME</v>
          </cell>
          <cell r="I1297">
            <v>900234</v>
          </cell>
          <cell r="J1297" t="str">
            <v>Dulsco L.L.C.</v>
          </cell>
          <cell r="K1297" t="str">
            <v>KWABENA ABOBIRE</v>
          </cell>
          <cell r="L1297" t="str">
            <v>Warehouse Associate (TEMP)</v>
          </cell>
          <cell r="M1297" t="str">
            <v>Warehouse Associate 24M</v>
          </cell>
          <cell r="N1297" t="str">
            <v>pparsin</v>
          </cell>
          <cell r="O1297">
            <v>1299</v>
          </cell>
          <cell r="P1297" t="str">
            <v>AUH1</v>
          </cell>
          <cell r="Q1297" t="str">
            <v>ARE</v>
          </cell>
          <cell r="R1297" t="str">
            <v>FC059</v>
          </cell>
          <cell r="S1297" t="str">
            <v>Day Shift</v>
          </cell>
          <cell r="T1297">
            <v>99</v>
          </cell>
          <cell r="U1297" t="str">
            <v>MENA_UAE_FC</v>
          </cell>
          <cell r="X1297">
            <v>46257.333333333336</v>
          </cell>
          <cell r="Y1297">
            <v>46257.75</v>
          </cell>
          <cell r="Z1297" t="str">
            <v>Rest Day</v>
          </cell>
          <cell r="AA1297" t="str">
            <v>Not Scheduled</v>
          </cell>
          <cell r="AB1297" t="str">
            <v>Not Present</v>
          </cell>
          <cell r="AC1297" t="str">
            <v>Inbound</v>
          </cell>
          <cell r="AD1297" t="str">
            <v>Inbound Stow</v>
          </cell>
          <cell r="AE1297" t="str">
            <v>Stow</v>
          </cell>
          <cell r="AF1297" t="str">
            <v>Sunday</v>
          </cell>
          <cell r="AG1297" t="str">
            <v>Monday</v>
          </cell>
          <cell r="AH1297">
            <v>3</v>
          </cell>
          <cell r="AJ1297">
            <v>45844</v>
          </cell>
          <cell r="AL1297" t="str">
            <v>Carry Forwarded Annual Leave</v>
          </cell>
          <cell r="AM1297" t="str">
            <v>TEMP</v>
          </cell>
          <cell r="AN1297" t="str">
            <v>3P Onsite Worker</v>
          </cell>
          <cell r="AO1297" t="str">
            <v>A</v>
          </cell>
          <cell r="AP1297">
            <v>9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</row>
        <row r="1298">
          <cell r="D1298" t="str">
            <v>adnjames</v>
          </cell>
          <cell r="E1298">
            <v>205236908</v>
          </cell>
          <cell r="F1298" t="str">
            <v>A</v>
          </cell>
          <cell r="G1298" t="str">
            <v>GREEN</v>
          </cell>
          <cell r="H1298" t="str">
            <v>FULL_TIME</v>
          </cell>
          <cell r="I1298">
            <v>900234</v>
          </cell>
          <cell r="J1298" t="str">
            <v>Dulsco L.L.C.</v>
          </cell>
          <cell r="K1298" t="str">
            <v>JAMES ADADE</v>
          </cell>
          <cell r="L1298" t="str">
            <v>Warehouse Associate (TEMP)</v>
          </cell>
          <cell r="M1298" t="str">
            <v>Warehouse Associate 24M</v>
          </cell>
          <cell r="N1298" t="str">
            <v>nnahla</v>
          </cell>
          <cell r="O1298">
            <v>1299</v>
          </cell>
          <cell r="P1298" t="str">
            <v>AUH1</v>
          </cell>
          <cell r="Q1298" t="str">
            <v>ARE</v>
          </cell>
          <cell r="R1298" t="str">
            <v>FC134</v>
          </cell>
          <cell r="S1298" t="str">
            <v>Day Shift</v>
          </cell>
          <cell r="T1298">
            <v>99</v>
          </cell>
          <cell r="U1298" t="str">
            <v>MENA_UAE_FC</v>
          </cell>
          <cell r="X1298">
            <v>46257.333333333336</v>
          </cell>
          <cell r="Y1298">
            <v>46257.75</v>
          </cell>
          <cell r="AA1298" t="str">
            <v>Scheduled</v>
          </cell>
          <cell r="AB1298" t="str">
            <v>Not Present</v>
          </cell>
          <cell r="AC1298" t="str">
            <v>Inbound</v>
          </cell>
          <cell r="AD1298" t="str">
            <v>Receive Dock</v>
          </cell>
          <cell r="AE1298" t="str">
            <v>Receive</v>
          </cell>
          <cell r="AF1298" t="str">
            <v>Wednesday</v>
          </cell>
          <cell r="AG1298" t="str">
            <v>Thursday</v>
          </cell>
          <cell r="AH1298">
            <v>2</v>
          </cell>
          <cell r="AJ1298">
            <v>45830</v>
          </cell>
          <cell r="AL1298" t="str">
            <v>Carry Forwarded Annual Leave</v>
          </cell>
          <cell r="AM1298" t="str">
            <v>TEMP</v>
          </cell>
          <cell r="AN1298" t="str">
            <v>3P Onsite Worker</v>
          </cell>
          <cell r="AO1298" t="str">
            <v>A</v>
          </cell>
          <cell r="AP1298">
            <v>9</v>
          </cell>
          <cell r="AQ1298">
            <v>0</v>
          </cell>
          <cell r="AR1298">
            <v>0</v>
          </cell>
          <cell r="AS1298">
            <v>1</v>
          </cell>
          <cell r="AT1298">
            <v>1</v>
          </cell>
          <cell r="AU1298">
            <v>0</v>
          </cell>
        </row>
        <row r="1299">
          <cell r="D1299" t="str">
            <v>alisalsu</v>
          </cell>
          <cell r="E1299">
            <v>206137337</v>
          </cell>
          <cell r="F1299" t="str">
            <v>A</v>
          </cell>
          <cell r="G1299" t="str">
            <v>GREEN</v>
          </cell>
          <cell r="H1299" t="str">
            <v>FULL_TIME</v>
          </cell>
          <cell r="I1299">
            <v>900234</v>
          </cell>
          <cell r="J1299" t="str">
            <v>Fastlink Outsourcing</v>
          </cell>
          <cell r="K1299" t="str">
            <v>Suleiman Ali Saleh</v>
          </cell>
          <cell r="L1299" t="str">
            <v>Warehouse Associate (TEMP)</v>
          </cell>
          <cell r="M1299" t="str">
            <v>Warehouse Associate 12M</v>
          </cell>
          <cell r="N1299" t="str">
            <v>bizthoma</v>
          </cell>
          <cell r="O1299">
            <v>1299</v>
          </cell>
          <cell r="P1299" t="str">
            <v>AUH1</v>
          </cell>
          <cell r="Q1299" t="str">
            <v>ARE</v>
          </cell>
          <cell r="R1299" t="str">
            <v>LK015</v>
          </cell>
          <cell r="S1299" t="str">
            <v>Night Shift</v>
          </cell>
          <cell r="T1299">
            <v>99</v>
          </cell>
          <cell r="U1299" t="str">
            <v>MENA_UAE_FC</v>
          </cell>
          <cell r="X1299">
            <v>46257.756944444445</v>
          </cell>
          <cell r="Y1299">
            <v>46258.173611111109</v>
          </cell>
          <cell r="AA1299" t="str">
            <v>Scheduled</v>
          </cell>
          <cell r="AB1299" t="str">
            <v>Not Present</v>
          </cell>
          <cell r="AC1299" t="str">
            <v>Outbound</v>
          </cell>
          <cell r="AD1299" t="str">
            <v>Picking</v>
          </cell>
          <cell r="AE1299" t="str">
            <v>Pick</v>
          </cell>
          <cell r="AF1299" t="str">
            <v>Tuesday</v>
          </cell>
          <cell r="AG1299" t="str">
            <v>Wednesday</v>
          </cell>
          <cell r="AH1299">
            <v>13</v>
          </cell>
          <cell r="AJ1299">
            <v>45928</v>
          </cell>
          <cell r="AL1299" t="str">
            <v>Carry Forwarded Annual Leave</v>
          </cell>
          <cell r="AM1299" t="str">
            <v>TEMP</v>
          </cell>
          <cell r="AN1299" t="str">
            <v>3P Onsite Worker</v>
          </cell>
          <cell r="AO1299" t="str">
            <v>A</v>
          </cell>
          <cell r="AP1299">
            <v>9</v>
          </cell>
          <cell r="AQ1299">
            <v>0</v>
          </cell>
          <cell r="AR1299">
            <v>0</v>
          </cell>
          <cell r="AS1299">
            <v>1</v>
          </cell>
          <cell r="AT1299">
            <v>1</v>
          </cell>
          <cell r="AU1299">
            <v>0</v>
          </cell>
        </row>
        <row r="1300">
          <cell r="D1300" t="str">
            <v>danabuak</v>
          </cell>
          <cell r="E1300">
            <v>204872907</v>
          </cell>
          <cell r="F1300" t="str">
            <v>A</v>
          </cell>
          <cell r="G1300" t="str">
            <v>GREEN</v>
          </cell>
          <cell r="H1300" t="str">
            <v>FULL_TIME</v>
          </cell>
          <cell r="I1300">
            <v>900234</v>
          </cell>
          <cell r="J1300" t="str">
            <v>Dulsco L.L.C.</v>
          </cell>
          <cell r="K1300" t="str">
            <v>DANIEL ABU AKPARIBO</v>
          </cell>
          <cell r="L1300" t="str">
            <v>Warehouse Associate (TEMP)</v>
          </cell>
          <cell r="M1300" t="str">
            <v>Warehouse Associate 24M</v>
          </cell>
          <cell r="N1300" t="str">
            <v>pparsin</v>
          </cell>
          <cell r="O1300">
            <v>1299</v>
          </cell>
          <cell r="P1300" t="str">
            <v>AUH1</v>
          </cell>
          <cell r="Q1300" t="str">
            <v>ARE</v>
          </cell>
          <cell r="R1300" t="str">
            <v>LK015</v>
          </cell>
          <cell r="S1300" t="str">
            <v>Night Shift</v>
          </cell>
          <cell r="T1300">
            <v>99</v>
          </cell>
          <cell r="U1300" t="str">
            <v>MENA_UAE_FC</v>
          </cell>
          <cell r="X1300">
            <v>46257.756944444445</v>
          </cell>
          <cell r="Y1300">
            <v>46258.173611111109</v>
          </cell>
          <cell r="AA1300" t="str">
            <v>Scheduled</v>
          </cell>
          <cell r="AB1300" t="str">
            <v>Not Present</v>
          </cell>
          <cell r="AC1300" t="str">
            <v>Inbound</v>
          </cell>
          <cell r="AD1300" t="str">
            <v>Inbound Stow</v>
          </cell>
          <cell r="AE1300" t="str">
            <v>Stow</v>
          </cell>
          <cell r="AF1300" t="str">
            <v>Tuesday</v>
          </cell>
          <cell r="AG1300" t="str">
            <v>Wednesday</v>
          </cell>
          <cell r="AH1300">
            <v>3</v>
          </cell>
          <cell r="AJ1300">
            <v>45825</v>
          </cell>
          <cell r="AL1300" t="str">
            <v>Carry Forwarded Annual Leave</v>
          </cell>
          <cell r="AM1300" t="str">
            <v>TEMP</v>
          </cell>
          <cell r="AN1300" t="str">
            <v>3P Onsite Worker</v>
          </cell>
          <cell r="AO1300" t="str">
            <v>A</v>
          </cell>
          <cell r="AP1300">
            <v>9</v>
          </cell>
          <cell r="AQ1300">
            <v>0</v>
          </cell>
          <cell r="AR1300">
            <v>0</v>
          </cell>
          <cell r="AS1300">
            <v>1</v>
          </cell>
          <cell r="AT1300">
            <v>1</v>
          </cell>
          <cell r="AU1300">
            <v>0</v>
          </cell>
        </row>
        <row r="1301">
          <cell r="D1301" t="str">
            <v>daudmaji</v>
          </cell>
          <cell r="E1301">
            <v>205608623</v>
          </cell>
          <cell r="F1301" t="str">
            <v>A</v>
          </cell>
          <cell r="G1301" t="str">
            <v>GREEN</v>
          </cell>
          <cell r="H1301" t="str">
            <v>FULL_TIME</v>
          </cell>
          <cell r="I1301">
            <v>900234</v>
          </cell>
          <cell r="J1301" t="str">
            <v>Dulsco L.L.C.</v>
          </cell>
          <cell r="K1301" t="str">
            <v>MAJID DAUDA</v>
          </cell>
          <cell r="L1301" t="str">
            <v>Warehouse Associate (TEMP)</v>
          </cell>
          <cell r="M1301" t="str">
            <v>Warehouse Associate 24M</v>
          </cell>
          <cell r="N1301" t="str">
            <v>vkkatyal</v>
          </cell>
          <cell r="O1301">
            <v>1299</v>
          </cell>
          <cell r="P1301" t="str">
            <v>AUH1</v>
          </cell>
          <cell r="Q1301" t="str">
            <v>ARE</v>
          </cell>
          <cell r="R1301" t="str">
            <v>LK013</v>
          </cell>
          <cell r="S1301" t="str">
            <v>Night Shift</v>
          </cell>
          <cell r="T1301">
            <v>99</v>
          </cell>
          <cell r="U1301" t="str">
            <v>MENA_UAE_FC</v>
          </cell>
          <cell r="X1301">
            <v>46257.756944444445</v>
          </cell>
          <cell r="Y1301">
            <v>46258.173611111109</v>
          </cell>
          <cell r="Z1301" t="str">
            <v>Rest Day</v>
          </cell>
          <cell r="AA1301" t="str">
            <v>Not Scheduled</v>
          </cell>
          <cell r="AB1301" t="str">
            <v>Not Present</v>
          </cell>
          <cell r="AC1301" t="str">
            <v>Inbound</v>
          </cell>
          <cell r="AD1301" t="str">
            <v>Inbound Stow</v>
          </cell>
          <cell r="AE1301" t="str">
            <v>Stow</v>
          </cell>
          <cell r="AF1301" t="str">
            <v>Sunday</v>
          </cell>
          <cell r="AG1301" t="str">
            <v>Monday</v>
          </cell>
          <cell r="AH1301">
            <v>3</v>
          </cell>
          <cell r="AJ1301">
            <v>45844</v>
          </cell>
          <cell r="AL1301" t="str">
            <v>Carry Forwarded Annual Leave</v>
          </cell>
          <cell r="AM1301" t="str">
            <v>TEMP</v>
          </cell>
          <cell r="AN1301" t="str">
            <v>3P Onsite Worker</v>
          </cell>
          <cell r="AO1301" t="str">
            <v>A</v>
          </cell>
          <cell r="AP1301">
            <v>9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</row>
        <row r="1302">
          <cell r="D1302" t="str">
            <v>edtwinam</v>
          </cell>
          <cell r="E1302">
            <v>205839586</v>
          </cell>
          <cell r="F1302" t="str">
            <v>A</v>
          </cell>
          <cell r="G1302" t="str">
            <v>GREEN</v>
          </cell>
          <cell r="H1302" t="str">
            <v>FULL_TIME</v>
          </cell>
          <cell r="I1302">
            <v>900234</v>
          </cell>
          <cell r="J1302" t="str">
            <v>Dulsco L.L.C.</v>
          </cell>
          <cell r="K1302" t="str">
            <v>EDGAR TWINAMATSIKO</v>
          </cell>
          <cell r="L1302" t="str">
            <v>Warehouse Associate (TEMP)</v>
          </cell>
          <cell r="M1302" t="str">
            <v>Warehouse Associate 24M</v>
          </cell>
          <cell r="N1302" t="str">
            <v>ansammar</v>
          </cell>
          <cell r="O1302">
            <v>1299</v>
          </cell>
          <cell r="P1302" t="str">
            <v>AUH1</v>
          </cell>
          <cell r="Q1302" t="str">
            <v>ARE</v>
          </cell>
          <cell r="R1302" t="str">
            <v>FC034</v>
          </cell>
          <cell r="S1302" t="str">
            <v>Day Shift</v>
          </cell>
          <cell r="T1302">
            <v>99</v>
          </cell>
          <cell r="U1302" t="str">
            <v>MENA_UAE_FC</v>
          </cell>
          <cell r="X1302">
            <v>46257.333333333336</v>
          </cell>
          <cell r="Y1302">
            <v>46257.75</v>
          </cell>
          <cell r="Z1302" t="str">
            <v>Rest Day</v>
          </cell>
          <cell r="AA1302" t="str">
            <v>Not Scheduled</v>
          </cell>
          <cell r="AB1302" t="str">
            <v>Not Present</v>
          </cell>
          <cell r="AC1302" t="str">
            <v>Outbound</v>
          </cell>
          <cell r="AD1302" t="str">
            <v>Picking</v>
          </cell>
          <cell r="AE1302" t="str">
            <v>Pick</v>
          </cell>
          <cell r="AF1302" t="str">
            <v>Saturday</v>
          </cell>
          <cell r="AG1302" t="str">
            <v>Sunday</v>
          </cell>
          <cell r="AH1302">
            <v>13</v>
          </cell>
          <cell r="AJ1302">
            <v>45893</v>
          </cell>
          <cell r="AL1302" t="str">
            <v>Carry Forwarded Annual Leave</v>
          </cell>
          <cell r="AM1302" t="str">
            <v>TEMP</v>
          </cell>
          <cell r="AN1302" t="str">
            <v>3P Onsite Worker</v>
          </cell>
          <cell r="AO1302" t="str">
            <v>A</v>
          </cell>
          <cell r="AP1302">
            <v>9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</row>
        <row r="1303">
          <cell r="D1303" t="str">
            <v>fakiyumr</v>
          </cell>
          <cell r="E1303">
            <v>203908323</v>
          </cell>
          <cell r="F1303" t="str">
            <v>A</v>
          </cell>
          <cell r="G1303" t="str">
            <v>GREEN</v>
          </cell>
          <cell r="H1303" t="str">
            <v>FULL_TIME</v>
          </cell>
          <cell r="I1303">
            <v>900234</v>
          </cell>
          <cell r="J1303" t="str">
            <v>Dulsco L.L.C.</v>
          </cell>
          <cell r="K1303" t="str">
            <v>KIYEMBA FAIZAL</v>
          </cell>
          <cell r="L1303" t="str">
            <v>Warehouse Associate (TEMP)</v>
          </cell>
          <cell r="M1303" t="str">
            <v>Warehouse Associate 24M</v>
          </cell>
          <cell r="N1303" t="str">
            <v>helrashd</v>
          </cell>
          <cell r="O1303">
            <v>1299</v>
          </cell>
          <cell r="P1303" t="str">
            <v>AUH1</v>
          </cell>
          <cell r="Q1303" t="str">
            <v>ARE</v>
          </cell>
          <cell r="R1303" t="str">
            <v>LK017</v>
          </cell>
          <cell r="S1303" t="str">
            <v>Night Shift</v>
          </cell>
          <cell r="T1303">
            <v>99</v>
          </cell>
          <cell r="U1303" t="str">
            <v>MENA_UAE_FC</v>
          </cell>
          <cell r="X1303">
            <v>46257.756944444445</v>
          </cell>
          <cell r="Y1303">
            <v>46258.173611111109</v>
          </cell>
          <cell r="AA1303" t="str">
            <v>Scheduled</v>
          </cell>
          <cell r="AB1303" t="str">
            <v>Not Present</v>
          </cell>
          <cell r="AC1303" t="str">
            <v>Outbound</v>
          </cell>
          <cell r="AD1303" t="str">
            <v>Picking</v>
          </cell>
          <cell r="AE1303" t="str">
            <v>Pick</v>
          </cell>
          <cell r="AF1303" t="str">
            <v>Thursday</v>
          </cell>
          <cell r="AG1303" t="str">
            <v>Friday</v>
          </cell>
          <cell r="AH1303">
            <v>13</v>
          </cell>
          <cell r="AJ1303">
            <v>45788</v>
          </cell>
          <cell r="AL1303" t="str">
            <v>Carry Forwarded Annual Leave</v>
          </cell>
          <cell r="AM1303" t="str">
            <v>TEMP</v>
          </cell>
          <cell r="AN1303" t="str">
            <v>3P Onsite Worker</v>
          </cell>
          <cell r="AO1303" t="str">
            <v>A</v>
          </cell>
          <cell r="AP1303">
            <v>9</v>
          </cell>
          <cell r="AQ1303">
            <v>0</v>
          </cell>
          <cell r="AR1303">
            <v>0</v>
          </cell>
          <cell r="AS1303">
            <v>1</v>
          </cell>
          <cell r="AT1303">
            <v>1</v>
          </cell>
          <cell r="AU1303">
            <v>0</v>
          </cell>
        </row>
        <row r="1304">
          <cell r="D1304" t="str">
            <v>favalapp</v>
          </cell>
          <cell r="E1304">
            <v>204373722</v>
          </cell>
          <cell r="F1304" t="str">
            <v>A</v>
          </cell>
          <cell r="G1304" t="str">
            <v>GREEN</v>
          </cell>
          <cell r="H1304" t="str">
            <v>FULL_TIME</v>
          </cell>
          <cell r="I1304">
            <v>900234</v>
          </cell>
          <cell r="J1304" t="str">
            <v>Adecco</v>
          </cell>
          <cell r="K1304" t="str">
            <v>Farhan Valappil</v>
          </cell>
          <cell r="L1304" t="str">
            <v>Warehouse Associate (TEMP)</v>
          </cell>
          <cell r="M1304" t="str">
            <v>Warehouse Associate 24M</v>
          </cell>
          <cell r="N1304" t="str">
            <v>amanmish</v>
          </cell>
          <cell r="O1304">
            <v>1299</v>
          </cell>
          <cell r="P1304" t="str">
            <v>AUH1</v>
          </cell>
          <cell r="Q1304" t="str">
            <v>ARE</v>
          </cell>
          <cell r="R1304" t="str">
            <v>LK016</v>
          </cell>
          <cell r="S1304" t="str">
            <v>Night Shift</v>
          </cell>
          <cell r="T1304">
            <v>99</v>
          </cell>
          <cell r="U1304" t="str">
            <v>MENA_UAE_FC</v>
          </cell>
          <cell r="X1304">
            <v>46257.756944444445</v>
          </cell>
          <cell r="Y1304">
            <v>46258.173611111109</v>
          </cell>
          <cell r="AA1304" t="str">
            <v>Scheduled</v>
          </cell>
          <cell r="AB1304" t="str">
            <v>Not Present</v>
          </cell>
          <cell r="AC1304" t="str">
            <v>Outbound</v>
          </cell>
          <cell r="AD1304" t="str">
            <v>Picking</v>
          </cell>
          <cell r="AE1304" t="str">
            <v>Pick</v>
          </cell>
          <cell r="AF1304" t="str">
            <v>Wednesday</v>
          </cell>
          <cell r="AG1304" t="str">
            <v>Thursday</v>
          </cell>
          <cell r="AH1304">
            <v>13</v>
          </cell>
          <cell r="AJ1304">
            <v>45592</v>
          </cell>
          <cell r="AL1304" t="str">
            <v>Carry Forwarded Annual Leave</v>
          </cell>
          <cell r="AM1304" t="str">
            <v>TEMP</v>
          </cell>
          <cell r="AN1304" t="str">
            <v>3P Onsite Worker</v>
          </cell>
          <cell r="AO1304" t="str">
            <v>A</v>
          </cell>
          <cell r="AP1304">
            <v>9</v>
          </cell>
          <cell r="AQ1304">
            <v>0</v>
          </cell>
          <cell r="AR1304">
            <v>0</v>
          </cell>
          <cell r="AS1304">
            <v>1</v>
          </cell>
          <cell r="AT1304">
            <v>1</v>
          </cell>
          <cell r="AU1304">
            <v>0</v>
          </cell>
        </row>
        <row r="1305">
          <cell r="D1305" t="str">
            <v>goodeuge</v>
          </cell>
          <cell r="E1305">
            <v>203679317</v>
          </cell>
          <cell r="F1305" t="str">
            <v>A</v>
          </cell>
          <cell r="G1305" t="str">
            <v>GREEN</v>
          </cell>
          <cell r="H1305" t="str">
            <v>FULL_TIME</v>
          </cell>
          <cell r="I1305">
            <v>900234</v>
          </cell>
          <cell r="J1305" t="str">
            <v>Fastlink Outsourcing</v>
          </cell>
          <cell r="K1305" t="str">
            <v>Goodluck Eugen Shiyo</v>
          </cell>
          <cell r="L1305" t="str">
            <v>Warehouse Associate (TEMP)</v>
          </cell>
          <cell r="M1305" t="str">
            <v>Warehouse Associate 12M</v>
          </cell>
          <cell r="N1305" t="str">
            <v>aanso</v>
          </cell>
          <cell r="O1305">
            <v>1299</v>
          </cell>
          <cell r="P1305" t="str">
            <v>AUH1</v>
          </cell>
          <cell r="Q1305" t="str">
            <v>ARE</v>
          </cell>
          <cell r="R1305" t="str">
            <v>FC009</v>
          </cell>
          <cell r="S1305" t="str">
            <v>Day Shift</v>
          </cell>
          <cell r="T1305">
            <v>99</v>
          </cell>
          <cell r="U1305" t="str">
            <v>MENA_UAE_FC</v>
          </cell>
          <cell r="X1305">
            <v>46257.333333333336</v>
          </cell>
          <cell r="Y1305">
            <v>46257.75</v>
          </cell>
          <cell r="AA1305" t="str">
            <v>Scheduled</v>
          </cell>
          <cell r="AB1305" t="str">
            <v>Not Present</v>
          </cell>
          <cell r="AC1305" t="str">
            <v>Customer returns</v>
          </cell>
          <cell r="AD1305" t="str">
            <v>Customer Returns</v>
          </cell>
          <cell r="AE1305" t="str">
            <v>Customer returns</v>
          </cell>
          <cell r="AF1305" t="str">
            <v>Friday</v>
          </cell>
          <cell r="AG1305" t="str">
            <v>Saturday</v>
          </cell>
          <cell r="AH1305">
            <v>22</v>
          </cell>
          <cell r="AJ1305">
            <v>45487</v>
          </cell>
          <cell r="AL1305" t="str">
            <v>Carry Forwarded Annual Leave</v>
          </cell>
          <cell r="AM1305" t="str">
            <v>TEMP</v>
          </cell>
          <cell r="AN1305" t="str">
            <v>3P Onsite Worker</v>
          </cell>
          <cell r="AO1305" t="str">
            <v>A</v>
          </cell>
          <cell r="AP1305">
            <v>9</v>
          </cell>
          <cell r="AQ1305">
            <v>0</v>
          </cell>
          <cell r="AR1305">
            <v>0</v>
          </cell>
          <cell r="AS1305">
            <v>1</v>
          </cell>
          <cell r="AT1305">
            <v>1</v>
          </cell>
          <cell r="AU1305">
            <v>0</v>
          </cell>
        </row>
        <row r="1306">
          <cell r="D1306" t="str">
            <v>harickda</v>
          </cell>
          <cell r="E1306">
            <v>206174727</v>
          </cell>
          <cell r="F1306" t="str">
            <v>A</v>
          </cell>
          <cell r="G1306" t="str">
            <v>GREEN</v>
          </cell>
          <cell r="H1306" t="str">
            <v>FULL_TIME</v>
          </cell>
          <cell r="I1306">
            <v>900234</v>
          </cell>
          <cell r="J1306" t="str">
            <v>Fastlink Outsourcing</v>
          </cell>
          <cell r="K1306" t="str">
            <v>HARICK DANSO</v>
          </cell>
          <cell r="L1306" t="str">
            <v>Warehouse Associate (TEMP)</v>
          </cell>
          <cell r="M1306" t="str">
            <v>Warehouse Associate 12M</v>
          </cell>
          <cell r="N1306" t="str">
            <v>aanso</v>
          </cell>
          <cell r="O1306">
            <v>1299</v>
          </cell>
          <cell r="P1306" t="str">
            <v>AUH1</v>
          </cell>
          <cell r="Q1306" t="str">
            <v>ARE</v>
          </cell>
          <cell r="R1306" t="str">
            <v>FC109</v>
          </cell>
          <cell r="S1306" t="str">
            <v>Day Shift</v>
          </cell>
          <cell r="T1306">
            <v>99</v>
          </cell>
          <cell r="U1306" t="str">
            <v>MENA_UAE_FC</v>
          </cell>
          <cell r="X1306">
            <v>46257.333333333336</v>
          </cell>
          <cell r="Y1306">
            <v>46257.75</v>
          </cell>
          <cell r="AA1306" t="str">
            <v>Scheduled</v>
          </cell>
          <cell r="AB1306" t="str">
            <v>Not Present</v>
          </cell>
          <cell r="AC1306" t="str">
            <v>Customer returns</v>
          </cell>
          <cell r="AD1306" t="str">
            <v>Customer Returns</v>
          </cell>
          <cell r="AE1306" t="str">
            <v>Customer returns</v>
          </cell>
          <cell r="AF1306" t="str">
            <v>Tuesday</v>
          </cell>
          <cell r="AG1306" t="str">
            <v>Wednesday</v>
          </cell>
          <cell r="AH1306">
            <v>22</v>
          </cell>
          <cell r="AJ1306">
            <v>45931</v>
          </cell>
          <cell r="AL1306" t="str">
            <v>Carry Forwarded Annual Leave</v>
          </cell>
          <cell r="AM1306" t="str">
            <v>TEMP</v>
          </cell>
          <cell r="AN1306" t="str">
            <v>3P Onsite Worker</v>
          </cell>
          <cell r="AO1306" t="str">
            <v>A</v>
          </cell>
          <cell r="AP1306">
            <v>9</v>
          </cell>
          <cell r="AQ1306">
            <v>0</v>
          </cell>
          <cell r="AR1306">
            <v>0</v>
          </cell>
          <cell r="AS1306">
            <v>1</v>
          </cell>
          <cell r="AT1306">
            <v>1</v>
          </cell>
          <cell r="AU1306">
            <v>0</v>
          </cell>
        </row>
        <row r="1307">
          <cell r="D1307" t="str">
            <v>jglakuma</v>
          </cell>
          <cell r="E1307">
            <v>203469400</v>
          </cell>
          <cell r="F1307" t="str">
            <v>A</v>
          </cell>
          <cell r="G1307" t="str">
            <v>GREEN</v>
          </cell>
          <cell r="H1307" t="str">
            <v>FULL_TIME</v>
          </cell>
          <cell r="I1307">
            <v>900234</v>
          </cell>
          <cell r="J1307" t="str">
            <v>Adecco</v>
          </cell>
          <cell r="K1307" t="str">
            <v>GLORY AKUMAWAH</v>
          </cell>
          <cell r="L1307" t="str">
            <v>Warehouse Associate (TEMP)</v>
          </cell>
          <cell r="M1307" t="str">
            <v>Warehouse Associate 24M</v>
          </cell>
          <cell r="N1307" t="str">
            <v>aanso</v>
          </cell>
          <cell r="O1307">
            <v>1299</v>
          </cell>
          <cell r="P1307" t="str">
            <v>AUH1</v>
          </cell>
          <cell r="Q1307" t="str">
            <v>ARE</v>
          </cell>
          <cell r="R1307" t="str">
            <v>LK011</v>
          </cell>
          <cell r="S1307" t="str">
            <v>Night Shift</v>
          </cell>
          <cell r="T1307">
            <v>99</v>
          </cell>
          <cell r="U1307" t="str">
            <v>MENA_UAE_FC</v>
          </cell>
          <cell r="X1307">
            <v>46257.756944444445</v>
          </cell>
          <cell r="Y1307">
            <v>46258.173611111109</v>
          </cell>
          <cell r="AA1307" t="str">
            <v>Scheduled</v>
          </cell>
          <cell r="AB1307" t="str">
            <v>Not Present</v>
          </cell>
          <cell r="AC1307" t="str">
            <v>Customer returns</v>
          </cell>
          <cell r="AD1307" t="str">
            <v>Customer Returns</v>
          </cell>
          <cell r="AE1307" t="str">
            <v>Customer returns</v>
          </cell>
          <cell r="AF1307" t="str">
            <v>Friday</v>
          </cell>
          <cell r="AG1307" t="str">
            <v>Saturday</v>
          </cell>
          <cell r="AH1307">
            <v>22</v>
          </cell>
          <cell r="AJ1307">
            <v>45455</v>
          </cell>
          <cell r="AL1307" t="str">
            <v>Carry Forwarded Annual Leave</v>
          </cell>
          <cell r="AM1307" t="str">
            <v>TEMP</v>
          </cell>
          <cell r="AN1307" t="str">
            <v>3P Onsite Worker</v>
          </cell>
          <cell r="AO1307" t="str">
            <v>A</v>
          </cell>
          <cell r="AP1307">
            <v>9</v>
          </cell>
          <cell r="AQ1307">
            <v>0</v>
          </cell>
          <cell r="AR1307">
            <v>0</v>
          </cell>
          <cell r="AS1307">
            <v>1</v>
          </cell>
          <cell r="AT1307">
            <v>1</v>
          </cell>
          <cell r="AU1307">
            <v>0</v>
          </cell>
        </row>
        <row r="1308">
          <cell r="D1308" t="str">
            <v>joshirum</v>
          </cell>
          <cell r="E1308">
            <v>204009978</v>
          </cell>
          <cell r="F1308" t="str">
            <v>A</v>
          </cell>
          <cell r="G1308" t="str">
            <v>GREEN</v>
          </cell>
          <cell r="H1308" t="str">
            <v>FULL_TIME</v>
          </cell>
          <cell r="I1308">
            <v>900234</v>
          </cell>
          <cell r="J1308" t="str">
            <v>Dulsco L.L.C.</v>
          </cell>
          <cell r="K1308" t="str">
            <v>JOSHUA IRUMBA</v>
          </cell>
          <cell r="L1308" t="str">
            <v>Warehouse Associate (TEMP)</v>
          </cell>
          <cell r="M1308" t="str">
            <v>Warehouse Associate 24M</v>
          </cell>
          <cell r="N1308" t="str">
            <v>amanmish</v>
          </cell>
          <cell r="O1308">
            <v>1299</v>
          </cell>
          <cell r="P1308" t="str">
            <v>AUH1</v>
          </cell>
          <cell r="Q1308" t="str">
            <v>ARE</v>
          </cell>
          <cell r="R1308" t="str">
            <v>LK011</v>
          </cell>
          <cell r="S1308" t="str">
            <v>Night Shift</v>
          </cell>
          <cell r="T1308">
            <v>99</v>
          </cell>
          <cell r="U1308" t="str">
            <v>MENA_UAE_FC</v>
          </cell>
          <cell r="X1308">
            <v>46257.756944444445</v>
          </cell>
          <cell r="Y1308">
            <v>46258.173611111109</v>
          </cell>
          <cell r="AA1308" t="str">
            <v>Scheduled</v>
          </cell>
          <cell r="AB1308" t="str">
            <v>Not Present</v>
          </cell>
          <cell r="AC1308" t="str">
            <v>Outbound</v>
          </cell>
          <cell r="AD1308" t="str">
            <v>Picking</v>
          </cell>
          <cell r="AE1308" t="str">
            <v>Pick</v>
          </cell>
          <cell r="AF1308" t="str">
            <v>Friday</v>
          </cell>
          <cell r="AG1308" t="str">
            <v>Saturday</v>
          </cell>
          <cell r="AH1308">
            <v>13</v>
          </cell>
          <cell r="AJ1308">
            <v>45550</v>
          </cell>
          <cell r="AL1308" t="str">
            <v>Carry Forwarded Annual Leave</v>
          </cell>
          <cell r="AM1308" t="str">
            <v>TEMP</v>
          </cell>
          <cell r="AN1308" t="str">
            <v>3P Onsite Worker</v>
          </cell>
          <cell r="AO1308" t="str">
            <v>A</v>
          </cell>
          <cell r="AP1308">
            <v>9</v>
          </cell>
          <cell r="AQ1308">
            <v>0</v>
          </cell>
          <cell r="AR1308">
            <v>0</v>
          </cell>
          <cell r="AS1308">
            <v>1</v>
          </cell>
          <cell r="AT1308">
            <v>1</v>
          </cell>
          <cell r="AU1308">
            <v>0</v>
          </cell>
        </row>
        <row r="1309">
          <cell r="D1309" t="str">
            <v>jospatie</v>
          </cell>
          <cell r="E1309">
            <v>204869083</v>
          </cell>
          <cell r="F1309" t="str">
            <v>A</v>
          </cell>
          <cell r="G1309" t="str">
            <v>GREEN</v>
          </cell>
          <cell r="H1309" t="str">
            <v>FULL_TIME</v>
          </cell>
          <cell r="I1309">
            <v>900234</v>
          </cell>
          <cell r="J1309" t="str">
            <v>Quesscorp</v>
          </cell>
          <cell r="K1309" t="str">
            <v>Patience Nganje Joso</v>
          </cell>
          <cell r="L1309" t="str">
            <v>Warehouse Associate (TEMP)</v>
          </cell>
          <cell r="M1309" t="str">
            <v>Warehouse Associate 24M</v>
          </cell>
          <cell r="N1309" t="str">
            <v>nnahla</v>
          </cell>
          <cell r="O1309">
            <v>1299</v>
          </cell>
          <cell r="P1309" t="str">
            <v>AUH1</v>
          </cell>
          <cell r="Q1309" t="str">
            <v>ARE</v>
          </cell>
          <cell r="R1309" t="str">
            <v>FC059</v>
          </cell>
          <cell r="S1309" t="str">
            <v>Day Shift</v>
          </cell>
          <cell r="T1309">
            <v>99</v>
          </cell>
          <cell r="U1309" t="str">
            <v>MENA_UAE_FC</v>
          </cell>
          <cell r="X1309">
            <v>46257.333333333336</v>
          </cell>
          <cell r="Y1309">
            <v>46257.75</v>
          </cell>
          <cell r="Z1309" t="str">
            <v>Rest Day</v>
          </cell>
          <cell r="AA1309" t="str">
            <v>Not Scheduled</v>
          </cell>
          <cell r="AB1309" t="str">
            <v>Not Present</v>
          </cell>
          <cell r="AC1309" t="str">
            <v>Inbound</v>
          </cell>
          <cell r="AD1309" t="str">
            <v>Inbound Stow</v>
          </cell>
          <cell r="AE1309" t="str">
            <v>Stow</v>
          </cell>
          <cell r="AF1309" t="str">
            <v>Sunday</v>
          </cell>
          <cell r="AG1309" t="str">
            <v>Monday</v>
          </cell>
          <cell r="AH1309">
            <v>3</v>
          </cell>
          <cell r="AJ1309">
            <v>45690</v>
          </cell>
          <cell r="AL1309" t="str">
            <v>Carry Forwarded Annual Leave</v>
          </cell>
          <cell r="AM1309" t="str">
            <v>TEMP</v>
          </cell>
          <cell r="AN1309" t="str">
            <v>3P Onsite Worker</v>
          </cell>
          <cell r="AO1309" t="str">
            <v>A</v>
          </cell>
          <cell r="AP1309">
            <v>9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</row>
        <row r="1310">
          <cell r="D1310" t="str">
            <v>jqkumars</v>
          </cell>
          <cell r="E1310">
            <v>204009951</v>
          </cell>
          <cell r="F1310" t="str">
            <v>A</v>
          </cell>
          <cell r="G1310" t="str">
            <v>GREEN</v>
          </cell>
          <cell r="H1310" t="str">
            <v>FULL_TIME</v>
          </cell>
          <cell r="I1310">
            <v>900234</v>
          </cell>
          <cell r="J1310" t="str">
            <v>Dulsco L.L.C.</v>
          </cell>
          <cell r="K1310" t="str">
            <v>JITENDRA KUMAR SHARMA</v>
          </cell>
          <cell r="L1310" t="str">
            <v>Warehouse Associate (TEMP)</v>
          </cell>
          <cell r="M1310" t="str">
            <v>Warehouse Associate 24M</v>
          </cell>
          <cell r="N1310" t="str">
            <v>amanmish</v>
          </cell>
          <cell r="O1310">
            <v>1299</v>
          </cell>
          <cell r="P1310" t="str">
            <v>AUH1</v>
          </cell>
          <cell r="Q1310" t="str">
            <v>ARE</v>
          </cell>
          <cell r="R1310" t="str">
            <v>LK012</v>
          </cell>
          <cell r="S1310" t="str">
            <v>Night Shift</v>
          </cell>
          <cell r="T1310">
            <v>99</v>
          </cell>
          <cell r="U1310" t="str">
            <v>MENA_UAE_FC</v>
          </cell>
          <cell r="X1310">
            <v>46257.756944444445</v>
          </cell>
          <cell r="Y1310">
            <v>46258.173611111109</v>
          </cell>
          <cell r="Z1310" t="str">
            <v>Rest Day</v>
          </cell>
          <cell r="AA1310" t="str">
            <v>Not Scheduled</v>
          </cell>
          <cell r="AB1310" t="str">
            <v>Not Present</v>
          </cell>
          <cell r="AC1310" t="str">
            <v>Outbound</v>
          </cell>
          <cell r="AD1310" t="str">
            <v>Picking</v>
          </cell>
          <cell r="AE1310" t="str">
            <v>Pick</v>
          </cell>
          <cell r="AF1310" t="str">
            <v>Saturday</v>
          </cell>
          <cell r="AG1310" t="str">
            <v>Sunday</v>
          </cell>
          <cell r="AH1310">
            <v>13</v>
          </cell>
          <cell r="AJ1310">
            <v>45550</v>
          </cell>
          <cell r="AL1310" t="str">
            <v>Carry Forwarded Annual Leave</v>
          </cell>
          <cell r="AM1310" t="str">
            <v>TEMP</v>
          </cell>
          <cell r="AN1310" t="str">
            <v>3P Onsite Worker</v>
          </cell>
          <cell r="AO1310" t="str">
            <v>A</v>
          </cell>
          <cell r="AP1310">
            <v>9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</row>
        <row r="1311">
          <cell r="D1311" t="str">
            <v>jwanjird</v>
          </cell>
          <cell r="E1311">
            <v>205854083</v>
          </cell>
          <cell r="F1311" t="str">
            <v>A</v>
          </cell>
          <cell r="G1311" t="str">
            <v>GREEN</v>
          </cell>
          <cell r="H1311" t="str">
            <v>FULL_TIME</v>
          </cell>
          <cell r="I1311">
            <v>900234</v>
          </cell>
          <cell r="J1311" t="str">
            <v>EFS Facilities Services</v>
          </cell>
          <cell r="K1311" t="str">
            <v>Joy wanjiru</v>
          </cell>
          <cell r="L1311" t="str">
            <v>Warehouse Associate (TEMP)</v>
          </cell>
          <cell r="M1311" t="str">
            <v>Warehouse Associate 8W</v>
          </cell>
          <cell r="N1311" t="str">
            <v>bizthoma</v>
          </cell>
          <cell r="O1311">
            <v>1299</v>
          </cell>
          <cell r="P1311" t="str">
            <v>AUH1</v>
          </cell>
          <cell r="Q1311" t="str">
            <v>ARE</v>
          </cell>
          <cell r="R1311" t="str">
            <v>FC084</v>
          </cell>
          <cell r="S1311" t="str">
            <v>Day Shift</v>
          </cell>
          <cell r="T1311">
            <v>99</v>
          </cell>
          <cell r="U1311" t="str">
            <v>MENA_UAE_FC</v>
          </cell>
          <cell r="X1311">
            <v>46257.333333333336</v>
          </cell>
          <cell r="Y1311">
            <v>46257.75</v>
          </cell>
          <cell r="AA1311" t="str">
            <v>Scheduled</v>
          </cell>
          <cell r="AB1311" t="str">
            <v>Not Present</v>
          </cell>
          <cell r="AC1311" t="str">
            <v>Outbound</v>
          </cell>
          <cell r="AD1311" t="str">
            <v>Picking</v>
          </cell>
          <cell r="AE1311" t="str">
            <v>Pick</v>
          </cell>
          <cell r="AF1311" t="str">
            <v>Monday</v>
          </cell>
          <cell r="AG1311" t="str">
            <v>Tuesday</v>
          </cell>
          <cell r="AH1311">
            <v>13</v>
          </cell>
          <cell r="AJ1311">
            <v>45893</v>
          </cell>
          <cell r="AL1311" t="str">
            <v>Carry Forwarded Annual Leave</v>
          </cell>
          <cell r="AM1311" t="str">
            <v>TEMP</v>
          </cell>
          <cell r="AN1311" t="str">
            <v>3P Onsite Worker</v>
          </cell>
          <cell r="AO1311" t="str">
            <v>A</v>
          </cell>
          <cell r="AP1311">
            <v>9</v>
          </cell>
          <cell r="AQ1311">
            <v>0</v>
          </cell>
          <cell r="AR1311">
            <v>0</v>
          </cell>
          <cell r="AS1311">
            <v>1</v>
          </cell>
          <cell r="AT1311">
            <v>1</v>
          </cell>
          <cell r="AU1311">
            <v>0</v>
          </cell>
        </row>
        <row r="1312">
          <cell r="D1312" t="str">
            <v>kpafatma</v>
          </cell>
          <cell r="E1312">
            <v>204094215</v>
          </cell>
          <cell r="F1312" t="str">
            <v>A</v>
          </cell>
          <cell r="G1312" t="str">
            <v>GREEN</v>
          </cell>
          <cell r="H1312" t="str">
            <v>FULL_TIME</v>
          </cell>
          <cell r="I1312">
            <v>900234</v>
          </cell>
          <cell r="J1312" t="str">
            <v>Quesscorp</v>
          </cell>
          <cell r="K1312" t="str">
            <v>Fatmata Kpaka</v>
          </cell>
          <cell r="L1312" t="str">
            <v>Warehouse Associate (TEMP)</v>
          </cell>
          <cell r="M1312" t="str">
            <v>Warehouse Associate 24M</v>
          </cell>
          <cell r="N1312" t="str">
            <v>scariav</v>
          </cell>
          <cell r="O1312">
            <v>1299</v>
          </cell>
          <cell r="P1312" t="str">
            <v>AUH1</v>
          </cell>
          <cell r="Q1312" t="str">
            <v>ARE</v>
          </cell>
          <cell r="R1312" t="str">
            <v>LK017</v>
          </cell>
          <cell r="S1312" t="str">
            <v>Night Shift</v>
          </cell>
          <cell r="T1312">
            <v>99</v>
          </cell>
          <cell r="U1312" t="str">
            <v>MENA_UAE_FC</v>
          </cell>
          <cell r="X1312">
            <v>46257.756944444445</v>
          </cell>
          <cell r="Y1312">
            <v>46258.173611111109</v>
          </cell>
          <cell r="AA1312" t="str">
            <v>Scheduled</v>
          </cell>
          <cell r="AB1312" t="str">
            <v>Not Present</v>
          </cell>
          <cell r="AC1312" t="str">
            <v>Outbound</v>
          </cell>
          <cell r="AD1312" t="str">
            <v>Sort - Batch</v>
          </cell>
          <cell r="AE1312" t="str">
            <v>Sort</v>
          </cell>
          <cell r="AF1312" t="str">
            <v>Thursday</v>
          </cell>
          <cell r="AG1312" t="str">
            <v>Friday</v>
          </cell>
          <cell r="AH1312">
            <v>15</v>
          </cell>
          <cell r="AJ1312">
            <v>45560</v>
          </cell>
          <cell r="AL1312" t="str">
            <v>Carry Forwarded Annual Leave</v>
          </cell>
          <cell r="AM1312" t="str">
            <v>TEMP</v>
          </cell>
          <cell r="AN1312" t="str">
            <v>3P Onsite Worker</v>
          </cell>
          <cell r="AO1312" t="str">
            <v>A</v>
          </cell>
          <cell r="AP1312">
            <v>9</v>
          </cell>
          <cell r="AQ1312">
            <v>0</v>
          </cell>
          <cell r="AR1312">
            <v>0</v>
          </cell>
          <cell r="AS1312">
            <v>1</v>
          </cell>
          <cell r="AT1312">
            <v>1</v>
          </cell>
          <cell r="AU1312">
            <v>0</v>
          </cell>
        </row>
        <row r="1313">
          <cell r="D1313" t="str">
            <v>luswatst</v>
          </cell>
          <cell r="E1313">
            <v>205845555</v>
          </cell>
          <cell r="F1313" t="str">
            <v>A</v>
          </cell>
          <cell r="G1313" t="str">
            <v>GREEN</v>
          </cell>
          <cell r="H1313" t="str">
            <v>FULL_TIME</v>
          </cell>
          <cell r="I1313">
            <v>900234</v>
          </cell>
          <cell r="J1313" t="str">
            <v>Dulsco L.L.C.</v>
          </cell>
          <cell r="K1313" t="str">
            <v>STEPHEN LUSWATA</v>
          </cell>
          <cell r="L1313" t="str">
            <v>Warehouse Associate (TEMP)</v>
          </cell>
          <cell r="M1313" t="str">
            <v>Warehouse Associate 8W</v>
          </cell>
          <cell r="N1313" t="str">
            <v>ansammar</v>
          </cell>
          <cell r="O1313">
            <v>1299</v>
          </cell>
          <cell r="P1313" t="str">
            <v>AUH1</v>
          </cell>
          <cell r="Q1313" t="str">
            <v>ARE</v>
          </cell>
          <cell r="R1313" t="str">
            <v>FC084</v>
          </cell>
          <cell r="S1313" t="str">
            <v>Day Shift</v>
          </cell>
          <cell r="T1313">
            <v>99</v>
          </cell>
          <cell r="U1313" t="str">
            <v>MENA_UAE_FC</v>
          </cell>
          <cell r="X1313">
            <v>46257.333333333336</v>
          </cell>
          <cell r="Y1313">
            <v>46257.75</v>
          </cell>
          <cell r="AA1313" t="str">
            <v>Scheduled</v>
          </cell>
          <cell r="AB1313" t="str">
            <v>Not Present</v>
          </cell>
          <cell r="AC1313" t="str">
            <v>Outbound</v>
          </cell>
          <cell r="AD1313" t="str">
            <v>Picking</v>
          </cell>
          <cell r="AE1313" t="str">
            <v>Pick</v>
          </cell>
          <cell r="AF1313" t="str">
            <v>Monday</v>
          </cell>
          <cell r="AG1313" t="str">
            <v>Tuesday</v>
          </cell>
          <cell r="AH1313">
            <v>13</v>
          </cell>
          <cell r="AJ1313">
            <v>45893</v>
          </cell>
          <cell r="AL1313" t="str">
            <v>Carry Forwarded Annual Leave</v>
          </cell>
          <cell r="AM1313" t="str">
            <v>TEMP</v>
          </cell>
          <cell r="AN1313" t="str">
            <v>3P Onsite Worker</v>
          </cell>
          <cell r="AO1313" t="str">
            <v>A</v>
          </cell>
          <cell r="AP1313">
            <v>9</v>
          </cell>
          <cell r="AQ1313">
            <v>0</v>
          </cell>
          <cell r="AR1313">
            <v>0</v>
          </cell>
          <cell r="AS1313">
            <v>1</v>
          </cell>
          <cell r="AT1313">
            <v>1</v>
          </cell>
          <cell r="AU1313">
            <v>0</v>
          </cell>
        </row>
        <row r="1314">
          <cell r="D1314" t="str">
            <v>myasaung</v>
          </cell>
          <cell r="E1314">
            <v>203736754</v>
          </cell>
          <cell r="F1314" t="str">
            <v>A</v>
          </cell>
          <cell r="G1314" t="str">
            <v>GREEN</v>
          </cell>
          <cell r="H1314" t="str">
            <v>FULL_TIME</v>
          </cell>
          <cell r="I1314">
            <v>900234</v>
          </cell>
          <cell r="J1314" t="str">
            <v>Adecco</v>
          </cell>
          <cell r="K1314" t="str">
            <v>Aung Myat</v>
          </cell>
          <cell r="L1314" t="str">
            <v>Warehouse Associate (TEMP)</v>
          </cell>
          <cell r="M1314" t="str">
            <v>Warehouse Associate 24M</v>
          </cell>
          <cell r="N1314" t="str">
            <v>pparsin</v>
          </cell>
          <cell r="O1314">
            <v>1299</v>
          </cell>
          <cell r="P1314" t="str">
            <v>AUH1</v>
          </cell>
          <cell r="Q1314" t="str">
            <v>ARE</v>
          </cell>
          <cell r="R1314" t="str">
            <v>FC109</v>
          </cell>
          <cell r="S1314" t="str">
            <v>Day Shift</v>
          </cell>
          <cell r="T1314">
            <v>99</v>
          </cell>
          <cell r="U1314" t="str">
            <v>MENA_UAE_FC</v>
          </cell>
          <cell r="X1314">
            <v>46257.333333333336</v>
          </cell>
          <cell r="Y1314">
            <v>46257.75</v>
          </cell>
          <cell r="AA1314" t="str">
            <v>Scheduled</v>
          </cell>
          <cell r="AB1314" t="str">
            <v>Not Present</v>
          </cell>
          <cell r="AC1314" t="str">
            <v>Inbound</v>
          </cell>
          <cell r="AD1314" t="str">
            <v>IB Problem Solve</v>
          </cell>
          <cell r="AE1314" t="str">
            <v>Receive</v>
          </cell>
          <cell r="AF1314" t="str">
            <v>Tuesday</v>
          </cell>
          <cell r="AG1314" t="str">
            <v>Wednesday</v>
          </cell>
          <cell r="AH1314">
            <v>6</v>
          </cell>
          <cell r="AJ1314">
            <v>45501</v>
          </cell>
          <cell r="AL1314" t="str">
            <v>Carry Forwarded Annual Leave</v>
          </cell>
          <cell r="AM1314" t="str">
            <v>TEMP</v>
          </cell>
          <cell r="AN1314" t="str">
            <v>3P Onsite Worker</v>
          </cell>
          <cell r="AO1314" t="str">
            <v>A</v>
          </cell>
          <cell r="AP1314">
            <v>9</v>
          </cell>
          <cell r="AQ1314">
            <v>0</v>
          </cell>
          <cell r="AR1314">
            <v>0</v>
          </cell>
          <cell r="AS1314">
            <v>1</v>
          </cell>
          <cell r="AT1314">
            <v>1</v>
          </cell>
          <cell r="AU1314">
            <v>0</v>
          </cell>
        </row>
        <row r="1315">
          <cell r="D1315" t="str">
            <v>ndanzyco</v>
          </cell>
          <cell r="E1315">
            <v>203469458</v>
          </cell>
          <cell r="F1315" t="str">
            <v>A</v>
          </cell>
          <cell r="G1315" t="str">
            <v>GREEN</v>
          </cell>
          <cell r="H1315" t="str">
            <v>FULL_TIME</v>
          </cell>
          <cell r="I1315">
            <v>900234</v>
          </cell>
          <cell r="J1315" t="str">
            <v>Adecco</v>
          </cell>
          <cell r="K1315" t="str">
            <v>CONGRATES NDANZE</v>
          </cell>
          <cell r="L1315" t="str">
            <v>Warehouse Associate (TEMP)</v>
          </cell>
          <cell r="M1315" t="str">
            <v>Warehouse Associate 24M</v>
          </cell>
          <cell r="N1315" t="str">
            <v>aanso</v>
          </cell>
          <cell r="O1315">
            <v>1299</v>
          </cell>
          <cell r="P1315" t="str">
            <v>AUH1</v>
          </cell>
          <cell r="Q1315" t="str">
            <v>ARE</v>
          </cell>
          <cell r="R1315" t="str">
            <v>FC084</v>
          </cell>
          <cell r="S1315" t="str">
            <v>Day Shift</v>
          </cell>
          <cell r="T1315">
            <v>99</v>
          </cell>
          <cell r="U1315" t="str">
            <v>MENA_UAE_FC</v>
          </cell>
          <cell r="X1315">
            <v>46257.333333333336</v>
          </cell>
          <cell r="Y1315">
            <v>46257.75</v>
          </cell>
          <cell r="AA1315" t="str">
            <v>Scheduled</v>
          </cell>
          <cell r="AB1315" t="str">
            <v>Not Present</v>
          </cell>
          <cell r="AC1315" t="str">
            <v>Customer returns</v>
          </cell>
          <cell r="AD1315" t="str">
            <v>Customer Returns</v>
          </cell>
          <cell r="AE1315" t="str">
            <v>Customer returns</v>
          </cell>
          <cell r="AF1315" t="str">
            <v>Monday</v>
          </cell>
          <cell r="AG1315" t="str">
            <v>Tuesday</v>
          </cell>
          <cell r="AH1315">
            <v>22</v>
          </cell>
          <cell r="AJ1315">
            <v>45455</v>
          </cell>
          <cell r="AL1315" t="str">
            <v>Carry Forwarded Annual Leave</v>
          </cell>
          <cell r="AM1315" t="str">
            <v>TEMP</v>
          </cell>
          <cell r="AN1315" t="str">
            <v>3P Onsite Worker</v>
          </cell>
          <cell r="AO1315" t="str">
            <v>A</v>
          </cell>
          <cell r="AP1315">
            <v>9</v>
          </cell>
          <cell r="AQ1315">
            <v>0</v>
          </cell>
          <cell r="AR1315">
            <v>0</v>
          </cell>
          <cell r="AS1315">
            <v>1</v>
          </cell>
          <cell r="AT1315">
            <v>1</v>
          </cell>
          <cell r="AU1315">
            <v>0</v>
          </cell>
        </row>
        <row r="1316">
          <cell r="D1316" t="str">
            <v>painmyat</v>
          </cell>
          <cell r="E1316">
            <v>203736773</v>
          </cell>
          <cell r="F1316" t="str">
            <v>A</v>
          </cell>
          <cell r="G1316" t="str">
            <v>GREEN</v>
          </cell>
          <cell r="H1316" t="str">
            <v>FULL_TIME</v>
          </cell>
          <cell r="I1316">
            <v>900234</v>
          </cell>
          <cell r="J1316" t="str">
            <v>Adecco</v>
          </cell>
          <cell r="K1316" t="str">
            <v>Myat Paing</v>
          </cell>
          <cell r="L1316" t="str">
            <v>Warehouse Associate (TEMP)</v>
          </cell>
          <cell r="M1316" t="str">
            <v>Warehouse Associate 24M</v>
          </cell>
          <cell r="N1316" t="str">
            <v>ansammar</v>
          </cell>
          <cell r="O1316">
            <v>1299</v>
          </cell>
          <cell r="P1316" t="str">
            <v>AUH1</v>
          </cell>
          <cell r="Q1316" t="str">
            <v>ARE</v>
          </cell>
          <cell r="R1316" t="str">
            <v>FC084</v>
          </cell>
          <cell r="S1316" t="str">
            <v>Day Shift</v>
          </cell>
          <cell r="T1316">
            <v>99</v>
          </cell>
          <cell r="U1316" t="str">
            <v>MENA_UAE_FC</v>
          </cell>
          <cell r="V1316">
            <v>46257.333333333336</v>
          </cell>
          <cell r="W1316">
            <v>46257.747916666667</v>
          </cell>
          <cell r="X1316">
            <v>46257.333333333336</v>
          </cell>
          <cell r="Y1316">
            <v>46257.75</v>
          </cell>
          <cell r="AA1316" t="str">
            <v>Scheduled</v>
          </cell>
          <cell r="AB1316" t="str">
            <v>Present</v>
          </cell>
          <cell r="AC1316" t="str">
            <v>Outbound</v>
          </cell>
          <cell r="AD1316" t="str">
            <v>Picking</v>
          </cell>
          <cell r="AE1316" t="str">
            <v>Pick</v>
          </cell>
          <cell r="AF1316" t="str">
            <v>Monday</v>
          </cell>
          <cell r="AG1316" t="str">
            <v>Tuesday</v>
          </cell>
          <cell r="AH1316">
            <v>13</v>
          </cell>
          <cell r="AJ1316">
            <v>45501</v>
          </cell>
          <cell r="AL1316" t="str">
            <v>Carry Forwarded Annual Leave</v>
          </cell>
          <cell r="AM1316" t="str">
            <v>TEMP</v>
          </cell>
          <cell r="AN1316" t="str">
            <v>3P Onsite Worker</v>
          </cell>
          <cell r="AO1316" t="str">
            <v>A</v>
          </cell>
          <cell r="AP1316">
            <v>9</v>
          </cell>
          <cell r="AQ1316">
            <v>0</v>
          </cell>
          <cell r="AR1316">
            <v>1</v>
          </cell>
          <cell r="AS1316">
            <v>1</v>
          </cell>
          <cell r="AT1316">
            <v>0</v>
          </cell>
          <cell r="AU1316">
            <v>0</v>
          </cell>
        </row>
        <row r="1317">
          <cell r="D1317" t="str">
            <v>pmwauraj</v>
          </cell>
          <cell r="E1317">
            <v>203469401</v>
          </cell>
          <cell r="F1317" t="str">
            <v>A</v>
          </cell>
          <cell r="G1317" t="str">
            <v>GREEN</v>
          </cell>
          <cell r="H1317" t="str">
            <v>FULL_TIME</v>
          </cell>
          <cell r="I1317">
            <v>900234</v>
          </cell>
          <cell r="J1317" t="str">
            <v>Adecco</v>
          </cell>
          <cell r="K1317" t="str">
            <v>John Mwaura</v>
          </cell>
          <cell r="L1317" t="str">
            <v>Warehouse Associate (TEMP)</v>
          </cell>
          <cell r="M1317" t="str">
            <v>Warehouse Associate 24M</v>
          </cell>
          <cell r="N1317" t="str">
            <v>aanso</v>
          </cell>
          <cell r="O1317">
            <v>1299</v>
          </cell>
          <cell r="P1317" t="str">
            <v>AUH1</v>
          </cell>
          <cell r="Q1317" t="str">
            <v>ARE</v>
          </cell>
          <cell r="R1317" t="str">
            <v>FC159</v>
          </cell>
          <cell r="S1317" t="str">
            <v>Day Shift</v>
          </cell>
          <cell r="T1317">
            <v>99</v>
          </cell>
          <cell r="U1317" t="str">
            <v>MENA_UAE_FC</v>
          </cell>
          <cell r="X1317">
            <v>46257.333333333336</v>
          </cell>
          <cell r="Y1317">
            <v>46257.75</v>
          </cell>
          <cell r="AA1317" t="str">
            <v>Scheduled</v>
          </cell>
          <cell r="AB1317" t="str">
            <v>Not Present</v>
          </cell>
          <cell r="AC1317" t="str">
            <v>Customer returns</v>
          </cell>
          <cell r="AD1317" t="str">
            <v>Customer Returns</v>
          </cell>
          <cell r="AE1317" t="str">
            <v>Customer returns</v>
          </cell>
          <cell r="AF1317" t="str">
            <v>Thursday</v>
          </cell>
          <cell r="AG1317" t="str">
            <v>Friday</v>
          </cell>
          <cell r="AH1317">
            <v>22</v>
          </cell>
          <cell r="AJ1317">
            <v>45455</v>
          </cell>
          <cell r="AL1317" t="str">
            <v>Carry Forwarded Annual Leave</v>
          </cell>
          <cell r="AM1317" t="str">
            <v>TEMP</v>
          </cell>
          <cell r="AN1317" t="str">
            <v>3P Onsite Worker</v>
          </cell>
          <cell r="AO1317" t="str">
            <v>A</v>
          </cell>
          <cell r="AP1317">
            <v>9</v>
          </cell>
          <cell r="AQ1317">
            <v>0</v>
          </cell>
          <cell r="AR1317">
            <v>0</v>
          </cell>
          <cell r="AS1317">
            <v>1</v>
          </cell>
          <cell r="AT1317">
            <v>1</v>
          </cell>
          <cell r="AU1317">
            <v>0</v>
          </cell>
        </row>
        <row r="1318">
          <cell r="D1318" t="str">
            <v>robembug</v>
          </cell>
          <cell r="E1318">
            <v>203736258</v>
          </cell>
          <cell r="F1318" t="str">
            <v>A</v>
          </cell>
          <cell r="G1318" t="str">
            <v>GREEN</v>
          </cell>
          <cell r="H1318" t="str">
            <v>FULL_TIME</v>
          </cell>
          <cell r="I1318">
            <v>900234</v>
          </cell>
          <cell r="J1318" t="str">
            <v>Dulsco L.L.C.</v>
          </cell>
          <cell r="K1318" t="str">
            <v>ROBERT MBUGHEKI</v>
          </cell>
          <cell r="L1318" t="str">
            <v>Warehouse Associate (TEMP)</v>
          </cell>
          <cell r="M1318" t="str">
            <v>Warehouse Associate 24M</v>
          </cell>
          <cell r="N1318" t="str">
            <v>vkkatyal</v>
          </cell>
          <cell r="O1318">
            <v>1299</v>
          </cell>
          <cell r="P1318" t="str">
            <v>AUH1</v>
          </cell>
          <cell r="Q1318" t="str">
            <v>ARE</v>
          </cell>
          <cell r="R1318" t="str">
            <v>LK012</v>
          </cell>
          <cell r="S1318" t="str">
            <v>Night Shift</v>
          </cell>
          <cell r="T1318">
            <v>99</v>
          </cell>
          <cell r="U1318" t="str">
            <v>MENA_UAE_FC</v>
          </cell>
          <cell r="X1318">
            <v>46257.756944444445</v>
          </cell>
          <cell r="Y1318">
            <v>46258.173611111109</v>
          </cell>
          <cell r="Z1318" t="str">
            <v>Rest Day</v>
          </cell>
          <cell r="AA1318" t="str">
            <v>Not Scheduled</v>
          </cell>
          <cell r="AB1318" t="str">
            <v>Not Present</v>
          </cell>
          <cell r="AC1318" t="str">
            <v>Inbound</v>
          </cell>
          <cell r="AD1318" t="str">
            <v>Inbound Stow</v>
          </cell>
          <cell r="AE1318" t="str">
            <v>Stow</v>
          </cell>
          <cell r="AF1318" t="str">
            <v>Saturday</v>
          </cell>
          <cell r="AG1318" t="str">
            <v>Sunday</v>
          </cell>
          <cell r="AH1318">
            <v>3</v>
          </cell>
          <cell r="AJ1318">
            <v>45501</v>
          </cell>
          <cell r="AL1318" t="str">
            <v>Carry Forwarded Annual Leave</v>
          </cell>
          <cell r="AM1318" t="str">
            <v>TEMP</v>
          </cell>
          <cell r="AN1318" t="str">
            <v>3P Onsite Worker</v>
          </cell>
          <cell r="AO1318" t="str">
            <v>A</v>
          </cell>
          <cell r="AP1318">
            <v>9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</row>
        <row r="1319">
          <cell r="D1319" t="str">
            <v>sandrtka</v>
          </cell>
          <cell r="E1319">
            <v>203469455</v>
          </cell>
          <cell r="F1319" t="str">
            <v>A</v>
          </cell>
          <cell r="G1319" t="str">
            <v>GREEN</v>
          </cell>
          <cell r="H1319" t="str">
            <v>FULL_TIME</v>
          </cell>
          <cell r="I1319">
            <v>900234</v>
          </cell>
          <cell r="J1319" t="str">
            <v>Adecco</v>
          </cell>
          <cell r="K1319" t="str">
            <v>Sandrta Kasozi</v>
          </cell>
          <cell r="L1319" t="str">
            <v>Warehouse Associate (TEMP)</v>
          </cell>
          <cell r="M1319" t="str">
            <v>Warehouse Associate 24M</v>
          </cell>
          <cell r="N1319" t="str">
            <v>bavameer</v>
          </cell>
          <cell r="O1319">
            <v>1299</v>
          </cell>
          <cell r="P1319" t="str">
            <v>AUH1</v>
          </cell>
          <cell r="Q1319" t="str">
            <v>ARE</v>
          </cell>
          <cell r="R1319" t="str">
            <v>LK016</v>
          </cell>
          <cell r="S1319" t="str">
            <v>Night Shift</v>
          </cell>
          <cell r="T1319">
            <v>99</v>
          </cell>
          <cell r="U1319" t="str">
            <v>MENA_UAE_FC</v>
          </cell>
          <cell r="X1319">
            <v>46257.756944444445</v>
          </cell>
          <cell r="Y1319">
            <v>46258.173611111109</v>
          </cell>
          <cell r="AA1319" t="str">
            <v>Scheduled</v>
          </cell>
          <cell r="AB1319" t="str">
            <v>Not Present</v>
          </cell>
          <cell r="AC1319" t="str">
            <v>Customer returns</v>
          </cell>
          <cell r="AD1319" t="str">
            <v>Customer Returns</v>
          </cell>
          <cell r="AE1319" t="str">
            <v>Customer returns</v>
          </cell>
          <cell r="AF1319" t="str">
            <v>Wednesday</v>
          </cell>
          <cell r="AG1319" t="str">
            <v>Thursday</v>
          </cell>
          <cell r="AH1319">
            <v>22</v>
          </cell>
          <cell r="AJ1319">
            <v>45455</v>
          </cell>
          <cell r="AL1319" t="str">
            <v>Carry Forwarded Annual Leave</v>
          </cell>
          <cell r="AM1319" t="str">
            <v>TEMP</v>
          </cell>
          <cell r="AN1319" t="str">
            <v>3P Onsite Worker</v>
          </cell>
          <cell r="AO1319" t="str">
            <v>A</v>
          </cell>
          <cell r="AP1319">
            <v>9</v>
          </cell>
          <cell r="AQ1319">
            <v>0</v>
          </cell>
          <cell r="AR1319">
            <v>0</v>
          </cell>
          <cell r="AS1319">
            <v>1</v>
          </cell>
          <cell r="AT1319">
            <v>1</v>
          </cell>
          <cell r="AU1319">
            <v>0</v>
          </cell>
        </row>
        <row r="1320">
          <cell r="D1320" t="str">
            <v>sarpbism</v>
          </cell>
          <cell r="E1320">
            <v>205236900</v>
          </cell>
          <cell r="F1320" t="str">
            <v>A</v>
          </cell>
          <cell r="G1320" t="str">
            <v>GREEN</v>
          </cell>
          <cell r="H1320" t="str">
            <v>FULL_TIME</v>
          </cell>
          <cell r="I1320">
            <v>900234</v>
          </cell>
          <cell r="J1320" t="str">
            <v>Dulsco L.L.C.</v>
          </cell>
          <cell r="K1320" t="str">
            <v>BISMARK SARPONG</v>
          </cell>
          <cell r="L1320" t="str">
            <v>Warehouse Associate (TEMP)</v>
          </cell>
          <cell r="M1320" t="str">
            <v>Warehouse Associate 24M</v>
          </cell>
          <cell r="N1320" t="str">
            <v>nnahla</v>
          </cell>
          <cell r="O1320">
            <v>1299</v>
          </cell>
          <cell r="P1320" t="str">
            <v>AUH1</v>
          </cell>
          <cell r="Q1320" t="str">
            <v>ARE</v>
          </cell>
          <cell r="R1320" t="str">
            <v>FC059</v>
          </cell>
          <cell r="S1320" t="str">
            <v>Day Shift</v>
          </cell>
          <cell r="T1320">
            <v>99</v>
          </cell>
          <cell r="U1320" t="str">
            <v>MENA_UAE_FC</v>
          </cell>
          <cell r="X1320">
            <v>46257.333333333336</v>
          </cell>
          <cell r="Y1320">
            <v>46257.75</v>
          </cell>
          <cell r="Z1320" t="str">
            <v>Rest Day</v>
          </cell>
          <cell r="AA1320" t="str">
            <v>Not Scheduled</v>
          </cell>
          <cell r="AB1320" t="str">
            <v>Not Present</v>
          </cell>
          <cell r="AC1320" t="str">
            <v>Inbound</v>
          </cell>
          <cell r="AD1320" t="str">
            <v>Receive Dock</v>
          </cell>
          <cell r="AE1320" t="str">
            <v>Receive</v>
          </cell>
          <cell r="AF1320" t="str">
            <v>Sunday</v>
          </cell>
          <cell r="AG1320" t="str">
            <v>Monday</v>
          </cell>
          <cell r="AH1320">
            <v>2</v>
          </cell>
          <cell r="AJ1320">
            <v>45830</v>
          </cell>
          <cell r="AL1320" t="str">
            <v>Carry Forwarded Annual Leave</v>
          </cell>
          <cell r="AM1320" t="str">
            <v>TEMP</v>
          </cell>
          <cell r="AN1320" t="str">
            <v>3P Onsite Worker</v>
          </cell>
          <cell r="AO1320" t="str">
            <v>A</v>
          </cell>
          <cell r="AP1320">
            <v>9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</row>
        <row r="1321">
          <cell r="D1321" t="str">
            <v>sattabob</v>
          </cell>
          <cell r="E1321">
            <v>205609884</v>
          </cell>
          <cell r="F1321" t="str">
            <v>A</v>
          </cell>
          <cell r="G1321" t="str">
            <v>GREEN</v>
          </cell>
          <cell r="H1321" t="str">
            <v>FULL_TIME</v>
          </cell>
          <cell r="I1321">
            <v>900234</v>
          </cell>
          <cell r="J1321" t="str">
            <v>Dulsco L.L.C.</v>
          </cell>
          <cell r="K1321" t="str">
            <v>BRIGHT ATTA BOAHENE</v>
          </cell>
          <cell r="L1321" t="str">
            <v>Warehouse Associate (TEMP)</v>
          </cell>
          <cell r="M1321" t="str">
            <v>Warehouse Associate 24M</v>
          </cell>
          <cell r="N1321" t="str">
            <v>pparsin</v>
          </cell>
          <cell r="O1321">
            <v>1299</v>
          </cell>
          <cell r="P1321" t="str">
            <v>AUH1</v>
          </cell>
          <cell r="Q1321" t="str">
            <v>ARE</v>
          </cell>
          <cell r="R1321" t="str">
            <v>FC059</v>
          </cell>
          <cell r="S1321" t="str">
            <v>Day Shift</v>
          </cell>
          <cell r="T1321">
            <v>99</v>
          </cell>
          <cell r="U1321" t="str">
            <v>MENA_UAE_FC</v>
          </cell>
          <cell r="X1321">
            <v>46257.333333333336</v>
          </cell>
          <cell r="Y1321">
            <v>46257.75</v>
          </cell>
          <cell r="Z1321" t="str">
            <v>Rest Day</v>
          </cell>
          <cell r="AA1321" t="str">
            <v>Not Scheduled</v>
          </cell>
          <cell r="AB1321" t="str">
            <v>Not Present</v>
          </cell>
          <cell r="AC1321" t="str">
            <v>Inbound</v>
          </cell>
          <cell r="AD1321" t="str">
            <v>Inbound Stow</v>
          </cell>
          <cell r="AE1321" t="str">
            <v>Stow</v>
          </cell>
          <cell r="AF1321" t="str">
            <v>Sunday</v>
          </cell>
          <cell r="AG1321" t="str">
            <v>Monday</v>
          </cell>
          <cell r="AH1321">
            <v>3</v>
          </cell>
          <cell r="AJ1321">
            <v>45844</v>
          </cell>
          <cell r="AL1321" t="str">
            <v>Carry Forwarded Annual Leave</v>
          </cell>
          <cell r="AM1321" t="str">
            <v>TEMP</v>
          </cell>
          <cell r="AN1321" t="str">
            <v>3P Onsite Worker</v>
          </cell>
          <cell r="AO1321" t="str">
            <v>A</v>
          </cell>
          <cell r="AP1321">
            <v>9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</row>
        <row r="1322">
          <cell r="D1322" t="str">
            <v>sgiftyaw</v>
          </cell>
          <cell r="E1322">
            <v>206136723</v>
          </cell>
          <cell r="F1322" t="str">
            <v>A</v>
          </cell>
          <cell r="G1322" t="str">
            <v>GREEN</v>
          </cell>
          <cell r="H1322" t="str">
            <v>FULL_TIME</v>
          </cell>
          <cell r="I1322">
            <v>900234</v>
          </cell>
          <cell r="J1322" t="str">
            <v>Fastlink Outsourcing</v>
          </cell>
          <cell r="K1322" t="str">
            <v>Gifty Awuah</v>
          </cell>
          <cell r="L1322" t="str">
            <v>Warehouse Associate (TEMP)</v>
          </cell>
          <cell r="M1322" t="str">
            <v>Warehouse Associate 8W</v>
          </cell>
          <cell r="N1322" t="str">
            <v>helrashd</v>
          </cell>
          <cell r="O1322">
            <v>1299</v>
          </cell>
          <cell r="P1322" t="str">
            <v>AUH1</v>
          </cell>
          <cell r="Q1322" t="str">
            <v>ARE</v>
          </cell>
          <cell r="R1322" t="str">
            <v>FC558</v>
          </cell>
          <cell r="S1322" t="str">
            <v>Night Shift</v>
          </cell>
          <cell r="T1322">
            <v>99</v>
          </cell>
          <cell r="U1322" t="str">
            <v>MENA_UAE_FC</v>
          </cell>
          <cell r="V1322">
            <v>46257.757638888892</v>
          </cell>
          <cell r="X1322">
            <v>46257.756944444445</v>
          </cell>
          <cell r="Y1322">
            <v>46258.090277777781</v>
          </cell>
          <cell r="AA1322" t="str">
            <v>Scheduled</v>
          </cell>
          <cell r="AB1322" t="str">
            <v>Present</v>
          </cell>
          <cell r="AC1322" t="str">
            <v>Outbound</v>
          </cell>
          <cell r="AD1322" t="str">
            <v>Picking</v>
          </cell>
          <cell r="AE1322" t="str">
            <v>Pick</v>
          </cell>
          <cell r="AF1322" t="str">
            <v>Thursday</v>
          </cell>
          <cell r="AG1322" t="str">
            <v>Friday</v>
          </cell>
          <cell r="AH1322">
            <v>13</v>
          </cell>
          <cell r="AJ1322">
            <v>46225</v>
          </cell>
          <cell r="AL1322" t="str">
            <v>Carry Forwarded Annual Leave</v>
          </cell>
          <cell r="AM1322" t="str">
            <v>TEMP</v>
          </cell>
          <cell r="AN1322" t="str">
            <v>3P Onsite Worker</v>
          </cell>
          <cell r="AO1322" t="str">
            <v>A</v>
          </cell>
          <cell r="AP1322">
            <v>7</v>
          </cell>
          <cell r="AQ1322">
            <v>0</v>
          </cell>
          <cell r="AR1322">
            <v>1</v>
          </cell>
          <cell r="AS1322">
            <v>1</v>
          </cell>
          <cell r="AT1322">
            <v>0</v>
          </cell>
          <cell r="AU1322">
            <v>0</v>
          </cell>
        </row>
        <row r="1323">
          <cell r="D1323" t="str">
            <v>sulaamar</v>
          </cell>
          <cell r="E1323">
            <v>204951311</v>
          </cell>
          <cell r="F1323" t="str">
            <v>A</v>
          </cell>
          <cell r="G1323" t="str">
            <v>GREEN</v>
          </cell>
          <cell r="H1323" t="str">
            <v>FULL_TIME</v>
          </cell>
          <cell r="I1323">
            <v>900234</v>
          </cell>
          <cell r="J1323" t="str">
            <v>Dulsco L.L.C.</v>
          </cell>
          <cell r="K1323" t="str">
            <v>SULAIMAN JAY AMARA</v>
          </cell>
          <cell r="L1323" t="str">
            <v>Warehouse Associate (TEMP)</v>
          </cell>
          <cell r="M1323" t="str">
            <v>Warehouse Associate 24M</v>
          </cell>
          <cell r="N1323" t="str">
            <v>ansammar</v>
          </cell>
          <cell r="O1323">
            <v>1299</v>
          </cell>
          <cell r="P1323" t="str">
            <v>AUH1</v>
          </cell>
          <cell r="Q1323" t="str">
            <v>ARE</v>
          </cell>
          <cell r="R1323" t="str">
            <v>LK011</v>
          </cell>
          <cell r="S1323" t="str">
            <v>Night Shift</v>
          </cell>
          <cell r="T1323">
            <v>99</v>
          </cell>
          <cell r="U1323" t="str">
            <v>MENA_UAE_FC</v>
          </cell>
          <cell r="X1323">
            <v>46257.333333333336</v>
          </cell>
          <cell r="Y1323">
            <v>46257.75</v>
          </cell>
          <cell r="AA1323" t="str">
            <v>Scheduled</v>
          </cell>
          <cell r="AB1323" t="str">
            <v>Not Present</v>
          </cell>
          <cell r="AC1323" t="str">
            <v>Outbound</v>
          </cell>
          <cell r="AD1323" t="str">
            <v>Picking</v>
          </cell>
          <cell r="AE1323" t="str">
            <v>Pick</v>
          </cell>
          <cell r="AF1323" t="str">
            <v>Friday</v>
          </cell>
          <cell r="AG1323" t="str">
            <v>Saturday</v>
          </cell>
          <cell r="AH1323">
            <v>13</v>
          </cell>
          <cell r="AJ1323">
            <v>45718</v>
          </cell>
          <cell r="AL1323" t="str">
            <v>Carry Forwarded Annual Leave</v>
          </cell>
          <cell r="AM1323" t="str">
            <v>TEMP</v>
          </cell>
          <cell r="AN1323" t="str">
            <v>3P Onsite Worker</v>
          </cell>
          <cell r="AO1323" t="str">
            <v>A</v>
          </cell>
          <cell r="AP1323">
            <v>9</v>
          </cell>
          <cell r="AQ1323">
            <v>0</v>
          </cell>
          <cell r="AR1323">
            <v>0</v>
          </cell>
          <cell r="AS1323">
            <v>1</v>
          </cell>
          <cell r="AT1323">
            <v>1</v>
          </cell>
          <cell r="AU1323">
            <v>0</v>
          </cell>
        </row>
        <row r="1324">
          <cell r="D1324" t="str">
            <v>tchaosei</v>
          </cell>
          <cell r="E1324">
            <v>204882798</v>
          </cell>
          <cell r="F1324" t="str">
            <v>A</v>
          </cell>
          <cell r="G1324" t="str">
            <v>GREEN</v>
          </cell>
          <cell r="H1324" t="str">
            <v>FULL_TIME</v>
          </cell>
          <cell r="I1324">
            <v>900234</v>
          </cell>
          <cell r="J1324" t="str">
            <v>Dulsco L.L.C.</v>
          </cell>
          <cell r="K1324" t="str">
            <v>CHARLES OSEI</v>
          </cell>
          <cell r="L1324" t="str">
            <v>Warehouse Associate (TEMP)</v>
          </cell>
          <cell r="M1324" t="str">
            <v>Warehouse Associate 24M</v>
          </cell>
          <cell r="N1324" t="str">
            <v>vkkatyal</v>
          </cell>
          <cell r="O1324">
            <v>1299</v>
          </cell>
          <cell r="P1324" t="str">
            <v>AUH1</v>
          </cell>
          <cell r="Q1324" t="str">
            <v>ARE</v>
          </cell>
          <cell r="R1324" t="str">
            <v>LK011</v>
          </cell>
          <cell r="S1324" t="str">
            <v>Night Shift</v>
          </cell>
          <cell r="T1324">
            <v>99</v>
          </cell>
          <cell r="U1324" t="str">
            <v>MENA_UAE_FC</v>
          </cell>
          <cell r="X1324">
            <v>46257.756944444445</v>
          </cell>
          <cell r="Y1324">
            <v>46258.173611111109</v>
          </cell>
          <cell r="AA1324" t="str">
            <v>Scheduled</v>
          </cell>
          <cell r="AB1324" t="str">
            <v>Not Present</v>
          </cell>
          <cell r="AC1324" t="str">
            <v>Inbound</v>
          </cell>
          <cell r="AD1324" t="str">
            <v>Inbound Stow</v>
          </cell>
          <cell r="AE1324" t="str">
            <v>Stow</v>
          </cell>
          <cell r="AF1324" t="str">
            <v>Friday</v>
          </cell>
          <cell r="AG1324" t="str">
            <v>Saturday</v>
          </cell>
          <cell r="AH1324">
            <v>3</v>
          </cell>
          <cell r="AJ1324">
            <v>45690</v>
          </cell>
          <cell r="AL1324" t="str">
            <v>Carry Forwarded Annual Leave</v>
          </cell>
          <cell r="AM1324" t="str">
            <v>TEMP</v>
          </cell>
          <cell r="AN1324" t="str">
            <v>3P Onsite Worker</v>
          </cell>
          <cell r="AO1324" t="str">
            <v>A</v>
          </cell>
          <cell r="AP1324">
            <v>9</v>
          </cell>
          <cell r="AQ1324">
            <v>0</v>
          </cell>
          <cell r="AR1324">
            <v>0</v>
          </cell>
          <cell r="AS1324">
            <v>1</v>
          </cell>
          <cell r="AT1324">
            <v>1</v>
          </cell>
          <cell r="AU1324">
            <v>0</v>
          </cell>
        </row>
        <row r="1325">
          <cell r="D1325" t="str">
            <v>umaymusa</v>
          </cell>
          <cell r="E1325">
            <v>205609143</v>
          </cell>
          <cell r="F1325" t="str">
            <v>A</v>
          </cell>
          <cell r="G1325" t="str">
            <v>GREEN</v>
          </cell>
          <cell r="H1325" t="str">
            <v>FULL_TIME</v>
          </cell>
          <cell r="I1325">
            <v>900234</v>
          </cell>
          <cell r="J1325" t="str">
            <v>Dulsco L.L.C.</v>
          </cell>
          <cell r="K1325" t="str">
            <v>UMARU MUSA MUBI</v>
          </cell>
          <cell r="L1325" t="str">
            <v>Warehouse Associate (TEMP)</v>
          </cell>
          <cell r="M1325" t="str">
            <v>Warehouse Associate 8W</v>
          </cell>
          <cell r="N1325" t="str">
            <v>bavameer</v>
          </cell>
          <cell r="O1325">
            <v>1299</v>
          </cell>
          <cell r="P1325" t="str">
            <v>AUH1</v>
          </cell>
          <cell r="Q1325" t="str">
            <v>ARE</v>
          </cell>
          <cell r="R1325" t="str">
            <v>FC159</v>
          </cell>
          <cell r="S1325" t="str">
            <v>Day Shift</v>
          </cell>
          <cell r="T1325">
            <v>99</v>
          </cell>
          <cell r="U1325" t="str">
            <v>MENA_UAE_FC</v>
          </cell>
          <cell r="V1325">
            <v>46257.330555555556</v>
          </cell>
          <cell r="W1325">
            <v>46257.750694444447</v>
          </cell>
          <cell r="X1325">
            <v>46257.333333333336</v>
          </cell>
          <cell r="Y1325">
            <v>46257.75</v>
          </cell>
          <cell r="AA1325" t="str">
            <v>Scheduled</v>
          </cell>
          <cell r="AB1325" t="str">
            <v>Present</v>
          </cell>
          <cell r="AC1325" t="str">
            <v>Customer returns</v>
          </cell>
          <cell r="AD1325" t="str">
            <v>Customer Returns</v>
          </cell>
          <cell r="AE1325" t="str">
            <v>Customer returns</v>
          </cell>
          <cell r="AF1325" t="str">
            <v>Thursday</v>
          </cell>
          <cell r="AG1325" t="str">
            <v>Friday</v>
          </cell>
          <cell r="AH1325">
            <v>22</v>
          </cell>
          <cell r="AJ1325">
            <v>45844</v>
          </cell>
          <cell r="AL1325" t="str">
            <v>Carry Forwarded Annual Leave</v>
          </cell>
          <cell r="AM1325" t="str">
            <v>TEMP</v>
          </cell>
          <cell r="AN1325" t="str">
            <v>3P Onsite Worker</v>
          </cell>
          <cell r="AO1325" t="str">
            <v>A</v>
          </cell>
          <cell r="AP1325">
            <v>9</v>
          </cell>
          <cell r="AQ1325">
            <v>0</v>
          </cell>
          <cell r="AR1325">
            <v>1</v>
          </cell>
          <cell r="AS1325">
            <v>1</v>
          </cell>
          <cell r="AT1325">
            <v>0</v>
          </cell>
          <cell r="AU1325">
            <v>0</v>
          </cell>
        </row>
        <row r="1326">
          <cell r="D1326" t="str">
            <v>xainorog</v>
          </cell>
          <cell r="E1326">
            <v>205845560</v>
          </cell>
          <cell r="F1326" t="str">
            <v>A</v>
          </cell>
          <cell r="G1326" t="str">
            <v>GREEN</v>
          </cell>
          <cell r="H1326" t="str">
            <v>FULL_TIME</v>
          </cell>
          <cell r="I1326">
            <v>900234</v>
          </cell>
          <cell r="J1326" t="str">
            <v>Dulsco L.L.C.</v>
          </cell>
          <cell r="K1326" t="str">
            <v>ROGERS AINOMUGISHA</v>
          </cell>
          <cell r="L1326" t="str">
            <v>Warehouse Associate (TEMP)</v>
          </cell>
          <cell r="M1326" t="str">
            <v>Warehouse Associate 24M</v>
          </cell>
          <cell r="N1326" t="str">
            <v>ansammar</v>
          </cell>
          <cell r="O1326">
            <v>1299</v>
          </cell>
          <cell r="P1326" t="str">
            <v>AUH1</v>
          </cell>
          <cell r="Q1326" t="str">
            <v>ARE</v>
          </cell>
          <cell r="R1326" t="str">
            <v>FC034</v>
          </cell>
          <cell r="S1326" t="str">
            <v>Day Shift</v>
          </cell>
          <cell r="T1326">
            <v>99</v>
          </cell>
          <cell r="U1326" t="str">
            <v>MENA_UAE_FC</v>
          </cell>
          <cell r="X1326">
            <v>46257.333333333336</v>
          </cell>
          <cell r="Y1326">
            <v>46257.75</v>
          </cell>
          <cell r="Z1326" t="str">
            <v>Rest Day</v>
          </cell>
          <cell r="AA1326" t="str">
            <v>Not Scheduled</v>
          </cell>
          <cell r="AB1326" t="str">
            <v>Not Present</v>
          </cell>
          <cell r="AC1326" t="str">
            <v>Outbound</v>
          </cell>
          <cell r="AD1326" t="str">
            <v>Picking</v>
          </cell>
          <cell r="AE1326" t="str">
            <v>Pick</v>
          </cell>
          <cell r="AF1326" t="str">
            <v>Saturday</v>
          </cell>
          <cell r="AG1326" t="str">
            <v>Sunday</v>
          </cell>
          <cell r="AH1326">
            <v>13</v>
          </cell>
          <cell r="AJ1326">
            <v>45893</v>
          </cell>
          <cell r="AL1326" t="str">
            <v>Carry Forwarded Annual Leave</v>
          </cell>
          <cell r="AM1326" t="str">
            <v>TEMP</v>
          </cell>
          <cell r="AN1326" t="str">
            <v>3P Onsite Worker</v>
          </cell>
          <cell r="AO1326" t="str">
            <v>A</v>
          </cell>
          <cell r="AP1326">
            <v>9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</row>
        <row r="1327">
          <cell r="D1327" t="str">
            <v>earthurg</v>
          </cell>
          <cell r="E1327">
            <v>202460493</v>
          </cell>
          <cell r="F1327" t="str">
            <v>A</v>
          </cell>
          <cell r="G1327" t="str">
            <v>GREEN</v>
          </cell>
          <cell r="H1327" t="str">
            <v>FULL_TIME</v>
          </cell>
          <cell r="I1327">
            <v>900234</v>
          </cell>
          <cell r="J1327" t="str">
            <v>Quesscorp</v>
          </cell>
          <cell r="K1327" t="str">
            <v>Georgina Arthur</v>
          </cell>
          <cell r="L1327" t="str">
            <v>Warehouse Associate (TEMP)</v>
          </cell>
          <cell r="M1327" t="str">
            <v>Warehouse Associate 24M</v>
          </cell>
          <cell r="N1327" t="str">
            <v>bizthoma</v>
          </cell>
          <cell r="O1327">
            <v>1299</v>
          </cell>
          <cell r="P1327" t="str">
            <v>AUH1</v>
          </cell>
          <cell r="Q1327" t="str">
            <v>ARE</v>
          </cell>
          <cell r="R1327" t="str">
            <v>FC109</v>
          </cell>
          <cell r="S1327" t="str">
            <v>Day Shift</v>
          </cell>
          <cell r="T1327">
            <v>99</v>
          </cell>
          <cell r="U1327" t="str">
            <v>MENA_UAE_FC</v>
          </cell>
          <cell r="X1327">
            <v>46257.333333333336</v>
          </cell>
          <cell r="Y1327">
            <v>46257.75</v>
          </cell>
          <cell r="AA1327" t="str">
            <v>Scheduled</v>
          </cell>
          <cell r="AB1327" t="str">
            <v>Not Present</v>
          </cell>
          <cell r="AC1327" t="str">
            <v>Outbound</v>
          </cell>
          <cell r="AD1327" t="str">
            <v>Sort - Batch</v>
          </cell>
          <cell r="AE1327" t="str">
            <v>Sort</v>
          </cell>
          <cell r="AF1327" t="str">
            <v>Tuesday</v>
          </cell>
          <cell r="AG1327" t="str">
            <v>Wednesday</v>
          </cell>
          <cell r="AH1327">
            <v>15</v>
          </cell>
          <cell r="AJ1327">
            <v>45585</v>
          </cell>
          <cell r="AL1327" t="str">
            <v>Maternity Leave</v>
          </cell>
          <cell r="AM1327" t="str">
            <v>TEMP</v>
          </cell>
          <cell r="AN1327" t="str">
            <v>3P Onsite Worker</v>
          </cell>
          <cell r="AO1327" t="str">
            <v>A</v>
          </cell>
          <cell r="AP1327">
            <v>9</v>
          </cell>
          <cell r="AQ1327">
            <v>0</v>
          </cell>
          <cell r="AR1327">
            <v>0</v>
          </cell>
          <cell r="AS1327">
            <v>1</v>
          </cell>
          <cell r="AT1327">
            <v>1</v>
          </cell>
          <cell r="AU1327">
            <v>0</v>
          </cell>
        </row>
        <row r="1328">
          <cell r="D1328" t="str">
            <v>wendpoku</v>
          </cell>
          <cell r="E1328">
            <v>206239215</v>
          </cell>
          <cell r="F1328" t="str">
            <v>A</v>
          </cell>
          <cell r="G1328" t="str">
            <v>GREEN</v>
          </cell>
          <cell r="H1328" t="str">
            <v>FULL_TIME</v>
          </cell>
          <cell r="I1328">
            <v>900234</v>
          </cell>
          <cell r="J1328" t="str">
            <v>Fastlink Outsourcing</v>
          </cell>
          <cell r="K1328" t="str">
            <v>WENDY POKUAAH</v>
          </cell>
          <cell r="L1328" t="str">
            <v>Warehouse Associate (TEMP)</v>
          </cell>
          <cell r="M1328" t="str">
            <v>Warehouse Associate 12M</v>
          </cell>
          <cell r="N1328" t="str">
            <v>mnarshad</v>
          </cell>
          <cell r="O1328">
            <v>1299</v>
          </cell>
          <cell r="P1328" t="str">
            <v>AUH1</v>
          </cell>
          <cell r="Q1328" t="str">
            <v>ARE</v>
          </cell>
          <cell r="R1328" t="str">
            <v>FC109</v>
          </cell>
          <cell r="S1328" t="str">
            <v>Day Shift</v>
          </cell>
          <cell r="T1328">
            <v>99</v>
          </cell>
          <cell r="U1328" t="str">
            <v>MENA_UAE_FC</v>
          </cell>
          <cell r="X1328">
            <v>46257.333333333336</v>
          </cell>
          <cell r="Y1328">
            <v>46257.75</v>
          </cell>
          <cell r="AA1328" t="str">
            <v>Scheduled</v>
          </cell>
          <cell r="AB1328" t="str">
            <v>Not Present</v>
          </cell>
          <cell r="AC1328" t="str">
            <v>Outbound</v>
          </cell>
          <cell r="AD1328" t="str">
            <v>Picking</v>
          </cell>
          <cell r="AE1328" t="str">
            <v>Pick</v>
          </cell>
          <cell r="AF1328" t="str">
            <v>Tuesday</v>
          </cell>
          <cell r="AG1328" t="str">
            <v>Wednesday</v>
          </cell>
          <cell r="AH1328">
            <v>13</v>
          </cell>
          <cell r="AJ1328">
            <v>45942</v>
          </cell>
          <cell r="AL1328" t="str">
            <v>Maternity Leave</v>
          </cell>
          <cell r="AM1328" t="str">
            <v>TEMP</v>
          </cell>
          <cell r="AN1328" t="str">
            <v>3P Onsite Worker</v>
          </cell>
          <cell r="AO1328" t="str">
            <v>A</v>
          </cell>
          <cell r="AP1328">
            <v>9</v>
          </cell>
          <cell r="AQ1328">
            <v>0</v>
          </cell>
          <cell r="AR1328">
            <v>0</v>
          </cell>
          <cell r="AS1328">
            <v>1</v>
          </cell>
          <cell r="AT1328">
            <v>1</v>
          </cell>
          <cell r="AU1328">
            <v>0</v>
          </cell>
        </row>
        <row r="1329">
          <cell r="D1329" t="str">
            <v>ankinew</v>
          </cell>
          <cell r="E1329">
            <v>204009672</v>
          </cell>
          <cell r="F1329" t="str">
            <v>A</v>
          </cell>
          <cell r="G1329" t="str">
            <v>GREEN</v>
          </cell>
          <cell r="H1329" t="str">
            <v>FULL_TIME</v>
          </cell>
          <cell r="I1329">
            <v>900234</v>
          </cell>
          <cell r="J1329" t="str">
            <v>Dulsco L.L.C.</v>
          </cell>
          <cell r="K1329" t="str">
            <v>ANKIT NEWAR</v>
          </cell>
          <cell r="L1329" t="str">
            <v>Warehouse Associate (TEMP)</v>
          </cell>
          <cell r="M1329" t="str">
            <v>Warehouse Associate 24M</v>
          </cell>
          <cell r="N1329" t="str">
            <v>mnarshad</v>
          </cell>
          <cell r="O1329">
            <v>1299</v>
          </cell>
          <cell r="P1329" t="str">
            <v>AUH1</v>
          </cell>
          <cell r="Q1329" t="str">
            <v>ARE</v>
          </cell>
          <cell r="R1329" t="str">
            <v>FC009</v>
          </cell>
          <cell r="S1329" t="str">
            <v>Day Shift</v>
          </cell>
          <cell r="T1329">
            <v>99</v>
          </cell>
          <cell r="U1329" t="str">
            <v>MENA_UAE_FC</v>
          </cell>
          <cell r="X1329">
            <v>46257.333333333336</v>
          </cell>
          <cell r="Y1329">
            <v>46257.75</v>
          </cell>
          <cell r="AA1329" t="str">
            <v>Scheduled</v>
          </cell>
          <cell r="AB1329" t="str">
            <v>Not Present</v>
          </cell>
          <cell r="AC1329" t="str">
            <v>Outbound</v>
          </cell>
          <cell r="AD1329" t="str">
            <v>Picking</v>
          </cell>
          <cell r="AE1329" t="str">
            <v>Pick</v>
          </cell>
          <cell r="AF1329" t="str">
            <v>Friday</v>
          </cell>
          <cell r="AG1329" t="str">
            <v>Saturday</v>
          </cell>
          <cell r="AH1329">
            <v>13</v>
          </cell>
          <cell r="AJ1329">
            <v>45550</v>
          </cell>
          <cell r="AL1329" t="str">
            <v>Sick Leave</v>
          </cell>
          <cell r="AM1329" t="str">
            <v>TEMP</v>
          </cell>
          <cell r="AN1329" t="str">
            <v>3P Onsite Worker</v>
          </cell>
          <cell r="AO1329" t="str">
            <v>A</v>
          </cell>
          <cell r="AP1329">
            <v>9</v>
          </cell>
          <cell r="AQ1329">
            <v>0</v>
          </cell>
          <cell r="AR1329">
            <v>0</v>
          </cell>
          <cell r="AS1329">
            <v>1</v>
          </cell>
          <cell r="AT1329">
            <v>0</v>
          </cell>
          <cell r="AU1329">
            <v>1</v>
          </cell>
        </row>
        <row r="1330">
          <cell r="D1330" t="str">
            <v>shomuzha</v>
          </cell>
          <cell r="E1330">
            <v>204886250</v>
          </cell>
          <cell r="F1330" t="str">
            <v>A</v>
          </cell>
          <cell r="G1330" t="str">
            <v>GREEN</v>
          </cell>
          <cell r="H1330" t="str">
            <v>FULL_TIME</v>
          </cell>
          <cell r="I1330">
            <v>900572</v>
          </cell>
          <cell r="J1330" t="str">
            <v>Quesscorp</v>
          </cell>
          <cell r="K1330" t="str">
            <v>Lissa Shomuzhanga</v>
          </cell>
          <cell r="L1330" t="str">
            <v>HR Assistant (TEMP)</v>
          </cell>
          <cell r="M1330" t="str">
            <v>Quesscorp - Vendor POC</v>
          </cell>
          <cell r="N1330" t="str">
            <v>anrdhj</v>
          </cell>
          <cell r="O1330">
            <v>1299</v>
          </cell>
          <cell r="P1330" t="str">
            <v>AUH1</v>
          </cell>
          <cell r="Q1330" t="str">
            <v>ARE</v>
          </cell>
          <cell r="R1330" t="str">
            <v>LK013</v>
          </cell>
          <cell r="S1330" t="str">
            <v>Night Shift</v>
          </cell>
          <cell r="T1330">
            <v>99</v>
          </cell>
          <cell r="U1330" t="str">
            <v>MENA_UAE_FC</v>
          </cell>
          <cell r="X1330">
            <v>46257.75</v>
          </cell>
          <cell r="Y1330">
            <v>46258.166666666664</v>
          </cell>
          <cell r="AA1330" t="str">
            <v>Scheduled</v>
          </cell>
          <cell r="AB1330" t="str">
            <v>Not Present</v>
          </cell>
          <cell r="AC1330" t="str">
            <v>Support</v>
          </cell>
          <cell r="AD1330" t="str">
            <v>Admin/HR/IT</v>
          </cell>
          <cell r="AE1330" t="str">
            <v>Support</v>
          </cell>
          <cell r="AF1330" t="str">
            <v>Sunday</v>
          </cell>
          <cell r="AG1330" t="str">
            <v>Monday</v>
          </cell>
          <cell r="AH1330">
            <v>26</v>
          </cell>
          <cell r="AJ1330">
            <v>45690</v>
          </cell>
          <cell r="AL1330" t="str">
            <v>Carry Forwarded Annual Leave</v>
          </cell>
          <cell r="AM1330" t="str">
            <v>TEMP</v>
          </cell>
          <cell r="AN1330" t="str">
            <v>3P Onsite Worker</v>
          </cell>
          <cell r="AO1330" t="str">
            <v>A</v>
          </cell>
          <cell r="AP1330">
            <v>9</v>
          </cell>
          <cell r="AQ1330">
            <v>0</v>
          </cell>
          <cell r="AR1330">
            <v>0</v>
          </cell>
          <cell r="AS1330">
            <v>1</v>
          </cell>
          <cell r="AT1330">
            <v>1</v>
          </cell>
          <cell r="AU1330">
            <v>0</v>
          </cell>
        </row>
        <row r="1331">
          <cell r="D1331" t="str">
            <v>vajeermo</v>
          </cell>
          <cell r="E1331">
            <v>203974084</v>
          </cell>
          <cell r="F1331" t="str">
            <v>A</v>
          </cell>
          <cell r="G1331" t="str">
            <v>GREEN</v>
          </cell>
          <cell r="H1331" t="str">
            <v>FULL_TIME</v>
          </cell>
          <cell r="I1331">
            <v>900572</v>
          </cell>
          <cell r="J1331" t="str">
            <v>Dulsco L.L.C.</v>
          </cell>
          <cell r="K1331" t="str">
            <v>VAJEER MOHAMED.A</v>
          </cell>
          <cell r="L1331" t="str">
            <v>HR Assistant (TEMP)</v>
          </cell>
          <cell r="M1331" t="str">
            <v>Dulsco - Vendor POC</v>
          </cell>
          <cell r="N1331" t="str">
            <v>anrdhj</v>
          </cell>
          <cell r="O1331">
            <v>1299</v>
          </cell>
          <cell r="P1331" t="str">
            <v>AUH1</v>
          </cell>
          <cell r="Q1331" t="str">
            <v>ARE</v>
          </cell>
          <cell r="R1331" t="str">
            <v>LK011</v>
          </cell>
          <cell r="S1331" t="str">
            <v>Night Shift</v>
          </cell>
          <cell r="T1331">
            <v>99</v>
          </cell>
          <cell r="U1331" t="str">
            <v>MENA_UAE_FC</v>
          </cell>
          <cell r="X1331">
            <v>46257.75</v>
          </cell>
          <cell r="Y1331">
            <v>46258.166666666664</v>
          </cell>
          <cell r="AA1331" t="str">
            <v>Scheduled</v>
          </cell>
          <cell r="AB1331" t="str">
            <v>Not Present</v>
          </cell>
          <cell r="AC1331" t="str">
            <v>Support</v>
          </cell>
          <cell r="AD1331" t="str">
            <v>Admin/HR/IT</v>
          </cell>
          <cell r="AE1331" t="str">
            <v>Support</v>
          </cell>
          <cell r="AF1331" t="str">
            <v>Friday</v>
          </cell>
          <cell r="AG1331" t="str">
            <v>Saturday</v>
          </cell>
          <cell r="AH1331">
            <v>26</v>
          </cell>
          <cell r="AJ1331">
            <v>45544</v>
          </cell>
          <cell r="AL1331" t="str">
            <v>Carry Forwarded Annual Leave</v>
          </cell>
          <cell r="AM1331" t="str">
            <v>TEMP</v>
          </cell>
          <cell r="AN1331" t="str">
            <v>3P Onsite Worker</v>
          </cell>
          <cell r="AO1331" t="str">
            <v>A</v>
          </cell>
          <cell r="AP1331">
            <v>9</v>
          </cell>
          <cell r="AQ1331">
            <v>0</v>
          </cell>
          <cell r="AR1331">
            <v>0</v>
          </cell>
          <cell r="AS1331">
            <v>1</v>
          </cell>
          <cell r="AT1331">
            <v>1</v>
          </cell>
          <cell r="AU1331">
            <v>0</v>
          </cell>
        </row>
        <row r="1332">
          <cell r="D1332" t="str">
            <v>andohogi</v>
          </cell>
          <cell r="E1332">
            <v>206072868</v>
          </cell>
          <cell r="F1332" t="str">
            <v>A</v>
          </cell>
          <cell r="G1332" t="str">
            <v>GREEN</v>
          </cell>
          <cell r="H1332" t="str">
            <v>FULL_TIME</v>
          </cell>
          <cell r="I1332">
            <v>900234</v>
          </cell>
          <cell r="J1332" t="str">
            <v>Fastlink Outsourcing</v>
          </cell>
          <cell r="K1332" t="str">
            <v>Gifty Andoh</v>
          </cell>
          <cell r="L1332" t="str">
            <v>Warehouse Associate (TEMP)</v>
          </cell>
          <cell r="M1332" t="str">
            <v>Warehouse Associate 12M</v>
          </cell>
          <cell r="N1332" t="str">
            <v>vkkatyal</v>
          </cell>
          <cell r="O1332">
            <v>1299</v>
          </cell>
          <cell r="P1332" t="str">
            <v>AUH1</v>
          </cell>
          <cell r="Q1332" t="str">
            <v>ARE</v>
          </cell>
          <cell r="R1332" t="str">
            <v>FC134</v>
          </cell>
          <cell r="S1332" t="str">
            <v>Day Shift</v>
          </cell>
          <cell r="T1332">
            <v>99</v>
          </cell>
          <cell r="U1332" t="str">
            <v>MENA_UAE_FC</v>
          </cell>
          <cell r="X1332">
            <v>46257.333333333336</v>
          </cell>
          <cell r="Y1332">
            <v>46257.75</v>
          </cell>
          <cell r="AA1332" t="str">
            <v>Scheduled</v>
          </cell>
          <cell r="AB1332" t="str">
            <v>Not Present</v>
          </cell>
          <cell r="AC1332" t="str">
            <v>Inbound</v>
          </cell>
          <cell r="AD1332" t="str">
            <v>Inbound Stow</v>
          </cell>
          <cell r="AE1332" t="str">
            <v>Stow</v>
          </cell>
          <cell r="AF1332" t="str">
            <v>Wednesday</v>
          </cell>
          <cell r="AG1332" t="str">
            <v>Thursday</v>
          </cell>
          <cell r="AH1332">
            <v>3</v>
          </cell>
          <cell r="AJ1332">
            <v>45921</v>
          </cell>
          <cell r="AL1332" t="str">
            <v>Annual Leave</v>
          </cell>
          <cell r="AM1332" t="str">
            <v>TEMP</v>
          </cell>
          <cell r="AN1332" t="str">
            <v>3P Onsite Worker</v>
          </cell>
          <cell r="AO1332" t="str">
            <v>A</v>
          </cell>
          <cell r="AP1332">
            <v>9</v>
          </cell>
          <cell r="AQ1332">
            <v>0</v>
          </cell>
          <cell r="AR1332">
            <v>0</v>
          </cell>
          <cell r="AS1332">
            <v>1</v>
          </cell>
          <cell r="AT1332">
            <v>1</v>
          </cell>
          <cell r="AU1332">
            <v>0</v>
          </cell>
        </row>
        <row r="1333">
          <cell r="D1333" t="str">
            <v>anitofoc</v>
          </cell>
          <cell r="E1333">
            <v>206239763</v>
          </cell>
          <cell r="F1333" t="str">
            <v>A</v>
          </cell>
          <cell r="G1333" t="str">
            <v>GREEN</v>
          </cell>
          <cell r="H1333" t="str">
            <v>FULL_TIME</v>
          </cell>
          <cell r="I1333">
            <v>900234</v>
          </cell>
          <cell r="J1333" t="str">
            <v>Fastlink Outsourcing</v>
          </cell>
          <cell r="K1333" t="str">
            <v>ANITA OFORIWAA ADU</v>
          </cell>
          <cell r="L1333" t="str">
            <v>Warehouse Associate (TEMP)</v>
          </cell>
          <cell r="M1333" t="str">
            <v>Warehouse Associate 12M</v>
          </cell>
          <cell r="N1333" t="str">
            <v>mnarshad</v>
          </cell>
          <cell r="O1333">
            <v>1299</v>
          </cell>
          <cell r="P1333" t="str">
            <v>AUH1</v>
          </cell>
          <cell r="Q1333" t="str">
            <v>ARE</v>
          </cell>
          <cell r="R1333" t="str">
            <v>FC059</v>
          </cell>
          <cell r="S1333" t="str">
            <v>Day Shift</v>
          </cell>
          <cell r="T1333">
            <v>99</v>
          </cell>
          <cell r="U1333" t="str">
            <v>MENA_UAE_FC</v>
          </cell>
          <cell r="X1333">
            <v>46257.333333333336</v>
          </cell>
          <cell r="Y1333">
            <v>46257.75</v>
          </cell>
          <cell r="Z1333" t="str">
            <v>Rest Day</v>
          </cell>
          <cell r="AA1333" t="str">
            <v>Not Scheduled</v>
          </cell>
          <cell r="AB1333" t="str">
            <v>Not Present</v>
          </cell>
          <cell r="AC1333" t="str">
            <v>Outbound</v>
          </cell>
          <cell r="AD1333" t="str">
            <v>Picking</v>
          </cell>
          <cell r="AE1333" t="str">
            <v>Pick</v>
          </cell>
          <cell r="AF1333" t="str">
            <v>Sunday</v>
          </cell>
          <cell r="AG1333" t="str">
            <v>Monday</v>
          </cell>
          <cell r="AH1333">
            <v>13</v>
          </cell>
          <cell r="AJ1333">
            <v>45942</v>
          </cell>
          <cell r="AL1333" t="str">
            <v>Annual Leave</v>
          </cell>
          <cell r="AM1333" t="str">
            <v>TEMP</v>
          </cell>
          <cell r="AN1333" t="str">
            <v>3P Onsite Worker</v>
          </cell>
          <cell r="AO1333" t="str">
            <v>A</v>
          </cell>
          <cell r="AP1333">
            <v>9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</row>
        <row r="1334">
          <cell r="D1334" t="str">
            <v>appiajul</v>
          </cell>
          <cell r="E1334">
            <v>204246611</v>
          </cell>
          <cell r="F1334" t="str">
            <v>A</v>
          </cell>
          <cell r="G1334" t="str">
            <v>GREEN</v>
          </cell>
          <cell r="H1334" t="str">
            <v>FULL_TIME</v>
          </cell>
          <cell r="I1334">
            <v>900234</v>
          </cell>
          <cell r="J1334" t="str">
            <v>Quesscorp</v>
          </cell>
          <cell r="K1334" t="str">
            <v>Juliet Appiah</v>
          </cell>
          <cell r="L1334" t="str">
            <v>Warehouse Associate (TEMP)</v>
          </cell>
          <cell r="M1334" t="str">
            <v>Warehouse Associate 24M</v>
          </cell>
          <cell r="N1334" t="str">
            <v>nnahla</v>
          </cell>
          <cell r="O1334">
            <v>1299</v>
          </cell>
          <cell r="P1334" t="str">
            <v>AUH1</v>
          </cell>
          <cell r="Q1334" t="str">
            <v>ARE</v>
          </cell>
          <cell r="R1334" t="str">
            <v>FC059</v>
          </cell>
          <cell r="S1334" t="str">
            <v>Day Shift</v>
          </cell>
          <cell r="T1334">
            <v>99</v>
          </cell>
          <cell r="U1334" t="str">
            <v>MENA_UAE_FC</v>
          </cell>
          <cell r="X1334">
            <v>46257.333333333336</v>
          </cell>
          <cell r="Y1334">
            <v>46257.75</v>
          </cell>
          <cell r="Z1334" t="str">
            <v>Rest Day</v>
          </cell>
          <cell r="AA1334" t="str">
            <v>Not Scheduled</v>
          </cell>
          <cell r="AB1334" t="str">
            <v>Not Present</v>
          </cell>
          <cell r="AC1334" t="str">
            <v>Inbound</v>
          </cell>
          <cell r="AD1334" t="str">
            <v>Vendor Receive</v>
          </cell>
          <cell r="AE1334" t="str">
            <v>Receive</v>
          </cell>
          <cell r="AF1334" t="str">
            <v>Sunday</v>
          </cell>
          <cell r="AG1334" t="str">
            <v>Monday</v>
          </cell>
          <cell r="AH1334">
            <v>1</v>
          </cell>
          <cell r="AJ1334">
            <v>45578</v>
          </cell>
          <cell r="AL1334" t="str">
            <v>Annual Leave</v>
          </cell>
          <cell r="AM1334" t="str">
            <v>TEMP</v>
          </cell>
          <cell r="AN1334" t="str">
            <v>3P Onsite Worker</v>
          </cell>
          <cell r="AO1334" t="str">
            <v>A</v>
          </cell>
          <cell r="AP1334">
            <v>9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</row>
        <row r="1335">
          <cell r="D1335" t="str">
            <v>atuahech</v>
          </cell>
          <cell r="E1335">
            <v>203512665</v>
          </cell>
          <cell r="F1335" t="str">
            <v>A</v>
          </cell>
          <cell r="G1335" t="str">
            <v>GREEN</v>
          </cell>
          <cell r="H1335" t="str">
            <v>FULL_TIME</v>
          </cell>
          <cell r="I1335">
            <v>900234</v>
          </cell>
          <cell r="J1335" t="str">
            <v>Fastlink Outsourcing</v>
          </cell>
          <cell r="K1335" t="str">
            <v>Christiana Atuahene</v>
          </cell>
          <cell r="L1335" t="str">
            <v>Warehouse Associate (TEMP)</v>
          </cell>
          <cell r="M1335" t="str">
            <v>Warehouse Associate 12M</v>
          </cell>
          <cell r="N1335" t="str">
            <v>amanmish</v>
          </cell>
          <cell r="O1335">
            <v>1299</v>
          </cell>
          <cell r="P1335" t="str">
            <v>AUH1</v>
          </cell>
          <cell r="Q1335" t="str">
            <v>ARE</v>
          </cell>
          <cell r="R1335" t="str">
            <v>FC159</v>
          </cell>
          <cell r="S1335" t="str">
            <v>Day Shift</v>
          </cell>
          <cell r="T1335">
            <v>99</v>
          </cell>
          <cell r="U1335" t="str">
            <v>MENA_UAE_FC</v>
          </cell>
          <cell r="X1335">
            <v>46257.333333333336</v>
          </cell>
          <cell r="Y1335">
            <v>46257.75</v>
          </cell>
          <cell r="AA1335" t="str">
            <v>Scheduled</v>
          </cell>
          <cell r="AB1335" t="str">
            <v>Not Present</v>
          </cell>
          <cell r="AC1335" t="str">
            <v>Outbound</v>
          </cell>
          <cell r="AD1335" t="str">
            <v>Sort - Batch</v>
          </cell>
          <cell r="AE1335" t="str">
            <v>Sort</v>
          </cell>
          <cell r="AF1335" t="str">
            <v>Thursday</v>
          </cell>
          <cell r="AG1335" t="str">
            <v>Friday</v>
          </cell>
          <cell r="AH1335">
            <v>15</v>
          </cell>
          <cell r="AJ1335">
            <v>45462</v>
          </cell>
          <cell r="AL1335" t="str">
            <v>Annual Leave</v>
          </cell>
          <cell r="AM1335" t="str">
            <v>TEMP</v>
          </cell>
          <cell r="AN1335" t="str">
            <v>3P Onsite Worker</v>
          </cell>
          <cell r="AO1335" t="str">
            <v>A</v>
          </cell>
          <cell r="AP1335">
            <v>9</v>
          </cell>
          <cell r="AQ1335">
            <v>0</v>
          </cell>
          <cell r="AR1335">
            <v>0</v>
          </cell>
          <cell r="AS1335">
            <v>1</v>
          </cell>
          <cell r="AT1335">
            <v>1</v>
          </cell>
          <cell r="AU1335">
            <v>0</v>
          </cell>
        </row>
        <row r="1336">
          <cell r="D1336" t="str">
            <v>bibrahio</v>
          </cell>
          <cell r="E1336">
            <v>203965493</v>
          </cell>
          <cell r="F1336" t="str">
            <v>A</v>
          </cell>
          <cell r="G1336" t="str">
            <v>GREEN</v>
          </cell>
          <cell r="H1336" t="str">
            <v>FULL_TIME</v>
          </cell>
          <cell r="I1336">
            <v>900234</v>
          </cell>
          <cell r="J1336" t="str">
            <v>Fastlink Outsourcing</v>
          </cell>
          <cell r="K1336" t="str">
            <v>Osman Ibrahim</v>
          </cell>
          <cell r="L1336" t="str">
            <v>Warehouse Associate (TEMP)</v>
          </cell>
          <cell r="M1336" t="str">
            <v>Warehouse Associate 12M</v>
          </cell>
          <cell r="N1336" t="str">
            <v>nnahla</v>
          </cell>
          <cell r="O1336">
            <v>1299</v>
          </cell>
          <cell r="P1336" t="str">
            <v>AUH1</v>
          </cell>
          <cell r="Q1336" t="str">
            <v>ARE</v>
          </cell>
          <cell r="R1336" t="str">
            <v>FC034</v>
          </cell>
          <cell r="S1336" t="str">
            <v>Day Shift</v>
          </cell>
          <cell r="T1336">
            <v>99</v>
          </cell>
          <cell r="U1336" t="str">
            <v>MENA_UAE_FC</v>
          </cell>
          <cell r="X1336">
            <v>46257.333333333336</v>
          </cell>
          <cell r="Y1336">
            <v>46257.75</v>
          </cell>
          <cell r="Z1336" t="str">
            <v>Rest Day</v>
          </cell>
          <cell r="AA1336" t="str">
            <v>Not Scheduled</v>
          </cell>
          <cell r="AB1336" t="str">
            <v>Not Present</v>
          </cell>
          <cell r="AC1336" t="str">
            <v>Inbound</v>
          </cell>
          <cell r="AD1336" t="str">
            <v>Inbound Stow</v>
          </cell>
          <cell r="AE1336" t="str">
            <v>Stow</v>
          </cell>
          <cell r="AF1336" t="str">
            <v>Saturday</v>
          </cell>
          <cell r="AG1336" t="str">
            <v>Sunday</v>
          </cell>
          <cell r="AH1336">
            <v>3</v>
          </cell>
          <cell r="AJ1336">
            <v>45543</v>
          </cell>
          <cell r="AL1336" t="str">
            <v>Annual Leave</v>
          </cell>
          <cell r="AM1336" t="str">
            <v>TEMP</v>
          </cell>
          <cell r="AN1336" t="str">
            <v>3P Onsite Worker</v>
          </cell>
          <cell r="AO1336" t="str">
            <v>A</v>
          </cell>
          <cell r="AP1336">
            <v>9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</row>
        <row r="1337">
          <cell r="D1337" t="str">
            <v>biyeahe</v>
          </cell>
          <cell r="E1337">
            <v>205495355</v>
          </cell>
          <cell r="F1337" t="str">
            <v>A</v>
          </cell>
          <cell r="G1337" t="str">
            <v>GREEN</v>
          </cell>
          <cell r="H1337" t="str">
            <v>FULL_TIME</v>
          </cell>
          <cell r="I1337">
            <v>900234</v>
          </cell>
          <cell r="J1337" t="str">
            <v>EFS Facilities Services</v>
          </cell>
          <cell r="K1337" t="str">
            <v>EDWIN BIYEAH</v>
          </cell>
          <cell r="L1337" t="str">
            <v>Warehouse Associate (TEMP)</v>
          </cell>
          <cell r="M1337" t="str">
            <v>Warehouse Associate 8W</v>
          </cell>
          <cell r="N1337" t="str">
            <v>nnahla</v>
          </cell>
          <cell r="O1337">
            <v>1299</v>
          </cell>
          <cell r="P1337" t="str">
            <v>AUH1</v>
          </cell>
          <cell r="Q1337" t="str">
            <v>ARE</v>
          </cell>
          <cell r="R1337" t="str">
            <v>LK013</v>
          </cell>
          <cell r="S1337" t="str">
            <v>Night Shift</v>
          </cell>
          <cell r="T1337">
            <v>99</v>
          </cell>
          <cell r="U1337" t="str">
            <v>MENA_UAE_FC</v>
          </cell>
          <cell r="X1337">
            <v>46257.756944444445</v>
          </cell>
          <cell r="Y1337">
            <v>46258.173611111109</v>
          </cell>
          <cell r="Z1337" t="str">
            <v>Rest Day</v>
          </cell>
          <cell r="AA1337" t="str">
            <v>Not Scheduled</v>
          </cell>
          <cell r="AB1337" t="str">
            <v>Not Present</v>
          </cell>
          <cell r="AC1337" t="str">
            <v>Inbound</v>
          </cell>
          <cell r="AD1337" t="str">
            <v>Receive Dock</v>
          </cell>
          <cell r="AE1337" t="str">
            <v>Receive</v>
          </cell>
          <cell r="AF1337" t="str">
            <v>Sunday</v>
          </cell>
          <cell r="AG1337" t="str">
            <v>Monday</v>
          </cell>
          <cell r="AH1337">
            <v>2</v>
          </cell>
          <cell r="AJ1337">
            <v>45830</v>
          </cell>
          <cell r="AL1337" t="str">
            <v>Annual Leave</v>
          </cell>
          <cell r="AM1337" t="str">
            <v>TEMP</v>
          </cell>
          <cell r="AN1337" t="str">
            <v>3P Onsite Worker</v>
          </cell>
          <cell r="AO1337" t="str">
            <v>A</v>
          </cell>
          <cell r="AP1337">
            <v>9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</row>
        <row r="1338">
          <cell r="D1338" t="str">
            <v>chancink</v>
          </cell>
          <cell r="E1338">
            <v>206136720</v>
          </cell>
          <cell r="F1338" t="str">
            <v>A</v>
          </cell>
          <cell r="G1338" t="str">
            <v>GREEN</v>
          </cell>
          <cell r="H1338" t="str">
            <v>FULL_TIME</v>
          </cell>
          <cell r="I1338">
            <v>900234</v>
          </cell>
          <cell r="J1338" t="str">
            <v>Fastlink Outsourcing</v>
          </cell>
          <cell r="K1338" t="str">
            <v>CHANCELINE INKIE MBI</v>
          </cell>
          <cell r="L1338" t="str">
            <v>Warehouse Associate (TEMP)</v>
          </cell>
          <cell r="M1338" t="str">
            <v>Warehouse Associate 12M</v>
          </cell>
          <cell r="N1338" t="str">
            <v>scariav</v>
          </cell>
          <cell r="O1338">
            <v>1299</v>
          </cell>
          <cell r="P1338" t="str">
            <v>AUH1</v>
          </cell>
          <cell r="Q1338" t="str">
            <v>ARE</v>
          </cell>
          <cell r="R1338" t="str">
            <v>LK014</v>
          </cell>
          <cell r="S1338" t="str">
            <v>Night Shift</v>
          </cell>
          <cell r="T1338">
            <v>99</v>
          </cell>
          <cell r="U1338" t="str">
            <v>MENA_UAE_FC</v>
          </cell>
          <cell r="X1338">
            <v>46257.756944444445</v>
          </cell>
          <cell r="Y1338">
            <v>46258.173611111109</v>
          </cell>
          <cell r="AA1338" t="str">
            <v>Scheduled</v>
          </cell>
          <cell r="AB1338" t="str">
            <v>Not Present</v>
          </cell>
          <cell r="AC1338" t="str">
            <v>Outbound</v>
          </cell>
          <cell r="AD1338" t="str">
            <v>Picking</v>
          </cell>
          <cell r="AE1338" t="str">
            <v>Pick</v>
          </cell>
          <cell r="AF1338" t="str">
            <v>Monday</v>
          </cell>
          <cell r="AG1338" t="str">
            <v>Tuesday</v>
          </cell>
          <cell r="AH1338">
            <v>13</v>
          </cell>
          <cell r="AJ1338">
            <v>45928</v>
          </cell>
          <cell r="AL1338" t="str">
            <v>Annual Leave</v>
          </cell>
          <cell r="AM1338" t="str">
            <v>TEMP</v>
          </cell>
          <cell r="AN1338" t="str">
            <v>3P Onsite Worker</v>
          </cell>
          <cell r="AO1338" t="str">
            <v>A</v>
          </cell>
          <cell r="AP1338">
            <v>9</v>
          </cell>
          <cell r="AQ1338">
            <v>0</v>
          </cell>
          <cell r="AR1338">
            <v>0</v>
          </cell>
          <cell r="AS1338">
            <v>1</v>
          </cell>
          <cell r="AT1338">
            <v>1</v>
          </cell>
          <cell r="AU1338">
            <v>0</v>
          </cell>
        </row>
        <row r="1339">
          <cell r="D1339" t="str">
            <v>chinaabo</v>
          </cell>
          <cell r="E1339">
            <v>206006416</v>
          </cell>
          <cell r="F1339" t="str">
            <v>A</v>
          </cell>
          <cell r="G1339" t="str">
            <v>GREEN</v>
          </cell>
          <cell r="H1339" t="str">
            <v>FULL_TIME</v>
          </cell>
          <cell r="I1339">
            <v>900234</v>
          </cell>
          <cell r="J1339" t="str">
            <v>Fastlink Outsourcing</v>
          </cell>
          <cell r="K1339" t="str">
            <v>ABOUH CHINARINE EFEUTLAKA</v>
          </cell>
          <cell r="L1339" t="str">
            <v>Warehouse Associate (TEMP)</v>
          </cell>
          <cell r="M1339" t="str">
            <v>Warehouse Associate 12M</v>
          </cell>
          <cell r="N1339" t="str">
            <v>vkkatyal</v>
          </cell>
          <cell r="O1339">
            <v>1299</v>
          </cell>
          <cell r="P1339" t="str">
            <v>AUH1</v>
          </cell>
          <cell r="Q1339" t="str">
            <v>ARE</v>
          </cell>
          <cell r="R1339" t="str">
            <v>FC059</v>
          </cell>
          <cell r="S1339" t="str">
            <v>Day Shift</v>
          </cell>
          <cell r="T1339">
            <v>99</v>
          </cell>
          <cell r="U1339" t="str">
            <v>MENA_UAE_FC</v>
          </cell>
          <cell r="X1339">
            <v>46257.333333333336</v>
          </cell>
          <cell r="Y1339">
            <v>46257.75</v>
          </cell>
          <cell r="Z1339" t="str">
            <v>Rest Day</v>
          </cell>
          <cell r="AA1339" t="str">
            <v>Not Scheduled</v>
          </cell>
          <cell r="AB1339" t="str">
            <v>Not Present</v>
          </cell>
          <cell r="AC1339" t="str">
            <v>Inbound</v>
          </cell>
          <cell r="AD1339" t="str">
            <v>Inbound Stow</v>
          </cell>
          <cell r="AE1339" t="str">
            <v>Stow</v>
          </cell>
          <cell r="AF1339" t="str">
            <v>Sunday</v>
          </cell>
          <cell r="AG1339" t="str">
            <v>Monday</v>
          </cell>
          <cell r="AH1339">
            <v>3</v>
          </cell>
          <cell r="AJ1339">
            <v>45914</v>
          </cell>
          <cell r="AL1339" t="str">
            <v>Annual Leave</v>
          </cell>
          <cell r="AM1339" t="str">
            <v>TEMP</v>
          </cell>
          <cell r="AN1339" t="str">
            <v>3P Onsite Worker</v>
          </cell>
          <cell r="AO1339" t="str">
            <v>A</v>
          </cell>
          <cell r="AP1339">
            <v>9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</row>
        <row r="1340">
          <cell r="D1340" t="str">
            <v>chrafful</v>
          </cell>
          <cell r="E1340">
            <v>203965413</v>
          </cell>
          <cell r="F1340" t="str">
            <v>A</v>
          </cell>
          <cell r="G1340" t="str">
            <v>GREEN</v>
          </cell>
          <cell r="H1340" t="str">
            <v>FULL_TIME</v>
          </cell>
          <cell r="I1340">
            <v>900234</v>
          </cell>
          <cell r="J1340" t="str">
            <v>Fastlink Outsourcing</v>
          </cell>
          <cell r="K1340" t="str">
            <v>Christopher Afful</v>
          </cell>
          <cell r="L1340" t="str">
            <v>Warehouse Associate (TEMP)</v>
          </cell>
          <cell r="M1340" t="str">
            <v>Warehouse Associate 12M</v>
          </cell>
          <cell r="N1340" t="str">
            <v>helrashd</v>
          </cell>
          <cell r="O1340">
            <v>1299</v>
          </cell>
          <cell r="P1340" t="str">
            <v>AUH1</v>
          </cell>
          <cell r="Q1340" t="str">
            <v>ARE</v>
          </cell>
          <cell r="R1340" t="str">
            <v>FC009</v>
          </cell>
          <cell r="S1340" t="str">
            <v>Day Shift</v>
          </cell>
          <cell r="T1340">
            <v>99</v>
          </cell>
          <cell r="U1340" t="str">
            <v>MENA_UAE_FC</v>
          </cell>
          <cell r="X1340">
            <v>46257.333333333336</v>
          </cell>
          <cell r="Y1340">
            <v>46257.75</v>
          </cell>
          <cell r="AA1340" t="str">
            <v>Scheduled</v>
          </cell>
          <cell r="AB1340" t="str">
            <v>Not Present</v>
          </cell>
          <cell r="AC1340" t="str">
            <v>Outbound</v>
          </cell>
          <cell r="AD1340" t="str">
            <v>Picking</v>
          </cell>
          <cell r="AE1340" t="str">
            <v>Pick</v>
          </cell>
          <cell r="AF1340" t="str">
            <v>Friday</v>
          </cell>
          <cell r="AG1340" t="str">
            <v>Saturday</v>
          </cell>
          <cell r="AH1340">
            <v>13</v>
          </cell>
          <cell r="AJ1340">
            <v>45543</v>
          </cell>
          <cell r="AL1340" t="str">
            <v>Annual Leave</v>
          </cell>
          <cell r="AM1340" t="str">
            <v>TEMP</v>
          </cell>
          <cell r="AN1340" t="str">
            <v>3P Onsite Worker</v>
          </cell>
          <cell r="AO1340" t="str">
            <v>A</v>
          </cell>
          <cell r="AP1340">
            <v>9</v>
          </cell>
          <cell r="AQ1340">
            <v>0</v>
          </cell>
          <cell r="AR1340">
            <v>0</v>
          </cell>
          <cell r="AS1340">
            <v>1</v>
          </cell>
          <cell r="AT1340">
            <v>1</v>
          </cell>
          <cell r="AU1340">
            <v>0</v>
          </cell>
        </row>
        <row r="1341">
          <cell r="D1341" t="str">
            <v>diddabdu</v>
          </cell>
          <cell r="E1341">
            <v>204117189</v>
          </cell>
          <cell r="F1341" t="str">
            <v>A</v>
          </cell>
          <cell r="G1341" t="str">
            <v>GREEN</v>
          </cell>
          <cell r="H1341" t="str">
            <v>FULL_TIME</v>
          </cell>
          <cell r="I1341">
            <v>900234</v>
          </cell>
          <cell r="J1341" t="str">
            <v>Quesscorp</v>
          </cell>
          <cell r="K1341" t="str">
            <v>Abdul Hadi Iddrisu</v>
          </cell>
          <cell r="L1341" t="str">
            <v>Warehouse Associate (TEMP)</v>
          </cell>
          <cell r="M1341" t="str">
            <v>Warehouse Associate 24M</v>
          </cell>
          <cell r="N1341" t="str">
            <v>bizthoma</v>
          </cell>
          <cell r="O1341">
            <v>1299</v>
          </cell>
          <cell r="P1341" t="str">
            <v>AUH1</v>
          </cell>
          <cell r="Q1341" t="str">
            <v>ARE</v>
          </cell>
          <cell r="R1341" t="str">
            <v>LK011</v>
          </cell>
          <cell r="S1341" t="str">
            <v>Night Shift</v>
          </cell>
          <cell r="T1341">
            <v>99</v>
          </cell>
          <cell r="U1341" t="str">
            <v>MENA_UAE_FC</v>
          </cell>
          <cell r="X1341">
            <v>46257.756944444445</v>
          </cell>
          <cell r="Y1341">
            <v>46258.173611111109</v>
          </cell>
          <cell r="AA1341" t="str">
            <v>Scheduled</v>
          </cell>
          <cell r="AB1341" t="str">
            <v>Not Present</v>
          </cell>
          <cell r="AC1341" t="str">
            <v>Outbound</v>
          </cell>
          <cell r="AD1341" t="str">
            <v>Picking</v>
          </cell>
          <cell r="AE1341" t="str">
            <v>Pick</v>
          </cell>
          <cell r="AF1341" t="str">
            <v>Friday</v>
          </cell>
          <cell r="AG1341" t="str">
            <v>Saturday</v>
          </cell>
          <cell r="AH1341">
            <v>13</v>
          </cell>
          <cell r="AJ1341">
            <v>45560</v>
          </cell>
          <cell r="AL1341" t="str">
            <v>Annual Leave</v>
          </cell>
          <cell r="AM1341" t="str">
            <v>TEMP</v>
          </cell>
          <cell r="AN1341" t="str">
            <v>3P Onsite Worker</v>
          </cell>
          <cell r="AO1341" t="str">
            <v>A</v>
          </cell>
          <cell r="AP1341">
            <v>9</v>
          </cell>
          <cell r="AQ1341">
            <v>0</v>
          </cell>
          <cell r="AR1341">
            <v>0</v>
          </cell>
          <cell r="AS1341">
            <v>1</v>
          </cell>
          <cell r="AT1341">
            <v>1</v>
          </cell>
          <cell r="AU1341">
            <v>0</v>
          </cell>
        </row>
        <row r="1342">
          <cell r="D1342" t="str">
            <v>djoegich</v>
          </cell>
          <cell r="E1342">
            <v>206199998</v>
          </cell>
          <cell r="F1342" t="str">
            <v>A</v>
          </cell>
          <cell r="G1342" t="str">
            <v>GREEN</v>
          </cell>
          <cell r="H1342" t="str">
            <v>FULL_TIME</v>
          </cell>
          <cell r="I1342">
            <v>900234</v>
          </cell>
          <cell r="J1342" t="str">
            <v>Fastlink Outsourcing</v>
          </cell>
          <cell r="K1342" t="str">
            <v>DENNIS JOE GICHUHI</v>
          </cell>
          <cell r="L1342" t="str">
            <v>Warehouse Associate (TEMP)</v>
          </cell>
          <cell r="M1342" t="str">
            <v>Warehouse Associate 8W</v>
          </cell>
          <cell r="N1342" t="str">
            <v>mnarshad</v>
          </cell>
          <cell r="O1342">
            <v>1299</v>
          </cell>
          <cell r="P1342" t="str">
            <v>AUH1</v>
          </cell>
          <cell r="Q1342" t="str">
            <v>ARE</v>
          </cell>
          <cell r="R1342" t="str">
            <v>FC059</v>
          </cell>
          <cell r="S1342" t="str">
            <v>Day Shift</v>
          </cell>
          <cell r="T1342">
            <v>99</v>
          </cell>
          <cell r="U1342" t="str">
            <v>MENA_UAE_FC</v>
          </cell>
          <cell r="X1342">
            <v>46257.333333333336</v>
          </cell>
          <cell r="Y1342">
            <v>46257.75</v>
          </cell>
          <cell r="Z1342" t="str">
            <v>Rest Day</v>
          </cell>
          <cell r="AA1342" t="str">
            <v>Not Scheduled</v>
          </cell>
          <cell r="AB1342" t="str">
            <v>Not Present</v>
          </cell>
          <cell r="AC1342" t="str">
            <v>Outbound</v>
          </cell>
          <cell r="AD1342" t="str">
            <v>Picking</v>
          </cell>
          <cell r="AE1342" t="str">
            <v>Pick</v>
          </cell>
          <cell r="AF1342" t="str">
            <v>Sunday</v>
          </cell>
          <cell r="AG1342" t="str">
            <v>Monday</v>
          </cell>
          <cell r="AH1342">
            <v>13</v>
          </cell>
          <cell r="AJ1342">
            <v>45935</v>
          </cell>
          <cell r="AL1342" t="str">
            <v>Annual Leave</v>
          </cell>
          <cell r="AM1342" t="str">
            <v>TEMP</v>
          </cell>
          <cell r="AN1342" t="str">
            <v>3P Onsite Worker</v>
          </cell>
          <cell r="AO1342" t="str">
            <v>A</v>
          </cell>
          <cell r="AP1342">
            <v>9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</row>
        <row r="1343">
          <cell r="D1343" t="str">
            <v>ekndapem</v>
          </cell>
          <cell r="E1343">
            <v>204116442</v>
          </cell>
          <cell r="F1343" t="str">
            <v>A</v>
          </cell>
          <cell r="G1343" t="str">
            <v>GREEN</v>
          </cell>
          <cell r="H1343" t="str">
            <v>FULL_TIME</v>
          </cell>
          <cell r="I1343">
            <v>900234</v>
          </cell>
          <cell r="J1343" t="str">
            <v>Quesscorp</v>
          </cell>
          <cell r="K1343" t="str">
            <v>Ndape Mabel Ekume</v>
          </cell>
          <cell r="L1343" t="str">
            <v>Warehouse Associate (TEMP)</v>
          </cell>
          <cell r="M1343" t="str">
            <v>Warehouse Associate 24M</v>
          </cell>
          <cell r="N1343" t="str">
            <v>bizthoma</v>
          </cell>
          <cell r="O1343">
            <v>1299</v>
          </cell>
          <cell r="P1343" t="str">
            <v>AUH1</v>
          </cell>
          <cell r="Q1343" t="str">
            <v>ARE</v>
          </cell>
          <cell r="R1343" t="str">
            <v>FC034</v>
          </cell>
          <cell r="S1343" t="str">
            <v>Day Shift</v>
          </cell>
          <cell r="T1343">
            <v>99</v>
          </cell>
          <cell r="U1343" t="str">
            <v>MENA_UAE_FC</v>
          </cell>
          <cell r="X1343">
            <v>46257.333333333336</v>
          </cell>
          <cell r="Y1343">
            <v>46257.75</v>
          </cell>
          <cell r="Z1343" t="str">
            <v>Rest Day</v>
          </cell>
          <cell r="AA1343" t="str">
            <v>Not Scheduled</v>
          </cell>
          <cell r="AB1343" t="str">
            <v>Not Present</v>
          </cell>
          <cell r="AC1343" t="str">
            <v>Outbound</v>
          </cell>
          <cell r="AD1343" t="str">
            <v>Pack - Batch</v>
          </cell>
          <cell r="AE1343" t="str">
            <v>Pack</v>
          </cell>
          <cell r="AF1343" t="str">
            <v>Saturday</v>
          </cell>
          <cell r="AG1343" t="str">
            <v>Sunday</v>
          </cell>
          <cell r="AH1343">
            <v>17</v>
          </cell>
          <cell r="AJ1343">
            <v>45560</v>
          </cell>
          <cell r="AL1343" t="str">
            <v>Annual Leave</v>
          </cell>
          <cell r="AM1343" t="str">
            <v>TEMP</v>
          </cell>
          <cell r="AN1343" t="str">
            <v>3P Onsite Worker</v>
          </cell>
          <cell r="AO1343" t="str">
            <v>A</v>
          </cell>
          <cell r="AP1343">
            <v>9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</row>
        <row r="1344">
          <cell r="D1344" t="str">
            <v>ferawerk</v>
          </cell>
          <cell r="E1344">
            <v>206873556</v>
          </cell>
          <cell r="F1344" t="str">
            <v>A</v>
          </cell>
          <cell r="G1344" t="str">
            <v>GREEN</v>
          </cell>
          <cell r="H1344" t="str">
            <v>FULL_TIME</v>
          </cell>
          <cell r="I1344">
            <v>900234</v>
          </cell>
          <cell r="J1344" t="str">
            <v>Fastlink Outsourcing</v>
          </cell>
          <cell r="K1344" t="str">
            <v>FERAND WERENGA AMANG</v>
          </cell>
          <cell r="L1344" t="str">
            <v>Warehouse Associate (TEMP)</v>
          </cell>
          <cell r="M1344" t="str">
            <v>Warehouse Associate 12M</v>
          </cell>
          <cell r="N1344" t="str">
            <v>nnahla</v>
          </cell>
          <cell r="O1344">
            <v>1299</v>
          </cell>
          <cell r="P1344" t="str">
            <v>AUH1</v>
          </cell>
          <cell r="Q1344" t="str">
            <v>ARE</v>
          </cell>
          <cell r="R1344" t="str">
            <v>FC059</v>
          </cell>
          <cell r="S1344" t="str">
            <v>Day Shift</v>
          </cell>
          <cell r="T1344">
            <v>99</v>
          </cell>
          <cell r="U1344" t="str">
            <v>MENA_UAE_FC</v>
          </cell>
          <cell r="X1344">
            <v>46257.333333333336</v>
          </cell>
          <cell r="Y1344">
            <v>46257.75</v>
          </cell>
          <cell r="Z1344" t="str">
            <v>Rest Day</v>
          </cell>
          <cell r="AA1344" t="str">
            <v>Not Scheduled</v>
          </cell>
          <cell r="AB1344" t="str">
            <v>Not Present</v>
          </cell>
          <cell r="AC1344" t="str">
            <v>Inbound</v>
          </cell>
          <cell r="AD1344" t="str">
            <v>Vendor Receive</v>
          </cell>
          <cell r="AE1344" t="str">
            <v>Receive</v>
          </cell>
          <cell r="AF1344" t="str">
            <v>Sunday</v>
          </cell>
          <cell r="AG1344" t="str">
            <v>Monday</v>
          </cell>
          <cell r="AH1344">
            <v>1</v>
          </cell>
          <cell r="AJ1344">
            <v>46019</v>
          </cell>
          <cell r="AL1344" t="str">
            <v>Annual Leave</v>
          </cell>
          <cell r="AM1344" t="str">
            <v>TEMP</v>
          </cell>
          <cell r="AN1344" t="str">
            <v>3P Onsite Worker</v>
          </cell>
          <cell r="AO1344" t="str">
            <v>A</v>
          </cell>
          <cell r="AP1344">
            <v>9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</row>
        <row r="1345">
          <cell r="D1345" t="str">
            <v>htameklo</v>
          </cell>
          <cell r="E1345">
            <v>205252539</v>
          </cell>
          <cell r="F1345" t="str">
            <v>A</v>
          </cell>
          <cell r="G1345" t="str">
            <v>GREEN</v>
          </cell>
          <cell r="H1345" t="str">
            <v>REDUCED</v>
          </cell>
          <cell r="I1345">
            <v>900234</v>
          </cell>
          <cell r="J1345" t="str">
            <v>EFS Facilities Services</v>
          </cell>
          <cell r="K1345" t="str">
            <v>Happy Tamekloe</v>
          </cell>
          <cell r="L1345" t="str">
            <v>Warehouse Associate (TEMP)</v>
          </cell>
          <cell r="M1345" t="str">
            <v>Warehouse Associate 8W</v>
          </cell>
          <cell r="N1345" t="str">
            <v>mnarshad</v>
          </cell>
          <cell r="O1345">
            <v>1299</v>
          </cell>
          <cell r="P1345" t="str">
            <v>AUH1</v>
          </cell>
          <cell r="Q1345" t="str">
            <v>ARE</v>
          </cell>
          <cell r="R1345" t="str">
            <v>FC557</v>
          </cell>
          <cell r="S1345" t="str">
            <v>Night Shift</v>
          </cell>
          <cell r="T1345">
            <v>99</v>
          </cell>
          <cell r="U1345" t="str">
            <v>MENA_UAE_FC</v>
          </cell>
          <cell r="V1345">
            <v>46257.755555555559</v>
          </cell>
          <cell r="X1345">
            <v>46257.756944444445</v>
          </cell>
          <cell r="Y1345">
            <v>46258.090277777781</v>
          </cell>
          <cell r="AA1345" t="str">
            <v>Scheduled</v>
          </cell>
          <cell r="AB1345" t="str">
            <v>Present</v>
          </cell>
          <cell r="AC1345" t="str">
            <v>Outbound</v>
          </cell>
          <cell r="AD1345" t="str">
            <v>Picking</v>
          </cell>
          <cell r="AE1345" t="str">
            <v>Pick</v>
          </cell>
          <cell r="AF1345" t="str">
            <v>Wednesday</v>
          </cell>
          <cell r="AG1345" t="str">
            <v>Thursday</v>
          </cell>
          <cell r="AH1345">
            <v>13</v>
          </cell>
          <cell r="AJ1345">
            <v>46251</v>
          </cell>
          <cell r="AL1345" t="str">
            <v>Annual Leave</v>
          </cell>
          <cell r="AM1345" t="str">
            <v>TEMP</v>
          </cell>
          <cell r="AN1345" t="str">
            <v>3P Onsite Worker</v>
          </cell>
          <cell r="AO1345" t="str">
            <v>A</v>
          </cell>
          <cell r="AP1345">
            <v>7</v>
          </cell>
          <cell r="AQ1345">
            <v>0</v>
          </cell>
          <cell r="AR1345">
            <v>1</v>
          </cell>
          <cell r="AS1345">
            <v>1</v>
          </cell>
          <cell r="AT1345">
            <v>0</v>
          </cell>
          <cell r="AU1345">
            <v>0</v>
          </cell>
        </row>
        <row r="1346">
          <cell r="D1346" t="str">
            <v>isaankru</v>
          </cell>
          <cell r="E1346">
            <v>204246603</v>
          </cell>
          <cell r="F1346" t="str">
            <v>A</v>
          </cell>
          <cell r="G1346" t="str">
            <v>GREEN</v>
          </cell>
          <cell r="H1346" t="str">
            <v>FULL_TIME</v>
          </cell>
          <cell r="I1346">
            <v>900234</v>
          </cell>
          <cell r="J1346" t="str">
            <v>Quesscorp</v>
          </cell>
          <cell r="K1346" t="str">
            <v>Isaac Kwame Nkrumah</v>
          </cell>
          <cell r="L1346" t="str">
            <v>Warehouse Associate (TEMP)</v>
          </cell>
          <cell r="M1346" t="str">
            <v>Warehouse Associate 24M</v>
          </cell>
          <cell r="N1346" t="str">
            <v>pparsin</v>
          </cell>
          <cell r="O1346">
            <v>1299</v>
          </cell>
          <cell r="P1346" t="str">
            <v>AUH1</v>
          </cell>
          <cell r="Q1346" t="str">
            <v>ARE</v>
          </cell>
          <cell r="R1346" t="str">
            <v>FC134</v>
          </cell>
          <cell r="S1346" t="str">
            <v>Day Shift</v>
          </cell>
          <cell r="T1346">
            <v>99</v>
          </cell>
          <cell r="U1346" t="str">
            <v>MENA_UAE_FC</v>
          </cell>
          <cell r="X1346">
            <v>46257.333333333336</v>
          </cell>
          <cell r="Y1346">
            <v>46257.75</v>
          </cell>
          <cell r="AA1346" t="str">
            <v>Scheduled</v>
          </cell>
          <cell r="AB1346" t="str">
            <v>Not Present</v>
          </cell>
          <cell r="AC1346" t="str">
            <v>Inbound</v>
          </cell>
          <cell r="AD1346" t="str">
            <v>Inbound Stow</v>
          </cell>
          <cell r="AE1346" t="str">
            <v>Stow</v>
          </cell>
          <cell r="AF1346" t="str">
            <v>Wednesday</v>
          </cell>
          <cell r="AG1346" t="str">
            <v>Thursday</v>
          </cell>
          <cell r="AH1346">
            <v>3</v>
          </cell>
          <cell r="AJ1346">
            <v>45578</v>
          </cell>
          <cell r="AL1346" t="str">
            <v>Annual Leave</v>
          </cell>
          <cell r="AM1346" t="str">
            <v>TEMP</v>
          </cell>
          <cell r="AN1346" t="str">
            <v>3P Onsite Worker</v>
          </cell>
          <cell r="AO1346" t="str">
            <v>A</v>
          </cell>
          <cell r="AP1346">
            <v>9</v>
          </cell>
          <cell r="AQ1346">
            <v>0</v>
          </cell>
          <cell r="AR1346">
            <v>0</v>
          </cell>
          <cell r="AS1346">
            <v>1</v>
          </cell>
          <cell r="AT1346">
            <v>1</v>
          </cell>
          <cell r="AU1346">
            <v>0</v>
          </cell>
        </row>
        <row r="1347">
          <cell r="D1347" t="str">
            <v>ivashimk</v>
          </cell>
          <cell r="E1347">
            <v>203687852</v>
          </cell>
          <cell r="F1347" t="str">
            <v>A</v>
          </cell>
          <cell r="G1347" t="str">
            <v>GREEN</v>
          </cell>
          <cell r="H1347" t="str">
            <v>FULL_TIME</v>
          </cell>
          <cell r="I1347">
            <v>900234</v>
          </cell>
          <cell r="J1347" t="str">
            <v>Adecco</v>
          </cell>
          <cell r="K1347" t="str">
            <v>Vashim Khan Khan</v>
          </cell>
          <cell r="L1347" t="str">
            <v>Warehouse Associate (TEMP)</v>
          </cell>
          <cell r="M1347" t="str">
            <v>Warehouse Associate 24M</v>
          </cell>
          <cell r="N1347" t="str">
            <v>vkkatyal</v>
          </cell>
          <cell r="O1347">
            <v>1299</v>
          </cell>
          <cell r="P1347" t="str">
            <v>AUH1</v>
          </cell>
          <cell r="Q1347" t="str">
            <v>ARE</v>
          </cell>
          <cell r="R1347" t="str">
            <v>LK015</v>
          </cell>
          <cell r="S1347" t="str">
            <v>Night Shift</v>
          </cell>
          <cell r="T1347">
            <v>99</v>
          </cell>
          <cell r="U1347" t="str">
            <v>MENA_UAE_FC</v>
          </cell>
          <cell r="X1347">
            <v>46257.756944444445</v>
          </cell>
          <cell r="Y1347">
            <v>46258.173611111109</v>
          </cell>
          <cell r="AA1347" t="str">
            <v>Scheduled</v>
          </cell>
          <cell r="AB1347" t="str">
            <v>Not Present</v>
          </cell>
          <cell r="AC1347" t="str">
            <v>Inbound</v>
          </cell>
          <cell r="AD1347" t="str">
            <v>IB Problem Solve</v>
          </cell>
          <cell r="AE1347" t="str">
            <v>Receive</v>
          </cell>
          <cell r="AF1347" t="str">
            <v>Tuesday</v>
          </cell>
          <cell r="AG1347" t="str">
            <v>Wednesday</v>
          </cell>
          <cell r="AH1347">
            <v>6</v>
          </cell>
          <cell r="AJ1347">
            <v>45494</v>
          </cell>
          <cell r="AL1347" t="str">
            <v>Annual Leave</v>
          </cell>
          <cell r="AM1347" t="str">
            <v>TEMP</v>
          </cell>
          <cell r="AN1347" t="str">
            <v>3P Onsite Worker</v>
          </cell>
          <cell r="AO1347" t="str">
            <v>A</v>
          </cell>
          <cell r="AP1347">
            <v>9</v>
          </cell>
          <cell r="AQ1347">
            <v>0</v>
          </cell>
          <cell r="AR1347">
            <v>0</v>
          </cell>
          <cell r="AS1347">
            <v>1</v>
          </cell>
          <cell r="AT1347">
            <v>1</v>
          </cell>
          <cell r="AU1347">
            <v>0</v>
          </cell>
        </row>
        <row r="1348">
          <cell r="D1348" t="str">
            <v>jopkolin</v>
          </cell>
          <cell r="E1348">
            <v>206491340</v>
          </cell>
          <cell r="F1348" t="str">
            <v>A</v>
          </cell>
          <cell r="G1348" t="str">
            <v>GREEN</v>
          </cell>
          <cell r="H1348" t="str">
            <v>REDUCED</v>
          </cell>
          <cell r="I1348">
            <v>900234</v>
          </cell>
          <cell r="J1348" t="str">
            <v>EFS Facilities Services</v>
          </cell>
          <cell r="K1348" t="str">
            <v>LINDAH JOPKOEECH</v>
          </cell>
          <cell r="L1348" t="str">
            <v>Warehouse Associate (TEMP)</v>
          </cell>
          <cell r="M1348" t="str">
            <v>Warehouse Associate 8W</v>
          </cell>
          <cell r="N1348" t="str">
            <v>mnarshad</v>
          </cell>
          <cell r="O1348">
            <v>1299</v>
          </cell>
          <cell r="P1348" t="str">
            <v>AUH1</v>
          </cell>
          <cell r="Q1348" t="str">
            <v>ARE</v>
          </cell>
          <cell r="R1348" t="str">
            <v>FC559</v>
          </cell>
          <cell r="S1348" t="str">
            <v>Night Shift</v>
          </cell>
          <cell r="T1348">
            <v>99</v>
          </cell>
          <cell r="U1348" t="str">
            <v>MENA_UAE_FC</v>
          </cell>
          <cell r="X1348">
            <v>46257.756944444445</v>
          </cell>
          <cell r="Y1348">
            <v>46258.090277777781</v>
          </cell>
          <cell r="Z1348" t="str">
            <v>Rest Day</v>
          </cell>
          <cell r="AA1348" t="str">
            <v>Not Scheduled</v>
          </cell>
          <cell r="AB1348" t="str">
            <v>Not Present</v>
          </cell>
          <cell r="AC1348" t="str">
            <v>Outbound</v>
          </cell>
          <cell r="AD1348" t="str">
            <v>Picking</v>
          </cell>
          <cell r="AE1348" t="str">
            <v>Pick</v>
          </cell>
          <cell r="AF1348" t="str">
            <v>Saturday</v>
          </cell>
          <cell r="AG1348" t="str">
            <v>Sunday</v>
          </cell>
          <cell r="AH1348">
            <v>13</v>
          </cell>
          <cell r="AJ1348">
            <v>46251</v>
          </cell>
          <cell r="AL1348" t="str">
            <v>Annual Leave</v>
          </cell>
          <cell r="AM1348" t="str">
            <v>TEMP</v>
          </cell>
          <cell r="AN1348" t="str">
            <v>3P Onsite Worker</v>
          </cell>
          <cell r="AO1348" t="str">
            <v>A</v>
          </cell>
          <cell r="AP1348">
            <v>7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</row>
        <row r="1349">
          <cell r="D1349" t="str">
            <v>jumakamb</v>
          </cell>
          <cell r="E1349">
            <v>205231290</v>
          </cell>
          <cell r="F1349" t="str">
            <v>A</v>
          </cell>
          <cell r="G1349" t="str">
            <v>GREEN</v>
          </cell>
          <cell r="H1349" t="str">
            <v>FULL_TIME</v>
          </cell>
          <cell r="I1349">
            <v>900234</v>
          </cell>
          <cell r="J1349" t="str">
            <v>EFS Facilities Services</v>
          </cell>
          <cell r="K1349" t="str">
            <v>Juma Kambi Jogi</v>
          </cell>
          <cell r="L1349" t="str">
            <v>Warehouse Associate (TEMP)</v>
          </cell>
          <cell r="M1349" t="str">
            <v>Warehouse Associate 8W</v>
          </cell>
          <cell r="N1349" t="str">
            <v>mnarshad</v>
          </cell>
          <cell r="O1349">
            <v>1299</v>
          </cell>
          <cell r="P1349" t="str">
            <v>AUH1</v>
          </cell>
          <cell r="Q1349" t="str">
            <v>ARE</v>
          </cell>
          <cell r="R1349" t="str">
            <v>FC558</v>
          </cell>
          <cell r="S1349" t="str">
            <v>Night Shift</v>
          </cell>
          <cell r="T1349">
            <v>99</v>
          </cell>
          <cell r="U1349" t="str">
            <v>MENA_UAE_FC</v>
          </cell>
          <cell r="V1349">
            <v>46257.756944444445</v>
          </cell>
          <cell r="X1349">
            <v>46257.756944444445</v>
          </cell>
          <cell r="Y1349">
            <v>46258.090277777781</v>
          </cell>
          <cell r="AA1349" t="str">
            <v>Scheduled</v>
          </cell>
          <cell r="AB1349" t="str">
            <v>Present</v>
          </cell>
          <cell r="AC1349" t="str">
            <v>Outbound</v>
          </cell>
          <cell r="AD1349" t="str">
            <v>Sort - Batch</v>
          </cell>
          <cell r="AE1349" t="str">
            <v>Sort</v>
          </cell>
          <cell r="AF1349" t="str">
            <v>Thursday</v>
          </cell>
          <cell r="AG1349" t="str">
            <v>Friday</v>
          </cell>
          <cell r="AH1349">
            <v>15</v>
          </cell>
          <cell r="AJ1349">
            <v>46237</v>
          </cell>
          <cell r="AL1349" t="str">
            <v>Annual Leave</v>
          </cell>
          <cell r="AM1349" t="str">
            <v>TEMP</v>
          </cell>
          <cell r="AN1349" t="str">
            <v>3P Onsite Worker</v>
          </cell>
          <cell r="AO1349" t="str">
            <v>A</v>
          </cell>
          <cell r="AP1349">
            <v>7</v>
          </cell>
          <cell r="AQ1349">
            <v>0</v>
          </cell>
          <cell r="AR1349">
            <v>1</v>
          </cell>
          <cell r="AS1349">
            <v>1</v>
          </cell>
          <cell r="AT1349">
            <v>0</v>
          </cell>
          <cell r="AU1349">
            <v>0</v>
          </cell>
        </row>
        <row r="1350">
          <cell r="D1350" t="str">
            <v>kadelias</v>
          </cell>
          <cell r="E1350">
            <v>203679313</v>
          </cell>
          <cell r="F1350" t="str">
            <v>A</v>
          </cell>
          <cell r="G1350" t="str">
            <v>GREEN</v>
          </cell>
          <cell r="H1350" t="str">
            <v>FULL_TIME</v>
          </cell>
          <cell r="I1350">
            <v>900234</v>
          </cell>
          <cell r="J1350" t="str">
            <v>Fastlink Outsourcing</v>
          </cell>
          <cell r="K1350" t="str">
            <v>Elias Kaduwa</v>
          </cell>
          <cell r="L1350" t="str">
            <v>Warehouse Associate (TEMP)</v>
          </cell>
          <cell r="M1350" t="str">
            <v>Warehouse Associate 12M</v>
          </cell>
          <cell r="N1350" t="str">
            <v>aanso</v>
          </cell>
          <cell r="O1350">
            <v>1299</v>
          </cell>
          <cell r="P1350" t="str">
            <v>AUH1</v>
          </cell>
          <cell r="Q1350" t="str">
            <v>ARE</v>
          </cell>
          <cell r="R1350" t="str">
            <v>FC159</v>
          </cell>
          <cell r="S1350" t="str">
            <v>Day Shift</v>
          </cell>
          <cell r="T1350">
            <v>99</v>
          </cell>
          <cell r="U1350" t="str">
            <v>MENA_UAE_FC</v>
          </cell>
          <cell r="X1350">
            <v>46257.333333333336</v>
          </cell>
          <cell r="Y1350">
            <v>46257.75</v>
          </cell>
          <cell r="AA1350" t="str">
            <v>Scheduled</v>
          </cell>
          <cell r="AB1350" t="str">
            <v>Not Present</v>
          </cell>
          <cell r="AC1350" t="str">
            <v>Customer returns</v>
          </cell>
          <cell r="AD1350" t="str">
            <v>Customer Returns</v>
          </cell>
          <cell r="AE1350" t="str">
            <v>Customer returns</v>
          </cell>
          <cell r="AF1350" t="str">
            <v>Thursday</v>
          </cell>
          <cell r="AG1350" t="str">
            <v>Friday</v>
          </cell>
          <cell r="AH1350">
            <v>22</v>
          </cell>
          <cell r="AJ1350">
            <v>45487</v>
          </cell>
          <cell r="AL1350" t="str">
            <v>Annual Leave</v>
          </cell>
          <cell r="AM1350" t="str">
            <v>TEMP</v>
          </cell>
          <cell r="AN1350" t="str">
            <v>3P Onsite Worker</v>
          </cell>
          <cell r="AO1350" t="str">
            <v>A</v>
          </cell>
          <cell r="AP1350">
            <v>9</v>
          </cell>
          <cell r="AQ1350">
            <v>0</v>
          </cell>
          <cell r="AR1350">
            <v>0</v>
          </cell>
          <cell r="AS1350">
            <v>1</v>
          </cell>
          <cell r="AT1350">
            <v>1</v>
          </cell>
          <cell r="AU1350">
            <v>0</v>
          </cell>
        </row>
        <row r="1351">
          <cell r="D1351" t="str">
            <v>kanyoalb</v>
          </cell>
          <cell r="E1351">
            <v>205281151</v>
          </cell>
          <cell r="F1351" t="str">
            <v>A</v>
          </cell>
          <cell r="G1351" t="str">
            <v>GREEN</v>
          </cell>
          <cell r="H1351" t="str">
            <v>REDUCED</v>
          </cell>
          <cell r="I1351">
            <v>900234</v>
          </cell>
          <cell r="J1351" t="str">
            <v>EFS Facilities Services</v>
          </cell>
          <cell r="K1351" t="str">
            <v>Albert Kanyoro</v>
          </cell>
          <cell r="L1351" t="str">
            <v>Warehouse Associate (TEMP)</v>
          </cell>
          <cell r="M1351" t="str">
            <v>Warehouse Associate 8W</v>
          </cell>
          <cell r="N1351" t="str">
            <v>scariav</v>
          </cell>
          <cell r="O1351">
            <v>1299</v>
          </cell>
          <cell r="P1351" t="str">
            <v>AUH1</v>
          </cell>
          <cell r="Q1351" t="str">
            <v>ARE</v>
          </cell>
          <cell r="R1351" t="str">
            <v>FC555</v>
          </cell>
          <cell r="S1351" t="str">
            <v>Night Shift</v>
          </cell>
          <cell r="T1351">
            <v>99</v>
          </cell>
          <cell r="U1351" t="str">
            <v>MENA_UAE_FC</v>
          </cell>
          <cell r="V1351">
            <v>46257.755555555559</v>
          </cell>
          <cell r="X1351">
            <v>46257.756944444445</v>
          </cell>
          <cell r="Y1351">
            <v>46258.090277777781</v>
          </cell>
          <cell r="AA1351" t="str">
            <v>Scheduled</v>
          </cell>
          <cell r="AB1351" t="str">
            <v>Present</v>
          </cell>
          <cell r="AC1351" t="str">
            <v>Outbound</v>
          </cell>
          <cell r="AD1351" t="str">
            <v>Picking</v>
          </cell>
          <cell r="AE1351" t="str">
            <v>Pick</v>
          </cell>
          <cell r="AF1351" t="str">
            <v>Monday</v>
          </cell>
          <cell r="AG1351" t="str">
            <v>Tuesday</v>
          </cell>
          <cell r="AH1351">
            <v>13</v>
          </cell>
          <cell r="AJ1351">
            <v>46251</v>
          </cell>
          <cell r="AL1351" t="str">
            <v>Annual Leave</v>
          </cell>
          <cell r="AM1351" t="str">
            <v>TEMP</v>
          </cell>
          <cell r="AN1351" t="str">
            <v>3P Onsite Worker</v>
          </cell>
          <cell r="AO1351" t="str">
            <v>A</v>
          </cell>
          <cell r="AP1351">
            <v>7</v>
          </cell>
          <cell r="AQ1351">
            <v>0</v>
          </cell>
          <cell r="AR1351">
            <v>1</v>
          </cell>
          <cell r="AS1351">
            <v>1</v>
          </cell>
          <cell r="AT1351">
            <v>0</v>
          </cell>
          <cell r="AU1351">
            <v>0</v>
          </cell>
        </row>
        <row r="1352">
          <cell r="D1352" t="str">
            <v>kudapinj</v>
          </cell>
          <cell r="E1352">
            <v>203635494</v>
          </cell>
          <cell r="F1352" t="str">
            <v>A</v>
          </cell>
          <cell r="G1352" t="str">
            <v>GREEN</v>
          </cell>
          <cell r="H1352" t="str">
            <v>FULL_TIME</v>
          </cell>
          <cell r="I1352">
            <v>900234</v>
          </cell>
          <cell r="J1352" t="str">
            <v>Fastlink Outsourcing</v>
          </cell>
          <cell r="K1352" t="str">
            <v>Kudakwashe Pinjisi</v>
          </cell>
          <cell r="L1352" t="str">
            <v>Warehouse Associate (TEMP)</v>
          </cell>
          <cell r="M1352" t="str">
            <v>Warehouse Associate 12M</v>
          </cell>
          <cell r="N1352" t="str">
            <v>amanmish</v>
          </cell>
          <cell r="O1352">
            <v>1299</v>
          </cell>
          <cell r="P1352" t="str">
            <v>AUH1</v>
          </cell>
          <cell r="Q1352" t="str">
            <v>ARE</v>
          </cell>
          <cell r="R1352" t="str">
            <v>FC109</v>
          </cell>
          <cell r="S1352" t="str">
            <v>Day Shift</v>
          </cell>
          <cell r="T1352">
            <v>99</v>
          </cell>
          <cell r="U1352" t="str">
            <v>MENA_UAE_FC</v>
          </cell>
          <cell r="X1352">
            <v>46257.333333333336</v>
          </cell>
          <cell r="Y1352">
            <v>46257.75</v>
          </cell>
          <cell r="AA1352" t="str">
            <v>Scheduled</v>
          </cell>
          <cell r="AB1352" t="str">
            <v>Not Present</v>
          </cell>
          <cell r="AC1352" t="str">
            <v>Outbound</v>
          </cell>
          <cell r="AD1352" t="str">
            <v>Picking</v>
          </cell>
          <cell r="AE1352" t="str">
            <v>Pick</v>
          </cell>
          <cell r="AF1352" t="str">
            <v>Tuesday</v>
          </cell>
          <cell r="AG1352" t="str">
            <v>Wednesday</v>
          </cell>
          <cell r="AH1352">
            <v>13</v>
          </cell>
          <cell r="AJ1352">
            <v>45573</v>
          </cell>
          <cell r="AL1352" t="str">
            <v>Annual Leave</v>
          </cell>
          <cell r="AM1352" t="str">
            <v>TEMP</v>
          </cell>
          <cell r="AN1352" t="str">
            <v>3P Onsite Worker</v>
          </cell>
          <cell r="AO1352" t="str">
            <v>A</v>
          </cell>
          <cell r="AP1352">
            <v>9</v>
          </cell>
          <cell r="AQ1352">
            <v>0</v>
          </cell>
          <cell r="AR1352">
            <v>0</v>
          </cell>
          <cell r="AS1352">
            <v>1</v>
          </cell>
          <cell r="AT1352">
            <v>1</v>
          </cell>
          <cell r="AU1352">
            <v>0</v>
          </cell>
        </row>
        <row r="1353">
          <cell r="D1353" t="str">
            <v>lewmaina</v>
          </cell>
          <cell r="E1353">
            <v>205861620</v>
          </cell>
          <cell r="F1353" t="str">
            <v>A</v>
          </cell>
          <cell r="G1353" t="str">
            <v>GREEN</v>
          </cell>
          <cell r="H1353" t="str">
            <v>FULL_TIME</v>
          </cell>
          <cell r="I1353">
            <v>900234</v>
          </cell>
          <cell r="J1353" t="str">
            <v>EFS Facilities Services</v>
          </cell>
          <cell r="K1353" t="str">
            <v>Lewis Maina</v>
          </cell>
          <cell r="L1353" t="str">
            <v>Warehouse Associate (TEMP)</v>
          </cell>
          <cell r="M1353" t="str">
            <v>Warehouse Associate 8W</v>
          </cell>
          <cell r="N1353" t="str">
            <v>bizthoma</v>
          </cell>
          <cell r="O1353">
            <v>1299</v>
          </cell>
          <cell r="P1353" t="str">
            <v>AUH1</v>
          </cell>
          <cell r="Q1353" t="str">
            <v>ARE</v>
          </cell>
          <cell r="R1353" t="str">
            <v>FC159</v>
          </cell>
          <cell r="S1353" t="str">
            <v>Day Shift</v>
          </cell>
          <cell r="T1353">
            <v>99</v>
          </cell>
          <cell r="U1353" t="str">
            <v>MENA_UAE_FC</v>
          </cell>
          <cell r="X1353">
            <v>46257.333333333336</v>
          </cell>
          <cell r="Y1353">
            <v>46257.75</v>
          </cell>
          <cell r="AA1353" t="str">
            <v>Scheduled</v>
          </cell>
          <cell r="AB1353" t="str">
            <v>Not Present</v>
          </cell>
          <cell r="AC1353" t="str">
            <v>Outbound</v>
          </cell>
          <cell r="AD1353" t="str">
            <v>Picking</v>
          </cell>
          <cell r="AE1353" t="str">
            <v>Pick</v>
          </cell>
          <cell r="AF1353" t="str">
            <v>Thursday</v>
          </cell>
          <cell r="AG1353" t="str">
            <v>Friday</v>
          </cell>
          <cell r="AH1353">
            <v>13</v>
          </cell>
          <cell r="AJ1353">
            <v>45900</v>
          </cell>
          <cell r="AL1353" t="str">
            <v>Annual Leave</v>
          </cell>
          <cell r="AM1353" t="str">
            <v>TEMP</v>
          </cell>
          <cell r="AN1353" t="str">
            <v>3P Onsite Worker</v>
          </cell>
          <cell r="AO1353" t="str">
            <v>A</v>
          </cell>
          <cell r="AP1353">
            <v>9</v>
          </cell>
          <cell r="AQ1353">
            <v>0</v>
          </cell>
          <cell r="AR1353">
            <v>0</v>
          </cell>
          <cell r="AS1353">
            <v>1</v>
          </cell>
          <cell r="AT1353">
            <v>1</v>
          </cell>
          <cell r="AU1353">
            <v>0</v>
          </cell>
        </row>
        <row r="1354">
          <cell r="D1354" t="str">
            <v>lintawia</v>
          </cell>
          <cell r="E1354">
            <v>203468753</v>
          </cell>
          <cell r="F1354" t="str">
            <v>A</v>
          </cell>
          <cell r="G1354" t="str">
            <v>GREEN</v>
          </cell>
          <cell r="H1354" t="str">
            <v>FULL_TIME</v>
          </cell>
          <cell r="I1354">
            <v>900234</v>
          </cell>
          <cell r="J1354" t="str">
            <v>Fastlink Outsourcing</v>
          </cell>
          <cell r="K1354" t="str">
            <v>Linda Tawiah</v>
          </cell>
          <cell r="L1354" t="str">
            <v>Warehouse Associate (TEMP)</v>
          </cell>
          <cell r="M1354" t="str">
            <v>Warehouse Associate 12M</v>
          </cell>
          <cell r="N1354" t="str">
            <v>mnarshad</v>
          </cell>
          <cell r="O1354">
            <v>1299</v>
          </cell>
          <cell r="P1354" t="str">
            <v>AUH1</v>
          </cell>
          <cell r="Q1354" t="str">
            <v>ARE</v>
          </cell>
          <cell r="R1354" t="str">
            <v>LK014</v>
          </cell>
          <cell r="S1354" t="str">
            <v>Night Shift</v>
          </cell>
          <cell r="T1354">
            <v>99</v>
          </cell>
          <cell r="U1354" t="str">
            <v>MENA_UAE_FC</v>
          </cell>
          <cell r="X1354">
            <v>46257.333333333336</v>
          </cell>
          <cell r="Y1354">
            <v>46257.75</v>
          </cell>
          <cell r="AA1354" t="str">
            <v>Scheduled</v>
          </cell>
          <cell r="AB1354" t="str">
            <v>Not Present</v>
          </cell>
          <cell r="AC1354" t="str">
            <v>Outbound</v>
          </cell>
          <cell r="AD1354" t="str">
            <v>Pack - Single</v>
          </cell>
          <cell r="AE1354" t="str">
            <v>Pack</v>
          </cell>
          <cell r="AF1354" t="str">
            <v>Monday</v>
          </cell>
          <cell r="AG1354" t="str">
            <v>Tuesday</v>
          </cell>
          <cell r="AH1354">
            <v>18</v>
          </cell>
          <cell r="AJ1354">
            <v>45455</v>
          </cell>
          <cell r="AL1354" t="str">
            <v>Annual Leave</v>
          </cell>
          <cell r="AM1354" t="str">
            <v>TEMP</v>
          </cell>
          <cell r="AN1354" t="str">
            <v>3P Onsite Worker</v>
          </cell>
          <cell r="AO1354" t="str">
            <v>A</v>
          </cell>
          <cell r="AP1354">
            <v>9</v>
          </cell>
          <cell r="AQ1354">
            <v>0</v>
          </cell>
          <cell r="AR1354">
            <v>0</v>
          </cell>
          <cell r="AS1354">
            <v>1</v>
          </cell>
          <cell r="AT1354">
            <v>1</v>
          </cell>
          <cell r="AU1354">
            <v>0</v>
          </cell>
        </row>
        <row r="1355">
          <cell r="D1355" t="str">
            <v>lsseandr</v>
          </cell>
          <cell r="E1355">
            <v>203850778</v>
          </cell>
          <cell r="F1355" t="str">
            <v>A</v>
          </cell>
          <cell r="G1355" t="str">
            <v>GREEN</v>
          </cell>
          <cell r="H1355" t="str">
            <v>FULL_TIME</v>
          </cell>
          <cell r="I1355">
            <v>900234</v>
          </cell>
          <cell r="J1355" t="str">
            <v>Dulsco L.L.C.</v>
          </cell>
          <cell r="K1355" t="str">
            <v>Andrew Ssebuggwawo</v>
          </cell>
          <cell r="L1355" t="str">
            <v>Warehouse Associate (TEMP)</v>
          </cell>
          <cell r="M1355" t="str">
            <v>Warehouse Associate 24M</v>
          </cell>
          <cell r="N1355" t="str">
            <v>lraghava</v>
          </cell>
          <cell r="O1355">
            <v>1299</v>
          </cell>
          <cell r="P1355" t="str">
            <v>AUH1</v>
          </cell>
          <cell r="Q1355" t="str">
            <v>ARE</v>
          </cell>
          <cell r="R1355" t="str">
            <v>FC134</v>
          </cell>
          <cell r="S1355" t="str">
            <v>Day Shift</v>
          </cell>
          <cell r="T1355">
            <v>99</v>
          </cell>
          <cell r="U1355" t="str">
            <v>MENA_UAE_FC</v>
          </cell>
          <cell r="V1355">
            <v>46257.332638888889</v>
          </cell>
          <cell r="W1355">
            <v>46257.74722222222</v>
          </cell>
          <cell r="X1355">
            <v>46257.333333333336</v>
          </cell>
          <cell r="Y1355">
            <v>46257.75</v>
          </cell>
          <cell r="AA1355" t="str">
            <v>Scheduled</v>
          </cell>
          <cell r="AB1355" t="str">
            <v>Present</v>
          </cell>
          <cell r="AC1355" t="str">
            <v>Outbound</v>
          </cell>
          <cell r="AD1355" t="str">
            <v>Picking</v>
          </cell>
          <cell r="AE1355" t="str">
            <v>Pick</v>
          </cell>
          <cell r="AF1355" t="str">
            <v>Wednesday</v>
          </cell>
          <cell r="AG1355" t="str">
            <v>Thursday</v>
          </cell>
          <cell r="AH1355">
            <v>13</v>
          </cell>
          <cell r="AJ1355">
            <v>45523</v>
          </cell>
          <cell r="AL1355" t="str">
            <v>Annual Leave</v>
          </cell>
          <cell r="AM1355" t="str">
            <v>TEMP</v>
          </cell>
          <cell r="AN1355" t="str">
            <v>3P Onsite Worker</v>
          </cell>
          <cell r="AO1355" t="str">
            <v>A</v>
          </cell>
          <cell r="AP1355">
            <v>9</v>
          </cell>
          <cell r="AQ1355">
            <v>0</v>
          </cell>
          <cell r="AR1355">
            <v>1</v>
          </cell>
          <cell r="AS1355">
            <v>1</v>
          </cell>
          <cell r="AT1355">
            <v>0</v>
          </cell>
          <cell r="AU1355">
            <v>0</v>
          </cell>
        </row>
        <row r="1356">
          <cell r="D1356" t="str">
            <v>mautfra</v>
          </cell>
          <cell r="E1356">
            <v>206606700</v>
          </cell>
          <cell r="F1356" t="str">
            <v>A</v>
          </cell>
          <cell r="G1356" t="str">
            <v>GREEN</v>
          </cell>
          <cell r="H1356" t="str">
            <v>REDUCED</v>
          </cell>
          <cell r="I1356">
            <v>900234</v>
          </cell>
          <cell r="J1356" t="str">
            <v>EFS Facilities Services</v>
          </cell>
          <cell r="K1356" t="str">
            <v>FRANCIS OKECHI MAUTI</v>
          </cell>
          <cell r="L1356" t="str">
            <v>Warehouse Associate (TEMP)</v>
          </cell>
          <cell r="M1356" t="str">
            <v>Warehouse Associate 8W</v>
          </cell>
          <cell r="N1356" t="str">
            <v>ansammar</v>
          </cell>
          <cell r="O1356">
            <v>1299</v>
          </cell>
          <cell r="P1356" t="str">
            <v>AUH1</v>
          </cell>
          <cell r="Q1356" t="str">
            <v>ARE</v>
          </cell>
          <cell r="R1356" t="str">
            <v>FC555</v>
          </cell>
          <cell r="S1356" t="str">
            <v>Night Shift</v>
          </cell>
          <cell r="T1356">
            <v>99</v>
          </cell>
          <cell r="U1356" t="str">
            <v>MENA_UAE_FC</v>
          </cell>
          <cell r="X1356">
            <v>46257.756944444445</v>
          </cell>
          <cell r="Y1356">
            <v>46258.090277777781</v>
          </cell>
          <cell r="AA1356" t="str">
            <v>Scheduled</v>
          </cell>
          <cell r="AB1356" t="str">
            <v>Not Present</v>
          </cell>
          <cell r="AC1356" t="str">
            <v>Outbound</v>
          </cell>
          <cell r="AD1356" t="str">
            <v>Picking</v>
          </cell>
          <cell r="AE1356" t="str">
            <v>Pick</v>
          </cell>
          <cell r="AF1356" t="str">
            <v>Monday</v>
          </cell>
          <cell r="AG1356" t="str">
            <v>Tuesday</v>
          </cell>
          <cell r="AH1356">
            <v>13</v>
          </cell>
          <cell r="AJ1356">
            <v>46246</v>
          </cell>
          <cell r="AL1356" t="str">
            <v>Annual Leave</v>
          </cell>
          <cell r="AM1356" t="str">
            <v>TEMP</v>
          </cell>
          <cell r="AN1356" t="str">
            <v>3P Onsite Worker</v>
          </cell>
          <cell r="AO1356" t="str">
            <v>A</v>
          </cell>
          <cell r="AP1356">
            <v>7</v>
          </cell>
          <cell r="AQ1356">
            <v>0</v>
          </cell>
          <cell r="AR1356">
            <v>0</v>
          </cell>
          <cell r="AS1356">
            <v>1</v>
          </cell>
          <cell r="AT1356">
            <v>1</v>
          </cell>
          <cell r="AU1356">
            <v>0</v>
          </cell>
        </row>
        <row r="1357">
          <cell r="D1357" t="str">
            <v>mubirura</v>
          </cell>
          <cell r="E1357">
            <v>206851159</v>
          </cell>
          <cell r="F1357" t="str">
            <v>A</v>
          </cell>
          <cell r="G1357" t="str">
            <v>GREEN</v>
          </cell>
          <cell r="H1357" t="str">
            <v>FULL_TIME</v>
          </cell>
          <cell r="I1357">
            <v>900234</v>
          </cell>
          <cell r="J1357" t="str">
            <v>Dulsco L.L.C.</v>
          </cell>
          <cell r="K1357" t="str">
            <v>MUBIRU RAJESHI</v>
          </cell>
          <cell r="L1357" t="str">
            <v>Warehouse Associate (TEMP)</v>
          </cell>
          <cell r="M1357" t="str">
            <v>Warehouse Associate 8W</v>
          </cell>
          <cell r="N1357" t="str">
            <v>mnarshad</v>
          </cell>
          <cell r="O1357">
            <v>1299</v>
          </cell>
          <cell r="P1357" t="str">
            <v>AUH1</v>
          </cell>
          <cell r="Q1357" t="str">
            <v>ARE</v>
          </cell>
          <cell r="R1357" t="str">
            <v>FC159</v>
          </cell>
          <cell r="S1357" t="str">
            <v>Day Shift</v>
          </cell>
          <cell r="T1357">
            <v>99</v>
          </cell>
          <cell r="U1357" t="str">
            <v>MENA_UAE_FC</v>
          </cell>
          <cell r="X1357">
            <v>46257.333333333336</v>
          </cell>
          <cell r="Y1357">
            <v>46257.75</v>
          </cell>
          <cell r="AA1357" t="str">
            <v>Scheduled</v>
          </cell>
          <cell r="AB1357" t="str">
            <v>Not Present</v>
          </cell>
          <cell r="AC1357" t="str">
            <v>Outbound</v>
          </cell>
          <cell r="AD1357" t="str">
            <v>Picking</v>
          </cell>
          <cell r="AE1357" t="str">
            <v>Pick</v>
          </cell>
          <cell r="AF1357" t="str">
            <v>Thursday</v>
          </cell>
          <cell r="AG1357" t="str">
            <v>Friday</v>
          </cell>
          <cell r="AH1357">
            <v>13</v>
          </cell>
          <cell r="AJ1357">
            <v>46012</v>
          </cell>
          <cell r="AL1357" t="str">
            <v>Annual Leave</v>
          </cell>
          <cell r="AM1357" t="str">
            <v>TEMP</v>
          </cell>
          <cell r="AN1357" t="str">
            <v>3P Onsite Worker</v>
          </cell>
          <cell r="AO1357" t="str">
            <v>A</v>
          </cell>
          <cell r="AP1357">
            <v>9</v>
          </cell>
          <cell r="AQ1357">
            <v>0</v>
          </cell>
          <cell r="AR1357">
            <v>0</v>
          </cell>
          <cell r="AS1357">
            <v>1</v>
          </cell>
          <cell r="AT1357">
            <v>1</v>
          </cell>
          <cell r="AU1357">
            <v>0</v>
          </cell>
        </row>
        <row r="1358">
          <cell r="D1358" t="str">
            <v>ndedjose</v>
          </cell>
          <cell r="E1358">
            <v>203521131</v>
          </cell>
          <cell r="F1358" t="str">
            <v>A</v>
          </cell>
          <cell r="G1358" t="str">
            <v>GREEN</v>
          </cell>
          <cell r="H1358" t="str">
            <v>FULL_TIME</v>
          </cell>
          <cell r="I1358">
            <v>900234</v>
          </cell>
          <cell r="J1358" t="str">
            <v>Fastlink Outsourcing</v>
          </cell>
          <cell r="K1358" t="str">
            <v>Joseph Ndede</v>
          </cell>
          <cell r="L1358" t="str">
            <v>Warehouse Associate (TEMP)</v>
          </cell>
          <cell r="M1358" t="str">
            <v>Warehouse Associate 12M</v>
          </cell>
          <cell r="N1358" t="str">
            <v>pparsin</v>
          </cell>
          <cell r="O1358">
            <v>1299</v>
          </cell>
          <cell r="P1358" t="str">
            <v>AUH1</v>
          </cell>
          <cell r="Q1358" t="str">
            <v>ARE</v>
          </cell>
          <cell r="R1358" t="str">
            <v>FC034</v>
          </cell>
          <cell r="S1358" t="str">
            <v>Day Shift</v>
          </cell>
          <cell r="T1358">
            <v>99</v>
          </cell>
          <cell r="U1358" t="str">
            <v>MENA_UAE_FC</v>
          </cell>
          <cell r="X1358">
            <v>46257.333333333336</v>
          </cell>
          <cell r="Y1358">
            <v>46257.75</v>
          </cell>
          <cell r="Z1358" t="str">
            <v>Rest Day</v>
          </cell>
          <cell r="AA1358" t="str">
            <v>Not Scheduled</v>
          </cell>
          <cell r="AB1358" t="str">
            <v>Not Present</v>
          </cell>
          <cell r="AC1358" t="str">
            <v>Inbound</v>
          </cell>
          <cell r="AD1358" t="str">
            <v>IB Problem Solve</v>
          </cell>
          <cell r="AE1358" t="str">
            <v>Receive</v>
          </cell>
          <cell r="AF1358" t="str">
            <v>Saturday</v>
          </cell>
          <cell r="AG1358" t="str">
            <v>Sunday</v>
          </cell>
          <cell r="AH1358">
            <v>6</v>
          </cell>
          <cell r="AJ1358">
            <v>45462</v>
          </cell>
          <cell r="AL1358" t="str">
            <v>Annual Leave</v>
          </cell>
          <cell r="AM1358" t="str">
            <v>TEMP</v>
          </cell>
          <cell r="AN1358" t="str">
            <v>3P Onsite Worker</v>
          </cell>
          <cell r="AO1358" t="str">
            <v>A</v>
          </cell>
          <cell r="AP1358">
            <v>9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</row>
        <row r="1359">
          <cell r="D1359" t="str">
            <v>nyasuflo</v>
          </cell>
          <cell r="E1359">
            <v>206137338</v>
          </cell>
          <cell r="F1359" t="str">
            <v>A</v>
          </cell>
          <cell r="G1359" t="str">
            <v>GREEN</v>
          </cell>
          <cell r="H1359" t="str">
            <v>FULL_TIME</v>
          </cell>
          <cell r="I1359">
            <v>900234</v>
          </cell>
          <cell r="J1359" t="str">
            <v>Fastlink Outsourcing</v>
          </cell>
          <cell r="K1359" t="str">
            <v>Nyasu Florence Ladu Ezbon</v>
          </cell>
          <cell r="L1359" t="str">
            <v>Warehouse Associate (TEMP)</v>
          </cell>
          <cell r="M1359" t="str">
            <v>Warehouse Associate 12M</v>
          </cell>
          <cell r="N1359" t="str">
            <v>scariav</v>
          </cell>
          <cell r="O1359">
            <v>1299</v>
          </cell>
          <cell r="P1359" t="str">
            <v>AUH1</v>
          </cell>
          <cell r="Q1359" t="str">
            <v>ARE</v>
          </cell>
          <cell r="R1359" t="str">
            <v>LK012</v>
          </cell>
          <cell r="S1359" t="str">
            <v>Night Shift</v>
          </cell>
          <cell r="T1359">
            <v>99</v>
          </cell>
          <cell r="U1359" t="str">
            <v>MENA_UAE_FC</v>
          </cell>
          <cell r="X1359">
            <v>46257.756944444445</v>
          </cell>
          <cell r="Y1359">
            <v>46258.173611111109</v>
          </cell>
          <cell r="Z1359" t="str">
            <v>Rest Day</v>
          </cell>
          <cell r="AA1359" t="str">
            <v>Not Scheduled</v>
          </cell>
          <cell r="AB1359" t="str">
            <v>Not Present</v>
          </cell>
          <cell r="AC1359" t="str">
            <v>Outbound</v>
          </cell>
          <cell r="AD1359" t="str">
            <v>Picking</v>
          </cell>
          <cell r="AE1359" t="str">
            <v>Pick</v>
          </cell>
          <cell r="AF1359" t="str">
            <v>Saturday</v>
          </cell>
          <cell r="AG1359" t="str">
            <v>Sunday</v>
          </cell>
          <cell r="AH1359">
            <v>13</v>
          </cell>
          <cell r="AJ1359">
            <v>45928</v>
          </cell>
          <cell r="AL1359" t="str">
            <v>Annual Leave</v>
          </cell>
          <cell r="AM1359" t="str">
            <v>TEMP</v>
          </cell>
          <cell r="AN1359" t="str">
            <v>3P Onsite Worker</v>
          </cell>
          <cell r="AO1359" t="str">
            <v>A</v>
          </cell>
          <cell r="AP1359">
            <v>9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</row>
        <row r="1360">
          <cell r="D1360" t="str">
            <v>roabatab</v>
          </cell>
          <cell r="E1360">
            <v>204013737</v>
          </cell>
          <cell r="F1360" t="str">
            <v>A</v>
          </cell>
          <cell r="G1360" t="str">
            <v>GREEN</v>
          </cell>
          <cell r="H1360" t="str">
            <v>FULL_TIME</v>
          </cell>
          <cell r="I1360">
            <v>900234</v>
          </cell>
          <cell r="J1360" t="str">
            <v>Fastlink Outsourcing</v>
          </cell>
          <cell r="K1360" t="str">
            <v>Roland Aba Taboh</v>
          </cell>
          <cell r="L1360" t="str">
            <v>Warehouse Associate (TEMP)</v>
          </cell>
          <cell r="M1360" t="str">
            <v>Warehouse Associate 12M</v>
          </cell>
          <cell r="N1360" t="str">
            <v>nnahla</v>
          </cell>
          <cell r="O1360">
            <v>1299</v>
          </cell>
          <cell r="P1360" t="str">
            <v>AUH1</v>
          </cell>
          <cell r="Q1360" t="str">
            <v>ARE</v>
          </cell>
          <cell r="R1360" t="str">
            <v>FC059</v>
          </cell>
          <cell r="S1360" t="str">
            <v>Day Shift</v>
          </cell>
          <cell r="T1360">
            <v>99</v>
          </cell>
          <cell r="U1360" t="str">
            <v>MENA_UAE_FC</v>
          </cell>
          <cell r="X1360">
            <v>46257.333333333336</v>
          </cell>
          <cell r="Y1360">
            <v>46257.75</v>
          </cell>
          <cell r="Z1360" t="str">
            <v>Rest Day</v>
          </cell>
          <cell r="AA1360" t="str">
            <v>Not Scheduled</v>
          </cell>
          <cell r="AB1360" t="str">
            <v>Not Present</v>
          </cell>
          <cell r="AC1360" t="str">
            <v>Inbound</v>
          </cell>
          <cell r="AD1360" t="str">
            <v>Vendor Receive</v>
          </cell>
          <cell r="AE1360" t="str">
            <v>Receive</v>
          </cell>
          <cell r="AF1360" t="str">
            <v>Sunday</v>
          </cell>
          <cell r="AG1360" t="str">
            <v>Monday</v>
          </cell>
          <cell r="AH1360">
            <v>1</v>
          </cell>
          <cell r="AJ1360">
            <v>45550</v>
          </cell>
          <cell r="AL1360" t="str">
            <v>Annual Leave</v>
          </cell>
          <cell r="AM1360" t="str">
            <v>TEMP</v>
          </cell>
          <cell r="AN1360" t="str">
            <v>3P Onsite Worker</v>
          </cell>
          <cell r="AO1360" t="str">
            <v>A</v>
          </cell>
          <cell r="AP1360">
            <v>9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</row>
        <row r="1361">
          <cell r="D1361" t="str">
            <v>sessijam</v>
          </cell>
          <cell r="E1361">
            <v>201456034</v>
          </cell>
          <cell r="F1361" t="str">
            <v>A</v>
          </cell>
          <cell r="G1361" t="str">
            <v>GREEN</v>
          </cell>
          <cell r="H1361" t="str">
            <v>FULL_TIME</v>
          </cell>
          <cell r="I1361">
            <v>900234</v>
          </cell>
          <cell r="J1361" t="str">
            <v>Fastlink Outsourcing</v>
          </cell>
          <cell r="K1361" t="str">
            <v>Jamilatu Sessie</v>
          </cell>
          <cell r="L1361" t="str">
            <v>Warehouse Associate (TEMP)</v>
          </cell>
          <cell r="M1361" t="str">
            <v>Warehouse Associate 12M</v>
          </cell>
          <cell r="N1361" t="str">
            <v>aanso</v>
          </cell>
          <cell r="O1361">
            <v>1299</v>
          </cell>
          <cell r="P1361" t="str">
            <v>AUH1</v>
          </cell>
          <cell r="Q1361" t="str">
            <v>ARE</v>
          </cell>
          <cell r="R1361" t="str">
            <v>FC009</v>
          </cell>
          <cell r="S1361" t="str">
            <v>Day Shift</v>
          </cell>
          <cell r="T1361">
            <v>99</v>
          </cell>
          <cell r="U1361" t="str">
            <v>MENA_UAE_FC</v>
          </cell>
          <cell r="X1361">
            <v>46257.333333333336</v>
          </cell>
          <cell r="Y1361">
            <v>46257.75</v>
          </cell>
          <cell r="AA1361" t="str">
            <v>Scheduled</v>
          </cell>
          <cell r="AB1361" t="str">
            <v>Not Present</v>
          </cell>
          <cell r="AC1361" t="str">
            <v>Customer returns</v>
          </cell>
          <cell r="AD1361" t="str">
            <v>Customer Returns</v>
          </cell>
          <cell r="AE1361" t="str">
            <v>Customer returns</v>
          </cell>
          <cell r="AF1361" t="str">
            <v>Friday</v>
          </cell>
          <cell r="AG1361" t="str">
            <v>Saturday</v>
          </cell>
          <cell r="AH1361">
            <v>22</v>
          </cell>
          <cell r="AJ1361">
            <v>45599</v>
          </cell>
          <cell r="AL1361" t="str">
            <v>Annual Leave</v>
          </cell>
          <cell r="AM1361" t="str">
            <v>TEMP</v>
          </cell>
          <cell r="AN1361" t="str">
            <v>3P Onsite Worker</v>
          </cell>
          <cell r="AO1361" t="str">
            <v>A</v>
          </cell>
          <cell r="AP1361">
            <v>9</v>
          </cell>
          <cell r="AQ1361">
            <v>0</v>
          </cell>
          <cell r="AR1361">
            <v>0</v>
          </cell>
          <cell r="AS1361">
            <v>1</v>
          </cell>
          <cell r="AT1361">
            <v>1</v>
          </cell>
          <cell r="AU1361">
            <v>0</v>
          </cell>
        </row>
        <row r="1362">
          <cell r="D1362" t="str">
            <v>stepagye</v>
          </cell>
          <cell r="E1362">
            <v>205608882</v>
          </cell>
          <cell r="F1362" t="str">
            <v>A</v>
          </cell>
          <cell r="G1362" t="str">
            <v>GREEN</v>
          </cell>
          <cell r="H1362" t="str">
            <v>FULL_TIME</v>
          </cell>
          <cell r="I1362">
            <v>900234</v>
          </cell>
          <cell r="J1362" t="str">
            <v>Dulsco L.L.C.</v>
          </cell>
          <cell r="K1362" t="str">
            <v>STEPHEN AGYEI</v>
          </cell>
          <cell r="L1362" t="str">
            <v>Warehouse Associate (TEMP)</v>
          </cell>
          <cell r="M1362" t="str">
            <v>Warehouse Associate 8W</v>
          </cell>
          <cell r="N1362" t="str">
            <v>bavameer</v>
          </cell>
          <cell r="O1362">
            <v>1299</v>
          </cell>
          <cell r="P1362" t="str">
            <v>AUH1</v>
          </cell>
          <cell r="Q1362" t="str">
            <v>ARE</v>
          </cell>
          <cell r="R1362" t="str">
            <v>LK014</v>
          </cell>
          <cell r="S1362" t="str">
            <v>Night Shift</v>
          </cell>
          <cell r="T1362">
            <v>99</v>
          </cell>
          <cell r="U1362" t="str">
            <v>MENA_UAE_FC</v>
          </cell>
          <cell r="X1362">
            <v>46257.756944444445</v>
          </cell>
          <cell r="Y1362">
            <v>46258.173611111109</v>
          </cell>
          <cell r="AA1362" t="str">
            <v>Scheduled</v>
          </cell>
          <cell r="AB1362" t="str">
            <v>Not Present</v>
          </cell>
          <cell r="AC1362" t="str">
            <v>Customer returns</v>
          </cell>
          <cell r="AD1362" t="str">
            <v>Customer Returns</v>
          </cell>
          <cell r="AE1362" t="str">
            <v>Customer returns</v>
          </cell>
          <cell r="AF1362" t="str">
            <v>Monday</v>
          </cell>
          <cell r="AG1362" t="str">
            <v>Tuesday</v>
          </cell>
          <cell r="AH1362">
            <v>22</v>
          </cell>
          <cell r="AJ1362">
            <v>45844</v>
          </cell>
          <cell r="AL1362" t="str">
            <v>Annual Leave</v>
          </cell>
          <cell r="AM1362" t="str">
            <v>TEMP</v>
          </cell>
          <cell r="AN1362" t="str">
            <v>3P Onsite Worker</v>
          </cell>
          <cell r="AO1362" t="str">
            <v>A</v>
          </cell>
          <cell r="AP1362">
            <v>9</v>
          </cell>
          <cell r="AQ1362">
            <v>0</v>
          </cell>
          <cell r="AR1362">
            <v>0</v>
          </cell>
          <cell r="AS1362">
            <v>1</v>
          </cell>
          <cell r="AT1362">
            <v>1</v>
          </cell>
          <cell r="AU1362">
            <v>0</v>
          </cell>
        </row>
        <row r="1363">
          <cell r="D1363" t="str">
            <v>troychim</v>
          </cell>
          <cell r="E1363">
            <v>203965408</v>
          </cell>
          <cell r="F1363" t="str">
            <v>A</v>
          </cell>
          <cell r="G1363" t="str">
            <v>GREEN</v>
          </cell>
          <cell r="H1363" t="str">
            <v>FULL_TIME</v>
          </cell>
          <cell r="I1363">
            <v>900234</v>
          </cell>
          <cell r="J1363" t="str">
            <v>Fastlink Outsourcing</v>
          </cell>
          <cell r="K1363" t="str">
            <v>Tatenda Lee Roy Chimunda</v>
          </cell>
          <cell r="L1363" t="str">
            <v>Warehouse Associate (TEMP)</v>
          </cell>
          <cell r="M1363" t="str">
            <v>Warehouse Associate 12M</v>
          </cell>
          <cell r="N1363" t="str">
            <v>ansammar</v>
          </cell>
          <cell r="O1363">
            <v>1299</v>
          </cell>
          <cell r="P1363" t="str">
            <v>AUH1</v>
          </cell>
          <cell r="Q1363" t="str">
            <v>ARE</v>
          </cell>
          <cell r="R1363" t="str">
            <v>FC084</v>
          </cell>
          <cell r="S1363" t="str">
            <v>Day Shift</v>
          </cell>
          <cell r="T1363">
            <v>99</v>
          </cell>
          <cell r="U1363" t="str">
            <v>MENA_UAE_FC</v>
          </cell>
          <cell r="X1363">
            <v>46257.333333333336</v>
          </cell>
          <cell r="Y1363">
            <v>46257.75</v>
          </cell>
          <cell r="AA1363" t="str">
            <v>Scheduled</v>
          </cell>
          <cell r="AB1363" t="str">
            <v>Not Present</v>
          </cell>
          <cell r="AC1363" t="str">
            <v>Outbound</v>
          </cell>
          <cell r="AD1363" t="str">
            <v>Picking</v>
          </cell>
          <cell r="AE1363" t="str">
            <v>Pick</v>
          </cell>
          <cell r="AF1363" t="str">
            <v>Monday</v>
          </cell>
          <cell r="AG1363" t="str">
            <v>Tuesday</v>
          </cell>
          <cell r="AH1363">
            <v>13</v>
          </cell>
          <cell r="AJ1363">
            <v>45543</v>
          </cell>
          <cell r="AL1363" t="str">
            <v>Annual Leave</v>
          </cell>
          <cell r="AM1363" t="str">
            <v>TEMP</v>
          </cell>
          <cell r="AN1363" t="str">
            <v>3P Onsite Worker</v>
          </cell>
          <cell r="AO1363" t="str">
            <v>A</v>
          </cell>
          <cell r="AP1363">
            <v>9</v>
          </cell>
          <cell r="AQ1363">
            <v>0</v>
          </cell>
          <cell r="AR1363">
            <v>0</v>
          </cell>
          <cell r="AS1363">
            <v>1</v>
          </cell>
          <cell r="AT1363">
            <v>1</v>
          </cell>
          <cell r="AU1363">
            <v>0</v>
          </cell>
        </row>
        <row r="1364">
          <cell r="D1364" t="str">
            <v>twenewka</v>
          </cell>
          <cell r="E1364">
            <v>203594431</v>
          </cell>
          <cell r="F1364" t="str">
            <v>A</v>
          </cell>
          <cell r="G1364" t="str">
            <v>GREEN</v>
          </cell>
          <cell r="H1364" t="str">
            <v>FULL_TIME</v>
          </cell>
          <cell r="I1364">
            <v>900234</v>
          </cell>
          <cell r="J1364" t="str">
            <v>Fastlink Outsourcing</v>
          </cell>
          <cell r="K1364" t="str">
            <v>KATE TWENEWAA</v>
          </cell>
          <cell r="L1364" t="str">
            <v>Warehouse Associate (TEMP)</v>
          </cell>
          <cell r="M1364" t="str">
            <v>Warehouse Associate 8W</v>
          </cell>
          <cell r="N1364" t="str">
            <v>bavameer</v>
          </cell>
          <cell r="O1364">
            <v>1299</v>
          </cell>
          <cell r="P1364" t="str">
            <v>AUH1</v>
          </cell>
          <cell r="Q1364" t="str">
            <v>ARE</v>
          </cell>
          <cell r="R1364" t="str">
            <v>FC059</v>
          </cell>
          <cell r="S1364" t="str">
            <v>Day Shift</v>
          </cell>
          <cell r="T1364">
            <v>99</v>
          </cell>
          <cell r="U1364" t="str">
            <v>MENA_UAE_FC</v>
          </cell>
          <cell r="X1364">
            <v>46257.333333333336</v>
          </cell>
          <cell r="Y1364">
            <v>46257.75</v>
          </cell>
          <cell r="Z1364" t="str">
            <v>Rest Day</v>
          </cell>
          <cell r="AA1364" t="str">
            <v>Not Scheduled</v>
          </cell>
          <cell r="AB1364" t="str">
            <v>Not Present</v>
          </cell>
          <cell r="AC1364" t="str">
            <v>Customer returns</v>
          </cell>
          <cell r="AD1364" t="str">
            <v>Customer Returns</v>
          </cell>
          <cell r="AE1364" t="str">
            <v>Customer returns</v>
          </cell>
          <cell r="AF1364" t="str">
            <v>Sunday</v>
          </cell>
          <cell r="AG1364" t="str">
            <v>Monday</v>
          </cell>
          <cell r="AH1364">
            <v>22</v>
          </cell>
          <cell r="AJ1364">
            <v>45914</v>
          </cell>
          <cell r="AL1364" t="str">
            <v>Annual Leave</v>
          </cell>
          <cell r="AM1364" t="str">
            <v>TEMP</v>
          </cell>
          <cell r="AN1364" t="str">
            <v>3P Onsite Worker</v>
          </cell>
          <cell r="AO1364" t="str">
            <v>A</v>
          </cell>
          <cell r="AP1364">
            <v>9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</row>
        <row r="1365">
          <cell r="D1365" t="str">
            <v>vjoasare</v>
          </cell>
          <cell r="E1365">
            <v>206073366</v>
          </cell>
          <cell r="F1365" t="str">
            <v>A</v>
          </cell>
          <cell r="G1365" t="str">
            <v>GREEN</v>
          </cell>
          <cell r="H1365" t="str">
            <v>FULL_TIME</v>
          </cell>
          <cell r="I1365">
            <v>900234</v>
          </cell>
          <cell r="J1365" t="str">
            <v>Fastlink Outsourcing</v>
          </cell>
          <cell r="K1365" t="str">
            <v>Josep Asare Yalley</v>
          </cell>
          <cell r="L1365" t="str">
            <v>Warehouse Associate (TEMP)</v>
          </cell>
          <cell r="M1365" t="str">
            <v>Warehouse Associate 12M</v>
          </cell>
          <cell r="N1365" t="str">
            <v>vkkatyal</v>
          </cell>
          <cell r="O1365">
            <v>1299</v>
          </cell>
          <cell r="P1365" t="str">
            <v>AUH1</v>
          </cell>
          <cell r="Q1365" t="str">
            <v>ARE</v>
          </cell>
          <cell r="R1365" t="str">
            <v>FC059</v>
          </cell>
          <cell r="S1365" t="str">
            <v>Day Shift</v>
          </cell>
          <cell r="T1365">
            <v>99</v>
          </cell>
          <cell r="U1365" t="str">
            <v>MENA_UAE_FC</v>
          </cell>
          <cell r="X1365">
            <v>46257.333333333336</v>
          </cell>
          <cell r="Y1365">
            <v>46257.75</v>
          </cell>
          <cell r="Z1365" t="str">
            <v>Rest Day</v>
          </cell>
          <cell r="AA1365" t="str">
            <v>Not Scheduled</v>
          </cell>
          <cell r="AB1365" t="str">
            <v>Not Present</v>
          </cell>
          <cell r="AC1365" t="str">
            <v>Inbound</v>
          </cell>
          <cell r="AD1365" t="str">
            <v>Inbound Stow</v>
          </cell>
          <cell r="AE1365" t="str">
            <v>Stow</v>
          </cell>
          <cell r="AF1365" t="str">
            <v>Sunday</v>
          </cell>
          <cell r="AG1365" t="str">
            <v>Monday</v>
          </cell>
          <cell r="AH1365">
            <v>3</v>
          </cell>
          <cell r="AJ1365">
            <v>45921</v>
          </cell>
          <cell r="AL1365" t="str">
            <v>Annual Leave</v>
          </cell>
          <cell r="AM1365" t="str">
            <v>TEMP</v>
          </cell>
          <cell r="AN1365" t="str">
            <v>3P Onsite Worker</v>
          </cell>
          <cell r="AO1365" t="str">
            <v>A</v>
          </cell>
          <cell r="AP1365">
            <v>9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</row>
        <row r="1366">
          <cell r="D1366" t="str">
            <v>yrotichc</v>
          </cell>
          <cell r="E1366">
            <v>206491329</v>
          </cell>
          <cell r="F1366" t="str">
            <v>A</v>
          </cell>
          <cell r="G1366" t="str">
            <v>GREEN</v>
          </cell>
          <cell r="H1366" t="str">
            <v>FULL_TIME</v>
          </cell>
          <cell r="I1366">
            <v>900234</v>
          </cell>
          <cell r="J1366" t="str">
            <v>EFS Facilities Services</v>
          </cell>
          <cell r="K1366" t="str">
            <v>CYNTHIA JEPKOSGEI ROTICH</v>
          </cell>
          <cell r="L1366" t="str">
            <v>Warehouse Associate (TEMP)</v>
          </cell>
          <cell r="M1366" t="str">
            <v>Warehouse Associate 8W</v>
          </cell>
          <cell r="N1366" t="str">
            <v>scariav</v>
          </cell>
          <cell r="O1366">
            <v>1299</v>
          </cell>
          <cell r="P1366" t="str">
            <v>AUH1</v>
          </cell>
          <cell r="Q1366" t="str">
            <v>ARE</v>
          </cell>
          <cell r="R1366" t="str">
            <v>FC109</v>
          </cell>
          <cell r="S1366" t="str">
            <v>Day Shift</v>
          </cell>
          <cell r="T1366">
            <v>99</v>
          </cell>
          <cell r="U1366" t="str">
            <v>MENA_UAE_FC</v>
          </cell>
          <cell r="X1366">
            <v>46257.333333333336</v>
          </cell>
          <cell r="Y1366">
            <v>46257.75</v>
          </cell>
          <cell r="AA1366" t="str">
            <v>Scheduled</v>
          </cell>
          <cell r="AB1366" t="str">
            <v>Not Present</v>
          </cell>
          <cell r="AC1366" t="str">
            <v>Outbound</v>
          </cell>
          <cell r="AD1366" t="str">
            <v>Picking</v>
          </cell>
          <cell r="AE1366" t="str">
            <v>Pick</v>
          </cell>
          <cell r="AF1366" t="str">
            <v>Tuesday</v>
          </cell>
          <cell r="AG1366" t="str">
            <v>Wednesday</v>
          </cell>
          <cell r="AH1366">
            <v>13</v>
          </cell>
          <cell r="AJ1366">
            <v>45970</v>
          </cell>
          <cell r="AL1366" t="str">
            <v>Annual Leave</v>
          </cell>
          <cell r="AM1366" t="str">
            <v>TEMP</v>
          </cell>
          <cell r="AN1366" t="str">
            <v>3P Onsite Worker</v>
          </cell>
          <cell r="AO1366" t="str">
            <v>A</v>
          </cell>
          <cell r="AP1366">
            <v>9</v>
          </cell>
          <cell r="AQ1366">
            <v>0</v>
          </cell>
          <cell r="AR1366">
            <v>0</v>
          </cell>
          <cell r="AS1366">
            <v>1</v>
          </cell>
          <cell r="AT1366">
            <v>1</v>
          </cell>
          <cell r="AU1366">
            <v>0</v>
          </cell>
        </row>
        <row r="1367">
          <cell r="D1367" t="str">
            <v>kofileon</v>
          </cell>
          <cell r="E1367">
            <v>204341639</v>
          </cell>
          <cell r="F1367" t="str">
            <v>A</v>
          </cell>
          <cell r="G1367" t="str">
            <v>GREEN</v>
          </cell>
          <cell r="H1367" t="str">
            <v>FULL_TIME</v>
          </cell>
          <cell r="I1367">
            <v>900234</v>
          </cell>
          <cell r="J1367" t="str">
            <v>Quesscorp</v>
          </cell>
          <cell r="K1367" t="str">
            <v>Leonard Kofie</v>
          </cell>
          <cell r="L1367" t="str">
            <v>Warehouse Associate (TEMP)</v>
          </cell>
          <cell r="M1367" t="str">
            <v>Warehouse Associate 24M</v>
          </cell>
          <cell r="N1367" t="str">
            <v>nelstche</v>
          </cell>
          <cell r="O1367">
            <v>1299</v>
          </cell>
          <cell r="P1367" t="str">
            <v>AUH3</v>
          </cell>
          <cell r="Q1367" t="str">
            <v>ARE</v>
          </cell>
          <cell r="R1367" t="str">
            <v>FC084</v>
          </cell>
          <cell r="S1367" t="str">
            <v>Day Shift</v>
          </cell>
          <cell r="T1367">
            <v>99</v>
          </cell>
          <cell r="U1367" t="str">
            <v>MENA_UAE_FC</v>
          </cell>
          <cell r="X1367">
            <v>46257.333333333336</v>
          </cell>
          <cell r="Y1367">
            <v>46257.75</v>
          </cell>
          <cell r="AA1367" t="str">
            <v>Scheduled</v>
          </cell>
          <cell r="AB1367" t="str">
            <v>Not Present</v>
          </cell>
          <cell r="AC1367" t="str">
            <v>Warehouse deals</v>
          </cell>
          <cell r="AD1367" t="str">
            <v>Warehouse Deals</v>
          </cell>
          <cell r="AE1367" t="str">
            <v>Warehouse deals</v>
          </cell>
          <cell r="AF1367" t="str">
            <v>Monday</v>
          </cell>
          <cell r="AG1367" t="str">
            <v>Tuesday</v>
          </cell>
          <cell r="AH1367">
            <v>32</v>
          </cell>
          <cell r="AJ1367">
            <v>45588</v>
          </cell>
          <cell r="AL1367" t="str">
            <v>Annual Leave</v>
          </cell>
          <cell r="AM1367" t="str">
            <v>TEMP</v>
          </cell>
          <cell r="AN1367" t="str">
            <v>3P Onsite Worker</v>
          </cell>
          <cell r="AO1367" t="str">
            <v>A</v>
          </cell>
          <cell r="AP1367">
            <v>9</v>
          </cell>
          <cell r="AQ1367">
            <v>0</v>
          </cell>
          <cell r="AR1367">
            <v>0</v>
          </cell>
          <cell r="AS1367">
            <v>1</v>
          </cell>
          <cell r="AT1367">
            <v>1</v>
          </cell>
          <cell r="AU1367">
            <v>0</v>
          </cell>
        </row>
        <row r="1368">
          <cell r="D1368" t="str">
            <v>remahlun</v>
          </cell>
          <cell r="E1368">
            <v>204094495</v>
          </cell>
          <cell r="F1368" t="str">
            <v>A</v>
          </cell>
          <cell r="G1368" t="str">
            <v>GREEN</v>
          </cell>
          <cell r="H1368" t="str">
            <v>FULL_TIME</v>
          </cell>
          <cell r="I1368">
            <v>900234</v>
          </cell>
          <cell r="J1368" t="str">
            <v>Quesscorp</v>
          </cell>
          <cell r="K1368" t="str">
            <v>Rebecca Mahlunge</v>
          </cell>
          <cell r="L1368" t="str">
            <v>Warehouse Associate (TEMP)</v>
          </cell>
          <cell r="M1368" t="str">
            <v>Warehouse Associate 24M</v>
          </cell>
          <cell r="N1368" t="str">
            <v>gylrdg</v>
          </cell>
          <cell r="O1368">
            <v>1181</v>
          </cell>
          <cell r="P1368" t="str">
            <v>AUH3</v>
          </cell>
          <cell r="Q1368" t="str">
            <v>ARE</v>
          </cell>
          <cell r="R1368" t="str">
            <v>LK013</v>
          </cell>
          <cell r="S1368" t="str">
            <v>Night Shift</v>
          </cell>
          <cell r="T1368">
            <v>99</v>
          </cell>
          <cell r="U1368" t="str">
            <v>MENA_UAE_FC</v>
          </cell>
          <cell r="X1368">
            <v>46257.756944444445</v>
          </cell>
          <cell r="Y1368">
            <v>46258.173611111109</v>
          </cell>
          <cell r="Z1368" t="str">
            <v>Rest Day</v>
          </cell>
          <cell r="AA1368" t="str">
            <v>Not Scheduled</v>
          </cell>
          <cell r="AB1368" t="str">
            <v>Not Present</v>
          </cell>
          <cell r="AC1368" t="str">
            <v>Warehouse deals</v>
          </cell>
          <cell r="AD1368" t="str">
            <v>Warehouse Deals</v>
          </cell>
          <cell r="AE1368" t="str">
            <v>Warehouse deals</v>
          </cell>
          <cell r="AF1368" t="str">
            <v>Sunday</v>
          </cell>
          <cell r="AG1368" t="str">
            <v>Monday</v>
          </cell>
          <cell r="AH1368">
            <v>32</v>
          </cell>
          <cell r="AJ1368">
            <v>45560</v>
          </cell>
          <cell r="AL1368" t="str">
            <v>Annual Leave</v>
          </cell>
          <cell r="AM1368" t="str">
            <v>TEMP</v>
          </cell>
          <cell r="AN1368" t="str">
            <v>3P Onsite Worker</v>
          </cell>
          <cell r="AO1368" t="str">
            <v>A</v>
          </cell>
          <cell r="AP1368">
            <v>9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</row>
        <row r="1369">
          <cell r="D1369" t="str">
            <v>sboatrob</v>
          </cell>
          <cell r="E1369">
            <v>204013731</v>
          </cell>
          <cell r="F1369" t="str">
            <v>A</v>
          </cell>
          <cell r="G1369" t="str">
            <v>GREEN</v>
          </cell>
          <cell r="H1369" t="str">
            <v>FULL_TIME</v>
          </cell>
          <cell r="I1369">
            <v>900234</v>
          </cell>
          <cell r="J1369" t="str">
            <v>Fastlink Outsourcing</v>
          </cell>
          <cell r="K1369" t="str">
            <v>Robert Boateng Agyei</v>
          </cell>
          <cell r="L1369" t="str">
            <v>Warehouse Associate (TEMP)</v>
          </cell>
          <cell r="M1369" t="str">
            <v>Warehouse Associate 12M</v>
          </cell>
          <cell r="N1369" t="str">
            <v>nelstche</v>
          </cell>
          <cell r="O1369">
            <v>1181</v>
          </cell>
          <cell r="P1369" t="str">
            <v>AUH3</v>
          </cell>
          <cell r="Q1369" t="str">
            <v>ARE</v>
          </cell>
          <cell r="R1369" t="str">
            <v>FC084</v>
          </cell>
          <cell r="S1369" t="str">
            <v>Day Shift</v>
          </cell>
          <cell r="T1369">
            <v>99</v>
          </cell>
          <cell r="U1369" t="str">
            <v>MENA_UAE_FC</v>
          </cell>
          <cell r="X1369">
            <v>46257.333333333336</v>
          </cell>
          <cell r="Y1369">
            <v>46257.75</v>
          </cell>
          <cell r="AA1369" t="str">
            <v>Scheduled</v>
          </cell>
          <cell r="AB1369" t="str">
            <v>Not Present</v>
          </cell>
          <cell r="AC1369" t="str">
            <v>Warehouse deals</v>
          </cell>
          <cell r="AD1369" t="str">
            <v>Warehouse Deals</v>
          </cell>
          <cell r="AE1369" t="str">
            <v>Warehouse deals</v>
          </cell>
          <cell r="AF1369" t="str">
            <v>Monday</v>
          </cell>
          <cell r="AG1369" t="str">
            <v>Tuesday</v>
          </cell>
          <cell r="AH1369">
            <v>32</v>
          </cell>
          <cell r="AJ1369">
            <v>45550</v>
          </cell>
          <cell r="AL1369" t="str">
            <v>Annual Leave</v>
          </cell>
          <cell r="AM1369" t="str">
            <v>TEMP</v>
          </cell>
          <cell r="AN1369" t="str">
            <v>3P Onsite Worker</v>
          </cell>
          <cell r="AO1369" t="str">
            <v>A</v>
          </cell>
          <cell r="AP1369">
            <v>9</v>
          </cell>
          <cell r="AQ1369">
            <v>0</v>
          </cell>
          <cell r="AR1369">
            <v>0</v>
          </cell>
          <cell r="AS1369">
            <v>1</v>
          </cell>
          <cell r="AT1369">
            <v>1</v>
          </cell>
          <cell r="AU1369">
            <v>0</v>
          </cell>
        </row>
        <row r="1370">
          <cell r="D1370" t="str">
            <v>kizmehth</v>
          </cell>
          <cell r="E1370">
            <v>203815279</v>
          </cell>
          <cell r="F1370" t="str">
            <v>A</v>
          </cell>
          <cell r="G1370" t="str">
            <v>GREEN</v>
          </cell>
          <cell r="H1370" t="str">
            <v>FULL_TIME</v>
          </cell>
          <cell r="I1370">
            <v>900572</v>
          </cell>
          <cell r="J1370" t="str">
            <v>Fastlink Outsourcing</v>
          </cell>
          <cell r="K1370" t="str">
            <v>MEHTHAB KIZHAKAYIL KARABIL</v>
          </cell>
          <cell r="L1370" t="str">
            <v>HR Assistant (TEMP)</v>
          </cell>
          <cell r="M1370" t="str">
            <v>Fastlink - Vendor POC</v>
          </cell>
          <cell r="N1370" t="str">
            <v>anrdhj</v>
          </cell>
          <cell r="O1370">
            <v>1299</v>
          </cell>
          <cell r="P1370" t="str">
            <v>AUH1</v>
          </cell>
          <cell r="Q1370" t="str">
            <v>ARE</v>
          </cell>
          <cell r="R1370" t="str">
            <v>FC059</v>
          </cell>
          <cell r="S1370" t="str">
            <v>Day Shift</v>
          </cell>
          <cell r="T1370">
            <v>99</v>
          </cell>
          <cell r="U1370" t="str">
            <v>MENA_UAE_FC</v>
          </cell>
          <cell r="X1370">
            <v>46257.333333333336</v>
          </cell>
          <cell r="Y1370">
            <v>46257.75</v>
          </cell>
          <cell r="AA1370" t="str">
            <v>Scheduled</v>
          </cell>
          <cell r="AB1370" t="str">
            <v>Not Present</v>
          </cell>
          <cell r="AC1370" t="str">
            <v>Support</v>
          </cell>
          <cell r="AD1370" t="str">
            <v>Admin/HR/IT</v>
          </cell>
          <cell r="AE1370" t="str">
            <v>Support</v>
          </cell>
          <cell r="AF1370" t="str">
            <v>Sunday</v>
          </cell>
          <cell r="AG1370" t="str">
            <v>Monday</v>
          </cell>
          <cell r="AH1370">
            <v>26</v>
          </cell>
          <cell r="AJ1370">
            <v>45515</v>
          </cell>
          <cell r="AL1370" t="str">
            <v>Annual Leave</v>
          </cell>
          <cell r="AM1370" t="str">
            <v>TEMP</v>
          </cell>
          <cell r="AN1370" t="str">
            <v>3P Onsite Worker</v>
          </cell>
          <cell r="AO1370" t="str">
            <v>A</v>
          </cell>
          <cell r="AP1370">
            <v>9</v>
          </cell>
          <cell r="AQ1370">
            <v>0</v>
          </cell>
          <cell r="AR1370">
            <v>0</v>
          </cell>
          <cell r="AS1370">
            <v>1</v>
          </cell>
          <cell r="AT1370">
            <v>1</v>
          </cell>
          <cell r="AU1370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Y1407" totalsRowShown="0" headerRowDxfId="29" dataDxfId="27" headerRowBorderDxfId="28" tableBorderDxfId="26" totalsRowBorderDxfId="25" dataCellStyle="Percent">
  <sortState xmlns:xlrd2="http://schemas.microsoft.com/office/spreadsheetml/2017/richdata2" ref="A73:W1245">
    <sortCondition ref="Q6:Q1407"/>
  </sortState>
  <tableColumns count="25">
    <tableColumn id="1" xr3:uid="{BCE29A67-12E8-4558-8580-3259C3F345D1}" name="S.No" dataDxfId="24" dataCellStyle="Percent"/>
    <tableColumn id="2" xr3:uid="{2A531BA2-670E-47B6-8C54-A268061DF0C4}" name="Psoft No" dataDxfId="23" dataCellStyle="Percent"/>
    <tableColumn id="3" xr3:uid="{5211A305-297F-4148-BFE0-A822C9572ABC}" name="AMZ ID" dataDxfId="22" dataCellStyle="Comma"/>
    <tableColumn id="4" xr3:uid="{3A164886-BB7E-4199-B547-D765B2D8E209}" name="EMP Name" dataDxfId="21" dataCellStyle="Comma"/>
    <tableColumn id="21" xr3:uid="{B96A5737-172D-4C27-A01A-D01707DF4279}" name="Employment Type" dataDxfId="20" dataCellStyle="Percent"/>
    <tableColumn id="5" xr3:uid="{5F7A53E1-02F5-47EB-81C8-97C09FA2B568}" name="Country" dataDxfId="19" dataCellStyle="Percent"/>
    <tableColumn id="7" xr3:uid="{200B394F-49B2-4204-9B36-0BE27E346183}" name="Building" dataDxfId="18" dataCellStyle="Percent"/>
    <tableColumn id="22" xr3:uid="{6940F9EF-2C19-4297-85AF-FB9B029F70F8}" name="LOB" dataDxfId="17" dataCellStyle="Percent"/>
    <tableColumn id="8" xr3:uid="{AD7FC9C0-1CB1-4924-8082-447C98D6207B}" name="Cost Center" dataDxfId="16" dataCellStyle="Percent"/>
    <tableColumn id="9" xr3:uid="{A2DF0313-D2EB-48E2-B0AE-440FDA42B3F4}" name="Shift" dataDxfId="15" dataCellStyle="Percent"/>
    <tableColumn id="23" xr3:uid="{4F2A0626-A831-4633-B9B7-D7736BC61A21}" name="Shift Difference" dataDxfId="14" dataCellStyle="Percent"/>
    <tableColumn id="10" xr3:uid="{3039464D-2B75-4E9D-8C2B-C45F2AE0EA25}" name="OFF1" dataDxfId="13" dataCellStyle="Percent"/>
    <tableColumn id="11" xr3:uid="{FB40016D-4358-4A88-BE20-305D2220A7D7}" name="OFF2" dataDxfId="12" dataCellStyle="Percent"/>
    <tableColumn id="12" xr3:uid="{9C11C26C-621B-47DA-8AD2-48E4EA7AF7F6}" name="Job Title" dataDxfId="11" dataCellStyle="Percent"/>
    <tableColumn id="13" xr3:uid="{78CCCED1-4589-4768-88FD-C337A4B51D57}" name="Department" dataDxfId="10" dataCellStyle="Percent"/>
    <tableColumn id="15" xr3:uid="{BF545AB2-BB16-462C-98B6-98B12CCDA3E2}" name="Type" dataDxfId="9" dataCellStyle="Percent"/>
    <tableColumn id="16" xr3:uid="{33176F9B-859A-4E8A-BFC8-2B3E80F765B1}" name="3P" dataDxfId="8" dataCellStyle="Percent"/>
    <tableColumn id="17" xr3:uid="{B16D20CA-C8D1-4A73-9FED-F32C03A7F7B1}" name="Line Manager Login" dataDxfId="7" dataCellStyle="Percent"/>
    <tableColumn id="18" xr3:uid="{EDBED78B-2E5D-4CAA-ADED-B7A17FBB7972}" name="Line Manager" dataDxfId="6" dataCellStyle="Percent"/>
    <tableColumn id="19" xr3:uid="{963E2666-A9AD-44A5-92DF-EE8BBB31D341}" name="Attendance " dataDxfId="5" dataCellStyle="Percent"/>
    <tableColumn id="20" xr3:uid="{B55677C2-AA17-4298-9607-D84F248BC1EA}" name="Remarks" dataDxfId="4" dataCellStyle="Percent"/>
    <tableColumn id="24" xr3:uid="{F0941C5C-C7C6-48D2-9385-5ECE49D31862}" name="DOJ" dataDxfId="3" dataCellStyle="Percent"/>
    <tableColumn id="25" xr3:uid="{1771362B-7773-4548-9495-CD299074DEFD}" name="Process Path" dataDxfId="2" dataCellStyle="Percent"/>
    <tableColumn id="6" xr3:uid="{A30E1BF1-4B61-49C9-B04C-D43259C608C1}" name="DWD Dashboard" dataDxfId="1" dataCellStyle="Percent">
      <calculatedColumnFormula>VLOOKUP(Table1[[#This Row],[AMZ ID]],[1]Roster_1787503287932!$D$2:$AU$1370,25,0)</calculatedColumnFormula>
    </tableColumn>
    <tableColumn id="14" xr3:uid="{6BC5DD5D-FF2B-44A7-B48A-A6406A246F8A}" name="GB LEAVES" dataDxfId="0" dataCellStyle="Percent">
      <calculatedColumnFormula>VLOOKUP(Table1[[#This Row],[AMZ ID]],[1]Roster_1787503287932!$D$2:$AM$1370,35,0)</calculatedColumnFormula>
    </tableColumn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opLeftCell="A14" zoomScale="90" zoomScaleNormal="90" workbookViewId="0">
      <selection activeCell="J24" sqref="J24"/>
    </sheetView>
  </sheetViews>
  <sheetFormatPr defaultColWidth="11.453125" defaultRowHeight="12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453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453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453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>
      <c r="A1" s="169" t="s">
        <v>64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66"/>
      <c r="O1" s="66"/>
      <c r="P1" s="66"/>
      <c r="Q1" s="66"/>
      <c r="R1" s="141"/>
      <c r="S1" s="142" t="s">
        <v>65</v>
      </c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4"/>
      <c r="AE1" s="141"/>
      <c r="AF1" s="142" t="s">
        <v>66</v>
      </c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4"/>
    </row>
    <row r="2" spans="1:43" s="8" customFormat="1" ht="24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49" t="s">
        <v>30</v>
      </c>
      <c r="I2" s="149"/>
      <c r="J2" s="149"/>
      <c r="K2" s="149"/>
      <c r="L2" s="149"/>
      <c r="M2" s="149"/>
      <c r="N2" s="67"/>
      <c r="O2" s="67"/>
      <c r="P2" s="67"/>
      <c r="Q2" s="67"/>
      <c r="R2" s="141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49" t="s">
        <v>30</v>
      </c>
      <c r="AA2" s="149"/>
      <c r="AB2" s="149"/>
      <c r="AC2" s="149"/>
      <c r="AD2" s="149"/>
      <c r="AE2" s="141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49" t="s">
        <v>30</v>
      </c>
      <c r="AN2" s="149"/>
      <c r="AO2" s="149"/>
      <c r="AP2" s="149"/>
      <c r="AQ2" s="150"/>
    </row>
    <row r="3" spans="1:43" s="9" customFormat="1">
      <c r="A3" s="19">
        <v>1244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1183</v>
      </c>
      <c r="E3" s="11">
        <f>C3+D3</f>
        <v>1241</v>
      </c>
      <c r="F3" s="19">
        <f>E3</f>
        <v>1241</v>
      </c>
      <c r="G3" s="12">
        <f>E3/F3</f>
        <v>1</v>
      </c>
      <c r="H3" s="157"/>
      <c r="I3" s="139"/>
      <c r="J3" s="139"/>
      <c r="K3" s="139"/>
      <c r="L3" s="139"/>
      <c r="M3" s="139"/>
      <c r="R3" s="141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79</v>
      </c>
      <c r="W3" s="11">
        <f>U3+V3</f>
        <v>93</v>
      </c>
      <c r="X3" s="20">
        <f>W3</f>
        <v>93</v>
      </c>
      <c r="Y3" s="12">
        <f>W3/X3</f>
        <v>1</v>
      </c>
      <c r="Z3" s="158"/>
      <c r="AA3" s="159"/>
      <c r="AB3" s="159"/>
      <c r="AC3" s="159"/>
      <c r="AD3" s="160"/>
      <c r="AE3" s="141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39"/>
      <c r="AN3" s="139"/>
      <c r="AO3" s="139"/>
      <c r="AP3" s="139"/>
      <c r="AQ3" s="140"/>
    </row>
    <row r="4" spans="1:43">
      <c r="A4" s="42">
        <f>Roster!B1</f>
        <v>46257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68"/>
      <c r="M4" s="140"/>
      <c r="N4" s="9"/>
      <c r="O4" s="9"/>
      <c r="P4" s="9"/>
      <c r="Q4" s="9"/>
      <c r="R4" s="141"/>
      <c r="S4" s="42">
        <f>Roster!B1</f>
        <v>46257</v>
      </c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40"/>
      <c r="AE4" s="141"/>
      <c r="AF4" s="42">
        <f>Roster!B1</f>
        <v>46257</v>
      </c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8"/>
    </row>
    <row r="5" spans="1:43" s="8" customFormat="1" ht="24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55"/>
      <c r="R5" s="141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61"/>
      <c r="AE5" s="141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55"/>
    </row>
    <row r="6" spans="1:43">
      <c r="A6" s="11" t="s">
        <v>32</v>
      </c>
      <c r="B6" s="11">
        <f>COUNTIFS(Roster!G:G,"AUH1",Roster!P:P,"Direct",Roster!J:J,"Day Shift")</f>
        <v>672</v>
      </c>
      <c r="C6" s="11">
        <f>SUMIFS($D$12:$D$27,$B$12:$B$27,"Day Shift")</f>
        <v>276</v>
      </c>
      <c r="D6" s="11">
        <f>SUMIFS($K$12:$K$27,$B$12:$B$27,"Day Shift")</f>
        <v>389</v>
      </c>
      <c r="E6" s="11">
        <f>SUMIFS($E$12:$E$27,$B$12:$B$27,"Day Shift")</f>
        <v>26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7</v>
      </c>
      <c r="G6" s="11">
        <f>SUMIFS($H$12:$H$26,$B$12:$B$26,"Day Shift")+SUMIFS($I$12:$I$26,$B$12:$B$26,"Day Shift")</f>
        <v>13</v>
      </c>
      <c r="H6" s="11">
        <f>D6-E6-G6</f>
        <v>350</v>
      </c>
      <c r="I6" s="12">
        <f>H6/D6</f>
        <v>0.89974293059125965</v>
      </c>
      <c r="J6" s="21">
        <v>0.87360215053763435</v>
      </c>
      <c r="K6" s="12">
        <f>I6/J6</f>
        <v>1.0299229804294068</v>
      </c>
      <c r="L6" s="59"/>
      <c r="M6" s="155"/>
      <c r="N6" s="8"/>
      <c r="O6" s="8"/>
      <c r="P6" s="8"/>
      <c r="Q6" s="8"/>
      <c r="R6" s="141"/>
      <c r="S6" s="13" t="s">
        <v>32</v>
      </c>
      <c r="T6" s="11">
        <f>COUNTIFS(Roster!G:G,"AUH3",Roster!P:P,"Direct",Roster!J:J,"Day Shift")+COUNTIFS(Roster!G:G,"DDB1",Roster!P:P,"Direct",Roster!J:J,"Day Shift")</f>
        <v>39</v>
      </c>
      <c r="U6" s="11">
        <f>SUMIFS($V$12:$V$14,$T$12:$T$14,"Day Shift")</f>
        <v>12</v>
      </c>
      <c r="V6" s="11">
        <f>SUMIFS($AC$12:$AC$14,$T$12:$T$14,"Day Shift")</f>
        <v>27</v>
      </c>
      <c r="W6" s="11">
        <f>SUMIFS($W$12:$W$14,$T$12:$T$14,"Day Shift")</f>
        <v>2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25</v>
      </c>
      <c r="AA6" s="12">
        <f>Z6/V6</f>
        <v>0.92592592592592593</v>
      </c>
      <c r="AB6" s="21">
        <v>0.97</v>
      </c>
      <c r="AC6" s="12">
        <f>AA6/AB6</f>
        <v>0.95456281023291334</v>
      </c>
      <c r="AD6" s="162"/>
      <c r="AE6" s="141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55"/>
    </row>
    <row r="7" spans="1:4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55"/>
      <c r="N7" s="8"/>
      <c r="O7" s="8"/>
      <c r="P7" s="8"/>
      <c r="Q7" s="8"/>
      <c r="R7" s="141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62"/>
      <c r="AE7" s="141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55"/>
    </row>
    <row r="8" spans="1:43">
      <c r="A8" s="11" t="s">
        <v>39</v>
      </c>
      <c r="B8" s="11">
        <f>COUNTIFS(Roster!G:G,"AUH1",Roster!P:P,"Direct",Roster!J:J,"Night Shift")</f>
        <v>569</v>
      </c>
      <c r="C8" s="11">
        <f>SUMIFS($D$12:$D$27,$B$12:$B$27,"Night Shift")</f>
        <v>163</v>
      </c>
      <c r="D8" s="11">
        <f>SUMIFS($K$12:$K$27,$B$12:$B$27,"Night Shift")</f>
        <v>392</v>
      </c>
      <c r="E8" s="11">
        <f>SUMIFS($E$12:$E$27,$B$12:$B$27,"Night Shift")</f>
        <v>17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14</v>
      </c>
      <c r="G8" s="11">
        <f>SUMIFS($H$12:$H$27,$B$12:$B$27,"Night Shift")+SUMIFS($I$12:$I$27,$B$12:$B$27,"Night Shift")</f>
        <v>4</v>
      </c>
      <c r="H8" s="11">
        <f>D8-E8-G8</f>
        <v>371</v>
      </c>
      <c r="I8" s="12">
        <f>H8/D8</f>
        <v>0.9464285714285714</v>
      </c>
      <c r="J8" s="21">
        <v>0.91797648824412204</v>
      </c>
      <c r="K8" s="12">
        <f>I8/J8</f>
        <v>1.0309943484923798</v>
      </c>
      <c r="L8" s="59"/>
      <c r="M8" s="155"/>
      <c r="N8" s="8"/>
      <c r="O8" s="8"/>
      <c r="P8" s="8"/>
      <c r="Q8" s="8"/>
      <c r="R8" s="141"/>
      <c r="S8" s="13" t="s">
        <v>39</v>
      </c>
      <c r="T8" s="11">
        <f>COUNTIFS(Roster!G:G,"AUH3",Roster!P:P,"Direct",Roster!J:J,"Night Shift")+COUNTIFS(Roster!G:G,"DDB1",Roster!P:P,"Direct",Roster!J:J,"Night Shift")</f>
        <v>54</v>
      </c>
      <c r="U8" s="11">
        <f>SUMIFS($V$12:$V$14,$T$12:$T$14,"Night Shift")</f>
        <v>21</v>
      </c>
      <c r="V8" s="11">
        <f>SUMIFS($AC$12:$AC$14,$T$12:$T$14,"Night Shift")</f>
        <v>33</v>
      </c>
      <c r="W8" s="11">
        <f>SUMIFS($W$12:$W$14,$T$12:$T$14,"Night Shift")</f>
        <v>0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33</v>
      </c>
      <c r="AA8" s="12">
        <f>Z8/V8</f>
        <v>1</v>
      </c>
      <c r="AB8" s="21">
        <v>0.91285714285714281</v>
      </c>
      <c r="AC8" s="12">
        <f>AA8/AB8</f>
        <v>1.0954616588419406</v>
      </c>
      <c r="AD8" s="162"/>
      <c r="AE8" s="141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2</v>
      </c>
      <c r="AI8" s="2">
        <f>SUMIFS($AP$12:$AP$15,$AG$12:$AG$15,"Night Shift")</f>
        <v>10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9</v>
      </c>
      <c r="AN8" s="15">
        <f>AM8/AI8</f>
        <v>0.9</v>
      </c>
      <c r="AO8" s="22">
        <v>0.95679999999999998</v>
      </c>
      <c r="AP8" s="15">
        <f>AN8/AO8</f>
        <v>0.94063545150501671</v>
      </c>
      <c r="AQ8" s="155"/>
    </row>
    <row r="9" spans="1:43">
      <c r="A9" s="34" t="s">
        <v>54</v>
      </c>
      <c r="B9" s="35">
        <f t="shared" ref="B9:H9" si="0">SUM(B6:B8)</f>
        <v>1241</v>
      </c>
      <c r="C9" s="35">
        <f t="shared" si="0"/>
        <v>439</v>
      </c>
      <c r="D9" s="35">
        <f t="shared" si="0"/>
        <v>781</v>
      </c>
      <c r="E9" s="35">
        <f t="shared" si="0"/>
        <v>43</v>
      </c>
      <c r="F9" s="35">
        <f t="shared" si="0"/>
        <v>21</v>
      </c>
      <c r="G9" s="35">
        <f>SUM(G6:G8)</f>
        <v>17</v>
      </c>
      <c r="H9" s="35">
        <f t="shared" si="0"/>
        <v>721</v>
      </c>
      <c r="I9" s="36">
        <f>H9/D9</f>
        <v>0.92317541613316256</v>
      </c>
      <c r="J9" s="36">
        <v>0.91101433994095316</v>
      </c>
      <c r="K9" s="36">
        <f>I9/J9</f>
        <v>1.0133489404711211</v>
      </c>
      <c r="L9" s="61"/>
      <c r="M9" s="155"/>
      <c r="N9" s="8"/>
      <c r="O9" s="68"/>
      <c r="P9" s="69"/>
      <c r="Q9" s="8"/>
      <c r="R9" s="141"/>
      <c r="S9" s="33" t="s">
        <v>54</v>
      </c>
      <c r="T9" s="35">
        <f t="shared" ref="T9:Z9" si="1">SUM(T6:T8)</f>
        <v>93</v>
      </c>
      <c r="U9" s="35">
        <f t="shared" si="1"/>
        <v>33</v>
      </c>
      <c r="V9" s="35">
        <f t="shared" si="1"/>
        <v>60</v>
      </c>
      <c r="W9" s="35">
        <f t="shared" si="1"/>
        <v>2</v>
      </c>
      <c r="X9" s="35">
        <f t="shared" si="1"/>
        <v>0</v>
      </c>
      <c r="Y9" s="35">
        <f t="shared" si="1"/>
        <v>0</v>
      </c>
      <c r="Z9" s="35">
        <f t="shared" si="1"/>
        <v>58</v>
      </c>
      <c r="AA9" s="36">
        <f>Z9/V9</f>
        <v>0.96666666666666667</v>
      </c>
      <c r="AB9" s="36">
        <v>0.93774193548387097</v>
      </c>
      <c r="AC9" s="36">
        <f>AA9/AB9</f>
        <v>1.0308450865726408</v>
      </c>
      <c r="AD9" s="163"/>
      <c r="AE9" s="141"/>
      <c r="AF9" s="33" t="s">
        <v>54</v>
      </c>
      <c r="AG9" s="35">
        <f t="shared" ref="AG9:AM9" si="2">SUM(AG6:AG8)</f>
        <v>12</v>
      </c>
      <c r="AH9" s="35">
        <f t="shared" si="2"/>
        <v>2</v>
      </c>
      <c r="AI9" s="35">
        <f t="shared" si="2"/>
        <v>10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9</v>
      </c>
      <c r="AN9" s="39">
        <f>AM9/AI9</f>
        <v>0.9</v>
      </c>
      <c r="AO9" s="39">
        <f>AVERAGE(AO6,AO7,AO8)</f>
        <v>0.95483333333333331</v>
      </c>
      <c r="AP9" s="39">
        <f>AN9/AO9</f>
        <v>0.94257287484726837</v>
      </c>
      <c r="AQ9" s="155"/>
    </row>
    <row r="10" spans="1:43">
      <c r="A10" s="13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68"/>
      <c r="M10" s="140"/>
      <c r="N10" s="9"/>
      <c r="O10" s="9"/>
      <c r="P10" s="9"/>
      <c r="Q10" s="9"/>
      <c r="R10" s="141"/>
      <c r="S10" s="164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6"/>
      <c r="AE10" s="141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55"/>
    </row>
    <row r="11" spans="1:43" s="8" customFormat="1" ht="60.5" thickBot="1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1585</v>
      </c>
      <c r="N11" s="34" t="s">
        <v>1616</v>
      </c>
      <c r="O11" s="34" t="s">
        <v>1617</v>
      </c>
      <c r="P11" s="34" t="s">
        <v>1618</v>
      </c>
      <c r="Q11" s="34" t="s">
        <v>1619</v>
      </c>
      <c r="R11" s="141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41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>
      <c r="A12" s="139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10</v>
      </c>
      <c r="E12" s="11">
        <f>COUNTIFS(Roster!T:T,"PL",Roster!O:O,"ICQA",Roster!J:J,"Day Shift",Roster!P:P,"Direct",Roster!G:G,"AUH1")</f>
        <v>0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33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33</v>
      </c>
      <c r="L12" s="62">
        <v>0.87409090909090903</v>
      </c>
      <c r="M12" s="12">
        <f t="shared" ref="M12:M28" si="3">(G12-F12)/(K12)</f>
        <v>1</v>
      </c>
      <c r="N12" s="12">
        <f>G12/K12</f>
        <v>1</v>
      </c>
      <c r="O12" s="12"/>
      <c r="P12" s="12"/>
      <c r="Q12" s="12"/>
      <c r="R12" s="141"/>
      <c r="S12" s="156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12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2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25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39</v>
      </c>
      <c r="AC12" s="11">
        <f>(AB12-V12)-U12-X12</f>
        <v>27</v>
      </c>
      <c r="AD12" s="16">
        <f>Y12/AC12</f>
        <v>0.92592592592592593</v>
      </c>
      <c r="AE12" s="141"/>
      <c r="AF12" s="156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>
      <c r="A13" s="170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41"/>
      <c r="S13" s="156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41"/>
      <c r="AF13" s="156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>
      <c r="A14" s="139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3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4</v>
      </c>
      <c r="L14" s="62">
        <v>0.96499999999999997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41"/>
      <c r="S14" s="156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21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0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33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54</v>
      </c>
      <c r="AC14" s="11">
        <f>(AB14-V14)-U14-X14</f>
        <v>33</v>
      </c>
      <c r="AD14" s="16">
        <f>Y14/AC14</f>
        <v>1</v>
      </c>
      <c r="AE14" s="141"/>
      <c r="AF14" s="156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2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9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10</v>
      </c>
      <c r="AQ14" s="32">
        <f>AK14/AP14</f>
        <v>0.9</v>
      </c>
    </row>
    <row r="15" spans="1:43" s="10" customFormat="1">
      <c r="A15" s="148" t="s">
        <v>57</v>
      </c>
      <c r="B15" s="148"/>
      <c r="C15" s="23">
        <f t="shared" ref="C15:J15" si="6">SUM(C12:C14)</f>
        <v>0</v>
      </c>
      <c r="D15" s="23">
        <f t="shared" si="6"/>
        <v>13</v>
      </c>
      <c r="E15" s="23">
        <f t="shared" si="6"/>
        <v>0</v>
      </c>
      <c r="F15" s="23">
        <f t="shared" si="6"/>
        <v>0</v>
      </c>
      <c r="G15" s="24">
        <f t="shared" si="6"/>
        <v>37</v>
      </c>
      <c r="H15" s="23">
        <f t="shared" si="6"/>
        <v>0</v>
      </c>
      <c r="I15" s="23">
        <f t="shared" si="6"/>
        <v>0</v>
      </c>
      <c r="J15" s="23">
        <f t="shared" si="6"/>
        <v>50</v>
      </c>
      <c r="K15" s="23">
        <f>SUM(K12:K14)</f>
        <v>37</v>
      </c>
      <c r="L15" s="63">
        <v>0.88391891891891894</v>
      </c>
      <c r="M15" s="57">
        <f>(G15-F15)/(K15)</f>
        <v>1</v>
      </c>
      <c r="N15" s="57">
        <f t="shared" si="5"/>
        <v>1</v>
      </c>
      <c r="O15" s="84">
        <f>L15*K15</f>
        <v>32.704999999999998</v>
      </c>
      <c r="P15" s="84">
        <f>G15-F15</f>
        <v>37</v>
      </c>
      <c r="Q15" s="84">
        <f>P15-O15</f>
        <v>4.2950000000000017</v>
      </c>
      <c r="R15" s="141"/>
      <c r="S15" s="147" t="s">
        <v>59</v>
      </c>
      <c r="T15" s="148"/>
      <c r="U15" s="23">
        <f t="shared" ref="U15:AB15" si="7">SUM(U12:U14)</f>
        <v>0</v>
      </c>
      <c r="V15" s="23">
        <f t="shared" si="7"/>
        <v>33</v>
      </c>
      <c r="W15" s="23">
        <f t="shared" si="7"/>
        <v>2</v>
      </c>
      <c r="X15" s="23">
        <f>SUM(X12:X14)</f>
        <v>0</v>
      </c>
      <c r="Y15" s="24">
        <f t="shared" si="7"/>
        <v>58</v>
      </c>
      <c r="Z15" s="23">
        <f t="shared" si="7"/>
        <v>0</v>
      </c>
      <c r="AA15" s="23">
        <f t="shared" si="7"/>
        <v>0</v>
      </c>
      <c r="AB15" s="23">
        <f t="shared" si="7"/>
        <v>93</v>
      </c>
      <c r="AC15" s="23">
        <f>SUM(AC12:AC14)</f>
        <v>60</v>
      </c>
      <c r="AD15" s="25"/>
      <c r="AE15" s="141"/>
      <c r="AF15" s="151" t="s">
        <v>68</v>
      </c>
      <c r="AG15" s="152"/>
      <c r="AH15" s="27">
        <f t="shared" ref="AH15:AN15" si="8">SUM(AH12:AH14)</f>
        <v>0</v>
      </c>
      <c r="AI15" s="27">
        <f t="shared" si="8"/>
        <v>2</v>
      </c>
      <c r="AJ15" s="27">
        <f t="shared" si="8"/>
        <v>1</v>
      </c>
      <c r="AK15" s="26">
        <f t="shared" si="8"/>
        <v>9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10</v>
      </c>
      <c r="AQ15" s="145"/>
    </row>
    <row r="16" spans="1:43" ht="13.5" thickBot="1">
      <c r="A16" s="174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156</v>
      </c>
      <c r="E16" s="54">
        <f>COUNTIFS(Roster!T:T,"PL",Roster!O:O,"Inbound",Roster!J:J,"Day Shift",Roster!P:P,"Direct",Roster!G:G,"AUH1")</f>
        <v>5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68</v>
      </c>
      <c r="H16" s="54">
        <f>COUNTIFS(Roster!T:T,"SL",Roster!O:O,"Inbound",Roster!J:J,"Day Shift",Roster!P:P,"Direct",Roster!G:G,"AUH1")</f>
        <v>1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3</v>
      </c>
      <c r="J16" s="54">
        <f t="shared" si="4"/>
        <v>233</v>
      </c>
      <c r="K16" s="54">
        <f>(J16-D16)-C16-F16</f>
        <v>77</v>
      </c>
      <c r="L16" s="62">
        <v>0.86243589743589744</v>
      </c>
      <c r="M16" s="12">
        <f t="shared" si="3"/>
        <v>0.88311688311688308</v>
      </c>
      <c r="N16" s="12">
        <f t="shared" si="5"/>
        <v>0.88311688311688308</v>
      </c>
      <c r="O16" s="93"/>
      <c r="P16" s="93"/>
      <c r="Q16" s="12"/>
      <c r="R16" s="141"/>
      <c r="S16" s="156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40"/>
      <c r="AE16" s="141"/>
      <c r="AF16" s="153" t="s">
        <v>54</v>
      </c>
      <c r="AG16" s="154"/>
      <c r="AH16" s="38">
        <f>AH15</f>
        <v>0</v>
      </c>
      <c r="AI16" s="38">
        <f t="shared" ref="AI16:AP16" si="9">AI15</f>
        <v>2</v>
      </c>
      <c r="AJ16" s="38">
        <f t="shared" si="9"/>
        <v>1</v>
      </c>
      <c r="AK16" s="38">
        <f t="shared" si="9"/>
        <v>9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10</v>
      </c>
      <c r="AQ16" s="146"/>
    </row>
    <row r="17" spans="1:43" hidden="1">
      <c r="A17" s="175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3"/>
      <c r="P17" s="93"/>
      <c r="Q17" s="12"/>
      <c r="R17" s="141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41"/>
    </row>
    <row r="18" spans="1:43">
      <c r="A18" s="170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40</v>
      </c>
      <c r="E18" s="11">
        <f>COUNTIFS(Roster!T:T,"PL",Roster!O:O,"Inbound",Roster!J:J,"Night Shift",Roster!P:P,"Direct",Roster!G:G,"AUH1")</f>
        <v>3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41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1</v>
      </c>
      <c r="J18" s="11">
        <f t="shared" si="4"/>
        <v>85</v>
      </c>
      <c r="K18" s="54">
        <f>(J18-D18)-C18-F18</f>
        <v>45</v>
      </c>
      <c r="L18" s="62">
        <v>0.87611111111111106</v>
      </c>
      <c r="M18" s="12">
        <f t="shared" si="3"/>
        <v>0.91111111111111109</v>
      </c>
      <c r="N18" s="12">
        <f t="shared" si="5"/>
        <v>0.91111111111111109</v>
      </c>
      <c r="O18" s="93"/>
      <c r="P18" s="93"/>
      <c r="Q18" s="12"/>
      <c r="R18" s="141"/>
      <c r="S18" s="156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0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9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9</v>
      </c>
      <c r="AD18" s="16">
        <f>Y18/AC18</f>
        <v>1</v>
      </c>
      <c r="AE18" s="141"/>
      <c r="AL18" s="7">
        <f>1443+83</f>
        <v>1526</v>
      </c>
    </row>
    <row r="19" spans="1:43" s="10" customFormat="1">
      <c r="A19" s="148" t="s">
        <v>70</v>
      </c>
      <c r="B19" s="148"/>
      <c r="C19" s="23">
        <f>SUM(C16:C18)</f>
        <v>0</v>
      </c>
      <c r="D19" s="23">
        <f t="shared" ref="D19:J19" si="10">SUM(D16:D18)</f>
        <v>196</v>
      </c>
      <c r="E19" s="23">
        <f>SUM(E16:E18)</f>
        <v>8</v>
      </c>
      <c r="F19" s="23">
        <f>SUM(F16:F18)</f>
        <v>0</v>
      </c>
      <c r="G19" s="24">
        <f t="shared" si="10"/>
        <v>109</v>
      </c>
      <c r="H19" s="23">
        <f t="shared" si="10"/>
        <v>1</v>
      </c>
      <c r="I19" s="23">
        <f t="shared" si="10"/>
        <v>4</v>
      </c>
      <c r="J19" s="23">
        <f t="shared" si="10"/>
        <v>318</v>
      </c>
      <c r="K19" s="23">
        <f>SUM(K16:K18)</f>
        <v>122</v>
      </c>
      <c r="L19" s="63">
        <v>0.8674390243902439</v>
      </c>
      <c r="M19" s="57">
        <f>(G19-F19)/(K19)</f>
        <v>0.89344262295081966</v>
      </c>
      <c r="N19" s="57">
        <f t="shared" si="5"/>
        <v>0.89344262295081966</v>
      </c>
      <c r="O19" s="84">
        <f>L19*K19</f>
        <v>105.82756097560976</v>
      </c>
      <c r="P19" s="84">
        <f>G19-F19</f>
        <v>109</v>
      </c>
      <c r="Q19" s="84">
        <f>P19-O19</f>
        <v>3.1724390243902434</v>
      </c>
      <c r="R19" s="141"/>
      <c r="S19" s="156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28</v>
      </c>
      <c r="W19" s="11">
        <f>COUNTIFS(Roster!G:G,"AUH3",Roster!P:P,"Direct",Roster!T:T,"PL",Roster!E:E,"Temporary")+COUNTIFS(Roster!G:G,"DDB1",Roster!P:P,"Direct",Roster!T:T,"PL",Roster!E:E,"Temporary")</f>
        <v>2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49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79</v>
      </c>
      <c r="AC19" s="11">
        <f>(AB19-V19)-U19</f>
        <v>51</v>
      </c>
      <c r="AD19" s="16">
        <f>Y19/AC19</f>
        <v>0.96078431372549022</v>
      </c>
      <c r="AE19" s="141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139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69</v>
      </c>
      <c r="E20" s="11">
        <f>COUNTIFS(Roster!T:T,"PL",Roster!O:O,"Outbound",Roster!J:J,"Day Shift",Roster!P:P,"Direct",Roster!G:G,"AUH1")</f>
        <v>14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7</v>
      </c>
      <c r="G20" s="11">
        <f>COUNTIFS(Roster!T:T,"P",Roster!O:O,"Outbound",Roster!J:J,"Day Shift",Roster!P:P,"Direct",Roster!G:G,"AUH1")</f>
        <v>174</v>
      </c>
      <c r="H20" s="11">
        <f>COUNTIFS(Roster!T:T,"SL",Roster!O:O,"Outbound",Roster!J:J,"Day Shift",Roster!P:P,"Direct",Roster!G:G,"AUH1")</f>
        <v>3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4</v>
      </c>
      <c r="J20" s="11">
        <f>SUM(G20:I20,)+SUM(C20:E20)</f>
        <v>264</v>
      </c>
      <c r="K20" s="11">
        <f>(J20-D20)-C20-F20</f>
        <v>188</v>
      </c>
      <c r="L20" s="62">
        <v>0.86440828402366865</v>
      </c>
      <c r="M20" s="12">
        <f t="shared" si="3"/>
        <v>0.88829787234042556</v>
      </c>
      <c r="N20" s="12">
        <f t="shared" si="5"/>
        <v>0.92553191489361697</v>
      </c>
      <c r="O20" s="93"/>
      <c r="P20" s="93"/>
      <c r="Q20" s="12"/>
      <c r="R20" s="141"/>
      <c r="S20" s="147" t="s">
        <v>59</v>
      </c>
      <c r="T20" s="148"/>
      <c r="U20" s="23">
        <f t="shared" ref="U20:AA20" si="11">SUM(U17:U19)</f>
        <v>0</v>
      </c>
      <c r="V20" s="23">
        <f t="shared" si="11"/>
        <v>33</v>
      </c>
      <c r="W20" s="23">
        <f t="shared" si="11"/>
        <v>2</v>
      </c>
      <c r="X20" s="23">
        <f t="shared" si="11"/>
        <v>0</v>
      </c>
      <c r="Y20" s="24">
        <f t="shared" si="11"/>
        <v>58</v>
      </c>
      <c r="Z20" s="23">
        <f t="shared" si="11"/>
        <v>0</v>
      </c>
      <c r="AA20" s="23">
        <f t="shared" si="11"/>
        <v>0</v>
      </c>
      <c r="AB20" s="23">
        <f>SUM(AB17:AB19)</f>
        <v>93</v>
      </c>
      <c r="AC20" s="23">
        <f>SUM(AC18:AC19)</f>
        <v>60</v>
      </c>
      <c r="AD20" s="25"/>
      <c r="AE20" s="141"/>
    </row>
    <row r="21" spans="1:43" hidden="1">
      <c r="A21" s="170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3"/>
      <c r="P21" s="93"/>
      <c r="Q21" s="12"/>
      <c r="R21" s="141"/>
      <c r="S21" s="156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40"/>
      <c r="AE21" s="141"/>
    </row>
    <row r="22" spans="1:43">
      <c r="A22" s="176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94</v>
      </c>
      <c r="E22" s="54">
        <f>COUNTIFS(Roster!T:T,"PL",Roster!O:O,"Outbound",Roster!J:J,"Night Shift",Roster!P:P,"Direct",Roster!G:G,"AUH1")</f>
        <v>11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14</v>
      </c>
      <c r="G22" s="54">
        <f>COUNTIFS(Roster!T:T,"P",Roster!O:O,"Outbound",Roster!J:J,"Night Shift",Roster!P:P,"Direct",Roster!G:G,"AUH1")</f>
        <v>283</v>
      </c>
      <c r="H22" s="54">
        <f>COUNTIFS(Roster!T:T,"SL",Roster!O:O,"Outbound",Roster!J:J,"Night Shift",Roster!P:P,"Direct",Roster!G:G,"AUH1")</f>
        <v>0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3</v>
      </c>
      <c r="J22" s="54">
        <f t="shared" si="4"/>
        <v>391</v>
      </c>
      <c r="K22" s="54">
        <f>(J22-D22)-C22-F22</f>
        <v>283</v>
      </c>
      <c r="L22" s="62">
        <v>0.90905594405594403</v>
      </c>
      <c r="M22" s="65">
        <f t="shared" si="3"/>
        <v>0.95053003533568903</v>
      </c>
      <c r="N22" s="65">
        <f t="shared" si="5"/>
        <v>1</v>
      </c>
      <c r="O22" s="94"/>
      <c r="P22" s="94"/>
      <c r="Q22" s="12"/>
      <c r="R22" s="141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71"/>
      <c r="AE22" s="141"/>
    </row>
    <row r="23" spans="1:43" s="10" customFormat="1">
      <c r="A23" s="148" t="s">
        <v>58</v>
      </c>
      <c r="B23" s="148"/>
      <c r="C23" s="23">
        <f t="shared" ref="C23:J23" si="12">SUM(C20:C22)</f>
        <v>0</v>
      </c>
      <c r="D23" s="23">
        <f t="shared" si="12"/>
        <v>163</v>
      </c>
      <c r="E23" s="23">
        <f t="shared" si="12"/>
        <v>25</v>
      </c>
      <c r="F23" s="23">
        <f>SUM(F20:F22)</f>
        <v>21</v>
      </c>
      <c r="G23" s="24">
        <f t="shared" si="12"/>
        <v>457</v>
      </c>
      <c r="H23" s="23">
        <f t="shared" si="12"/>
        <v>3</v>
      </c>
      <c r="I23" s="23">
        <f t="shared" si="12"/>
        <v>7</v>
      </c>
      <c r="J23" s="23">
        <f t="shared" si="12"/>
        <v>655</v>
      </c>
      <c r="K23" s="23">
        <f>SUM(K20:K22)</f>
        <v>471</v>
      </c>
      <c r="L23" s="63">
        <v>0.89247252747252748</v>
      </c>
      <c r="M23" s="57">
        <f>(G23-F23)/(K23)</f>
        <v>0.92569002123142252</v>
      </c>
      <c r="N23" s="57">
        <f t="shared" si="5"/>
        <v>0.97027600849256901</v>
      </c>
      <c r="O23" s="84">
        <f>L23*K23</f>
        <v>420.35456043956043</v>
      </c>
      <c r="P23" s="84">
        <f>G23-F23</f>
        <v>436</v>
      </c>
      <c r="Q23" s="84">
        <f>P23-O23</f>
        <v>15.64543956043957</v>
      </c>
      <c r="R23" s="141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0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9</v>
      </c>
      <c r="AA23" s="12">
        <f>Z23/V23</f>
        <v>1</v>
      </c>
      <c r="AB23" s="21">
        <v>0.92384615384615376</v>
      </c>
      <c r="AC23" s="12">
        <f>AA23/AB23</f>
        <v>1.0824313072439635</v>
      </c>
      <c r="AD23" s="172"/>
      <c r="AE23" s="141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>
      <c r="A24" s="139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41</v>
      </c>
      <c r="E24" s="11">
        <f>COUNTIFS(Roster!T:T,"PL",Roster!O:O,"CRET",Roster!J:J,"Day Shift",Roster!P:P,"Direct",Roster!G:G,"AUH1")</f>
        <v>7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82</v>
      </c>
      <c r="H24" s="11">
        <f>COUNTIFS(Roster!T:T,"SL",Roster!O:O,"CRET",Roster!J:J,"Day Shift",Roster!P:P,"Direct",Roster!G:G,"AUH1")</f>
        <v>1</v>
      </c>
      <c r="I24" s="11">
        <f>COUNTIFS(Roster!T:T,"AB",Roster!O:O,"CRET",Roster!J:J,"Day Shift",Roster!P:P,"Direct",Roster!G:G,"AUH1")+COUNTIFS(Roster!T:T,"ABWI",Roster!O:O,"CRET",Roster!J:J,"Day Shift",Roster!P:P,"Direct",Roster!G:G,"AUH1")</f>
        <v>1</v>
      </c>
      <c r="J24" s="11">
        <f t="shared" si="4"/>
        <v>132</v>
      </c>
      <c r="K24" s="11">
        <f>(J24-D24)-C24-F24</f>
        <v>91</v>
      </c>
      <c r="L24" s="62">
        <v>0.89978260869565219</v>
      </c>
      <c r="M24" s="12">
        <f t="shared" si="3"/>
        <v>0.90109890109890112</v>
      </c>
      <c r="N24" s="12">
        <f t="shared" si="5"/>
        <v>0.90109890109890112</v>
      </c>
      <c r="O24" s="93"/>
      <c r="P24" s="93"/>
      <c r="Q24" s="12"/>
      <c r="R24" s="141"/>
      <c r="S24" s="17" t="s">
        <v>31</v>
      </c>
      <c r="T24" s="18">
        <f>COUNTIFS(Roster!G:G,"AUH3",Roster!E:E,"Temporary")+COUNTIFS(Roster!G:G,"DDB1",Roster!E:E,"Temporary",Roster!P:P,"Direct")</f>
        <v>79</v>
      </c>
      <c r="U24" s="18">
        <f>COUNTIFS(Roster!G:G,"AUH3",Roster!E:E,"Temporary",Roster!T:T,"OFF",Roster!P:P,"Direct")+COUNTIFS(Roster!G:G,"DDB1",Roster!E:E,"Temporary",Roster!T:T,"OFF",Roster!P:P,"Direct")</f>
        <v>28</v>
      </c>
      <c r="V24" s="18">
        <f>SUMIFS($AC$18:$AC$19,$T$18:$T$19,"Temporary")</f>
        <v>51</v>
      </c>
      <c r="W24" s="18">
        <f>COUNTIFS(Roster!G:G,"AUH3",Roster!E:E,"Temporary",Roster!T:T,"PL",Roster!P:P,"Direct")+COUNTIFS(Roster!G:G,"DDB1",Roster!E:E,"Temporary",Roster!T:T,"PL",Roster!P:P,"Direct")</f>
        <v>2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0</v>
      </c>
      <c r="Z24" s="18">
        <f>V24-W24-Y24</f>
        <v>49</v>
      </c>
      <c r="AA24" s="12">
        <f>Z24/V24</f>
        <v>0.96078431372549022</v>
      </c>
      <c r="AB24" s="21">
        <v>0.90181818181818185</v>
      </c>
      <c r="AC24" s="12">
        <f>AA24/AB24</f>
        <v>1.0653858317520557</v>
      </c>
      <c r="AD24" s="173"/>
      <c r="AE24" s="141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>
      <c r="A25" s="170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3"/>
      <c r="P25" s="93"/>
      <c r="Q25" s="12"/>
      <c r="R25" s="141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41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>
      <c r="A26" s="139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26</v>
      </c>
      <c r="E26" s="11">
        <f>COUNTIFS(Roster!T:T,"PL",Roster!O:O,"CRET",Roster!J:J,"Night Shift",Roster!P:P,"Direct",Roster!G:G,"AUH1")</f>
        <v>3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57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60</v>
      </c>
      <c r="L26" s="62">
        <v>0.89833333333333332</v>
      </c>
      <c r="M26" s="12">
        <f t="shared" si="3"/>
        <v>0.95</v>
      </c>
      <c r="N26" s="12">
        <f t="shared" si="5"/>
        <v>0.95</v>
      </c>
      <c r="O26" s="93"/>
      <c r="P26" s="93"/>
      <c r="Q26" s="12"/>
      <c r="R26" s="141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41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>
      <c r="A27" s="148" t="s">
        <v>69</v>
      </c>
      <c r="B27" s="148"/>
      <c r="C27" s="23">
        <f t="shared" ref="C27:J27" si="13">SUM(C24:C26)</f>
        <v>0</v>
      </c>
      <c r="D27" s="23">
        <f t="shared" si="13"/>
        <v>67</v>
      </c>
      <c r="E27" s="23">
        <f t="shared" si="13"/>
        <v>10</v>
      </c>
      <c r="F27" s="23">
        <f>SUM(F24:F26)</f>
        <v>0</v>
      </c>
      <c r="G27" s="24">
        <f t="shared" si="13"/>
        <v>139</v>
      </c>
      <c r="H27" s="23">
        <f t="shared" si="13"/>
        <v>1</v>
      </c>
      <c r="I27" s="23">
        <f t="shared" si="13"/>
        <v>1</v>
      </c>
      <c r="J27" s="23">
        <f t="shared" si="13"/>
        <v>218</v>
      </c>
      <c r="K27" s="23">
        <f>SUM(K24:K26)</f>
        <v>151</v>
      </c>
      <c r="L27" s="63">
        <v>0.89921052631578946</v>
      </c>
      <c r="M27" s="57">
        <f t="shared" si="3"/>
        <v>0.92052980132450335</v>
      </c>
      <c r="N27" s="63">
        <f t="shared" si="5"/>
        <v>0.92052980132450335</v>
      </c>
      <c r="O27" s="84">
        <f>L27*K27</f>
        <v>135.78078947368419</v>
      </c>
      <c r="P27" s="84">
        <f>G27-F27</f>
        <v>139</v>
      </c>
      <c r="Q27" s="84">
        <f>P27-O27</f>
        <v>3.2192105263158055</v>
      </c>
      <c r="R27" s="141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41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>
      <c r="A28" s="167" t="s">
        <v>54</v>
      </c>
      <c r="B28" s="167"/>
      <c r="C28" s="50">
        <f t="shared" ref="C28:J28" si="14">C15+C19+C23+C27</f>
        <v>0</v>
      </c>
      <c r="D28" s="50">
        <f t="shared" si="14"/>
        <v>439</v>
      </c>
      <c r="E28" s="50">
        <f t="shared" si="14"/>
        <v>43</v>
      </c>
      <c r="F28" s="50">
        <f t="shared" si="14"/>
        <v>21</v>
      </c>
      <c r="G28" s="50">
        <f t="shared" si="14"/>
        <v>742</v>
      </c>
      <c r="H28" s="50">
        <f t="shared" si="14"/>
        <v>5</v>
      </c>
      <c r="I28" s="50">
        <f t="shared" si="14"/>
        <v>12</v>
      </c>
      <c r="J28" s="50">
        <f t="shared" si="14"/>
        <v>1241</v>
      </c>
      <c r="K28" s="50">
        <f>K15+K19+K23+K27</f>
        <v>781</v>
      </c>
      <c r="L28" s="36">
        <f>J9</f>
        <v>0.91101433994095316</v>
      </c>
      <c r="M28" s="64">
        <f t="shared" si="3"/>
        <v>0.92317541613316256</v>
      </c>
      <c r="N28" s="64">
        <f t="shared" si="5"/>
        <v>0.95006402048655569</v>
      </c>
      <c r="O28" s="84">
        <f>L28*K28</f>
        <v>711.5021994938844</v>
      </c>
      <c r="P28" s="84">
        <f>G28-F28</f>
        <v>721</v>
      </c>
      <c r="Q28" s="85">
        <f>P28-O28</f>
        <v>9.4978005061155955</v>
      </c>
      <c r="R28" s="141"/>
      <c r="AE28" s="141"/>
    </row>
    <row r="29" spans="1:43">
      <c r="E29" s="46"/>
      <c r="G29" s="46"/>
    </row>
    <row r="30" spans="1:43">
      <c r="E30" s="46">
        <f>E6/(D6-F6)</f>
        <v>6.8062827225130892E-2</v>
      </c>
      <c r="F30" s="7" t="s">
        <v>3012</v>
      </c>
      <c r="G30" s="46">
        <f>G6/(D6-F6)</f>
        <v>3.4031413612565446E-2</v>
      </c>
      <c r="H30" s="81"/>
      <c r="J30" s="55"/>
    </row>
    <row r="31" spans="1:43">
      <c r="E31" s="46">
        <f>E9/(D9-F9)</f>
        <v>5.6578947368421055E-2</v>
      </c>
      <c r="F31" s="7" t="s">
        <v>3013</v>
      </c>
      <c r="G31" s="46">
        <f>G9/(D9-F9)</f>
        <v>2.2368421052631579E-2</v>
      </c>
    </row>
    <row r="32" spans="1:43">
      <c r="E32" s="46">
        <f>E8/(D8-F8)</f>
        <v>4.4973544973544971E-2</v>
      </c>
      <c r="F32" s="7" t="s">
        <v>3014</v>
      </c>
      <c r="G32" s="46">
        <f>G8/(D8-F8)</f>
        <v>1.0582010582010581E-2</v>
      </c>
      <c r="J32" s="46"/>
    </row>
    <row r="34" spans="5:5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7"/>
  <sheetViews>
    <sheetView tabSelected="1" topLeftCell="F1" zoomScale="70" zoomScaleNormal="70" workbookViewId="0">
      <selection activeCell="G1" sqref="G1"/>
    </sheetView>
  </sheetViews>
  <sheetFormatPr defaultColWidth="14.26953125" defaultRowHeight="13" customHeight="1"/>
  <cols>
    <col min="1" max="1" width="4.81640625" bestFit="1" customWidth="1"/>
    <col min="2" max="2" width="9.26953125" bestFit="1" customWidth="1"/>
    <col min="3" max="3" width="10.36328125" bestFit="1" customWidth="1"/>
    <col min="4" max="4" width="37.453125" bestFit="1" customWidth="1"/>
    <col min="5" max="5" width="13.81640625" bestFit="1" customWidth="1"/>
    <col min="6" max="6" width="6.54296875" bestFit="1" customWidth="1"/>
    <col min="7" max="7" width="6.453125" bestFit="1" customWidth="1"/>
    <col min="8" max="8" width="3.7265625" bestFit="1" customWidth="1"/>
    <col min="9" max="9" width="9.26953125" bestFit="1" customWidth="1"/>
    <col min="10" max="10" width="8.26953125" bestFit="1" customWidth="1"/>
    <col min="11" max="11" width="12" bestFit="1" customWidth="1"/>
    <col min="12" max="13" width="9.54296875" bestFit="1" customWidth="1"/>
    <col min="14" max="14" width="23.81640625" bestFit="1" customWidth="1"/>
    <col min="15" max="15" width="13.6328125" bestFit="1" customWidth="1"/>
    <col min="16" max="16" width="6.453125" bestFit="1" customWidth="1"/>
    <col min="17" max="17" width="8.6328125" bestFit="1" customWidth="1"/>
    <col min="18" max="18" width="14.7265625" bestFit="1" customWidth="1"/>
    <col min="19" max="19" width="26.08984375" bestFit="1" customWidth="1"/>
    <col min="20" max="20" width="9.54296875" style="56" bestFit="1" customWidth="1"/>
    <col min="21" max="21" width="21" bestFit="1" customWidth="1"/>
    <col min="22" max="22" width="8.6328125" bestFit="1" customWidth="1"/>
    <col min="23" max="23" width="13.6328125" bestFit="1" customWidth="1"/>
  </cols>
  <sheetData>
    <row r="1" spans="1:25" ht="13" customHeight="1" thickBot="1">
      <c r="A1" s="43" t="s">
        <v>0</v>
      </c>
      <c r="B1" s="44">
        <v>46257</v>
      </c>
      <c r="C1" s="45" t="str">
        <f>TEXT(B1,"dddd")</f>
        <v>Sunday</v>
      </c>
      <c r="F1" t="s">
        <v>72</v>
      </c>
      <c r="G1" s="177">
        <v>7.5600000000000001E-2</v>
      </c>
      <c r="Q1" s="1" t="s">
        <v>1</v>
      </c>
      <c r="R1" s="2" t="s">
        <v>2</v>
      </c>
      <c r="S1" s="2" t="s">
        <v>3</v>
      </c>
      <c r="T1"/>
    </row>
    <row r="2" spans="1:25" ht="13" customHeight="1">
      <c r="Q2" s="3" t="s">
        <v>4</v>
      </c>
      <c r="R2" s="2" t="s">
        <v>5</v>
      </c>
      <c r="S2" s="2" t="s">
        <v>6</v>
      </c>
      <c r="T2"/>
    </row>
    <row r="3" spans="1:25" ht="13" customHeight="1">
      <c r="Q3" s="4" t="s">
        <v>7</v>
      </c>
      <c r="R3" s="2" t="s">
        <v>8</v>
      </c>
      <c r="S3" s="5" t="s">
        <v>9</v>
      </c>
      <c r="T3"/>
    </row>
    <row r="4" spans="1:25" ht="13" customHeight="1">
      <c r="Q4" s="72" t="s">
        <v>10</v>
      </c>
      <c r="R4" s="2" t="s">
        <v>11</v>
      </c>
      <c r="S4" s="6">
        <v>0</v>
      </c>
      <c r="T4"/>
    </row>
    <row r="5" spans="1:25" ht="13" customHeight="1">
      <c r="J5" t="s">
        <v>2686</v>
      </c>
      <c r="T5"/>
    </row>
    <row r="6" spans="1:25" ht="13" customHeight="1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3016</v>
      </c>
      <c r="U6" s="70" t="s">
        <v>30</v>
      </c>
      <c r="V6" s="70" t="s">
        <v>16</v>
      </c>
      <c r="W6" s="131" t="s">
        <v>25</v>
      </c>
      <c r="X6" s="136" t="s">
        <v>3021</v>
      </c>
      <c r="Y6" s="136" t="s">
        <v>3022</v>
      </c>
    </row>
    <row r="7" spans="1:25" ht="13" customHeight="1">
      <c r="A7" s="11">
        <v>1</v>
      </c>
      <c r="B7" s="47">
        <v>206875258</v>
      </c>
      <c r="C7" s="89" t="s">
        <v>1722</v>
      </c>
      <c r="D7" s="11" t="s">
        <v>1723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2713</v>
      </c>
      <c r="T7" s="116" t="s">
        <v>10</v>
      </c>
      <c r="U7" s="88"/>
      <c r="V7" s="51">
        <v>46051</v>
      </c>
      <c r="W7" s="102" t="s">
        <v>1568</v>
      </c>
      <c r="X7" s="135" t="str">
        <f>VLOOKUP(Table1[[#This Row],[AMZ ID]],[1]Roster_1787503287932!$D$2:$AU$1370,25,0)</f>
        <v>Not Present</v>
      </c>
      <c r="Y7" s="135">
        <f>VLOOKUP(Table1[[#This Row],[AMZ ID]],[1]Roster_1787503287932!$D$2:$AM$1370,35,0)</f>
        <v>0</v>
      </c>
    </row>
    <row r="8" spans="1:25" ht="13" customHeight="1">
      <c r="A8" s="11">
        <v>2</v>
      </c>
      <c r="B8" s="47">
        <v>206873715</v>
      </c>
      <c r="C8" s="89" t="s">
        <v>1712</v>
      </c>
      <c r="D8" s="11" t="s">
        <v>1713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2713</v>
      </c>
      <c r="T8" s="116" t="s">
        <v>10</v>
      </c>
      <c r="U8" s="88"/>
      <c r="V8" s="51">
        <v>46020</v>
      </c>
      <c r="W8" s="102" t="s">
        <v>1568</v>
      </c>
      <c r="X8" s="135" t="str">
        <f>VLOOKUP(Table1[[#This Row],[AMZ ID]],[1]Roster_1787503287932!$D$2:$AU$1370,25,0)</f>
        <v>Not Present</v>
      </c>
      <c r="Y8" s="135">
        <f>VLOOKUP(Table1[[#This Row],[AMZ ID]],[1]Roster_1787503287932!$D$2:$AM$1370,35,0)</f>
        <v>0</v>
      </c>
    </row>
    <row r="9" spans="1:25" ht="13" customHeight="1">
      <c r="A9" s="11">
        <v>3</v>
      </c>
      <c r="B9" s="47">
        <v>203679309</v>
      </c>
      <c r="C9" s="89" t="s">
        <v>2213</v>
      </c>
      <c r="D9" s="11" t="s">
        <v>2214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2713</v>
      </c>
      <c r="T9" s="116" t="s">
        <v>10</v>
      </c>
      <c r="U9" s="88"/>
      <c r="V9" s="51">
        <v>45488</v>
      </c>
      <c r="W9" s="102" t="s">
        <v>1568</v>
      </c>
      <c r="X9" s="135" t="str">
        <f>VLOOKUP(Table1[[#This Row],[AMZ ID]],[1]Roster_1787503287932!$D$2:$AU$1370,25,0)</f>
        <v>Not Present</v>
      </c>
      <c r="Y9" s="135">
        <f>VLOOKUP(Table1[[#This Row],[AMZ ID]],[1]Roster_1787503287932!$D$2:$AM$1370,35,0)</f>
        <v>0</v>
      </c>
    </row>
    <row r="10" spans="1:25" ht="13" customHeight="1">
      <c r="A10" s="11">
        <v>4</v>
      </c>
      <c r="B10" s="47">
        <v>204864408</v>
      </c>
      <c r="C10" s="89" t="s">
        <v>91</v>
      </c>
      <c r="D10" s="11" t="s">
        <v>1996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2713</v>
      </c>
      <c r="T10" s="116" t="s">
        <v>10</v>
      </c>
      <c r="U10" s="88"/>
      <c r="V10" s="51">
        <v>45684</v>
      </c>
      <c r="W10" s="102" t="s">
        <v>1568</v>
      </c>
      <c r="X10" s="135" t="str">
        <f>VLOOKUP(Table1[[#This Row],[AMZ ID]],[1]Roster_1787503287932!$D$2:$AU$1370,25,0)</f>
        <v>Not Present</v>
      </c>
      <c r="Y10" s="135">
        <f>VLOOKUP(Table1[[#This Row],[AMZ ID]],[1]Roster_1787503287932!$D$2:$AM$1370,35,0)</f>
        <v>0</v>
      </c>
    </row>
    <row r="11" spans="1:25" ht="13" customHeight="1">
      <c r="A11" s="11">
        <v>5</v>
      </c>
      <c r="B11" s="47">
        <v>203800376</v>
      </c>
      <c r="C11" s="89" t="s">
        <v>2215</v>
      </c>
      <c r="D11" s="11" t="s">
        <v>2216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2713</v>
      </c>
      <c r="T11" s="116" t="s">
        <v>1</v>
      </c>
      <c r="U11" s="88"/>
      <c r="V11" s="51">
        <v>45516</v>
      </c>
      <c r="W11" s="102" t="s">
        <v>1568</v>
      </c>
      <c r="X11" s="135" t="str">
        <f>VLOOKUP(Table1[[#This Row],[AMZ ID]],[1]Roster_1787503287932!$D$2:$AU$1370,25,0)</f>
        <v>Present</v>
      </c>
      <c r="Y11" s="135">
        <f>VLOOKUP(Table1[[#This Row],[AMZ ID]],[1]Roster_1787503287932!$D$2:$AM$1370,35,0)</f>
        <v>0</v>
      </c>
    </row>
    <row r="12" spans="1:25" ht="13" customHeight="1">
      <c r="A12" s="11">
        <v>6</v>
      </c>
      <c r="B12" s="47">
        <v>206953791</v>
      </c>
      <c r="C12" s="90" t="s">
        <v>2154</v>
      </c>
      <c r="D12" s="103" t="s">
        <v>2155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2713</v>
      </c>
      <c r="T12" s="116" t="s">
        <v>1</v>
      </c>
      <c r="U12" s="88"/>
      <c r="V12" s="51">
        <v>46048</v>
      </c>
      <c r="W12" s="102" t="s">
        <v>1568</v>
      </c>
      <c r="X12" s="135" t="str">
        <f>VLOOKUP(Table1[[#This Row],[AMZ ID]],[1]Roster_1787503287932!$D$2:$AU$1370,25,0)</f>
        <v>Present</v>
      </c>
      <c r="Y12" s="135">
        <f>VLOOKUP(Table1[[#This Row],[AMZ ID]],[1]Roster_1787503287932!$D$2:$AM$1370,35,0)</f>
        <v>0</v>
      </c>
    </row>
    <row r="13" spans="1:25" ht="13" customHeight="1">
      <c r="A13" s="11">
        <v>7</v>
      </c>
      <c r="B13" s="47">
        <v>205608373</v>
      </c>
      <c r="C13" s="89" t="s">
        <v>232</v>
      </c>
      <c r="D13" s="11" t="s">
        <v>1997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2713</v>
      </c>
      <c r="T13" s="116" t="s">
        <v>1</v>
      </c>
      <c r="U13" s="88"/>
      <c r="V13" s="51">
        <v>45845</v>
      </c>
      <c r="W13" s="102" t="s">
        <v>1568</v>
      </c>
      <c r="X13" s="135" t="str">
        <f>VLOOKUP(Table1[[#This Row],[AMZ ID]],[1]Roster_1787503287932!$D$2:$AU$1370,25,0)</f>
        <v>Present</v>
      </c>
      <c r="Y13" s="135">
        <f>VLOOKUP(Table1[[#This Row],[AMZ ID]],[1]Roster_1787503287932!$D$2:$AM$1370,35,0)</f>
        <v>0</v>
      </c>
    </row>
    <row r="14" spans="1:25" ht="13" customHeight="1">
      <c r="A14" s="11">
        <v>8</v>
      </c>
      <c r="B14" s="47">
        <v>204869098</v>
      </c>
      <c r="C14" s="89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2713</v>
      </c>
      <c r="T14" s="116" t="s">
        <v>1</v>
      </c>
      <c r="U14" s="88"/>
      <c r="V14" s="51">
        <v>45691</v>
      </c>
      <c r="W14" s="102" t="s">
        <v>1568</v>
      </c>
      <c r="X14" s="135" t="str">
        <f>VLOOKUP(Table1[[#This Row],[AMZ ID]],[1]Roster_1787503287932!$D$2:$AU$1370,25,0)</f>
        <v>Present</v>
      </c>
      <c r="Y14" s="135">
        <f>VLOOKUP(Table1[[#This Row],[AMZ ID]],[1]Roster_1787503287932!$D$2:$AM$1370,35,0)</f>
        <v>0</v>
      </c>
    </row>
    <row r="15" spans="1:25" ht="13" customHeight="1">
      <c r="A15" s="11">
        <v>9</v>
      </c>
      <c r="B15" s="47">
        <v>206875144</v>
      </c>
      <c r="C15" s="89" t="s">
        <v>1716</v>
      </c>
      <c r="D15" s="11" t="s">
        <v>1717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2713</v>
      </c>
      <c r="T15" s="116" t="s">
        <v>10</v>
      </c>
      <c r="U15" s="88"/>
      <c r="V15" s="51">
        <v>46020</v>
      </c>
      <c r="W15" s="102" t="s">
        <v>1568</v>
      </c>
      <c r="X15" s="135" t="str">
        <f>VLOOKUP(Table1[[#This Row],[AMZ ID]],[1]Roster_1787503287932!$D$2:$AU$1370,25,0)</f>
        <v>Not Present</v>
      </c>
      <c r="Y15" s="135">
        <f>VLOOKUP(Table1[[#This Row],[AMZ ID]],[1]Roster_1787503287932!$D$2:$AM$1370,35,0)</f>
        <v>0</v>
      </c>
    </row>
    <row r="16" spans="1:25" ht="13" customHeight="1">
      <c r="A16" s="11">
        <v>10</v>
      </c>
      <c r="B16" s="47">
        <v>204299542</v>
      </c>
      <c r="C16" s="89" t="s">
        <v>2217</v>
      </c>
      <c r="D16" s="11" t="s">
        <v>2218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2713</v>
      </c>
      <c r="T16" s="116" t="s">
        <v>1</v>
      </c>
      <c r="U16" s="88"/>
      <c r="V16" s="51">
        <v>45586</v>
      </c>
      <c r="W16" s="102" t="s">
        <v>1568</v>
      </c>
      <c r="X16" s="135" t="str">
        <f>VLOOKUP(Table1[[#This Row],[AMZ ID]],[1]Roster_1787503287932!$D$2:$AU$1370,25,0)</f>
        <v>Present</v>
      </c>
      <c r="Y16" s="135">
        <f>VLOOKUP(Table1[[#This Row],[AMZ ID]],[1]Roster_1787503287932!$D$2:$AM$1370,35,0)</f>
        <v>0</v>
      </c>
    </row>
    <row r="17" spans="1:25" ht="13" customHeight="1">
      <c r="A17" s="11">
        <v>11</v>
      </c>
      <c r="B17" s="47">
        <v>206873708</v>
      </c>
      <c r="C17" s="89" t="s">
        <v>1710</v>
      </c>
      <c r="D17" s="11" t="s">
        <v>1711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2713</v>
      </c>
      <c r="T17" s="116" t="s">
        <v>10</v>
      </c>
      <c r="U17" s="88"/>
      <c r="V17" s="51">
        <v>46020</v>
      </c>
      <c r="W17" s="102" t="s">
        <v>1568</v>
      </c>
      <c r="X17" s="135" t="str">
        <f>VLOOKUP(Table1[[#This Row],[AMZ ID]],[1]Roster_1787503287932!$D$2:$AU$1370,25,0)</f>
        <v>Not Present</v>
      </c>
      <c r="Y17" s="135">
        <f>VLOOKUP(Table1[[#This Row],[AMZ ID]],[1]Roster_1787503287932!$D$2:$AM$1370,35,0)</f>
        <v>0</v>
      </c>
    </row>
    <row r="18" spans="1:25" ht="13" customHeight="1">
      <c r="A18" s="11">
        <v>12</v>
      </c>
      <c r="B18" s="47">
        <v>203469458</v>
      </c>
      <c r="C18" s="89" t="s">
        <v>104</v>
      </c>
      <c r="D18" s="11" t="s">
        <v>1926</v>
      </c>
      <c r="E18" s="48" t="s">
        <v>31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92</v>
      </c>
      <c r="M18" s="49" t="s">
        <v>84</v>
      </c>
      <c r="N18" s="48" t="s">
        <v>86</v>
      </c>
      <c r="O18" s="49" t="s">
        <v>67</v>
      </c>
      <c r="P18" s="11" t="s">
        <v>80</v>
      </c>
      <c r="Q18" s="11" t="s">
        <v>99</v>
      </c>
      <c r="R18" s="11" t="s">
        <v>82</v>
      </c>
      <c r="S18" s="11" t="s">
        <v>2713</v>
      </c>
      <c r="T18" s="116" t="s">
        <v>7</v>
      </c>
      <c r="U18" s="88" t="s">
        <v>3015</v>
      </c>
      <c r="V18" s="51">
        <v>45456</v>
      </c>
      <c r="W18" s="102" t="s">
        <v>1568</v>
      </c>
      <c r="X18" s="135" t="str">
        <f>VLOOKUP(Table1[[#This Row],[AMZ ID]],[1]Roster_1787503287932!$D$2:$AU$1370,25,0)</f>
        <v>Not Present</v>
      </c>
      <c r="Y18" s="135" t="str">
        <f>VLOOKUP(Table1[[#This Row],[AMZ ID]],[1]Roster_1787503287932!$D$2:$AM$1370,35,0)</f>
        <v>Carry Forwarded Annual Leave</v>
      </c>
    </row>
    <row r="19" spans="1:25" ht="13" customHeight="1">
      <c r="A19" s="11">
        <v>13</v>
      </c>
      <c r="B19" s="47">
        <v>204403651</v>
      </c>
      <c r="C19" s="89" t="s">
        <v>2219</v>
      </c>
      <c r="D19" s="11" t="s">
        <v>2220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2713</v>
      </c>
      <c r="T19" s="116" t="s">
        <v>1</v>
      </c>
      <c r="U19" s="88"/>
      <c r="V19" s="51">
        <v>45596</v>
      </c>
      <c r="W19" s="102" t="s">
        <v>1568</v>
      </c>
      <c r="X19" s="135" t="str">
        <f>VLOOKUP(Table1[[#This Row],[AMZ ID]],[1]Roster_1787503287932!$D$2:$AU$1370,25,0)</f>
        <v>Present</v>
      </c>
      <c r="Y19" s="135">
        <f>VLOOKUP(Table1[[#This Row],[AMZ ID]],[1]Roster_1787503287932!$D$2:$AM$1370,35,0)</f>
        <v>0</v>
      </c>
    </row>
    <row r="20" spans="1:25" ht="13" customHeight="1">
      <c r="A20" s="11">
        <v>14</v>
      </c>
      <c r="B20" s="47">
        <v>204299562</v>
      </c>
      <c r="C20" s="89" t="s">
        <v>2221</v>
      </c>
      <c r="D20" s="11" t="s">
        <v>2222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2713</v>
      </c>
      <c r="T20" s="116" t="s">
        <v>1</v>
      </c>
      <c r="U20" s="88"/>
      <c r="V20" s="51">
        <v>45586</v>
      </c>
      <c r="W20" s="102" t="s">
        <v>1568</v>
      </c>
      <c r="X20" s="135" t="str">
        <f>VLOOKUP(Table1[[#This Row],[AMZ ID]],[1]Roster_1787503287932!$D$2:$AU$1370,25,0)</f>
        <v>Present</v>
      </c>
      <c r="Y20" s="135">
        <f>VLOOKUP(Table1[[#This Row],[AMZ ID]],[1]Roster_1787503287932!$D$2:$AM$1370,35,0)</f>
        <v>0</v>
      </c>
    </row>
    <row r="21" spans="1:25" ht="13" customHeight="1">
      <c r="A21" s="11">
        <v>15</v>
      </c>
      <c r="B21" s="47">
        <v>206949071</v>
      </c>
      <c r="C21" s="90" t="s">
        <v>2158</v>
      </c>
      <c r="D21" s="103" t="s">
        <v>2159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2713</v>
      </c>
      <c r="T21" s="116" t="s">
        <v>1</v>
      </c>
      <c r="U21" s="88"/>
      <c r="V21" s="51">
        <v>46048</v>
      </c>
      <c r="W21" s="102" t="s">
        <v>1568</v>
      </c>
      <c r="X21" s="135" t="str">
        <f>VLOOKUP(Table1[[#This Row],[AMZ ID]],[1]Roster_1787503287932!$D$2:$AU$1370,25,0)</f>
        <v>Present</v>
      </c>
      <c r="Y21" s="135">
        <f>VLOOKUP(Table1[[#This Row],[AMZ ID]],[1]Roster_1787503287932!$D$2:$AM$1370,35,0)</f>
        <v>0</v>
      </c>
    </row>
    <row r="22" spans="1:25" ht="13" customHeight="1">
      <c r="A22" s="11">
        <v>16</v>
      </c>
      <c r="B22" s="47">
        <v>203083928</v>
      </c>
      <c r="C22" s="89" t="s">
        <v>100</v>
      </c>
      <c r="D22" s="11" t="s">
        <v>2000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2713</v>
      </c>
      <c r="T22" s="116" t="s">
        <v>1</v>
      </c>
      <c r="U22" s="88"/>
      <c r="V22" s="51">
        <v>45488</v>
      </c>
      <c r="W22" s="102" t="s">
        <v>1568</v>
      </c>
      <c r="X22" s="135" t="str">
        <f>VLOOKUP(Table1[[#This Row],[AMZ ID]],[1]Roster_1787503287932!$D$2:$AU$1370,25,0)</f>
        <v>Present</v>
      </c>
      <c r="Y22" s="135">
        <f>VLOOKUP(Table1[[#This Row],[AMZ ID]],[1]Roster_1787503287932!$D$2:$AM$1370,35,0)</f>
        <v>0</v>
      </c>
    </row>
    <row r="23" spans="1:25" ht="13" customHeight="1">
      <c r="A23" s="11">
        <v>17</v>
      </c>
      <c r="B23" s="47">
        <v>206926473</v>
      </c>
      <c r="C23" s="89" t="s">
        <v>2186</v>
      </c>
      <c r="D23" s="11" t="s">
        <v>2050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2713</v>
      </c>
      <c r="T23" s="116" t="s">
        <v>1</v>
      </c>
      <c r="U23" s="88"/>
      <c r="V23" s="51">
        <v>46048</v>
      </c>
      <c r="W23" s="102" t="s">
        <v>1568</v>
      </c>
      <c r="X23" s="135" t="str">
        <f>VLOOKUP(Table1[[#This Row],[AMZ ID]],[1]Roster_1787503287932!$D$2:$AU$1370,25,0)</f>
        <v>Present</v>
      </c>
      <c r="Y23" s="135">
        <f>VLOOKUP(Table1[[#This Row],[AMZ ID]],[1]Roster_1787503287932!$D$2:$AM$1370,35,0)</f>
        <v>0</v>
      </c>
    </row>
    <row r="24" spans="1:25" ht="13" customHeight="1">
      <c r="A24" s="11">
        <v>18</v>
      </c>
      <c r="B24" s="47">
        <v>203469072</v>
      </c>
      <c r="C24" s="89" t="s">
        <v>2223</v>
      </c>
      <c r="D24" s="11" t="s">
        <v>2224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2713</v>
      </c>
      <c r="T24" s="116" t="s">
        <v>1</v>
      </c>
      <c r="U24" s="88"/>
      <c r="V24" s="51">
        <v>45456</v>
      </c>
      <c r="W24" s="102" t="s">
        <v>1568</v>
      </c>
      <c r="X24" s="135" t="str">
        <f>VLOOKUP(Table1[[#This Row],[AMZ ID]],[1]Roster_1787503287932!$D$2:$AU$1370,25,0)</f>
        <v>Present</v>
      </c>
      <c r="Y24" s="135">
        <f>VLOOKUP(Table1[[#This Row],[AMZ ID]],[1]Roster_1787503287932!$D$2:$AM$1370,35,0)</f>
        <v>0</v>
      </c>
    </row>
    <row r="25" spans="1:25" ht="13" customHeight="1">
      <c r="A25" s="11">
        <v>19</v>
      </c>
      <c r="B25" s="47">
        <v>206875142</v>
      </c>
      <c r="C25" s="89" t="s">
        <v>1726</v>
      </c>
      <c r="D25" s="11" t="s">
        <v>1727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2713</v>
      </c>
      <c r="T25" s="116" t="s">
        <v>10</v>
      </c>
      <c r="U25" s="88"/>
      <c r="V25" s="51">
        <v>46020</v>
      </c>
      <c r="W25" s="102" t="s">
        <v>1568</v>
      </c>
      <c r="X25" s="135" t="str">
        <f>VLOOKUP(Table1[[#This Row],[AMZ ID]],[1]Roster_1787503287932!$D$2:$AU$1370,25,0)</f>
        <v>Not Present</v>
      </c>
      <c r="Y25" s="135">
        <f>VLOOKUP(Table1[[#This Row],[AMZ ID]],[1]Roster_1787503287932!$D$2:$AM$1370,35,0)</f>
        <v>0</v>
      </c>
    </row>
    <row r="26" spans="1:25" ht="13" customHeight="1">
      <c r="A26" s="11">
        <v>20</v>
      </c>
      <c r="B26" s="47">
        <v>206953811</v>
      </c>
      <c r="C26" s="89" t="s">
        <v>2189</v>
      </c>
      <c r="D26" s="11" t="s">
        <v>2190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2" t="s">
        <v>90</v>
      </c>
      <c r="R26" s="11" t="s">
        <v>2711</v>
      </c>
      <c r="S26" s="11" t="s">
        <v>2712</v>
      </c>
      <c r="T26" s="116" t="s">
        <v>1</v>
      </c>
      <c r="U26" s="88"/>
      <c r="V26" s="51">
        <v>46048</v>
      </c>
      <c r="W26" s="102" t="s">
        <v>1568</v>
      </c>
      <c r="X26" s="135" t="str">
        <f>VLOOKUP(Table1[[#This Row],[AMZ ID]],[1]Roster_1787503287932!$D$2:$AU$1370,25,0)</f>
        <v>Present</v>
      </c>
      <c r="Y26" s="135">
        <f>VLOOKUP(Table1[[#This Row],[AMZ ID]],[1]Roster_1787503287932!$D$2:$AM$1370,35,0)</f>
        <v>0</v>
      </c>
    </row>
    <row r="27" spans="1:25" ht="13" customHeight="1">
      <c r="A27" s="11">
        <v>21</v>
      </c>
      <c r="B27" s="47">
        <v>206875146</v>
      </c>
      <c r="C27" s="89" t="s">
        <v>1750</v>
      </c>
      <c r="D27" s="11" t="s">
        <v>1751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2713</v>
      </c>
      <c r="T27" s="116" t="s">
        <v>10</v>
      </c>
      <c r="U27" s="88"/>
      <c r="V27" s="51">
        <v>46020</v>
      </c>
      <c r="W27" s="102" t="s">
        <v>1568</v>
      </c>
      <c r="X27" s="135" t="str">
        <f>VLOOKUP(Table1[[#This Row],[AMZ ID]],[1]Roster_1787503287932!$D$2:$AU$1370,25,0)</f>
        <v>Not Present</v>
      </c>
      <c r="Y27" s="135">
        <f>VLOOKUP(Table1[[#This Row],[AMZ ID]],[1]Roster_1787503287932!$D$2:$AM$1370,35,0)</f>
        <v>0</v>
      </c>
    </row>
    <row r="28" spans="1:25" ht="13" customHeight="1">
      <c r="A28" s="11">
        <v>22</v>
      </c>
      <c r="B28" s="47">
        <v>205496017</v>
      </c>
      <c r="C28" s="89" t="s">
        <v>251</v>
      </c>
      <c r="D28" s="11" t="s">
        <v>1922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2713</v>
      </c>
      <c r="T28" s="116" t="s">
        <v>1</v>
      </c>
      <c r="U28" s="88"/>
      <c r="V28" s="51">
        <v>45831</v>
      </c>
      <c r="W28" s="102" t="s">
        <v>1568</v>
      </c>
      <c r="X28" s="135" t="str">
        <f>VLOOKUP(Table1[[#This Row],[AMZ ID]],[1]Roster_1787503287932!$D$2:$AU$1370,25,0)</f>
        <v>Present</v>
      </c>
      <c r="Y28" s="135">
        <f>VLOOKUP(Table1[[#This Row],[AMZ ID]],[1]Roster_1787503287932!$D$2:$AM$1370,35,0)</f>
        <v>0</v>
      </c>
    </row>
    <row r="29" spans="1:25" ht="13" customHeight="1">
      <c r="A29" s="11">
        <v>23</v>
      </c>
      <c r="B29" s="47">
        <v>206294541</v>
      </c>
      <c r="C29" s="89" t="s">
        <v>2225</v>
      </c>
      <c r="D29" s="11" t="s">
        <v>2226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2713</v>
      </c>
      <c r="T29" s="116" t="s">
        <v>1</v>
      </c>
      <c r="U29" s="88"/>
      <c r="V29" s="51">
        <v>45950</v>
      </c>
      <c r="W29" s="102" t="s">
        <v>1568</v>
      </c>
      <c r="X29" s="135" t="str">
        <f>VLOOKUP(Table1[[#This Row],[AMZ ID]],[1]Roster_1787503287932!$D$2:$AU$1370,25,0)</f>
        <v>Present</v>
      </c>
      <c r="Y29" s="135">
        <f>VLOOKUP(Table1[[#This Row],[AMZ ID]],[1]Roster_1787503287932!$D$2:$AM$1370,35,0)</f>
        <v>0</v>
      </c>
    </row>
    <row r="30" spans="1:25" ht="13" customHeight="1">
      <c r="A30" s="11">
        <v>24</v>
      </c>
      <c r="B30" s="47">
        <v>203800382</v>
      </c>
      <c r="C30" s="89" t="s">
        <v>2465</v>
      </c>
      <c r="D30" s="11" t="s">
        <v>2466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2713</v>
      </c>
      <c r="T30" s="116" t="s">
        <v>1</v>
      </c>
      <c r="U30" s="88"/>
      <c r="V30" s="51">
        <v>45516</v>
      </c>
      <c r="W30" s="102" t="s">
        <v>1568</v>
      </c>
      <c r="X30" s="135" t="str">
        <f>VLOOKUP(Table1[[#This Row],[AMZ ID]],[1]Roster_1787503287932!$D$2:$AU$1370,25,0)</f>
        <v>Present</v>
      </c>
      <c r="Y30" s="135">
        <f>VLOOKUP(Table1[[#This Row],[AMZ ID]],[1]Roster_1787503287932!$D$2:$AM$1370,35,0)</f>
        <v>0</v>
      </c>
    </row>
    <row r="31" spans="1:25" ht="13" customHeight="1">
      <c r="A31" s="11">
        <v>25</v>
      </c>
      <c r="B31" s="47">
        <v>206930700</v>
      </c>
      <c r="C31" s="89" t="s">
        <v>2127</v>
      </c>
      <c r="D31" s="11" t="s">
        <v>2053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2713</v>
      </c>
      <c r="T31" s="116" t="s">
        <v>10</v>
      </c>
      <c r="U31" s="88"/>
      <c r="V31" s="51">
        <v>46048</v>
      </c>
      <c r="W31" s="102" t="s">
        <v>1568</v>
      </c>
      <c r="X31" s="135" t="str">
        <f>VLOOKUP(Table1[[#This Row],[AMZ ID]],[1]Roster_1787503287932!$D$2:$AU$1370,25,0)</f>
        <v>Not Present</v>
      </c>
      <c r="Y31" s="135">
        <f>VLOOKUP(Table1[[#This Row],[AMZ ID]],[1]Roster_1787503287932!$D$2:$AM$1370,35,0)</f>
        <v>0</v>
      </c>
    </row>
    <row r="32" spans="1:25" ht="13" customHeight="1">
      <c r="A32" s="11">
        <v>26</v>
      </c>
      <c r="B32" s="47">
        <v>206953786</v>
      </c>
      <c r="C32" s="89" t="s">
        <v>2133</v>
      </c>
      <c r="D32" s="11" t="s">
        <v>2061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78</v>
      </c>
      <c r="M32" s="49" t="s">
        <v>92</v>
      </c>
      <c r="N32" s="48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2713</v>
      </c>
      <c r="T32" s="116" t="s">
        <v>10</v>
      </c>
      <c r="U32" s="88"/>
      <c r="V32" s="51">
        <v>46048</v>
      </c>
      <c r="W32" s="102" t="s">
        <v>1568</v>
      </c>
      <c r="X32" s="135" t="str">
        <f>VLOOKUP(Table1[[#This Row],[AMZ ID]],[1]Roster_1787503287932!$D$2:$AU$1370,25,0)</f>
        <v>Not Present</v>
      </c>
      <c r="Y32" s="135">
        <f>VLOOKUP(Table1[[#This Row],[AMZ ID]],[1]Roster_1787503287932!$D$2:$AM$1370,35,0)</f>
        <v>0</v>
      </c>
    </row>
    <row r="33" spans="1:25" ht="13" customHeight="1">
      <c r="A33" s="11">
        <v>27</v>
      </c>
      <c r="B33" s="47">
        <v>206875143</v>
      </c>
      <c r="C33" s="89" t="s">
        <v>1714</v>
      </c>
      <c r="D33" s="11" t="s">
        <v>1715</v>
      </c>
      <c r="E33" s="48" t="s">
        <v>31</v>
      </c>
      <c r="F33" s="48" t="s">
        <v>74</v>
      </c>
      <c r="G33" s="48" t="s">
        <v>64</v>
      </c>
      <c r="H33" s="48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9" t="s">
        <v>89</v>
      </c>
      <c r="O33" s="48" t="s">
        <v>67</v>
      </c>
      <c r="P33" s="48" t="s">
        <v>80</v>
      </c>
      <c r="Q33" s="11" t="s">
        <v>90</v>
      </c>
      <c r="R33" s="11" t="s">
        <v>82</v>
      </c>
      <c r="S33" s="11" t="s">
        <v>2713</v>
      </c>
      <c r="T33" s="116" t="s">
        <v>10</v>
      </c>
      <c r="U33" s="88"/>
      <c r="V33" s="51">
        <v>46020</v>
      </c>
      <c r="W33" s="102" t="s">
        <v>1568</v>
      </c>
      <c r="X33" s="135" t="str">
        <f>VLOOKUP(Table1[[#This Row],[AMZ ID]],[1]Roster_1787503287932!$D$2:$AU$1370,25,0)</f>
        <v>Not Present</v>
      </c>
      <c r="Y33" s="135">
        <f>VLOOKUP(Table1[[#This Row],[AMZ ID]],[1]Roster_1787503287932!$D$2:$AM$1370,35,0)</f>
        <v>0</v>
      </c>
    </row>
    <row r="34" spans="1:25" ht="13" customHeight="1">
      <c r="A34" s="11">
        <v>28</v>
      </c>
      <c r="B34" s="47">
        <v>205647826</v>
      </c>
      <c r="C34" s="89" t="s">
        <v>2227</v>
      </c>
      <c r="D34" s="11" t="s">
        <v>2689</v>
      </c>
      <c r="E34" s="48" t="s">
        <v>31</v>
      </c>
      <c r="F34" s="48" t="s">
        <v>74</v>
      </c>
      <c r="G34" s="11" t="s">
        <v>64</v>
      </c>
      <c r="H34" s="11" t="s">
        <v>75</v>
      </c>
      <c r="I34" s="11">
        <v>1299</v>
      </c>
      <c r="J34" s="49" t="s">
        <v>39</v>
      </c>
      <c r="K34" s="49" t="s">
        <v>76</v>
      </c>
      <c r="L34" s="49" t="s">
        <v>95</v>
      </c>
      <c r="M34" s="49" t="s">
        <v>77</v>
      </c>
      <c r="N34" s="49" t="s">
        <v>89</v>
      </c>
      <c r="O34" s="49" t="s">
        <v>67</v>
      </c>
      <c r="P34" s="11" t="s">
        <v>80</v>
      </c>
      <c r="Q34" s="11" t="s">
        <v>96</v>
      </c>
      <c r="R34" s="11" t="s">
        <v>82</v>
      </c>
      <c r="S34" s="11" t="s">
        <v>2713</v>
      </c>
      <c r="T34" s="116" t="s">
        <v>1</v>
      </c>
      <c r="U34" s="88"/>
      <c r="V34" s="51">
        <v>45852</v>
      </c>
      <c r="W34" s="102" t="s">
        <v>1568</v>
      </c>
      <c r="X34" s="135" t="str">
        <f>VLOOKUP(Table1[[#This Row],[AMZ ID]],[1]Roster_1787503287932!$D$2:$AU$1370,25,0)</f>
        <v>Present</v>
      </c>
      <c r="Y34" s="135">
        <f>VLOOKUP(Table1[[#This Row],[AMZ ID]],[1]Roster_1787503287932!$D$2:$AM$1370,35,0)</f>
        <v>0</v>
      </c>
    </row>
    <row r="35" spans="1:25" ht="13" customHeight="1">
      <c r="A35" s="11">
        <v>29</v>
      </c>
      <c r="B35" s="47">
        <v>206875148</v>
      </c>
      <c r="C35" s="89" t="s">
        <v>1728</v>
      </c>
      <c r="D35" s="11" t="s">
        <v>1729</v>
      </c>
      <c r="E35" s="48" t="s">
        <v>31</v>
      </c>
      <c r="F35" s="48" t="s">
        <v>74</v>
      </c>
      <c r="G35" s="48" t="s">
        <v>64</v>
      </c>
      <c r="H35" s="48" t="s">
        <v>75</v>
      </c>
      <c r="I35" s="11">
        <v>1299</v>
      </c>
      <c r="J35" s="49" t="s">
        <v>39</v>
      </c>
      <c r="K35" s="49" t="s">
        <v>76</v>
      </c>
      <c r="L35" s="49" t="s">
        <v>88</v>
      </c>
      <c r="M35" s="49" t="s">
        <v>95</v>
      </c>
      <c r="N35" s="49" t="s">
        <v>89</v>
      </c>
      <c r="O35" s="48" t="s">
        <v>67</v>
      </c>
      <c r="P35" s="48" t="s">
        <v>80</v>
      </c>
      <c r="Q35" s="11" t="s">
        <v>90</v>
      </c>
      <c r="R35" s="11" t="s">
        <v>82</v>
      </c>
      <c r="S35" s="11" t="s">
        <v>2713</v>
      </c>
      <c r="T35" s="116" t="s">
        <v>1</v>
      </c>
      <c r="U35" s="88"/>
      <c r="V35" s="51">
        <v>46020</v>
      </c>
      <c r="W35" s="102" t="s">
        <v>1568</v>
      </c>
      <c r="X35" s="135" t="str">
        <f>VLOOKUP(Table1[[#This Row],[AMZ ID]],[1]Roster_1787503287932!$D$2:$AU$1370,25,0)</f>
        <v>Present</v>
      </c>
      <c r="Y35" s="135">
        <f>VLOOKUP(Table1[[#This Row],[AMZ ID]],[1]Roster_1787503287932!$D$2:$AM$1370,35,0)</f>
        <v>0</v>
      </c>
    </row>
    <row r="36" spans="1:25" ht="13" customHeight="1">
      <c r="A36" s="11">
        <v>30</v>
      </c>
      <c r="B36" s="47">
        <v>205609430</v>
      </c>
      <c r="C36" s="89" t="s">
        <v>266</v>
      </c>
      <c r="D36" s="11" t="s">
        <v>1998</v>
      </c>
      <c r="E36" s="48" t="s">
        <v>31</v>
      </c>
      <c r="F36" s="48" t="s">
        <v>74</v>
      </c>
      <c r="G36" s="11" t="s">
        <v>64</v>
      </c>
      <c r="H36" s="11" t="s">
        <v>75</v>
      </c>
      <c r="I36" s="11">
        <v>1299</v>
      </c>
      <c r="J36" s="49" t="s">
        <v>39</v>
      </c>
      <c r="K36" s="49" t="s">
        <v>76</v>
      </c>
      <c r="L36" s="49" t="s">
        <v>92</v>
      </c>
      <c r="M36" s="49" t="s">
        <v>84</v>
      </c>
      <c r="N36" s="49" t="s">
        <v>89</v>
      </c>
      <c r="O36" s="49" t="s">
        <v>67</v>
      </c>
      <c r="P36" s="11" t="s">
        <v>80</v>
      </c>
      <c r="Q36" s="11" t="s">
        <v>90</v>
      </c>
      <c r="R36" s="11" t="s">
        <v>82</v>
      </c>
      <c r="S36" s="11" t="s">
        <v>2713</v>
      </c>
      <c r="T36" s="116" t="s">
        <v>1</v>
      </c>
      <c r="U36" s="88"/>
      <c r="V36" s="51">
        <v>45845</v>
      </c>
      <c r="W36" s="102" t="s">
        <v>1568</v>
      </c>
      <c r="X36" s="135" t="str">
        <f>VLOOKUP(Table1[[#This Row],[AMZ ID]],[1]Roster_1787503287932!$D$2:$AU$1370,25,0)</f>
        <v>Present</v>
      </c>
      <c r="Y36" s="135">
        <f>VLOOKUP(Table1[[#This Row],[AMZ ID]],[1]Roster_1787503287932!$D$2:$AM$1370,35,0)</f>
        <v>0</v>
      </c>
    </row>
    <row r="37" spans="1:25" ht="13" customHeight="1">
      <c r="A37" s="11">
        <v>31</v>
      </c>
      <c r="B37" s="47">
        <v>203555399</v>
      </c>
      <c r="C37" s="89" t="s">
        <v>101</v>
      </c>
      <c r="D37" s="11" t="s">
        <v>1999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32</v>
      </c>
      <c r="K37" s="49" t="s">
        <v>76</v>
      </c>
      <c r="L37" s="49" t="s">
        <v>88</v>
      </c>
      <c r="M37" s="49" t="s">
        <v>95</v>
      </c>
      <c r="N37" s="48" t="s">
        <v>79</v>
      </c>
      <c r="O37" s="49" t="s">
        <v>67</v>
      </c>
      <c r="P37" s="11" t="s">
        <v>80</v>
      </c>
      <c r="Q37" s="11" t="s">
        <v>81</v>
      </c>
      <c r="R37" s="11" t="s">
        <v>82</v>
      </c>
      <c r="S37" s="11" t="s">
        <v>2713</v>
      </c>
      <c r="T37" s="116" t="s">
        <v>1</v>
      </c>
      <c r="U37" s="88"/>
      <c r="V37" s="51">
        <v>45470</v>
      </c>
      <c r="W37" s="102" t="s">
        <v>1568</v>
      </c>
      <c r="X37" s="135" t="str">
        <f>VLOOKUP(Table1[[#This Row],[AMZ ID]],[1]Roster_1787503287932!$D$2:$AU$1370,25,0)</f>
        <v>Present</v>
      </c>
      <c r="Y37" s="135">
        <f>VLOOKUP(Table1[[#This Row],[AMZ ID]],[1]Roster_1787503287932!$D$2:$AM$1370,35,0)</f>
        <v>0</v>
      </c>
    </row>
    <row r="38" spans="1:25" ht="13" customHeight="1">
      <c r="A38" s="11">
        <v>32</v>
      </c>
      <c r="B38" s="47">
        <v>205997628</v>
      </c>
      <c r="C38" s="89" t="s">
        <v>2228</v>
      </c>
      <c r="D38" s="11" t="s">
        <v>2229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9" t="s">
        <v>89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2713</v>
      </c>
      <c r="T38" s="116" t="s">
        <v>1</v>
      </c>
      <c r="U38" s="88"/>
      <c r="V38" s="51">
        <v>45915</v>
      </c>
      <c r="W38" s="102" t="s">
        <v>1568</v>
      </c>
      <c r="X38" s="135" t="str">
        <f>VLOOKUP(Table1[[#This Row],[AMZ ID]],[1]Roster_1787503287932!$D$2:$AU$1370,25,0)</f>
        <v>Present</v>
      </c>
      <c r="Y38" s="135">
        <f>VLOOKUP(Table1[[#This Row],[AMZ ID]],[1]Roster_1787503287932!$D$2:$AM$1370,35,0)</f>
        <v>0</v>
      </c>
    </row>
    <row r="39" spans="1:25" ht="13" customHeight="1">
      <c r="A39" s="11">
        <v>33</v>
      </c>
      <c r="B39" s="47">
        <v>203555402</v>
      </c>
      <c r="C39" s="89" t="s">
        <v>102</v>
      </c>
      <c r="D39" s="11" t="s">
        <v>2690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39</v>
      </c>
      <c r="K39" s="49" t="s">
        <v>76</v>
      </c>
      <c r="L39" s="49" t="s">
        <v>88</v>
      </c>
      <c r="M39" s="49" t="s">
        <v>95</v>
      </c>
      <c r="N39" s="48" t="s">
        <v>79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2713</v>
      </c>
      <c r="T39" s="116" t="s">
        <v>1</v>
      </c>
      <c r="U39" s="88"/>
      <c r="V39" s="51">
        <v>45470</v>
      </c>
      <c r="W39" s="102" t="s">
        <v>1568</v>
      </c>
      <c r="X39" s="135" t="str">
        <f>VLOOKUP(Table1[[#This Row],[AMZ ID]],[1]Roster_1787503287932!$D$2:$AU$1370,25,0)</f>
        <v>Present</v>
      </c>
      <c r="Y39" s="135">
        <f>VLOOKUP(Table1[[#This Row],[AMZ ID]],[1]Roster_1787503287932!$D$2:$AM$1370,35,0)</f>
        <v>0</v>
      </c>
    </row>
    <row r="40" spans="1:25" ht="13" customHeight="1">
      <c r="A40" s="11">
        <v>34</v>
      </c>
      <c r="B40" s="47">
        <v>206953810</v>
      </c>
      <c r="C40" s="89" t="s">
        <v>2045</v>
      </c>
      <c r="D40" s="11" t="s">
        <v>2046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32</v>
      </c>
      <c r="K40" s="49" t="s">
        <v>76</v>
      </c>
      <c r="L40" s="49" t="s">
        <v>84</v>
      </c>
      <c r="M40" s="49" t="s">
        <v>85</v>
      </c>
      <c r="N40" s="48" t="s">
        <v>86</v>
      </c>
      <c r="O40" s="49" t="s">
        <v>67</v>
      </c>
      <c r="P40" s="11" t="s">
        <v>80</v>
      </c>
      <c r="Q40" s="11" t="s">
        <v>90</v>
      </c>
      <c r="R40" s="11" t="s">
        <v>82</v>
      </c>
      <c r="S40" s="11" t="s">
        <v>2713</v>
      </c>
      <c r="T40" s="116" t="s">
        <v>1</v>
      </c>
      <c r="U40" s="88"/>
      <c r="V40" s="51">
        <v>46048</v>
      </c>
      <c r="W40" s="102" t="s">
        <v>1568</v>
      </c>
      <c r="X40" s="135" t="str">
        <f>VLOOKUP(Table1[[#This Row],[AMZ ID]],[1]Roster_1787503287932!$D$2:$AU$1370,25,0)</f>
        <v>Present</v>
      </c>
      <c r="Y40" s="135">
        <f>VLOOKUP(Table1[[#This Row],[AMZ ID]],[1]Roster_1787503287932!$D$2:$AM$1370,35,0)</f>
        <v>0</v>
      </c>
    </row>
    <row r="41" spans="1:25" ht="13" customHeight="1">
      <c r="A41" s="11">
        <v>35</v>
      </c>
      <c r="B41" s="47">
        <v>204299899</v>
      </c>
      <c r="C41" s="89" t="s">
        <v>103</v>
      </c>
      <c r="D41" s="11" t="s">
        <v>1923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39</v>
      </c>
      <c r="K41" s="49" t="s">
        <v>76</v>
      </c>
      <c r="L41" s="49" t="s">
        <v>77</v>
      </c>
      <c r="M41" s="49" t="s">
        <v>78</v>
      </c>
      <c r="N41" s="48" t="s">
        <v>86</v>
      </c>
      <c r="O41" s="49" t="s">
        <v>67</v>
      </c>
      <c r="P41" s="11" t="s">
        <v>80</v>
      </c>
      <c r="Q41" s="11" t="s">
        <v>87</v>
      </c>
      <c r="R41" s="11" t="s">
        <v>82</v>
      </c>
      <c r="S41" s="11" t="s">
        <v>2713</v>
      </c>
      <c r="T41" s="116" t="s">
        <v>10</v>
      </c>
      <c r="U41" s="88"/>
      <c r="V41" s="51">
        <v>45589</v>
      </c>
      <c r="W41" s="102" t="s">
        <v>1568</v>
      </c>
      <c r="X41" s="135" t="str">
        <f>VLOOKUP(Table1[[#This Row],[AMZ ID]],[1]Roster_1787503287932!$D$2:$AU$1370,25,0)</f>
        <v>Not Present</v>
      </c>
      <c r="Y41" s="135">
        <f>VLOOKUP(Table1[[#This Row],[AMZ ID]],[1]Roster_1787503287932!$D$2:$AM$1370,35,0)</f>
        <v>0</v>
      </c>
    </row>
    <row r="42" spans="1:25" ht="13" customHeight="1">
      <c r="A42" s="11">
        <v>36</v>
      </c>
      <c r="B42" s="47">
        <v>206953815</v>
      </c>
      <c r="C42" s="90" t="s">
        <v>2168</v>
      </c>
      <c r="D42" s="103" t="s">
        <v>2169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32</v>
      </c>
      <c r="K42" s="49" t="s">
        <v>76</v>
      </c>
      <c r="L42" s="49" t="s">
        <v>84</v>
      </c>
      <c r="M42" s="49" t="s">
        <v>85</v>
      </c>
      <c r="N42" s="48" t="s">
        <v>86</v>
      </c>
      <c r="O42" s="49" t="s">
        <v>67</v>
      </c>
      <c r="P42" s="49" t="s">
        <v>80</v>
      </c>
      <c r="Q42" s="49" t="s">
        <v>90</v>
      </c>
      <c r="R42" s="11" t="s">
        <v>82</v>
      </c>
      <c r="S42" s="11" t="s">
        <v>2713</v>
      </c>
      <c r="T42" s="116" t="s">
        <v>1</v>
      </c>
      <c r="U42" s="88"/>
      <c r="V42" s="51">
        <v>46048</v>
      </c>
      <c r="W42" s="102" t="s">
        <v>1568</v>
      </c>
      <c r="X42" s="135" t="str">
        <f>VLOOKUP(Table1[[#This Row],[AMZ ID]],[1]Roster_1787503287932!$D$2:$AU$1370,25,0)</f>
        <v>Present</v>
      </c>
      <c r="Y42" s="135">
        <f>VLOOKUP(Table1[[#This Row],[AMZ ID]],[1]Roster_1787503287932!$D$2:$AM$1370,35,0)</f>
        <v>0</v>
      </c>
    </row>
    <row r="43" spans="1:25" ht="13" customHeight="1">
      <c r="A43" s="11">
        <v>37</v>
      </c>
      <c r="B43" s="47">
        <v>206016551</v>
      </c>
      <c r="C43" s="89" t="s">
        <v>295</v>
      </c>
      <c r="D43" s="11" t="s">
        <v>1924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77</v>
      </c>
      <c r="M43" s="49" t="s">
        <v>78</v>
      </c>
      <c r="N43" s="49" t="s">
        <v>89</v>
      </c>
      <c r="O43" s="49" t="s">
        <v>67</v>
      </c>
      <c r="P43" s="11" t="s">
        <v>80</v>
      </c>
      <c r="Q43" s="11" t="s">
        <v>81</v>
      </c>
      <c r="R43" s="11" t="s">
        <v>82</v>
      </c>
      <c r="S43" s="11" t="s">
        <v>2713</v>
      </c>
      <c r="T43" s="116" t="s">
        <v>10</v>
      </c>
      <c r="U43" s="88"/>
      <c r="V43" s="51">
        <v>45915</v>
      </c>
      <c r="W43" s="102" t="s">
        <v>1568</v>
      </c>
      <c r="X43" s="135" t="str">
        <f>VLOOKUP(Table1[[#This Row],[AMZ ID]],[1]Roster_1787503287932!$D$2:$AU$1370,25,0)</f>
        <v>Not Present</v>
      </c>
      <c r="Y43" s="135">
        <f>VLOOKUP(Table1[[#This Row],[AMZ ID]],[1]Roster_1787503287932!$D$2:$AM$1370,35,0)</f>
        <v>0</v>
      </c>
    </row>
    <row r="44" spans="1:25" ht="13" customHeight="1">
      <c r="A44" s="11">
        <v>38</v>
      </c>
      <c r="B44" s="47">
        <v>203741547</v>
      </c>
      <c r="C44" s="89" t="s">
        <v>2230</v>
      </c>
      <c r="D44" s="11" t="s">
        <v>2231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95</v>
      </c>
      <c r="M44" s="49" t="s">
        <v>77</v>
      </c>
      <c r="N44" s="48" t="s">
        <v>79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2713</v>
      </c>
      <c r="T44" s="116" t="s">
        <v>1</v>
      </c>
      <c r="U44" s="88"/>
      <c r="V44" s="51">
        <v>45517</v>
      </c>
      <c r="W44" s="102" t="s">
        <v>1568</v>
      </c>
      <c r="X44" s="135" t="str">
        <f>VLOOKUP(Table1[[#This Row],[AMZ ID]],[1]Roster_1787503287932!$D$2:$AU$1370,25,0)</f>
        <v>Present</v>
      </c>
      <c r="Y44" s="135">
        <f>VLOOKUP(Table1[[#This Row],[AMZ ID]],[1]Roster_1787503287932!$D$2:$AM$1370,35,0)</f>
        <v>0</v>
      </c>
    </row>
    <row r="45" spans="1:25" ht="13" customHeight="1">
      <c r="A45" s="11">
        <v>39</v>
      </c>
      <c r="B45" s="47">
        <v>205608617</v>
      </c>
      <c r="C45" s="89" t="s">
        <v>301</v>
      </c>
      <c r="D45" s="11" t="s">
        <v>1925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92</v>
      </c>
      <c r="M45" s="49" t="s">
        <v>84</v>
      </c>
      <c r="N45" s="49" t="s">
        <v>89</v>
      </c>
      <c r="O45" s="49" t="s">
        <v>67</v>
      </c>
      <c r="P45" s="11" t="s">
        <v>80</v>
      </c>
      <c r="Q45" s="11" t="s">
        <v>90</v>
      </c>
      <c r="R45" s="11" t="s">
        <v>82</v>
      </c>
      <c r="S45" s="11" t="s">
        <v>2713</v>
      </c>
      <c r="T45" s="116" t="s">
        <v>1</v>
      </c>
      <c r="U45" s="88"/>
      <c r="V45" s="51">
        <v>45845</v>
      </c>
      <c r="W45" s="102" t="s">
        <v>1568</v>
      </c>
      <c r="X45" s="135" t="str">
        <f>VLOOKUP(Table1[[#This Row],[AMZ ID]],[1]Roster_1787503287932!$D$2:$AU$1370,25,0)</f>
        <v>Present</v>
      </c>
      <c r="Y45" s="135">
        <f>VLOOKUP(Table1[[#This Row],[AMZ ID]],[1]Roster_1787503287932!$D$2:$AM$1370,35,0)</f>
        <v>0</v>
      </c>
    </row>
    <row r="46" spans="1:25" ht="13" customHeight="1">
      <c r="A46" s="11">
        <v>40</v>
      </c>
      <c r="B46" s="47">
        <v>206953974</v>
      </c>
      <c r="C46" s="89" t="s">
        <v>2123</v>
      </c>
      <c r="D46" s="11" t="s">
        <v>2048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84</v>
      </c>
      <c r="M46" s="49" t="s">
        <v>85</v>
      </c>
      <c r="N46" s="48" t="s">
        <v>86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2713</v>
      </c>
      <c r="T46" s="116" t="s">
        <v>1</v>
      </c>
      <c r="U46" s="88"/>
      <c r="V46" s="51">
        <v>46048</v>
      </c>
      <c r="W46" s="102" t="s">
        <v>1568</v>
      </c>
      <c r="X46" s="135" t="str">
        <f>VLOOKUP(Table1[[#This Row],[AMZ ID]],[1]Roster_1787503287932!$D$2:$AU$1370,25,0)</f>
        <v>Present</v>
      </c>
      <c r="Y46" s="135">
        <f>VLOOKUP(Table1[[#This Row],[AMZ ID]],[1]Roster_1787503287932!$D$2:$AM$1370,35,0)</f>
        <v>0</v>
      </c>
    </row>
    <row r="47" spans="1:25" ht="13" customHeight="1">
      <c r="A47" s="11">
        <v>41</v>
      </c>
      <c r="B47" s="47">
        <v>203555403</v>
      </c>
      <c r="C47" s="89" t="s">
        <v>2232</v>
      </c>
      <c r="D47" s="11" t="s">
        <v>2233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77</v>
      </c>
      <c r="M47" s="49" t="s">
        <v>78</v>
      </c>
      <c r="N47" s="48" t="s">
        <v>79</v>
      </c>
      <c r="O47" s="49" t="s">
        <v>67</v>
      </c>
      <c r="P47" s="11" t="s">
        <v>80</v>
      </c>
      <c r="Q47" s="11" t="s">
        <v>81</v>
      </c>
      <c r="R47" s="11" t="s">
        <v>82</v>
      </c>
      <c r="S47" s="11" t="s">
        <v>2713</v>
      </c>
      <c r="T47" s="116" t="s">
        <v>10</v>
      </c>
      <c r="U47" s="88"/>
      <c r="V47" s="51">
        <v>45470</v>
      </c>
      <c r="W47" s="102" t="s">
        <v>1568</v>
      </c>
      <c r="X47" s="135" t="str">
        <f>VLOOKUP(Table1[[#This Row],[AMZ ID]],[1]Roster_1787503287932!$D$2:$AU$1370,25,0)</f>
        <v>Not Present</v>
      </c>
      <c r="Y47" s="135">
        <f>VLOOKUP(Table1[[#This Row],[AMZ ID]],[1]Roster_1787503287932!$D$2:$AM$1370,35,0)</f>
        <v>0</v>
      </c>
    </row>
    <row r="48" spans="1:25" ht="13" customHeight="1">
      <c r="A48" s="11">
        <v>42</v>
      </c>
      <c r="B48" s="47">
        <v>203736754</v>
      </c>
      <c r="C48" s="89" t="s">
        <v>269</v>
      </c>
      <c r="D48" s="11" t="s">
        <v>270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84</v>
      </c>
      <c r="M48" s="49" t="s">
        <v>85</v>
      </c>
      <c r="N48" s="48" t="s">
        <v>86</v>
      </c>
      <c r="O48" s="49" t="s">
        <v>35</v>
      </c>
      <c r="P48" s="11" t="s">
        <v>80</v>
      </c>
      <c r="Q48" s="11" t="s">
        <v>99</v>
      </c>
      <c r="R48" s="11" t="s">
        <v>224</v>
      </c>
      <c r="S48" s="11" t="s">
        <v>2715</v>
      </c>
      <c r="T48" s="116" t="s">
        <v>7</v>
      </c>
      <c r="U48" s="88" t="s">
        <v>3015</v>
      </c>
      <c r="V48" s="51">
        <v>45502</v>
      </c>
      <c r="W48" s="97" t="s">
        <v>1573</v>
      </c>
      <c r="X48" s="135" t="str">
        <f>VLOOKUP(Table1[[#This Row],[AMZ ID]],[1]Roster_1787503287932!$D$2:$AU$1370,25,0)</f>
        <v>Not Present</v>
      </c>
      <c r="Y48" s="135" t="str">
        <f>VLOOKUP(Table1[[#This Row],[AMZ ID]],[1]Roster_1787503287932!$D$2:$AM$1370,35,0)</f>
        <v>Carry Forwarded Annual Leave</v>
      </c>
    </row>
    <row r="49" spans="1:25" ht="13" customHeight="1">
      <c r="A49" s="11">
        <v>43</v>
      </c>
      <c r="B49" s="47">
        <v>206072867</v>
      </c>
      <c r="C49" s="89" t="s">
        <v>2472</v>
      </c>
      <c r="D49" s="11" t="s">
        <v>2473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78</v>
      </c>
      <c r="M49" s="49" t="s">
        <v>92</v>
      </c>
      <c r="N49" s="49" t="s">
        <v>89</v>
      </c>
      <c r="O49" s="49" t="s">
        <v>67</v>
      </c>
      <c r="P49" s="11" t="s">
        <v>80</v>
      </c>
      <c r="Q49" s="11" t="s">
        <v>81</v>
      </c>
      <c r="R49" s="11" t="s">
        <v>82</v>
      </c>
      <c r="S49" s="11" t="s">
        <v>2713</v>
      </c>
      <c r="T49" s="116" t="s">
        <v>10</v>
      </c>
      <c r="U49" s="88"/>
      <c r="V49" s="51">
        <v>45922</v>
      </c>
      <c r="W49" s="102" t="s">
        <v>1568</v>
      </c>
      <c r="X49" s="135" t="str">
        <f>VLOOKUP(Table1[[#This Row],[AMZ ID]],[1]Roster_1787503287932!$D$2:$AU$1370,25,0)</f>
        <v>Not Present</v>
      </c>
      <c r="Y49" s="135">
        <f>VLOOKUP(Table1[[#This Row],[AMZ ID]],[1]Roster_1787503287932!$D$2:$AM$1370,35,0)</f>
        <v>0</v>
      </c>
    </row>
    <row r="50" spans="1:25" ht="13" customHeight="1">
      <c r="A50" s="11">
        <v>44</v>
      </c>
      <c r="B50" s="47">
        <v>206953984</v>
      </c>
      <c r="C50" s="89" t="s">
        <v>2128</v>
      </c>
      <c r="D50" s="11" t="s">
        <v>2054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95</v>
      </c>
      <c r="M50" s="49" t="s">
        <v>77</v>
      </c>
      <c r="N50" s="48" t="s">
        <v>86</v>
      </c>
      <c r="O50" s="49" t="s">
        <v>67</v>
      </c>
      <c r="P50" s="11" t="s">
        <v>80</v>
      </c>
      <c r="Q50" s="11" t="s">
        <v>90</v>
      </c>
      <c r="R50" s="11" t="s">
        <v>82</v>
      </c>
      <c r="S50" s="11" t="s">
        <v>2713</v>
      </c>
      <c r="T50" s="116" t="s">
        <v>1</v>
      </c>
      <c r="U50" s="88"/>
      <c r="V50" s="51">
        <v>46048</v>
      </c>
      <c r="W50" s="102" t="s">
        <v>1568</v>
      </c>
      <c r="X50" s="135" t="str">
        <f>VLOOKUP(Table1[[#This Row],[AMZ ID]],[1]Roster_1787503287932!$D$2:$AU$1370,25,0)</f>
        <v>Present</v>
      </c>
      <c r="Y50" s="135">
        <f>VLOOKUP(Table1[[#This Row],[AMZ ID]],[1]Roster_1787503287932!$D$2:$AM$1370,35,0)</f>
        <v>0</v>
      </c>
    </row>
    <row r="51" spans="1:25" ht="13" customHeight="1">
      <c r="A51" s="11">
        <v>45</v>
      </c>
      <c r="B51" s="47">
        <v>203469449</v>
      </c>
      <c r="C51" s="89" t="s">
        <v>105</v>
      </c>
      <c r="D51" s="11" t="s">
        <v>1927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99</v>
      </c>
      <c r="R51" s="11" t="s">
        <v>82</v>
      </c>
      <c r="S51" s="11" t="s">
        <v>2713</v>
      </c>
      <c r="T51" s="116" t="s">
        <v>1</v>
      </c>
      <c r="U51" s="88"/>
      <c r="V51" s="51">
        <v>45456</v>
      </c>
      <c r="W51" s="102" t="s">
        <v>1568</v>
      </c>
      <c r="X51" s="135" t="str">
        <f>VLOOKUP(Table1[[#This Row],[AMZ ID]],[1]Roster_1787503287932!$D$2:$AU$1370,25,0)</f>
        <v>Present</v>
      </c>
      <c r="Y51" s="135">
        <f>VLOOKUP(Table1[[#This Row],[AMZ ID]],[1]Roster_1787503287932!$D$2:$AM$1370,35,0)</f>
        <v>0</v>
      </c>
    </row>
    <row r="52" spans="1:25" ht="13" customHeight="1">
      <c r="A52" s="11">
        <v>46</v>
      </c>
      <c r="B52" s="47">
        <v>204299548</v>
      </c>
      <c r="C52" s="89" t="s">
        <v>2234</v>
      </c>
      <c r="D52" s="11" t="s">
        <v>2235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77</v>
      </c>
      <c r="M52" s="49" t="s">
        <v>78</v>
      </c>
      <c r="N52" s="49" t="s">
        <v>89</v>
      </c>
      <c r="O52" s="49" t="s">
        <v>67</v>
      </c>
      <c r="P52" s="11" t="s">
        <v>80</v>
      </c>
      <c r="Q52" s="11" t="s">
        <v>87</v>
      </c>
      <c r="R52" s="11" t="s">
        <v>82</v>
      </c>
      <c r="S52" s="11" t="s">
        <v>2713</v>
      </c>
      <c r="T52" s="116" t="s">
        <v>10</v>
      </c>
      <c r="U52" s="88"/>
      <c r="V52" s="51">
        <v>45586</v>
      </c>
      <c r="W52" s="102" t="s">
        <v>1568</v>
      </c>
      <c r="X52" s="135" t="str">
        <f>VLOOKUP(Table1[[#This Row],[AMZ ID]],[1]Roster_1787503287932!$D$2:$AU$1370,25,0)</f>
        <v>Not Present</v>
      </c>
      <c r="Y52" s="135">
        <f>VLOOKUP(Table1[[#This Row],[AMZ ID]],[1]Roster_1787503287932!$D$2:$AM$1370,35,0)</f>
        <v>0</v>
      </c>
    </row>
    <row r="53" spans="1:25" ht="13" customHeight="1">
      <c r="A53" s="11">
        <v>47</v>
      </c>
      <c r="B53" s="47">
        <v>203469051</v>
      </c>
      <c r="C53" s="89" t="s">
        <v>2236</v>
      </c>
      <c r="D53" s="11" t="s">
        <v>2237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84</v>
      </c>
      <c r="M53" s="49" t="s">
        <v>85</v>
      </c>
      <c r="N53" s="48" t="s">
        <v>79</v>
      </c>
      <c r="O53" s="49" t="s">
        <v>67</v>
      </c>
      <c r="P53" s="11" t="s">
        <v>80</v>
      </c>
      <c r="Q53" s="11" t="s">
        <v>81</v>
      </c>
      <c r="R53" s="11" t="s">
        <v>82</v>
      </c>
      <c r="S53" s="11" t="s">
        <v>2713</v>
      </c>
      <c r="T53" s="116" t="s">
        <v>1</v>
      </c>
      <c r="U53" s="88"/>
      <c r="V53" s="51">
        <v>45456</v>
      </c>
      <c r="W53" s="102" t="s">
        <v>1568</v>
      </c>
      <c r="X53" s="135" t="str">
        <f>VLOOKUP(Table1[[#This Row],[AMZ ID]],[1]Roster_1787503287932!$D$2:$AU$1370,25,0)</f>
        <v>Present</v>
      </c>
      <c r="Y53" s="135">
        <f>VLOOKUP(Table1[[#This Row],[AMZ ID]],[1]Roster_1787503287932!$D$2:$AM$1370,35,0)</f>
        <v>0</v>
      </c>
    </row>
    <row r="54" spans="1:25" ht="13" customHeight="1">
      <c r="A54" s="11">
        <v>48</v>
      </c>
      <c r="B54" s="47">
        <v>204299544</v>
      </c>
      <c r="C54" s="89" t="s">
        <v>106</v>
      </c>
      <c r="D54" s="11" t="s">
        <v>1928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39</v>
      </c>
      <c r="K54" s="49" t="s">
        <v>76</v>
      </c>
      <c r="L54" s="49" t="s">
        <v>85</v>
      </c>
      <c r="M54" s="49" t="s">
        <v>88</v>
      </c>
      <c r="N54" s="48" t="s">
        <v>86</v>
      </c>
      <c r="O54" s="49" t="s">
        <v>67</v>
      </c>
      <c r="P54" s="11" t="s">
        <v>80</v>
      </c>
      <c r="Q54" s="11" t="s">
        <v>87</v>
      </c>
      <c r="R54" s="11" t="s">
        <v>82</v>
      </c>
      <c r="S54" s="11" t="s">
        <v>2713</v>
      </c>
      <c r="T54" s="116" t="s">
        <v>1</v>
      </c>
      <c r="U54" s="88"/>
      <c r="V54" s="51">
        <v>45586</v>
      </c>
      <c r="W54" s="102" t="s">
        <v>1568</v>
      </c>
      <c r="X54" s="135" t="str">
        <f>VLOOKUP(Table1[[#This Row],[AMZ ID]],[1]Roster_1787503287932!$D$2:$AU$1370,25,0)</f>
        <v>Present</v>
      </c>
      <c r="Y54" s="135">
        <f>VLOOKUP(Table1[[#This Row],[AMZ ID]],[1]Roster_1787503287932!$D$2:$AM$1370,35,0)</f>
        <v>0</v>
      </c>
    </row>
    <row r="55" spans="1:25" ht="13" customHeight="1">
      <c r="A55" s="11">
        <v>49</v>
      </c>
      <c r="B55" s="47">
        <v>206949308</v>
      </c>
      <c r="C55" s="90" t="s">
        <v>2162</v>
      </c>
      <c r="D55" s="103" t="s">
        <v>2163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32</v>
      </c>
      <c r="K55" s="49" t="s">
        <v>76</v>
      </c>
      <c r="L55" s="49" t="s">
        <v>84</v>
      </c>
      <c r="M55" s="49" t="s">
        <v>85</v>
      </c>
      <c r="N55" s="48" t="s">
        <v>86</v>
      </c>
      <c r="O55" s="49" t="s">
        <v>67</v>
      </c>
      <c r="P55" s="49" t="s">
        <v>80</v>
      </c>
      <c r="Q55" s="49" t="s">
        <v>90</v>
      </c>
      <c r="R55" s="11" t="s">
        <v>82</v>
      </c>
      <c r="S55" s="11" t="s">
        <v>2713</v>
      </c>
      <c r="T55" s="116" t="s">
        <v>1</v>
      </c>
      <c r="U55" s="88"/>
      <c r="V55" s="51">
        <v>46048</v>
      </c>
      <c r="W55" s="102" t="s">
        <v>1568</v>
      </c>
      <c r="X55" s="135" t="str">
        <f>VLOOKUP(Table1[[#This Row],[AMZ ID]],[1]Roster_1787503287932!$D$2:$AU$1370,25,0)</f>
        <v>Present</v>
      </c>
      <c r="Y55" s="135">
        <f>VLOOKUP(Table1[[#This Row],[AMZ ID]],[1]Roster_1787503287932!$D$2:$AM$1370,35,0)</f>
        <v>0</v>
      </c>
    </row>
    <row r="56" spans="1:25" ht="13" customHeight="1">
      <c r="A56" s="11">
        <v>50</v>
      </c>
      <c r="B56" s="47">
        <v>206949309</v>
      </c>
      <c r="C56" s="89" t="s">
        <v>2166</v>
      </c>
      <c r="D56" s="11" t="s">
        <v>2167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39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11" t="s">
        <v>80</v>
      </c>
      <c r="Q56" s="11" t="s">
        <v>90</v>
      </c>
      <c r="R56" s="11" t="s">
        <v>82</v>
      </c>
      <c r="S56" s="11" t="s">
        <v>2713</v>
      </c>
      <c r="T56" s="116" t="s">
        <v>1</v>
      </c>
      <c r="U56" s="88"/>
      <c r="V56" s="51">
        <v>46048</v>
      </c>
      <c r="W56" s="97" t="s">
        <v>1568</v>
      </c>
      <c r="X56" s="135" t="str">
        <f>VLOOKUP(Table1[[#This Row],[AMZ ID]],[1]Roster_1787503287932!$D$2:$AU$1370,25,0)</f>
        <v>Present</v>
      </c>
      <c r="Y56" s="135">
        <f>VLOOKUP(Table1[[#This Row],[AMZ ID]],[1]Roster_1787503287932!$D$2:$AM$1370,35,0)</f>
        <v>0</v>
      </c>
    </row>
    <row r="57" spans="1:25" ht="13" customHeight="1">
      <c r="A57" s="11">
        <v>51</v>
      </c>
      <c r="B57" s="47">
        <v>102207650</v>
      </c>
      <c r="C57" s="90" t="s">
        <v>2691</v>
      </c>
      <c r="D57" s="103" t="s">
        <v>2692</v>
      </c>
      <c r="E57" s="48" t="s">
        <v>34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32</v>
      </c>
      <c r="K57" s="49" t="s">
        <v>76</v>
      </c>
      <c r="L57" s="49" t="s">
        <v>85</v>
      </c>
      <c r="M57" s="49" t="s">
        <v>88</v>
      </c>
      <c r="N57" s="48" t="s">
        <v>108</v>
      </c>
      <c r="O57" s="49" t="s">
        <v>67</v>
      </c>
      <c r="P57" s="49" t="s">
        <v>80</v>
      </c>
      <c r="Q57" s="49" t="s">
        <v>98</v>
      </c>
      <c r="R57" s="11" t="s">
        <v>82</v>
      </c>
      <c r="S57" s="11" t="s">
        <v>2713</v>
      </c>
      <c r="T57" s="116" t="s">
        <v>1</v>
      </c>
      <c r="U57" s="88"/>
      <c r="V57" s="51">
        <v>42868</v>
      </c>
      <c r="W57" s="102" t="s">
        <v>1568</v>
      </c>
      <c r="X57" s="135" t="str">
        <f>VLOOKUP(Table1[[#This Row],[AMZ ID]],[1]Roster_1787503287932!$D$2:$AU$1370,25,0)</f>
        <v>Present</v>
      </c>
      <c r="Y57" s="135">
        <f>VLOOKUP(Table1[[#This Row],[AMZ ID]],[1]Roster_1787503287932!$D$2:$AM$1370,35,0)</f>
        <v>0</v>
      </c>
    </row>
    <row r="58" spans="1:25" ht="13" customHeight="1">
      <c r="A58" s="11">
        <v>52</v>
      </c>
      <c r="B58" s="47">
        <v>204095444</v>
      </c>
      <c r="C58" s="89" t="s">
        <v>1359</v>
      </c>
      <c r="D58" s="11" t="s">
        <v>1988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88</v>
      </c>
      <c r="M58" s="49" t="s">
        <v>95</v>
      </c>
      <c r="N58" s="48" t="s">
        <v>86</v>
      </c>
      <c r="O58" s="49" t="s">
        <v>67</v>
      </c>
      <c r="P58" s="11" t="s">
        <v>80</v>
      </c>
      <c r="Q58" s="11" t="s">
        <v>87</v>
      </c>
      <c r="R58" s="11" t="s">
        <v>82</v>
      </c>
      <c r="S58" s="11" t="s">
        <v>2713</v>
      </c>
      <c r="T58" s="116" t="s">
        <v>1</v>
      </c>
      <c r="U58" s="88"/>
      <c r="V58" s="51">
        <v>45561</v>
      </c>
      <c r="W58" s="102" t="s">
        <v>1568</v>
      </c>
      <c r="X58" s="135" t="str">
        <f>VLOOKUP(Table1[[#This Row],[AMZ ID]],[1]Roster_1787503287932!$D$2:$AU$1370,25,0)</f>
        <v>Present</v>
      </c>
      <c r="Y58" s="135">
        <f>VLOOKUP(Table1[[#This Row],[AMZ ID]],[1]Roster_1787503287932!$D$2:$AM$1370,35,0)</f>
        <v>0</v>
      </c>
    </row>
    <row r="59" spans="1:25" ht="13" customHeight="1">
      <c r="A59" s="11">
        <v>53</v>
      </c>
      <c r="B59" s="47">
        <v>206348021</v>
      </c>
      <c r="C59" s="89" t="s">
        <v>1707</v>
      </c>
      <c r="D59" s="11" t="s">
        <v>1989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78</v>
      </c>
      <c r="M59" s="49" t="s">
        <v>92</v>
      </c>
      <c r="N59" s="48" t="s">
        <v>89</v>
      </c>
      <c r="O59" s="49" t="s">
        <v>67</v>
      </c>
      <c r="P59" s="11" t="s">
        <v>80</v>
      </c>
      <c r="Q59" s="11" t="s">
        <v>81</v>
      </c>
      <c r="R59" s="11" t="s">
        <v>82</v>
      </c>
      <c r="S59" s="11" t="s">
        <v>2713</v>
      </c>
      <c r="T59" s="116" t="s">
        <v>10</v>
      </c>
      <c r="U59" s="88"/>
      <c r="V59" s="51">
        <v>45957</v>
      </c>
      <c r="W59" s="102" t="s">
        <v>1568</v>
      </c>
      <c r="X59" s="135" t="str">
        <f>VLOOKUP(Table1[[#This Row],[AMZ ID]],[1]Roster_1787503287932!$D$2:$AU$1370,25,0)</f>
        <v>Not Present</v>
      </c>
      <c r="Y59" s="135">
        <f>VLOOKUP(Table1[[#This Row],[AMZ ID]],[1]Roster_1787503287932!$D$2:$AM$1370,35,0)</f>
        <v>0</v>
      </c>
    </row>
    <row r="60" spans="1:25" ht="13" customHeight="1">
      <c r="A60" s="11">
        <v>54</v>
      </c>
      <c r="B60" s="47">
        <v>206957735</v>
      </c>
      <c r="C60" s="89" t="s">
        <v>2115</v>
      </c>
      <c r="D60" s="11" t="s">
        <v>2038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32</v>
      </c>
      <c r="K60" s="49" t="s">
        <v>76</v>
      </c>
      <c r="L60" s="49" t="s">
        <v>92</v>
      </c>
      <c r="M60" s="49" t="s">
        <v>84</v>
      </c>
      <c r="N60" s="49" t="s">
        <v>89</v>
      </c>
      <c r="O60" s="49" t="s">
        <v>67</v>
      </c>
      <c r="P60" s="11" t="s">
        <v>80</v>
      </c>
      <c r="Q60" s="11" t="s">
        <v>96</v>
      </c>
      <c r="R60" s="11" t="s">
        <v>82</v>
      </c>
      <c r="S60" s="11" t="s">
        <v>2713</v>
      </c>
      <c r="T60" s="116" t="s">
        <v>1</v>
      </c>
      <c r="U60" s="88"/>
      <c r="V60" s="51">
        <v>46048</v>
      </c>
      <c r="W60" s="102" t="s">
        <v>1568</v>
      </c>
      <c r="X60" s="135" t="str">
        <f>VLOOKUP(Table1[[#This Row],[AMZ ID]],[1]Roster_1787503287932!$D$2:$AU$1370,25,0)</f>
        <v>Present</v>
      </c>
      <c r="Y60" s="135">
        <f>VLOOKUP(Table1[[#This Row],[AMZ ID]],[1]Roster_1787503287932!$D$2:$AM$1370,35,0)</f>
        <v>0</v>
      </c>
    </row>
    <row r="61" spans="1:25" ht="13" customHeight="1">
      <c r="A61" s="11">
        <v>55</v>
      </c>
      <c r="B61" s="47">
        <v>203469401</v>
      </c>
      <c r="C61" s="90" t="s">
        <v>121</v>
      </c>
      <c r="D61" s="103" t="s">
        <v>1941</v>
      </c>
      <c r="E61" s="103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88</v>
      </c>
      <c r="M61" s="49" t="s">
        <v>95</v>
      </c>
      <c r="N61" s="48" t="s">
        <v>86</v>
      </c>
      <c r="O61" s="49" t="s">
        <v>67</v>
      </c>
      <c r="P61" s="49" t="s">
        <v>80</v>
      </c>
      <c r="Q61" s="49" t="s">
        <v>99</v>
      </c>
      <c r="R61" s="11" t="s">
        <v>82</v>
      </c>
      <c r="S61" s="11" t="s">
        <v>2713</v>
      </c>
      <c r="T61" s="116" t="s">
        <v>7</v>
      </c>
      <c r="U61" s="88" t="s">
        <v>3015</v>
      </c>
      <c r="V61" s="51">
        <v>45456</v>
      </c>
      <c r="W61" s="102" t="s">
        <v>1568</v>
      </c>
      <c r="X61" s="135" t="str">
        <f>VLOOKUP(Table1[[#This Row],[AMZ ID]],[1]Roster_1787503287932!$D$2:$AU$1370,25,0)</f>
        <v>Not Present</v>
      </c>
      <c r="Y61" s="135" t="str">
        <f>VLOOKUP(Table1[[#This Row],[AMZ ID]],[1]Roster_1787503287932!$D$2:$AM$1370,35,0)</f>
        <v>Carry Forwarded Annual Leave</v>
      </c>
    </row>
    <row r="62" spans="1:25" ht="13" customHeight="1">
      <c r="A62" s="11">
        <v>56</v>
      </c>
      <c r="B62" s="47">
        <v>206957724</v>
      </c>
      <c r="C62" s="89" t="s">
        <v>2116</v>
      </c>
      <c r="D62" s="11" t="s">
        <v>2039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84</v>
      </c>
      <c r="M62" s="49" t="s">
        <v>85</v>
      </c>
      <c r="N62" s="48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2713</v>
      </c>
      <c r="T62" s="116" t="s">
        <v>1</v>
      </c>
      <c r="U62" s="88"/>
      <c r="V62" s="51">
        <v>46048</v>
      </c>
      <c r="W62" s="102" t="s">
        <v>1568</v>
      </c>
      <c r="X62" s="135" t="str">
        <f>VLOOKUP(Table1[[#This Row],[AMZ ID]],[1]Roster_1787503287932!$D$2:$AU$1370,25,0)</f>
        <v>Present</v>
      </c>
      <c r="Y62" s="135">
        <f>VLOOKUP(Table1[[#This Row],[AMZ ID]],[1]Roster_1787503287932!$D$2:$AM$1370,35,0)</f>
        <v>0</v>
      </c>
    </row>
    <row r="63" spans="1:25" ht="13" customHeight="1">
      <c r="A63" s="11">
        <v>57</v>
      </c>
      <c r="B63" s="47">
        <v>206954239</v>
      </c>
      <c r="C63" s="89" t="s">
        <v>2152</v>
      </c>
      <c r="D63" s="11" t="s">
        <v>2153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39</v>
      </c>
      <c r="K63" s="49" t="s">
        <v>76</v>
      </c>
      <c r="L63" s="49" t="s">
        <v>88</v>
      </c>
      <c r="M63" s="49" t="s">
        <v>95</v>
      </c>
      <c r="N63" s="49" t="s">
        <v>86</v>
      </c>
      <c r="O63" s="49" t="s">
        <v>67</v>
      </c>
      <c r="P63" s="11" t="s">
        <v>80</v>
      </c>
      <c r="Q63" s="11" t="s">
        <v>90</v>
      </c>
      <c r="R63" s="11" t="s">
        <v>82</v>
      </c>
      <c r="S63" s="11" t="s">
        <v>2713</v>
      </c>
      <c r="T63" s="116" t="s">
        <v>1</v>
      </c>
      <c r="U63" s="88"/>
      <c r="V63" s="51">
        <v>46048</v>
      </c>
      <c r="W63" s="102" t="s">
        <v>1568</v>
      </c>
      <c r="X63" s="135" t="str">
        <f>VLOOKUP(Table1[[#This Row],[AMZ ID]],[1]Roster_1787503287932!$D$2:$AU$1370,25,0)</f>
        <v>Present</v>
      </c>
      <c r="Y63" s="135">
        <f>VLOOKUP(Table1[[#This Row],[AMZ ID]],[1]Roster_1787503287932!$D$2:$AM$1370,35,0)</f>
        <v>0</v>
      </c>
    </row>
    <row r="64" spans="1:25" ht="13" customHeight="1">
      <c r="A64" s="11">
        <v>58</v>
      </c>
      <c r="B64" s="47">
        <v>206875150</v>
      </c>
      <c r="C64" s="90" t="s">
        <v>1718</v>
      </c>
      <c r="D64" s="103" t="s">
        <v>1719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78</v>
      </c>
      <c r="M64" s="49" t="s">
        <v>92</v>
      </c>
      <c r="N64" s="48" t="s">
        <v>89</v>
      </c>
      <c r="O64" s="49" t="s">
        <v>67</v>
      </c>
      <c r="P64" s="49" t="s">
        <v>80</v>
      </c>
      <c r="Q64" s="49" t="s">
        <v>90</v>
      </c>
      <c r="R64" s="11" t="s">
        <v>82</v>
      </c>
      <c r="S64" s="11" t="s">
        <v>2713</v>
      </c>
      <c r="T64" s="116" t="s">
        <v>10</v>
      </c>
      <c r="U64" s="88"/>
      <c r="V64" s="51">
        <v>46020</v>
      </c>
      <c r="W64" s="102" t="s">
        <v>1568</v>
      </c>
      <c r="X64" s="135" t="str">
        <f>VLOOKUP(Table1[[#This Row],[AMZ ID]],[1]Roster_1787503287932!$D$2:$AU$1370,25,0)</f>
        <v>Not Present</v>
      </c>
      <c r="Y64" s="135">
        <f>VLOOKUP(Table1[[#This Row],[AMZ ID]],[1]Roster_1787503287932!$D$2:$AM$1370,35,0)</f>
        <v>0</v>
      </c>
    </row>
    <row r="65" spans="1:25" ht="13" customHeight="1">
      <c r="A65" s="11">
        <v>59</v>
      </c>
      <c r="B65" s="47">
        <v>203469452</v>
      </c>
      <c r="C65" s="89" t="s">
        <v>2238</v>
      </c>
      <c r="D65" s="11" t="s">
        <v>2693</v>
      </c>
      <c r="E65" s="48" t="s">
        <v>31</v>
      </c>
      <c r="F65" s="48" t="s">
        <v>74</v>
      </c>
      <c r="G65" s="48" t="s">
        <v>64</v>
      </c>
      <c r="H65" s="48" t="s">
        <v>75</v>
      </c>
      <c r="I65" s="11">
        <v>1299</v>
      </c>
      <c r="J65" s="49" t="s">
        <v>39</v>
      </c>
      <c r="K65" s="49" t="s">
        <v>76</v>
      </c>
      <c r="L65" s="49" t="s">
        <v>92</v>
      </c>
      <c r="M65" s="49" t="s">
        <v>84</v>
      </c>
      <c r="N65" s="49" t="s">
        <v>86</v>
      </c>
      <c r="O65" s="48" t="s">
        <v>67</v>
      </c>
      <c r="P65" s="48" t="s">
        <v>80</v>
      </c>
      <c r="Q65" s="11" t="s">
        <v>99</v>
      </c>
      <c r="R65" s="11" t="s">
        <v>82</v>
      </c>
      <c r="S65" s="11" t="s">
        <v>2713</v>
      </c>
      <c r="T65" s="116" t="s">
        <v>1</v>
      </c>
      <c r="U65" s="88"/>
      <c r="V65" s="51">
        <v>45456</v>
      </c>
      <c r="W65" s="102" t="s">
        <v>1568</v>
      </c>
      <c r="X65" s="135" t="str">
        <f>VLOOKUP(Table1[[#This Row],[AMZ ID]],[1]Roster_1787503287932!$D$2:$AU$1370,25,0)</f>
        <v>Present</v>
      </c>
      <c r="Y65" s="135">
        <f>VLOOKUP(Table1[[#This Row],[AMZ ID]],[1]Roster_1787503287932!$D$2:$AM$1370,35,0)</f>
        <v>0</v>
      </c>
    </row>
    <row r="66" spans="1:25" ht="13" customHeight="1">
      <c r="A66" s="11">
        <v>60</v>
      </c>
      <c r="B66" s="47">
        <v>204299903</v>
      </c>
      <c r="C66" s="89" t="s">
        <v>2452</v>
      </c>
      <c r="D66" s="11" t="s">
        <v>2694</v>
      </c>
      <c r="E66" s="48" t="s">
        <v>31</v>
      </c>
      <c r="F66" s="48" t="s">
        <v>74</v>
      </c>
      <c r="G66" s="11" t="s">
        <v>64</v>
      </c>
      <c r="H66" s="11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8" t="s">
        <v>86</v>
      </c>
      <c r="O66" s="49" t="s">
        <v>67</v>
      </c>
      <c r="P66" s="11" t="s">
        <v>80</v>
      </c>
      <c r="Q66" s="11" t="s">
        <v>87</v>
      </c>
      <c r="R66" s="11" t="s">
        <v>82</v>
      </c>
      <c r="S66" s="11" t="s">
        <v>2713</v>
      </c>
      <c r="T66" s="116" t="s">
        <v>1</v>
      </c>
      <c r="U66" s="88"/>
      <c r="V66" s="51">
        <v>45586</v>
      </c>
      <c r="W66" s="97" t="s">
        <v>1568</v>
      </c>
      <c r="X66" s="135" t="str">
        <f>VLOOKUP(Table1[[#This Row],[AMZ ID]],[1]Roster_1787503287932!$D$2:$AU$1370,25,0)</f>
        <v>Present</v>
      </c>
      <c r="Y66" s="135">
        <f>VLOOKUP(Table1[[#This Row],[AMZ ID]],[1]Roster_1787503287932!$D$2:$AM$1370,35,0)</f>
        <v>0</v>
      </c>
    </row>
    <row r="67" spans="1:25" ht="13" customHeight="1">
      <c r="A67" s="11">
        <v>61</v>
      </c>
      <c r="B67" s="47">
        <v>204299902</v>
      </c>
      <c r="C67" s="89" t="s">
        <v>2239</v>
      </c>
      <c r="D67" s="11" t="s">
        <v>2695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85</v>
      </c>
      <c r="M67" s="49" t="s">
        <v>88</v>
      </c>
      <c r="N67" s="48" t="s">
        <v>89</v>
      </c>
      <c r="O67" s="49" t="s">
        <v>67</v>
      </c>
      <c r="P67" s="11" t="s">
        <v>80</v>
      </c>
      <c r="Q67" s="11" t="s">
        <v>87</v>
      </c>
      <c r="R67" s="11" t="s">
        <v>82</v>
      </c>
      <c r="S67" s="11" t="s">
        <v>2713</v>
      </c>
      <c r="T67" s="116" t="s">
        <v>1</v>
      </c>
      <c r="U67" s="88"/>
      <c r="V67" s="51">
        <v>45586</v>
      </c>
      <c r="W67" s="102" t="s">
        <v>1568</v>
      </c>
      <c r="X67" s="135" t="str">
        <f>VLOOKUP(Table1[[#This Row],[AMZ ID]],[1]Roster_1787503287932!$D$2:$AU$1370,25,0)</f>
        <v>Present</v>
      </c>
      <c r="Y67" s="135">
        <f>VLOOKUP(Table1[[#This Row],[AMZ ID]],[1]Roster_1787503287932!$D$2:$AM$1370,35,0)</f>
        <v>0</v>
      </c>
    </row>
    <row r="68" spans="1:25" ht="13" customHeight="1">
      <c r="A68" s="11">
        <v>62</v>
      </c>
      <c r="B68" s="47">
        <v>204319462</v>
      </c>
      <c r="C68" s="89" t="s">
        <v>110</v>
      </c>
      <c r="D68" s="11" t="s">
        <v>1931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9" t="s">
        <v>89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2713</v>
      </c>
      <c r="T68" s="116" t="s">
        <v>1</v>
      </c>
      <c r="U68" s="88"/>
      <c r="V68" s="51">
        <v>45589</v>
      </c>
      <c r="W68" s="102" t="s">
        <v>1568</v>
      </c>
      <c r="X68" s="135" t="str">
        <f>VLOOKUP(Table1[[#This Row],[AMZ ID]],[1]Roster_1787503287932!$D$2:$AU$1370,25,0)</f>
        <v>Present</v>
      </c>
      <c r="Y68" s="135">
        <f>VLOOKUP(Table1[[#This Row],[AMZ ID]],[1]Roster_1787503287932!$D$2:$AM$1370,35,0)</f>
        <v>0</v>
      </c>
    </row>
    <row r="69" spans="1:25" ht="13" customHeight="1">
      <c r="A69" s="11">
        <v>63</v>
      </c>
      <c r="B69" s="47">
        <v>204299911</v>
      </c>
      <c r="C69" s="89" t="s">
        <v>2474</v>
      </c>
      <c r="D69" s="11" t="s">
        <v>2475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95</v>
      </c>
      <c r="M69" s="49" t="s">
        <v>77</v>
      </c>
      <c r="N69" s="49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2713</v>
      </c>
      <c r="T69" s="116" t="s">
        <v>1</v>
      </c>
      <c r="U69" s="88"/>
      <c r="V69" s="51">
        <v>45586</v>
      </c>
      <c r="W69" s="102" t="s">
        <v>1568</v>
      </c>
      <c r="X69" s="135" t="str">
        <f>VLOOKUP(Table1[[#This Row],[AMZ ID]],[1]Roster_1787503287932!$D$2:$AU$1370,25,0)</f>
        <v>Present</v>
      </c>
      <c r="Y69" s="135">
        <f>VLOOKUP(Table1[[#This Row],[AMZ ID]],[1]Roster_1787503287932!$D$2:$AM$1370,35,0)</f>
        <v>0</v>
      </c>
    </row>
    <row r="70" spans="1:25" ht="13" customHeight="1">
      <c r="A70" s="11">
        <v>64</v>
      </c>
      <c r="B70" s="47">
        <v>203679308</v>
      </c>
      <c r="C70" s="89" t="s">
        <v>2240</v>
      </c>
      <c r="D70" s="11" t="s">
        <v>2241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88</v>
      </c>
      <c r="M70" s="49" t="s">
        <v>95</v>
      </c>
      <c r="N70" s="48" t="s">
        <v>79</v>
      </c>
      <c r="O70" s="49" t="s">
        <v>67</v>
      </c>
      <c r="P70" s="11" t="s">
        <v>80</v>
      </c>
      <c r="Q70" s="11" t="s">
        <v>81</v>
      </c>
      <c r="R70" s="11" t="s">
        <v>82</v>
      </c>
      <c r="S70" s="11" t="s">
        <v>2713</v>
      </c>
      <c r="T70" s="116" t="s">
        <v>1</v>
      </c>
      <c r="U70" s="88"/>
      <c r="V70" s="51">
        <v>45488</v>
      </c>
      <c r="W70" s="102" t="s">
        <v>1568</v>
      </c>
      <c r="X70" s="135" t="str">
        <f>VLOOKUP(Table1[[#This Row],[AMZ ID]],[1]Roster_1787503287932!$D$2:$AU$1370,25,0)</f>
        <v>Present</v>
      </c>
      <c r="Y70" s="135">
        <f>VLOOKUP(Table1[[#This Row],[AMZ ID]],[1]Roster_1787503287932!$D$2:$AM$1370,35,0)</f>
        <v>0</v>
      </c>
    </row>
    <row r="71" spans="1:25" ht="13" customHeight="1">
      <c r="A71" s="11">
        <v>65</v>
      </c>
      <c r="B71" s="47">
        <v>206072869</v>
      </c>
      <c r="C71" s="89" t="s">
        <v>2476</v>
      </c>
      <c r="D71" s="11" t="s">
        <v>2696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32</v>
      </c>
      <c r="K71" s="49" t="s">
        <v>76</v>
      </c>
      <c r="L71" s="49" t="s">
        <v>95</v>
      </c>
      <c r="M71" s="49" t="s">
        <v>77</v>
      </c>
      <c r="N71" s="48" t="s">
        <v>89</v>
      </c>
      <c r="O71" s="49" t="s">
        <v>67</v>
      </c>
      <c r="P71" s="11" t="s">
        <v>80</v>
      </c>
      <c r="Q71" s="11" t="s">
        <v>81</v>
      </c>
      <c r="R71" s="11" t="s">
        <v>82</v>
      </c>
      <c r="S71" s="11" t="s">
        <v>2713</v>
      </c>
      <c r="T71" s="116" t="s">
        <v>1</v>
      </c>
      <c r="U71" s="88"/>
      <c r="V71" s="51">
        <v>45922</v>
      </c>
      <c r="W71" s="102" t="s">
        <v>1568</v>
      </c>
      <c r="X71" s="135" t="str">
        <f>VLOOKUP(Table1[[#This Row],[AMZ ID]],[1]Roster_1787503287932!$D$2:$AU$1370,25,0)</f>
        <v>Present</v>
      </c>
      <c r="Y71" s="135">
        <f>VLOOKUP(Table1[[#This Row],[AMZ ID]],[1]Roster_1787503287932!$D$2:$AM$1370,35,0)</f>
        <v>0</v>
      </c>
    </row>
    <row r="72" spans="1:25" ht="13" customHeight="1">
      <c r="A72" s="11">
        <v>66</v>
      </c>
      <c r="B72" s="47">
        <v>204299913</v>
      </c>
      <c r="C72" s="89" t="s">
        <v>2242</v>
      </c>
      <c r="D72" s="11" t="s">
        <v>2243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88</v>
      </c>
      <c r="M72" s="49" t="s">
        <v>95</v>
      </c>
      <c r="N72" s="49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2713</v>
      </c>
      <c r="T72" s="116" t="s">
        <v>1</v>
      </c>
      <c r="U72" s="88"/>
      <c r="V72" s="51">
        <v>45586</v>
      </c>
      <c r="W72" s="102" t="s">
        <v>1568</v>
      </c>
      <c r="X72" s="135" t="str">
        <f>VLOOKUP(Table1[[#This Row],[AMZ ID]],[1]Roster_1787503287932!$D$2:$AU$1370,25,0)</f>
        <v>Present</v>
      </c>
      <c r="Y72" s="135">
        <f>VLOOKUP(Table1[[#This Row],[AMZ ID]],[1]Roster_1787503287932!$D$2:$AM$1370,35,0)</f>
        <v>0</v>
      </c>
    </row>
    <row r="73" spans="1:25" ht="13" customHeight="1">
      <c r="A73" s="11">
        <v>67</v>
      </c>
      <c r="B73" s="47">
        <v>203736774</v>
      </c>
      <c r="C73" s="89" t="s">
        <v>529</v>
      </c>
      <c r="D73" s="11" t="s">
        <v>530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78</v>
      </c>
      <c r="M73" s="49" t="s">
        <v>92</v>
      </c>
      <c r="N73" s="48" t="s">
        <v>86</v>
      </c>
      <c r="O73" s="49" t="s">
        <v>35</v>
      </c>
      <c r="P73" s="11" t="s">
        <v>80</v>
      </c>
      <c r="Q73" s="11" t="s">
        <v>99</v>
      </c>
      <c r="R73" s="11" t="s">
        <v>231</v>
      </c>
      <c r="S73" s="11" t="s">
        <v>1753</v>
      </c>
      <c r="T73" s="116" t="s">
        <v>10</v>
      </c>
      <c r="U73" s="88"/>
      <c r="V73" s="51">
        <v>45502</v>
      </c>
      <c r="W73" s="97" t="s">
        <v>1573</v>
      </c>
      <c r="X73" s="135" t="str">
        <f>VLOOKUP(Table1[[#This Row],[AMZ ID]],[1]Roster_1787503287932!$D$2:$AU$1370,25,0)</f>
        <v>Not Present</v>
      </c>
      <c r="Y73" s="135">
        <f>VLOOKUP(Table1[[#This Row],[AMZ ID]],[1]Roster_1787503287932!$D$2:$AM$1370,35,0)</f>
        <v>0</v>
      </c>
    </row>
    <row r="74" spans="1:25" ht="13" customHeight="1">
      <c r="A74" s="11">
        <v>68</v>
      </c>
      <c r="B74" s="47">
        <v>206953385</v>
      </c>
      <c r="C74" s="89" t="s">
        <v>2111</v>
      </c>
      <c r="D74" s="11" t="s">
        <v>2034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88</v>
      </c>
      <c r="M74" s="49" t="s">
        <v>95</v>
      </c>
      <c r="N74" s="48" t="s">
        <v>79</v>
      </c>
      <c r="O74" s="49" t="s">
        <v>67</v>
      </c>
      <c r="P74" s="11" t="s">
        <v>80</v>
      </c>
      <c r="Q74" s="11" t="s">
        <v>96</v>
      </c>
      <c r="R74" s="11" t="s">
        <v>82</v>
      </c>
      <c r="S74" s="11" t="s">
        <v>2713</v>
      </c>
      <c r="T74" s="116" t="s">
        <v>1</v>
      </c>
      <c r="U74" s="88"/>
      <c r="V74" s="51">
        <v>46048</v>
      </c>
      <c r="W74" s="102" t="s">
        <v>1568</v>
      </c>
      <c r="X74" s="135" t="str">
        <f>VLOOKUP(Table1[[#This Row],[AMZ ID]],[1]Roster_1787503287932!$D$2:$AU$1370,25,0)</f>
        <v>Present</v>
      </c>
      <c r="Y74" s="135">
        <f>VLOOKUP(Table1[[#This Row],[AMZ ID]],[1]Roster_1787503287932!$D$2:$AM$1370,35,0)</f>
        <v>0</v>
      </c>
    </row>
    <row r="75" spans="1:25" ht="13" customHeight="1">
      <c r="A75" s="11">
        <v>69</v>
      </c>
      <c r="B75" s="47">
        <v>206015572</v>
      </c>
      <c r="C75" s="89" t="s">
        <v>2244</v>
      </c>
      <c r="D75" s="11" t="s">
        <v>2698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77</v>
      </c>
      <c r="M75" s="49" t="s">
        <v>78</v>
      </c>
      <c r="N75" s="49" t="s">
        <v>89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2713</v>
      </c>
      <c r="T75" s="116" t="s">
        <v>10</v>
      </c>
      <c r="U75" s="88"/>
      <c r="V75" s="51">
        <v>45915</v>
      </c>
      <c r="W75" s="102" t="s">
        <v>1568</v>
      </c>
      <c r="X75" s="135" t="str">
        <f>VLOOKUP(Table1[[#This Row],[AMZ ID]],[1]Roster_1787503287932!$D$2:$AU$1370,25,0)</f>
        <v>Not Present</v>
      </c>
      <c r="Y75" s="135">
        <f>VLOOKUP(Table1[[#This Row],[AMZ ID]],[1]Roster_1787503287932!$D$2:$AM$1370,35,0)</f>
        <v>0</v>
      </c>
    </row>
    <row r="76" spans="1:25" ht="13" customHeight="1">
      <c r="A76" s="11">
        <v>70</v>
      </c>
      <c r="B76" s="47">
        <v>203469399</v>
      </c>
      <c r="C76" s="89" t="s">
        <v>111</v>
      </c>
      <c r="D76" s="11" t="s">
        <v>2699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85</v>
      </c>
      <c r="M76" s="49" t="s">
        <v>88</v>
      </c>
      <c r="N76" s="49" t="s">
        <v>86</v>
      </c>
      <c r="O76" s="49" t="s">
        <v>67</v>
      </c>
      <c r="P76" s="11" t="s">
        <v>80</v>
      </c>
      <c r="Q76" s="11" t="s">
        <v>99</v>
      </c>
      <c r="R76" s="11" t="s">
        <v>82</v>
      </c>
      <c r="S76" s="11" t="s">
        <v>2713</v>
      </c>
      <c r="T76" s="116" t="s">
        <v>1</v>
      </c>
      <c r="U76" s="88"/>
      <c r="V76" s="51">
        <v>45456</v>
      </c>
      <c r="W76" s="102" t="s">
        <v>1568</v>
      </c>
      <c r="X76" s="135" t="str">
        <f>VLOOKUP(Table1[[#This Row],[AMZ ID]],[1]Roster_1787503287932!$D$2:$AU$1370,25,0)</f>
        <v>Present</v>
      </c>
      <c r="Y76" s="135">
        <f>VLOOKUP(Table1[[#This Row],[AMZ ID]],[1]Roster_1787503287932!$D$2:$AM$1370,35,0)</f>
        <v>0</v>
      </c>
    </row>
    <row r="77" spans="1:25" ht="13" customHeight="1">
      <c r="A77" s="11">
        <v>71</v>
      </c>
      <c r="B77" s="47">
        <v>206953383</v>
      </c>
      <c r="C77" s="89" t="s">
        <v>2112</v>
      </c>
      <c r="D77" s="11" t="s">
        <v>2035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8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2713</v>
      </c>
      <c r="T77" s="116" t="s">
        <v>1</v>
      </c>
      <c r="U77" s="88"/>
      <c r="V77" s="51">
        <v>46048</v>
      </c>
      <c r="W77" s="102" t="s">
        <v>1568</v>
      </c>
      <c r="X77" s="135" t="str">
        <f>VLOOKUP(Table1[[#This Row],[AMZ ID]],[1]Roster_1787503287932!$D$2:$AU$1370,25,0)</f>
        <v>Present</v>
      </c>
      <c r="Y77" s="135">
        <f>VLOOKUP(Table1[[#This Row],[AMZ ID]],[1]Roster_1787503287932!$D$2:$AM$1370,35,0)</f>
        <v>0</v>
      </c>
    </row>
    <row r="78" spans="1:25" ht="13" customHeight="1">
      <c r="A78" s="11">
        <v>72</v>
      </c>
      <c r="B78" s="47">
        <v>205647827</v>
      </c>
      <c r="C78" s="89" t="s">
        <v>2245</v>
      </c>
      <c r="D78" s="11" t="s">
        <v>2700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84</v>
      </c>
      <c r="M78" s="49" t="s">
        <v>85</v>
      </c>
      <c r="N78" s="49" t="s">
        <v>89</v>
      </c>
      <c r="O78" s="49" t="s">
        <v>67</v>
      </c>
      <c r="P78" s="11" t="s">
        <v>80</v>
      </c>
      <c r="Q78" s="11" t="s">
        <v>96</v>
      </c>
      <c r="R78" s="11" t="s">
        <v>82</v>
      </c>
      <c r="S78" s="11" t="s">
        <v>2713</v>
      </c>
      <c r="T78" s="116" t="s">
        <v>1</v>
      </c>
      <c r="U78" s="88"/>
      <c r="V78" s="51">
        <v>45852</v>
      </c>
      <c r="W78" s="102" t="s">
        <v>1568</v>
      </c>
      <c r="X78" s="135" t="str">
        <f>VLOOKUP(Table1[[#This Row],[AMZ ID]],[1]Roster_1787503287932!$D$2:$AU$1370,25,0)</f>
        <v>Not Present</v>
      </c>
      <c r="Y78" s="135">
        <f>VLOOKUP(Table1[[#This Row],[AMZ ID]],[1]Roster_1787503287932!$D$2:$AM$1370,35,0)</f>
        <v>0</v>
      </c>
    </row>
    <row r="79" spans="1:25" ht="13" customHeight="1">
      <c r="A79" s="11">
        <v>73</v>
      </c>
      <c r="B79" s="47">
        <v>206873779</v>
      </c>
      <c r="C79" s="89" t="s">
        <v>1744</v>
      </c>
      <c r="D79" s="11" t="s">
        <v>1745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39</v>
      </c>
      <c r="K79" s="49" t="s">
        <v>76</v>
      </c>
      <c r="L79" s="49" t="s">
        <v>78</v>
      </c>
      <c r="M79" s="49" t="s">
        <v>92</v>
      </c>
      <c r="N79" s="49" t="s">
        <v>89</v>
      </c>
      <c r="O79" s="49" t="s">
        <v>67</v>
      </c>
      <c r="P79" s="11" t="s">
        <v>80</v>
      </c>
      <c r="Q79" s="11" t="s">
        <v>90</v>
      </c>
      <c r="R79" s="11" t="s">
        <v>82</v>
      </c>
      <c r="S79" s="11" t="s">
        <v>2713</v>
      </c>
      <c r="T79" s="116" t="s">
        <v>10</v>
      </c>
      <c r="U79" s="88"/>
      <c r="V79" s="51">
        <v>46020</v>
      </c>
      <c r="W79" s="102" t="s">
        <v>1568</v>
      </c>
      <c r="X79" s="135" t="str">
        <f>VLOOKUP(Table1[[#This Row],[AMZ ID]],[1]Roster_1787503287932!$D$2:$AU$1370,25,0)</f>
        <v>Not Present</v>
      </c>
      <c r="Y79" s="135">
        <f>VLOOKUP(Table1[[#This Row],[AMZ ID]],[1]Roster_1787503287932!$D$2:$AM$1370,35,0)</f>
        <v>0</v>
      </c>
    </row>
    <row r="80" spans="1:25" ht="13" customHeight="1">
      <c r="A80" s="11">
        <v>74</v>
      </c>
      <c r="B80" s="11">
        <v>203635497</v>
      </c>
      <c r="C80" s="89" t="s">
        <v>1373</v>
      </c>
      <c r="D80" s="11" t="s">
        <v>1990</v>
      </c>
      <c r="E80" s="48" t="s">
        <v>31</v>
      </c>
      <c r="F80" s="48" t="s">
        <v>74</v>
      </c>
      <c r="G80" s="48" t="s">
        <v>64</v>
      </c>
      <c r="H80" s="48" t="s">
        <v>75</v>
      </c>
      <c r="I80" s="11">
        <v>1299</v>
      </c>
      <c r="J80" s="49" t="s">
        <v>39</v>
      </c>
      <c r="K80" s="49" t="s">
        <v>76</v>
      </c>
      <c r="L80" s="49" t="s">
        <v>85</v>
      </c>
      <c r="M80" s="49" t="s">
        <v>88</v>
      </c>
      <c r="N80" s="49" t="s">
        <v>79</v>
      </c>
      <c r="O80" s="11" t="s">
        <v>67</v>
      </c>
      <c r="P80" s="48" t="s">
        <v>80</v>
      </c>
      <c r="Q80" s="11" t="s">
        <v>81</v>
      </c>
      <c r="R80" s="11" t="s">
        <v>82</v>
      </c>
      <c r="S80" s="11" t="s">
        <v>2713</v>
      </c>
      <c r="T80" s="116" t="s">
        <v>1</v>
      </c>
      <c r="U80" s="88"/>
      <c r="V80" s="51">
        <v>45481</v>
      </c>
      <c r="W80" s="102" t="s">
        <v>1568</v>
      </c>
      <c r="X80" s="135" t="str">
        <f>VLOOKUP(Table1[[#This Row],[AMZ ID]],[1]Roster_1787503287932!$D$2:$AU$1370,25,0)</f>
        <v>Present</v>
      </c>
      <c r="Y80" s="135">
        <f>VLOOKUP(Table1[[#This Row],[AMZ ID]],[1]Roster_1787503287932!$D$2:$AM$1370,35,0)</f>
        <v>0</v>
      </c>
    </row>
    <row r="81" spans="1:25" ht="13" customHeight="1">
      <c r="A81" s="11">
        <v>75</v>
      </c>
      <c r="B81" s="47">
        <v>204246172</v>
      </c>
      <c r="C81" s="89" t="s">
        <v>1741</v>
      </c>
      <c r="D81" s="11" t="s">
        <v>1742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88</v>
      </c>
      <c r="M81" s="49" t="s">
        <v>95</v>
      </c>
      <c r="N81" s="48" t="s">
        <v>89</v>
      </c>
      <c r="O81" s="49" t="s">
        <v>67</v>
      </c>
      <c r="P81" s="11" t="s">
        <v>80</v>
      </c>
      <c r="Q81" s="11" t="s">
        <v>1743</v>
      </c>
      <c r="R81" s="11" t="s">
        <v>82</v>
      </c>
      <c r="S81" s="11" t="s">
        <v>2713</v>
      </c>
      <c r="T81" s="116" t="s">
        <v>1</v>
      </c>
      <c r="U81" s="88"/>
      <c r="V81" s="51">
        <v>46020</v>
      </c>
      <c r="W81" s="102" t="s">
        <v>1568</v>
      </c>
      <c r="X81" s="135" t="str">
        <f>VLOOKUP(Table1[[#This Row],[AMZ ID]],[1]Roster_1787503287932!$D$2:$AU$1370,25,0)</f>
        <v>Present</v>
      </c>
      <c r="Y81" s="135">
        <f>VLOOKUP(Table1[[#This Row],[AMZ ID]],[1]Roster_1787503287932!$D$2:$AM$1370,35,0)</f>
        <v>0</v>
      </c>
    </row>
    <row r="82" spans="1:25" ht="13" customHeight="1">
      <c r="A82" s="11">
        <v>76</v>
      </c>
      <c r="B82" s="47">
        <v>206296189</v>
      </c>
      <c r="C82" s="89" t="s">
        <v>2246</v>
      </c>
      <c r="D82" s="11" t="s">
        <v>2701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32</v>
      </c>
      <c r="K82" s="49" t="s">
        <v>76</v>
      </c>
      <c r="L82" s="49" t="s">
        <v>84</v>
      </c>
      <c r="M82" s="49" t="s">
        <v>85</v>
      </c>
      <c r="N82" s="49" t="s">
        <v>89</v>
      </c>
      <c r="O82" s="48" t="s">
        <v>67</v>
      </c>
      <c r="P82" s="48" t="s">
        <v>80</v>
      </c>
      <c r="Q82" s="11" t="s">
        <v>96</v>
      </c>
      <c r="R82" s="11" t="s">
        <v>82</v>
      </c>
      <c r="S82" s="11" t="s">
        <v>2713</v>
      </c>
      <c r="T82" s="116" t="s">
        <v>1</v>
      </c>
      <c r="U82" s="88"/>
      <c r="V82" s="51">
        <v>45950</v>
      </c>
      <c r="W82" s="102" t="s">
        <v>1568</v>
      </c>
      <c r="X82" s="135" t="str">
        <f>VLOOKUP(Table1[[#This Row],[AMZ ID]],[1]Roster_1787503287932!$D$2:$AU$1370,25,0)</f>
        <v>Present</v>
      </c>
      <c r="Y82" s="135">
        <f>VLOOKUP(Table1[[#This Row],[AMZ ID]],[1]Roster_1787503287932!$D$2:$AM$1370,35,0)</f>
        <v>0</v>
      </c>
    </row>
    <row r="83" spans="1:25" ht="13" customHeight="1">
      <c r="A83" s="11">
        <v>77</v>
      </c>
      <c r="B83" s="47">
        <v>203682331</v>
      </c>
      <c r="C83" s="89" t="s">
        <v>2247</v>
      </c>
      <c r="D83" s="11" t="s">
        <v>2702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78</v>
      </c>
      <c r="M83" s="49" t="s">
        <v>92</v>
      </c>
      <c r="N83" s="49" t="s">
        <v>86</v>
      </c>
      <c r="O83" s="49" t="s">
        <v>67</v>
      </c>
      <c r="P83" s="11" t="s">
        <v>80</v>
      </c>
      <c r="Q83" s="11" t="s">
        <v>99</v>
      </c>
      <c r="R83" s="11" t="s">
        <v>82</v>
      </c>
      <c r="S83" s="11" t="s">
        <v>2713</v>
      </c>
      <c r="T83" s="116" t="s">
        <v>10</v>
      </c>
      <c r="U83" s="88"/>
      <c r="V83" s="51">
        <v>45488</v>
      </c>
      <c r="W83" s="102" t="s">
        <v>1568</v>
      </c>
      <c r="X83" s="135" t="str">
        <f>VLOOKUP(Table1[[#This Row],[AMZ ID]],[1]Roster_1787503287932!$D$2:$AU$1370,25,0)</f>
        <v>Not Present</v>
      </c>
      <c r="Y83" s="135">
        <f>VLOOKUP(Table1[[#This Row],[AMZ ID]],[1]Roster_1787503287932!$D$2:$AM$1370,35,0)</f>
        <v>0</v>
      </c>
    </row>
    <row r="84" spans="1:25" ht="13" customHeight="1">
      <c r="A84" s="11">
        <v>78</v>
      </c>
      <c r="B84" s="47">
        <v>206846113</v>
      </c>
      <c r="C84" s="89" t="s">
        <v>1730</v>
      </c>
      <c r="D84" s="11" t="s">
        <v>1731</v>
      </c>
      <c r="E84" s="48" t="s">
        <v>31</v>
      </c>
      <c r="F84" s="48" t="s">
        <v>74</v>
      </c>
      <c r="G84" s="11" t="s">
        <v>64</v>
      </c>
      <c r="H84" s="11" t="s">
        <v>75</v>
      </c>
      <c r="I84" s="11">
        <v>1299</v>
      </c>
      <c r="J84" s="49" t="s">
        <v>32</v>
      </c>
      <c r="K84" s="49" t="s">
        <v>76</v>
      </c>
      <c r="L84" s="49" t="s">
        <v>85</v>
      </c>
      <c r="M84" s="49" t="s">
        <v>88</v>
      </c>
      <c r="N84" s="48" t="s">
        <v>89</v>
      </c>
      <c r="O84" s="49" t="s">
        <v>67</v>
      </c>
      <c r="P84" s="11" t="s">
        <v>80</v>
      </c>
      <c r="Q84" s="11" t="s">
        <v>90</v>
      </c>
      <c r="R84" s="11" t="s">
        <v>82</v>
      </c>
      <c r="S84" s="11" t="s">
        <v>2713</v>
      </c>
      <c r="T84" s="116" t="s">
        <v>1</v>
      </c>
      <c r="U84" s="88"/>
      <c r="V84" s="51">
        <v>46020</v>
      </c>
      <c r="W84" s="102" t="s">
        <v>1568</v>
      </c>
      <c r="X84" s="135" t="str">
        <f>VLOOKUP(Table1[[#This Row],[AMZ ID]],[1]Roster_1787503287932!$D$2:$AU$1370,25,0)</f>
        <v>Present</v>
      </c>
      <c r="Y84" s="135">
        <f>VLOOKUP(Table1[[#This Row],[AMZ ID]],[1]Roster_1787503287932!$D$2:$AM$1370,35,0)</f>
        <v>0</v>
      </c>
    </row>
    <row r="85" spans="1:25" ht="13" customHeight="1">
      <c r="A85" s="11">
        <v>79</v>
      </c>
      <c r="B85" s="47">
        <v>206953981</v>
      </c>
      <c r="C85" s="89" t="s">
        <v>2055</v>
      </c>
      <c r="D85" s="11" t="s">
        <v>2056</v>
      </c>
      <c r="E85" s="48" t="s">
        <v>31</v>
      </c>
      <c r="F85" s="48" t="s">
        <v>74</v>
      </c>
      <c r="G85" s="48" t="s">
        <v>64</v>
      </c>
      <c r="H85" s="48" t="s">
        <v>75</v>
      </c>
      <c r="I85" s="11">
        <v>1299</v>
      </c>
      <c r="J85" s="49" t="s">
        <v>32</v>
      </c>
      <c r="K85" s="49" t="s">
        <v>76</v>
      </c>
      <c r="L85" s="49" t="s">
        <v>92</v>
      </c>
      <c r="M85" s="49" t="s">
        <v>84</v>
      </c>
      <c r="N85" s="49" t="s">
        <v>86</v>
      </c>
      <c r="O85" s="48" t="s">
        <v>67</v>
      </c>
      <c r="P85" s="48" t="s">
        <v>80</v>
      </c>
      <c r="Q85" s="11" t="s">
        <v>90</v>
      </c>
      <c r="R85" s="11" t="s">
        <v>82</v>
      </c>
      <c r="S85" s="11" t="s">
        <v>2713</v>
      </c>
      <c r="T85" s="116" t="s">
        <v>1</v>
      </c>
      <c r="U85" s="88"/>
      <c r="V85" s="51">
        <v>46048</v>
      </c>
      <c r="W85" s="102" t="s">
        <v>1568</v>
      </c>
      <c r="X85" s="135" t="str">
        <f>VLOOKUP(Table1[[#This Row],[AMZ ID]],[1]Roster_1787503287932!$D$2:$AU$1370,25,0)</f>
        <v>Present</v>
      </c>
      <c r="Y85" s="135">
        <f>VLOOKUP(Table1[[#This Row],[AMZ ID]],[1]Roster_1787503287932!$D$2:$AM$1370,35,0)</f>
        <v>0</v>
      </c>
    </row>
    <row r="86" spans="1:25" ht="13" customHeight="1">
      <c r="A86" s="11">
        <v>80</v>
      </c>
      <c r="B86" s="47">
        <v>203555400</v>
      </c>
      <c r="C86" s="89" t="s">
        <v>112</v>
      </c>
      <c r="D86" s="11" t="s">
        <v>2703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79</v>
      </c>
      <c r="O86" s="49" t="s">
        <v>67</v>
      </c>
      <c r="P86" s="11" t="s">
        <v>80</v>
      </c>
      <c r="Q86" s="11" t="s">
        <v>81</v>
      </c>
      <c r="R86" s="11" t="s">
        <v>82</v>
      </c>
      <c r="S86" s="11" t="s">
        <v>2713</v>
      </c>
      <c r="T86" s="116" t="s">
        <v>10</v>
      </c>
      <c r="U86" s="88"/>
      <c r="V86" s="51">
        <v>45470</v>
      </c>
      <c r="W86" s="102" t="s">
        <v>1568</v>
      </c>
      <c r="X86" s="135" t="str">
        <f>VLOOKUP(Table1[[#This Row],[AMZ ID]],[1]Roster_1787503287932!$D$2:$AU$1370,25,0)</f>
        <v>Not Present</v>
      </c>
      <c r="Y86" s="135">
        <f>VLOOKUP(Table1[[#This Row],[AMZ ID]],[1]Roster_1787503287932!$D$2:$AM$1370,35,0)</f>
        <v>0</v>
      </c>
    </row>
    <row r="87" spans="1:25" ht="13" customHeight="1">
      <c r="A87" s="11">
        <v>81</v>
      </c>
      <c r="B87" s="47">
        <v>203800483</v>
      </c>
      <c r="C87" s="89" t="s">
        <v>2248</v>
      </c>
      <c r="D87" s="11" t="s">
        <v>2704</v>
      </c>
      <c r="E87" s="48" t="s">
        <v>31</v>
      </c>
      <c r="F87" s="48" t="s">
        <v>74</v>
      </c>
      <c r="G87" s="11" t="s">
        <v>64</v>
      </c>
      <c r="H87" s="11" t="s">
        <v>75</v>
      </c>
      <c r="I87" s="11">
        <v>1299</v>
      </c>
      <c r="J87" s="49" t="s">
        <v>39</v>
      </c>
      <c r="K87" s="49" t="s">
        <v>76</v>
      </c>
      <c r="L87" s="49" t="s">
        <v>88</v>
      </c>
      <c r="M87" s="49" t="s">
        <v>95</v>
      </c>
      <c r="N87" s="48" t="s">
        <v>89</v>
      </c>
      <c r="O87" s="49" t="s">
        <v>67</v>
      </c>
      <c r="P87" s="11" t="s">
        <v>80</v>
      </c>
      <c r="Q87" s="11" t="s">
        <v>90</v>
      </c>
      <c r="R87" s="11" t="s">
        <v>82</v>
      </c>
      <c r="S87" s="11" t="s">
        <v>2713</v>
      </c>
      <c r="T87" s="116" t="s">
        <v>1</v>
      </c>
      <c r="U87" s="88"/>
      <c r="V87" s="51">
        <v>45516</v>
      </c>
      <c r="W87" s="102" t="s">
        <v>1568</v>
      </c>
      <c r="X87" s="135" t="str">
        <f>VLOOKUP(Table1[[#This Row],[AMZ ID]],[1]Roster_1787503287932!$D$2:$AU$1370,25,0)</f>
        <v>Present</v>
      </c>
      <c r="Y87" s="135">
        <f>VLOOKUP(Table1[[#This Row],[AMZ ID]],[1]Roster_1787503287932!$D$2:$AM$1370,35,0)</f>
        <v>0</v>
      </c>
    </row>
    <row r="88" spans="1:25" ht="13" customHeight="1">
      <c r="A88" s="11">
        <v>82</v>
      </c>
      <c r="B88" s="47">
        <v>103476446</v>
      </c>
      <c r="C88" s="89" t="s">
        <v>2249</v>
      </c>
      <c r="D88" s="11" t="s">
        <v>2250</v>
      </c>
      <c r="E88" s="48" t="s">
        <v>34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78</v>
      </c>
      <c r="M88" s="49" t="s">
        <v>92</v>
      </c>
      <c r="N88" s="49" t="s">
        <v>108</v>
      </c>
      <c r="O88" s="49" t="s">
        <v>67</v>
      </c>
      <c r="P88" s="11" t="s">
        <v>80</v>
      </c>
      <c r="Q88" s="11" t="s">
        <v>98</v>
      </c>
      <c r="R88" s="11" t="s">
        <v>82</v>
      </c>
      <c r="S88" s="11" t="s">
        <v>2713</v>
      </c>
      <c r="T88" s="116" t="s">
        <v>10</v>
      </c>
      <c r="U88" s="88"/>
      <c r="V88" s="51">
        <v>43306</v>
      </c>
      <c r="W88" s="102" t="s">
        <v>1568</v>
      </c>
      <c r="X88" s="135" t="str">
        <f>VLOOKUP(Table1[[#This Row],[AMZ ID]],[1]Roster_1787503287932!$D$2:$AU$1370,25,0)</f>
        <v>Not Present</v>
      </c>
      <c r="Y88" s="135">
        <f>VLOOKUP(Table1[[#This Row],[AMZ ID]],[1]Roster_1787503287932!$D$2:$AM$1370,35,0)</f>
        <v>0</v>
      </c>
    </row>
    <row r="89" spans="1:25" ht="13" customHeight="1">
      <c r="A89" s="11">
        <v>83</v>
      </c>
      <c r="B89" s="47">
        <v>206065204</v>
      </c>
      <c r="C89" s="89" t="s">
        <v>380</v>
      </c>
      <c r="D89" s="11" t="s">
        <v>2705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32</v>
      </c>
      <c r="K89" s="49" t="s">
        <v>76</v>
      </c>
      <c r="L89" s="49" t="s">
        <v>78</v>
      </c>
      <c r="M89" s="49" t="s">
        <v>92</v>
      </c>
      <c r="N89" s="48" t="s">
        <v>89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2713</v>
      </c>
      <c r="T89" s="116" t="s">
        <v>10</v>
      </c>
      <c r="U89" s="88"/>
      <c r="V89" s="51">
        <v>45922</v>
      </c>
      <c r="W89" s="102" t="s">
        <v>1568</v>
      </c>
      <c r="X89" s="135" t="str">
        <f>VLOOKUP(Table1[[#This Row],[AMZ ID]],[1]Roster_1787503287932!$D$2:$AU$1370,25,0)</f>
        <v>Not Present</v>
      </c>
      <c r="Y89" s="135">
        <f>VLOOKUP(Table1[[#This Row],[AMZ ID]],[1]Roster_1787503287932!$D$2:$AM$1370,35,0)</f>
        <v>0</v>
      </c>
    </row>
    <row r="90" spans="1:25" ht="13" customHeight="1">
      <c r="A90" s="11">
        <v>84</v>
      </c>
      <c r="B90" s="47">
        <v>203469400</v>
      </c>
      <c r="C90" s="89" t="s">
        <v>113</v>
      </c>
      <c r="D90" s="11" t="s">
        <v>2706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95</v>
      </c>
      <c r="M90" s="49" t="s">
        <v>77</v>
      </c>
      <c r="N90" s="49" t="s">
        <v>86</v>
      </c>
      <c r="O90" s="49" t="s">
        <v>67</v>
      </c>
      <c r="P90" s="11" t="s">
        <v>80</v>
      </c>
      <c r="Q90" s="11" t="s">
        <v>99</v>
      </c>
      <c r="R90" s="11" t="s">
        <v>82</v>
      </c>
      <c r="S90" s="11" t="s">
        <v>2713</v>
      </c>
      <c r="T90" s="116" t="s">
        <v>7</v>
      </c>
      <c r="U90" s="88"/>
      <c r="V90" s="51">
        <v>45456</v>
      </c>
      <c r="W90" s="102" t="s">
        <v>1568</v>
      </c>
      <c r="X90" s="135" t="str">
        <f>VLOOKUP(Table1[[#This Row],[AMZ ID]],[1]Roster_1787503287932!$D$2:$AU$1370,25,0)</f>
        <v>Not Present</v>
      </c>
      <c r="Y90" s="135" t="str">
        <f>VLOOKUP(Table1[[#This Row],[AMZ ID]],[1]Roster_1787503287932!$D$2:$AM$1370,35,0)</f>
        <v>Carry Forwarded Annual Leave</v>
      </c>
    </row>
    <row r="91" spans="1:25" ht="13" customHeight="1">
      <c r="A91" s="11">
        <v>85</v>
      </c>
      <c r="B91" s="47">
        <v>206926477</v>
      </c>
      <c r="C91" s="89" t="s">
        <v>2125</v>
      </c>
      <c r="D91" s="11" t="s">
        <v>2051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77</v>
      </c>
      <c r="M91" s="49" t="s">
        <v>78</v>
      </c>
      <c r="N91" s="48" t="s">
        <v>86</v>
      </c>
      <c r="O91" s="49" t="s">
        <v>67</v>
      </c>
      <c r="P91" s="11" t="s">
        <v>80</v>
      </c>
      <c r="Q91" s="11" t="s">
        <v>90</v>
      </c>
      <c r="R91" s="11" t="s">
        <v>82</v>
      </c>
      <c r="S91" s="11" t="s">
        <v>2713</v>
      </c>
      <c r="T91" s="116" t="s">
        <v>10</v>
      </c>
      <c r="U91" s="88"/>
      <c r="V91" s="51">
        <v>46048</v>
      </c>
      <c r="W91" s="102" t="s">
        <v>1568</v>
      </c>
      <c r="X91" s="135" t="str">
        <f>VLOOKUP(Table1[[#This Row],[AMZ ID]],[1]Roster_1787503287932!$D$2:$AU$1370,25,0)</f>
        <v>Not Present</v>
      </c>
      <c r="Y91" s="135">
        <f>VLOOKUP(Table1[[#This Row],[AMZ ID]],[1]Roster_1787503287932!$D$2:$AM$1370,35,0)</f>
        <v>0</v>
      </c>
    </row>
    <row r="92" spans="1:25" ht="13" customHeight="1">
      <c r="A92" s="11">
        <v>86</v>
      </c>
      <c r="B92" s="47">
        <v>203679317</v>
      </c>
      <c r="C92" s="89" t="s">
        <v>114</v>
      </c>
      <c r="D92" s="11" t="s">
        <v>1932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95</v>
      </c>
      <c r="M92" s="49" t="s">
        <v>77</v>
      </c>
      <c r="N92" s="48" t="s">
        <v>79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2713</v>
      </c>
      <c r="T92" s="116" t="s">
        <v>7</v>
      </c>
      <c r="U92" s="88" t="s">
        <v>3015</v>
      </c>
      <c r="V92" s="51">
        <v>45488</v>
      </c>
      <c r="W92" s="102" t="s">
        <v>1568</v>
      </c>
      <c r="X92" s="135" t="str">
        <f>VLOOKUP(Table1[[#This Row],[AMZ ID]],[1]Roster_1787503287932!$D$2:$AU$1370,25,0)</f>
        <v>Not Present</v>
      </c>
      <c r="Y92" s="135" t="str">
        <f>VLOOKUP(Table1[[#This Row],[AMZ ID]],[1]Roster_1787503287932!$D$2:$AM$1370,35,0)</f>
        <v>Carry Forwarded Annual Leave</v>
      </c>
    </row>
    <row r="93" spans="1:25" ht="13" customHeight="1">
      <c r="A93" s="11">
        <v>87</v>
      </c>
      <c r="B93" s="47">
        <v>203469060</v>
      </c>
      <c r="C93" s="89" t="s">
        <v>2251</v>
      </c>
      <c r="D93" s="11" t="s">
        <v>2252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84</v>
      </c>
      <c r="M93" s="49" t="s">
        <v>85</v>
      </c>
      <c r="N93" s="48" t="s">
        <v>79</v>
      </c>
      <c r="O93" s="49" t="s">
        <v>67</v>
      </c>
      <c r="P93" s="11" t="s">
        <v>80</v>
      </c>
      <c r="Q93" s="11" t="s">
        <v>81</v>
      </c>
      <c r="R93" s="11" t="s">
        <v>82</v>
      </c>
      <c r="S93" s="11" t="s">
        <v>2713</v>
      </c>
      <c r="T93" s="116" t="s">
        <v>1</v>
      </c>
      <c r="U93" s="88"/>
      <c r="V93" s="51">
        <v>45456</v>
      </c>
      <c r="W93" s="102" t="s">
        <v>1568</v>
      </c>
      <c r="X93" s="135" t="str">
        <f>VLOOKUP(Table1[[#This Row],[AMZ ID]],[1]Roster_1787503287932!$D$2:$AU$1370,25,0)</f>
        <v>Present</v>
      </c>
      <c r="Y93" s="135">
        <f>VLOOKUP(Table1[[#This Row],[AMZ ID]],[1]Roster_1787503287932!$D$2:$AM$1370,35,0)</f>
        <v>0</v>
      </c>
    </row>
    <row r="94" spans="1:25" ht="13" customHeight="1">
      <c r="A94" s="11">
        <v>88</v>
      </c>
      <c r="B94" s="47">
        <v>206875152</v>
      </c>
      <c r="C94" s="89" t="s">
        <v>1720</v>
      </c>
      <c r="D94" s="11" t="s">
        <v>1721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39</v>
      </c>
      <c r="K94" s="49" t="s">
        <v>76</v>
      </c>
      <c r="L94" s="49" t="s">
        <v>78</v>
      </c>
      <c r="M94" s="49" t="s">
        <v>92</v>
      </c>
      <c r="N94" s="48" t="s">
        <v>89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2713</v>
      </c>
      <c r="T94" s="116" t="s">
        <v>10</v>
      </c>
      <c r="U94" s="88"/>
      <c r="V94" s="51">
        <v>46020</v>
      </c>
      <c r="W94" s="102" t="s">
        <v>1568</v>
      </c>
      <c r="X94" s="135" t="str">
        <f>VLOOKUP(Table1[[#This Row],[AMZ ID]],[1]Roster_1787503287932!$D$2:$AU$1370,25,0)</f>
        <v>Not Present</v>
      </c>
      <c r="Y94" s="135">
        <f>VLOOKUP(Table1[[#This Row],[AMZ ID]],[1]Roster_1787503287932!$D$2:$AM$1370,35,0)</f>
        <v>0</v>
      </c>
    </row>
    <row r="95" spans="1:25" ht="13" customHeight="1">
      <c r="A95" s="11">
        <v>89</v>
      </c>
      <c r="B95" s="47">
        <v>203709743</v>
      </c>
      <c r="C95" s="89" t="s">
        <v>582</v>
      </c>
      <c r="D95" s="11" t="s">
        <v>583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78</v>
      </c>
      <c r="M95" s="49" t="s">
        <v>92</v>
      </c>
      <c r="N95" s="49" t="s">
        <v>86</v>
      </c>
      <c r="O95" s="49" t="s">
        <v>35</v>
      </c>
      <c r="P95" s="11" t="s">
        <v>80</v>
      </c>
      <c r="Q95" s="11" t="s">
        <v>99</v>
      </c>
      <c r="R95" s="11" t="s">
        <v>231</v>
      </c>
      <c r="S95" s="11" t="s">
        <v>1753</v>
      </c>
      <c r="T95" s="116" t="s">
        <v>10</v>
      </c>
      <c r="U95" s="88"/>
      <c r="V95" s="51">
        <v>45495</v>
      </c>
      <c r="W95" s="97" t="s">
        <v>1573</v>
      </c>
      <c r="X95" s="135" t="str">
        <f>VLOOKUP(Table1[[#This Row],[AMZ ID]],[1]Roster_1787503287932!$D$2:$AU$1370,25,0)</f>
        <v>Not Present</v>
      </c>
      <c r="Y95" s="135">
        <f>VLOOKUP(Table1[[#This Row],[AMZ ID]],[1]Roster_1787503287932!$D$2:$AM$1370,35,0)</f>
        <v>0</v>
      </c>
    </row>
    <row r="96" spans="1:25" ht="13" customHeight="1">
      <c r="A96" s="11">
        <v>90</v>
      </c>
      <c r="B96" s="47">
        <v>206296194</v>
      </c>
      <c r="C96" s="89" t="s">
        <v>1656</v>
      </c>
      <c r="D96" s="11" t="s">
        <v>2198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9" t="s">
        <v>89</v>
      </c>
      <c r="O96" s="49" t="s">
        <v>67</v>
      </c>
      <c r="P96" s="11" t="s">
        <v>80</v>
      </c>
      <c r="Q96" s="11" t="s">
        <v>96</v>
      </c>
      <c r="R96" s="11" t="s">
        <v>82</v>
      </c>
      <c r="S96" s="11" t="s">
        <v>2713</v>
      </c>
      <c r="T96" s="116" t="s">
        <v>1</v>
      </c>
      <c r="U96" s="88"/>
      <c r="V96" s="51">
        <v>45950</v>
      </c>
      <c r="W96" s="102" t="s">
        <v>1568</v>
      </c>
      <c r="X96" s="135" t="str">
        <f>VLOOKUP(Table1[[#This Row],[AMZ ID]],[1]Roster_1787503287932!$D$2:$AU$1370,25,0)</f>
        <v>Present</v>
      </c>
      <c r="Y96" s="135">
        <f>VLOOKUP(Table1[[#This Row],[AMZ ID]],[1]Roster_1787503287932!$D$2:$AM$1370,35,0)</f>
        <v>0</v>
      </c>
    </row>
    <row r="97" spans="1:25" ht="13" customHeight="1">
      <c r="A97" s="11">
        <v>91</v>
      </c>
      <c r="B97" s="47">
        <v>206937730</v>
      </c>
      <c r="C97" s="89" t="s">
        <v>2124</v>
      </c>
      <c r="D97" s="11" t="s">
        <v>2049</v>
      </c>
      <c r="E97" s="48" t="s">
        <v>31</v>
      </c>
      <c r="F97" s="48" t="s">
        <v>74</v>
      </c>
      <c r="G97" s="11" t="s">
        <v>64</v>
      </c>
      <c r="H97" s="11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9" t="s">
        <v>86</v>
      </c>
      <c r="O97" s="49" t="s">
        <v>67</v>
      </c>
      <c r="P97" s="11" t="s">
        <v>80</v>
      </c>
      <c r="Q97" s="11" t="s">
        <v>90</v>
      </c>
      <c r="R97" s="11" t="s">
        <v>82</v>
      </c>
      <c r="S97" s="11" t="s">
        <v>2713</v>
      </c>
      <c r="T97" s="116" t="s">
        <v>1</v>
      </c>
      <c r="U97" s="88"/>
      <c r="V97" s="51">
        <v>46048</v>
      </c>
      <c r="W97" s="102" t="s">
        <v>1568</v>
      </c>
      <c r="X97" s="135" t="str">
        <f>VLOOKUP(Table1[[#This Row],[AMZ ID]],[1]Roster_1787503287932!$D$2:$AU$1370,25,0)</f>
        <v>Present</v>
      </c>
      <c r="Y97" s="135">
        <f>VLOOKUP(Table1[[#This Row],[AMZ ID]],[1]Roster_1787503287932!$D$2:$AM$1370,35,0)</f>
        <v>0</v>
      </c>
    </row>
    <row r="98" spans="1:25" ht="13" customHeight="1">
      <c r="A98" s="11">
        <v>92</v>
      </c>
      <c r="B98" s="47">
        <v>206192253</v>
      </c>
      <c r="C98" s="89" t="s">
        <v>2477</v>
      </c>
      <c r="D98" s="11" t="s">
        <v>2478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39</v>
      </c>
      <c r="K98" s="49" t="s">
        <v>76</v>
      </c>
      <c r="L98" s="49" t="s">
        <v>84</v>
      </c>
      <c r="M98" s="49" t="s">
        <v>85</v>
      </c>
      <c r="N98" s="48" t="s">
        <v>79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2713</v>
      </c>
      <c r="T98" s="116" t="s">
        <v>1</v>
      </c>
      <c r="U98" s="88"/>
      <c r="V98" s="51">
        <v>45936</v>
      </c>
      <c r="W98" s="102" t="s">
        <v>1568</v>
      </c>
      <c r="X98" s="135" t="str">
        <f>VLOOKUP(Table1[[#This Row],[AMZ ID]],[1]Roster_1787503287932!$D$2:$AU$1370,25,0)</f>
        <v>Present</v>
      </c>
      <c r="Y98" s="135">
        <f>VLOOKUP(Table1[[#This Row],[AMZ ID]],[1]Roster_1787503287932!$D$2:$AM$1370,35,0)</f>
        <v>0</v>
      </c>
    </row>
    <row r="99" spans="1:25" ht="13" customHeight="1">
      <c r="A99" s="11">
        <v>93</v>
      </c>
      <c r="B99" s="47">
        <v>204373675</v>
      </c>
      <c r="C99" s="89" t="s">
        <v>115</v>
      </c>
      <c r="D99" s="11" t="s">
        <v>1933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95</v>
      </c>
      <c r="M99" s="49" t="s">
        <v>77</v>
      </c>
      <c r="N99" s="49" t="s">
        <v>86</v>
      </c>
      <c r="O99" s="49" t="s">
        <v>67</v>
      </c>
      <c r="P99" s="11" t="s">
        <v>80</v>
      </c>
      <c r="Q99" s="11" t="s">
        <v>99</v>
      </c>
      <c r="R99" s="11" t="s">
        <v>82</v>
      </c>
      <c r="S99" s="11" t="s">
        <v>2713</v>
      </c>
      <c r="T99" s="116" t="s">
        <v>1</v>
      </c>
      <c r="U99" s="88"/>
      <c r="V99" s="51">
        <v>45593</v>
      </c>
      <c r="W99" s="102" t="s">
        <v>1568</v>
      </c>
      <c r="X99" s="135" t="str">
        <f>VLOOKUP(Table1[[#This Row],[AMZ ID]],[1]Roster_1787503287932!$D$2:$AU$1370,25,0)</f>
        <v>Present</v>
      </c>
      <c r="Y99" s="135">
        <f>VLOOKUP(Table1[[#This Row],[AMZ ID]],[1]Roster_1787503287932!$D$2:$AM$1370,35,0)</f>
        <v>0</v>
      </c>
    </row>
    <row r="100" spans="1:25" ht="13" customHeight="1">
      <c r="A100" s="11">
        <v>94</v>
      </c>
      <c r="B100" s="47">
        <v>204319464</v>
      </c>
      <c r="C100" s="89" t="s">
        <v>116</v>
      </c>
      <c r="D100" s="11" t="s">
        <v>1934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89</v>
      </c>
      <c r="O100" s="49" t="s">
        <v>67</v>
      </c>
      <c r="P100" s="11" t="s">
        <v>80</v>
      </c>
      <c r="Q100" s="11" t="s">
        <v>87</v>
      </c>
      <c r="R100" s="11" t="s">
        <v>82</v>
      </c>
      <c r="S100" s="11" t="s">
        <v>2713</v>
      </c>
      <c r="T100" s="116" t="s">
        <v>1</v>
      </c>
      <c r="U100" s="88"/>
      <c r="V100" s="51">
        <v>45589</v>
      </c>
      <c r="W100" s="102" t="s">
        <v>1568</v>
      </c>
      <c r="X100" s="135" t="str">
        <f>VLOOKUP(Table1[[#This Row],[AMZ ID]],[1]Roster_1787503287932!$D$2:$AU$1370,25,0)</f>
        <v>Present</v>
      </c>
      <c r="Y100" s="135">
        <f>VLOOKUP(Table1[[#This Row],[AMZ ID]],[1]Roster_1787503287932!$D$2:$AM$1370,35,0)</f>
        <v>0</v>
      </c>
    </row>
    <row r="101" spans="1:25" ht="13" customHeight="1">
      <c r="A101" s="11">
        <v>95</v>
      </c>
      <c r="B101" s="47">
        <v>206015673</v>
      </c>
      <c r="C101" s="89" t="s">
        <v>2255</v>
      </c>
      <c r="D101" s="11" t="s">
        <v>2256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77</v>
      </c>
      <c r="M101" s="49" t="s">
        <v>78</v>
      </c>
      <c r="N101" s="49" t="s">
        <v>89</v>
      </c>
      <c r="O101" s="49" t="s">
        <v>67</v>
      </c>
      <c r="P101" s="11" t="s">
        <v>80</v>
      </c>
      <c r="Q101" s="11" t="s">
        <v>81</v>
      </c>
      <c r="R101" s="11" t="s">
        <v>82</v>
      </c>
      <c r="S101" s="11" t="s">
        <v>2713</v>
      </c>
      <c r="T101" s="116" t="s">
        <v>10</v>
      </c>
      <c r="U101" s="88"/>
      <c r="V101" s="51">
        <v>45915</v>
      </c>
      <c r="W101" s="102" t="s">
        <v>1568</v>
      </c>
      <c r="X101" s="135" t="str">
        <f>VLOOKUP(Table1[[#This Row],[AMZ ID]],[1]Roster_1787503287932!$D$2:$AU$1370,25,0)</f>
        <v>Not Present</v>
      </c>
      <c r="Y101" s="135">
        <f>VLOOKUP(Table1[[#This Row],[AMZ ID]],[1]Roster_1787503287932!$D$2:$AM$1370,35,0)</f>
        <v>0</v>
      </c>
    </row>
    <row r="102" spans="1:25" ht="13" customHeight="1">
      <c r="A102" s="11">
        <v>96</v>
      </c>
      <c r="B102" s="47">
        <v>206006079</v>
      </c>
      <c r="C102" s="89" t="s">
        <v>401</v>
      </c>
      <c r="D102" s="11" t="s">
        <v>1935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39</v>
      </c>
      <c r="K102" s="49" t="s">
        <v>76</v>
      </c>
      <c r="L102" s="49" t="s">
        <v>92</v>
      </c>
      <c r="M102" s="49" t="s">
        <v>84</v>
      </c>
      <c r="N102" s="49" t="s">
        <v>89</v>
      </c>
      <c r="O102" s="49" t="s">
        <v>67</v>
      </c>
      <c r="P102" s="11" t="s">
        <v>80</v>
      </c>
      <c r="Q102" s="11" t="s">
        <v>81</v>
      </c>
      <c r="R102" s="11" t="s">
        <v>82</v>
      </c>
      <c r="S102" s="11" t="s">
        <v>2713</v>
      </c>
      <c r="T102" s="116" t="s">
        <v>1</v>
      </c>
      <c r="U102" s="88"/>
      <c r="V102" s="51">
        <v>45915</v>
      </c>
      <c r="W102" s="102" t="s">
        <v>1568</v>
      </c>
      <c r="X102" s="135" t="str">
        <f>VLOOKUP(Table1[[#This Row],[AMZ ID]],[1]Roster_1787503287932!$D$2:$AU$1370,25,0)</f>
        <v>Present</v>
      </c>
      <c r="Y102" s="135">
        <f>VLOOKUP(Table1[[#This Row],[AMZ ID]],[1]Roster_1787503287932!$D$2:$AM$1370,35,0)</f>
        <v>0</v>
      </c>
    </row>
    <row r="103" spans="1:25" ht="13" customHeight="1">
      <c r="A103" s="11">
        <v>97</v>
      </c>
      <c r="B103" s="47">
        <v>204373628</v>
      </c>
      <c r="C103" s="89" t="s">
        <v>117</v>
      </c>
      <c r="D103" s="11" t="s">
        <v>1936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78</v>
      </c>
      <c r="M103" s="49" t="s">
        <v>92</v>
      </c>
      <c r="N103" s="49" t="s">
        <v>86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2713</v>
      </c>
      <c r="T103" s="116" t="s">
        <v>10</v>
      </c>
      <c r="U103" s="88"/>
      <c r="V103" s="51">
        <v>45593</v>
      </c>
      <c r="W103" s="102" t="s">
        <v>1568</v>
      </c>
      <c r="X103" s="135" t="str">
        <f>VLOOKUP(Table1[[#This Row],[AMZ ID]],[1]Roster_1787503287932!$D$2:$AU$1370,25,0)</f>
        <v>Not Present</v>
      </c>
      <c r="Y103" s="135">
        <f>VLOOKUP(Table1[[#This Row],[AMZ ID]],[1]Roster_1787503287932!$D$2:$AM$1370,35,0)</f>
        <v>0</v>
      </c>
    </row>
    <row r="104" spans="1:25" ht="13" customHeight="1">
      <c r="A104" s="11">
        <v>98</v>
      </c>
      <c r="B104" s="47">
        <v>206957730</v>
      </c>
      <c r="C104" s="89" t="s">
        <v>2117</v>
      </c>
      <c r="D104" s="11" t="s">
        <v>2040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95</v>
      </c>
      <c r="M104" s="49" t="s">
        <v>77</v>
      </c>
      <c r="N104" s="48" t="s">
        <v>89</v>
      </c>
      <c r="O104" s="49" t="s">
        <v>67</v>
      </c>
      <c r="P104" s="11" t="s">
        <v>80</v>
      </c>
      <c r="Q104" s="11" t="s">
        <v>96</v>
      </c>
      <c r="R104" s="11" t="s">
        <v>82</v>
      </c>
      <c r="S104" s="11" t="s">
        <v>2713</v>
      </c>
      <c r="T104" s="116" t="s">
        <v>1</v>
      </c>
      <c r="U104" s="88"/>
      <c r="V104" s="51">
        <v>46048</v>
      </c>
      <c r="W104" s="102" t="s">
        <v>1568</v>
      </c>
      <c r="X104" s="135" t="str">
        <f>VLOOKUP(Table1[[#This Row],[AMZ ID]],[1]Roster_1787503287932!$D$2:$AU$1370,25,0)</f>
        <v>Present</v>
      </c>
      <c r="Y104" s="135">
        <f>VLOOKUP(Table1[[#This Row],[AMZ ID]],[1]Roster_1787503287932!$D$2:$AM$1370,35,0)</f>
        <v>0</v>
      </c>
    </row>
    <row r="105" spans="1:25" ht="13" customHeight="1">
      <c r="A105" s="11">
        <v>99</v>
      </c>
      <c r="B105" s="47">
        <v>201456034</v>
      </c>
      <c r="C105" s="89" t="s">
        <v>118</v>
      </c>
      <c r="D105" s="11" t="s">
        <v>1937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95</v>
      </c>
      <c r="M105" s="49" t="s">
        <v>77</v>
      </c>
      <c r="N105" s="49" t="s">
        <v>79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2713</v>
      </c>
      <c r="T105" s="116" t="s">
        <v>7</v>
      </c>
      <c r="U105" s="88" t="s">
        <v>3015</v>
      </c>
      <c r="V105" s="51">
        <v>45603</v>
      </c>
      <c r="W105" s="102" t="s">
        <v>1568</v>
      </c>
      <c r="X105" s="135" t="str">
        <f>VLOOKUP(Table1[[#This Row],[AMZ ID]],[1]Roster_1787503287932!$D$2:$AU$1370,25,0)</f>
        <v>Not Present</v>
      </c>
      <c r="Y105" s="135" t="str">
        <f>VLOOKUP(Table1[[#This Row],[AMZ ID]],[1]Roster_1787503287932!$D$2:$AM$1370,35,0)</f>
        <v>Annual Leave</v>
      </c>
    </row>
    <row r="106" spans="1:25" ht="13" customHeight="1">
      <c r="A106" s="11">
        <v>100</v>
      </c>
      <c r="B106" s="47">
        <v>206953803</v>
      </c>
      <c r="C106" s="89" t="s">
        <v>2113</v>
      </c>
      <c r="D106" s="11" t="s">
        <v>2036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88</v>
      </c>
      <c r="M106" s="49" t="s">
        <v>95</v>
      </c>
      <c r="N106" s="48" t="s">
        <v>79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2713</v>
      </c>
      <c r="T106" s="116" t="s">
        <v>1</v>
      </c>
      <c r="U106" s="88"/>
      <c r="V106" s="51">
        <v>46048</v>
      </c>
      <c r="W106" s="102" t="s">
        <v>1568</v>
      </c>
      <c r="X106" s="135" t="str">
        <f>VLOOKUP(Table1[[#This Row],[AMZ ID]],[1]Roster_1787503287932!$D$2:$AU$1370,25,0)</f>
        <v>Present</v>
      </c>
      <c r="Y106" s="135">
        <f>VLOOKUP(Table1[[#This Row],[AMZ ID]],[1]Roster_1787503287932!$D$2:$AM$1370,35,0)</f>
        <v>0</v>
      </c>
    </row>
    <row r="107" spans="1:25" ht="13" customHeight="1">
      <c r="A107" s="11">
        <v>101</v>
      </c>
      <c r="B107" s="47">
        <v>206192268</v>
      </c>
      <c r="C107" s="89" t="s">
        <v>1598</v>
      </c>
      <c r="D107" s="11" t="s">
        <v>1938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79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2713</v>
      </c>
      <c r="T107" s="116" t="s">
        <v>1</v>
      </c>
      <c r="U107" s="88"/>
      <c r="V107" s="51">
        <v>45936</v>
      </c>
      <c r="W107" s="102" t="s">
        <v>1568</v>
      </c>
      <c r="X107" s="135" t="str">
        <f>VLOOKUP(Table1[[#This Row],[AMZ ID]],[1]Roster_1787503287932!$D$2:$AU$1370,25,0)</f>
        <v>Present</v>
      </c>
      <c r="Y107" s="135">
        <f>VLOOKUP(Table1[[#This Row],[AMZ ID]],[1]Roster_1787503287932!$D$2:$AM$1370,35,0)</f>
        <v>0</v>
      </c>
    </row>
    <row r="108" spans="1:25" ht="13" customHeight="1">
      <c r="A108" s="11">
        <v>102</v>
      </c>
      <c r="B108" s="47">
        <v>203469395</v>
      </c>
      <c r="C108" s="89" t="s">
        <v>119</v>
      </c>
      <c r="D108" s="11" t="s">
        <v>1939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78</v>
      </c>
      <c r="M108" s="49" t="s">
        <v>92</v>
      </c>
      <c r="N108" s="49" t="s">
        <v>86</v>
      </c>
      <c r="O108" s="49" t="s">
        <v>67</v>
      </c>
      <c r="P108" s="11" t="s">
        <v>80</v>
      </c>
      <c r="Q108" s="11" t="s">
        <v>99</v>
      </c>
      <c r="R108" s="11" t="s">
        <v>82</v>
      </c>
      <c r="S108" s="11" t="s">
        <v>2713</v>
      </c>
      <c r="T108" s="116" t="s">
        <v>10</v>
      </c>
      <c r="U108" s="88"/>
      <c r="V108" s="51">
        <v>45456</v>
      </c>
      <c r="W108" s="102" t="s">
        <v>1568</v>
      </c>
      <c r="X108" s="135" t="str">
        <f>VLOOKUP(Table1[[#This Row],[AMZ ID]],[1]Roster_1787503287932!$D$2:$AU$1370,25,0)</f>
        <v>Not Present</v>
      </c>
      <c r="Y108" s="135">
        <f>VLOOKUP(Table1[[#This Row],[AMZ ID]],[1]Roster_1787503287932!$D$2:$AM$1370,35,0)</f>
        <v>0</v>
      </c>
    </row>
    <row r="109" spans="1:25" ht="13" customHeight="1">
      <c r="A109" s="11">
        <v>103</v>
      </c>
      <c r="B109" s="47">
        <v>102582334</v>
      </c>
      <c r="C109" s="89" t="s">
        <v>2707</v>
      </c>
      <c r="D109" s="11" t="s">
        <v>2708</v>
      </c>
      <c r="E109" s="48" t="s">
        <v>34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95</v>
      </c>
      <c r="M109" s="49" t="s">
        <v>77</v>
      </c>
      <c r="N109" s="48" t="s">
        <v>108</v>
      </c>
      <c r="O109" s="49" t="s">
        <v>67</v>
      </c>
      <c r="P109" s="11" t="s">
        <v>80</v>
      </c>
      <c r="Q109" s="11" t="s">
        <v>98</v>
      </c>
      <c r="R109" s="11" t="s">
        <v>2711</v>
      </c>
      <c r="S109" s="11" t="s">
        <v>2712</v>
      </c>
      <c r="T109" s="116" t="s">
        <v>3</v>
      </c>
      <c r="U109" s="88"/>
      <c r="V109" s="51">
        <v>42960</v>
      </c>
      <c r="W109" s="102" t="s">
        <v>1568</v>
      </c>
      <c r="X109" s="135" t="str">
        <f>VLOOKUP(Table1[[#This Row],[AMZ ID]],[1]Roster_1787503287932!$D$2:$AU$1370,25,0)</f>
        <v>Not Present</v>
      </c>
      <c r="Y109" s="135">
        <f>VLOOKUP(Table1[[#This Row],[AMZ ID]],[1]Roster_1787503287932!$D$2:$AM$1370,35,0)</f>
        <v>0</v>
      </c>
    </row>
    <row r="110" spans="1:25" ht="13" customHeight="1">
      <c r="A110" s="11">
        <v>104</v>
      </c>
      <c r="B110" s="47">
        <v>203687851</v>
      </c>
      <c r="C110" s="89" t="s">
        <v>2257</v>
      </c>
      <c r="D110" s="11" t="s">
        <v>2258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39</v>
      </c>
      <c r="K110" s="49" t="s">
        <v>76</v>
      </c>
      <c r="L110" s="49" t="s">
        <v>77</v>
      </c>
      <c r="M110" s="49" t="s">
        <v>78</v>
      </c>
      <c r="N110" s="48" t="s">
        <v>86</v>
      </c>
      <c r="O110" s="49" t="s">
        <v>67</v>
      </c>
      <c r="P110" s="11" t="s">
        <v>80</v>
      </c>
      <c r="Q110" s="11" t="s">
        <v>99</v>
      </c>
      <c r="R110" s="11" t="s">
        <v>82</v>
      </c>
      <c r="S110" s="11" t="s">
        <v>2713</v>
      </c>
      <c r="T110" s="116" t="s">
        <v>10</v>
      </c>
      <c r="U110" s="88"/>
      <c r="V110" s="51">
        <v>45488</v>
      </c>
      <c r="W110" s="102" t="s">
        <v>1568</v>
      </c>
      <c r="X110" s="135" t="str">
        <f>VLOOKUP(Table1[[#This Row],[AMZ ID]],[1]Roster_1787503287932!$D$2:$AU$1370,25,0)</f>
        <v>Not Present</v>
      </c>
      <c r="Y110" s="135">
        <f>VLOOKUP(Table1[[#This Row],[AMZ ID]],[1]Roster_1787503287932!$D$2:$AM$1370,35,0)</f>
        <v>0</v>
      </c>
    </row>
    <row r="111" spans="1:25" ht="13" customHeight="1">
      <c r="A111" s="11">
        <v>105</v>
      </c>
      <c r="B111" s="47">
        <v>206953570</v>
      </c>
      <c r="C111" s="89" t="s">
        <v>2114</v>
      </c>
      <c r="D111" s="11" t="s">
        <v>2037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88</v>
      </c>
      <c r="M111" s="49" t="s">
        <v>95</v>
      </c>
      <c r="N111" s="48" t="s">
        <v>79</v>
      </c>
      <c r="O111" s="49" t="s">
        <v>67</v>
      </c>
      <c r="P111" s="11" t="s">
        <v>80</v>
      </c>
      <c r="Q111" s="11" t="s">
        <v>96</v>
      </c>
      <c r="R111" s="11" t="s">
        <v>82</v>
      </c>
      <c r="S111" s="11" t="s">
        <v>2713</v>
      </c>
      <c r="T111" s="116" t="s">
        <v>1</v>
      </c>
      <c r="U111" s="88"/>
      <c r="V111" s="51">
        <v>46048</v>
      </c>
      <c r="W111" s="102" t="s">
        <v>1568</v>
      </c>
      <c r="X111" s="135" t="str">
        <f>VLOOKUP(Table1[[#This Row],[AMZ ID]],[1]Roster_1787503287932!$D$2:$AU$1370,25,0)</f>
        <v>Present</v>
      </c>
      <c r="Y111" s="135">
        <f>VLOOKUP(Table1[[#This Row],[AMZ ID]],[1]Roster_1787503287932!$D$2:$AM$1370,35,0)</f>
        <v>0</v>
      </c>
    </row>
    <row r="112" spans="1:25" ht="13" customHeight="1">
      <c r="A112" s="11">
        <v>106</v>
      </c>
      <c r="B112" s="47">
        <v>203469053</v>
      </c>
      <c r="C112" s="89" t="s">
        <v>120</v>
      </c>
      <c r="D112" s="11" t="s">
        <v>1940</v>
      </c>
      <c r="E112" s="48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39</v>
      </c>
      <c r="K112" s="49" t="s">
        <v>76</v>
      </c>
      <c r="L112" s="49" t="s">
        <v>85</v>
      </c>
      <c r="M112" s="49" t="s">
        <v>88</v>
      </c>
      <c r="N112" s="49" t="s">
        <v>79</v>
      </c>
      <c r="O112" s="49" t="s">
        <v>67</v>
      </c>
      <c r="P112" s="11" t="s">
        <v>80</v>
      </c>
      <c r="Q112" s="11" t="s">
        <v>81</v>
      </c>
      <c r="R112" s="11" t="s">
        <v>82</v>
      </c>
      <c r="S112" s="11" t="s">
        <v>2713</v>
      </c>
      <c r="T112" s="116" t="s">
        <v>1</v>
      </c>
      <c r="U112" s="88"/>
      <c r="V112" s="51">
        <v>45456</v>
      </c>
      <c r="W112" s="102" t="s">
        <v>1568</v>
      </c>
      <c r="X112" s="135" t="str">
        <f>VLOOKUP(Table1[[#This Row],[AMZ ID]],[1]Roster_1787503287932!$D$2:$AU$1370,25,0)</f>
        <v>Present</v>
      </c>
      <c r="Y112" s="135">
        <f>VLOOKUP(Table1[[#This Row],[AMZ ID]],[1]Roster_1787503287932!$D$2:$AM$1370,35,0)</f>
        <v>0</v>
      </c>
    </row>
    <row r="113" spans="1:25" ht="13" customHeight="1">
      <c r="A113" s="11">
        <v>107</v>
      </c>
      <c r="B113" s="47">
        <v>206949312</v>
      </c>
      <c r="C113" s="89" t="s">
        <v>2156</v>
      </c>
      <c r="D113" s="11" t="s">
        <v>2157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8" t="s">
        <v>86</v>
      </c>
      <c r="O113" s="49" t="s">
        <v>67</v>
      </c>
      <c r="P113" s="11" t="s">
        <v>80</v>
      </c>
      <c r="Q113" s="11" t="s">
        <v>90</v>
      </c>
      <c r="R113" s="11" t="s">
        <v>82</v>
      </c>
      <c r="S113" s="11" t="s">
        <v>2713</v>
      </c>
      <c r="T113" s="116" t="s">
        <v>1</v>
      </c>
      <c r="U113" s="88"/>
      <c r="V113" s="51">
        <v>46048</v>
      </c>
      <c r="W113" s="102" t="s">
        <v>1568</v>
      </c>
      <c r="X113" s="135" t="str">
        <f>VLOOKUP(Table1[[#This Row],[AMZ ID]],[1]Roster_1787503287932!$D$2:$AU$1370,25,0)</f>
        <v>Present</v>
      </c>
      <c r="Y113" s="135">
        <f>VLOOKUP(Table1[[#This Row],[AMZ ID]],[1]Roster_1787503287932!$D$2:$AM$1370,35,0)</f>
        <v>0</v>
      </c>
    </row>
    <row r="114" spans="1:25" ht="13" customHeight="1">
      <c r="A114" s="11">
        <v>108</v>
      </c>
      <c r="B114" s="47">
        <v>203940975</v>
      </c>
      <c r="C114" s="89" t="s">
        <v>1472</v>
      </c>
      <c r="D114" s="11" t="s">
        <v>1473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77</v>
      </c>
      <c r="M114" s="49" t="s">
        <v>78</v>
      </c>
      <c r="N114" s="48" t="s">
        <v>2732</v>
      </c>
      <c r="O114" s="49" t="s">
        <v>1475</v>
      </c>
      <c r="P114" s="11" t="s">
        <v>1443</v>
      </c>
      <c r="Q114" s="11" t="s">
        <v>99</v>
      </c>
      <c r="R114" s="11" t="s">
        <v>2724</v>
      </c>
      <c r="S114" s="11" t="s">
        <v>2725</v>
      </c>
      <c r="T114" s="116" t="s">
        <v>10</v>
      </c>
      <c r="U114" s="88"/>
      <c r="V114" s="51">
        <v>45540</v>
      </c>
      <c r="W114" s="97" t="s">
        <v>1583</v>
      </c>
      <c r="X114" s="135" t="str">
        <f>VLOOKUP(Table1[[#This Row],[AMZ ID]],[1]Roster_1787503287932!$D$2:$AU$1370,25,0)</f>
        <v>Not Present</v>
      </c>
      <c r="Y114" s="135">
        <f>VLOOKUP(Table1[[#This Row],[AMZ ID]],[1]Roster_1787503287932!$D$2:$AM$1370,35,0)</f>
        <v>0</v>
      </c>
    </row>
    <row r="115" spans="1:25" ht="13" customHeight="1">
      <c r="A115" s="11">
        <v>109</v>
      </c>
      <c r="B115" s="47">
        <v>206192274</v>
      </c>
      <c r="C115" s="89" t="s">
        <v>2259</v>
      </c>
      <c r="D115" s="11" t="s">
        <v>2260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89</v>
      </c>
      <c r="O115" s="49" t="s">
        <v>67</v>
      </c>
      <c r="P115" s="11" t="s">
        <v>80</v>
      </c>
      <c r="Q115" s="11" t="s">
        <v>96</v>
      </c>
      <c r="R115" s="11" t="s">
        <v>82</v>
      </c>
      <c r="S115" s="11" t="s">
        <v>2713</v>
      </c>
      <c r="T115" s="116" t="s">
        <v>1</v>
      </c>
      <c r="U115" s="88"/>
      <c r="V115" s="51">
        <v>45936</v>
      </c>
      <c r="W115" s="102" t="s">
        <v>1568</v>
      </c>
      <c r="X115" s="135" t="str">
        <f>VLOOKUP(Table1[[#This Row],[AMZ ID]],[1]Roster_1787503287932!$D$2:$AU$1370,25,0)</f>
        <v>Present</v>
      </c>
      <c r="Y115" s="135">
        <f>VLOOKUP(Table1[[#This Row],[AMZ ID]],[1]Roster_1787503287932!$D$2:$AM$1370,35,0)</f>
        <v>0</v>
      </c>
    </row>
    <row r="116" spans="1:25" ht="13" customHeight="1">
      <c r="A116" s="11">
        <v>110</v>
      </c>
      <c r="B116" s="47">
        <v>203469078</v>
      </c>
      <c r="C116" s="89" t="s">
        <v>122</v>
      </c>
      <c r="D116" s="11" t="s">
        <v>1942</v>
      </c>
      <c r="E116" s="4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85</v>
      </c>
      <c r="M116" s="49" t="s">
        <v>88</v>
      </c>
      <c r="N116" s="49" t="s">
        <v>79</v>
      </c>
      <c r="O116" s="49" t="s">
        <v>67</v>
      </c>
      <c r="P116" s="11" t="s">
        <v>80</v>
      </c>
      <c r="Q116" s="11" t="s">
        <v>81</v>
      </c>
      <c r="R116" s="11" t="s">
        <v>82</v>
      </c>
      <c r="S116" s="11" t="s">
        <v>2713</v>
      </c>
      <c r="T116" s="116" t="s">
        <v>1</v>
      </c>
      <c r="U116" s="88"/>
      <c r="V116" s="51">
        <v>45456</v>
      </c>
      <c r="W116" s="102" t="s">
        <v>1568</v>
      </c>
      <c r="X116" s="135" t="str">
        <f>VLOOKUP(Table1[[#This Row],[AMZ ID]],[1]Roster_1787503287932!$D$2:$AU$1370,25,0)</f>
        <v>Present</v>
      </c>
      <c r="Y116" s="135">
        <f>VLOOKUP(Table1[[#This Row],[AMZ ID]],[1]Roster_1787503287932!$D$2:$AM$1370,35,0)</f>
        <v>0</v>
      </c>
    </row>
    <row r="117" spans="1:25" ht="13" customHeight="1">
      <c r="A117" s="11">
        <v>111</v>
      </c>
      <c r="B117" s="47">
        <v>206953972</v>
      </c>
      <c r="C117" s="89" t="s">
        <v>2130</v>
      </c>
      <c r="D117" s="11" t="s">
        <v>2058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89</v>
      </c>
      <c r="O117" s="49" t="s">
        <v>67</v>
      </c>
      <c r="P117" s="11" t="s">
        <v>80</v>
      </c>
      <c r="Q117" s="11" t="s">
        <v>90</v>
      </c>
      <c r="R117" s="11" t="s">
        <v>82</v>
      </c>
      <c r="S117" s="11" t="s">
        <v>2713</v>
      </c>
      <c r="T117" s="116" t="s">
        <v>1</v>
      </c>
      <c r="U117" s="88"/>
      <c r="V117" s="51">
        <v>46048</v>
      </c>
      <c r="W117" s="102" t="s">
        <v>1568</v>
      </c>
      <c r="X117" s="135" t="str">
        <f>VLOOKUP(Table1[[#This Row],[AMZ ID]],[1]Roster_1787503287932!$D$2:$AU$1370,25,0)</f>
        <v>Present</v>
      </c>
      <c r="Y117" s="135">
        <f>VLOOKUP(Table1[[#This Row],[AMZ ID]],[1]Roster_1787503287932!$D$2:$AM$1370,35,0)</f>
        <v>0</v>
      </c>
    </row>
    <row r="118" spans="1:25" ht="13" customHeight="1">
      <c r="A118" s="11">
        <v>112</v>
      </c>
      <c r="B118" s="47">
        <v>203469052</v>
      </c>
      <c r="C118" s="89" t="s">
        <v>123</v>
      </c>
      <c r="D118" s="11" t="s">
        <v>1943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32</v>
      </c>
      <c r="K118" s="49" t="s">
        <v>76</v>
      </c>
      <c r="L118" s="49" t="s">
        <v>85</v>
      </c>
      <c r="M118" s="49" t="s">
        <v>88</v>
      </c>
      <c r="N118" s="48" t="s">
        <v>79</v>
      </c>
      <c r="O118" s="49" t="s">
        <v>67</v>
      </c>
      <c r="P118" s="11" t="s">
        <v>80</v>
      </c>
      <c r="Q118" s="11" t="s">
        <v>81</v>
      </c>
      <c r="R118" s="11" t="s">
        <v>82</v>
      </c>
      <c r="S118" s="11" t="s">
        <v>2713</v>
      </c>
      <c r="T118" s="116" t="s">
        <v>1</v>
      </c>
      <c r="U118" s="88"/>
      <c r="V118" s="51">
        <v>45456</v>
      </c>
      <c r="W118" s="102" t="s">
        <v>1568</v>
      </c>
      <c r="X118" s="135" t="str">
        <f>VLOOKUP(Table1[[#This Row],[AMZ ID]],[1]Roster_1787503287932!$D$2:$AU$1370,25,0)</f>
        <v>Present</v>
      </c>
      <c r="Y118" s="135">
        <f>VLOOKUP(Table1[[#This Row],[AMZ ID]],[1]Roster_1787503287932!$D$2:$AM$1370,35,0)</f>
        <v>0</v>
      </c>
    </row>
    <row r="119" spans="1:25" ht="13" customHeight="1">
      <c r="A119" s="11">
        <v>113</v>
      </c>
      <c r="B119" s="47">
        <v>206875598</v>
      </c>
      <c r="C119" s="89" t="s">
        <v>1739</v>
      </c>
      <c r="D119" s="11" t="s">
        <v>1740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77</v>
      </c>
      <c r="M119" s="49" t="s">
        <v>78</v>
      </c>
      <c r="N119" s="48" t="s">
        <v>89</v>
      </c>
      <c r="O119" s="49" t="s">
        <v>67</v>
      </c>
      <c r="P119" s="11" t="s">
        <v>80</v>
      </c>
      <c r="Q119" s="11" t="s">
        <v>90</v>
      </c>
      <c r="R119" s="11" t="s">
        <v>82</v>
      </c>
      <c r="S119" s="11" t="s">
        <v>2713</v>
      </c>
      <c r="T119" s="116" t="s">
        <v>10</v>
      </c>
      <c r="U119" s="88"/>
      <c r="V119" s="51">
        <v>46020</v>
      </c>
      <c r="W119" s="102" t="s">
        <v>1568</v>
      </c>
      <c r="X119" s="135" t="str">
        <f>VLOOKUP(Table1[[#This Row],[AMZ ID]],[1]Roster_1787503287932!$D$2:$AU$1370,25,0)</f>
        <v>Not Present</v>
      </c>
      <c r="Y119" s="135">
        <f>VLOOKUP(Table1[[#This Row],[AMZ ID]],[1]Roster_1787503287932!$D$2:$AM$1370,35,0)</f>
        <v>0</v>
      </c>
    </row>
    <row r="120" spans="1:25" ht="13" customHeight="1">
      <c r="A120" s="11">
        <v>114</v>
      </c>
      <c r="B120" s="47">
        <v>206957734</v>
      </c>
      <c r="C120" s="89" t="s">
        <v>2118</v>
      </c>
      <c r="D120" s="11" t="s">
        <v>2041</v>
      </c>
      <c r="E120" s="48" t="s">
        <v>31</v>
      </c>
      <c r="F120" s="48" t="s">
        <v>74</v>
      </c>
      <c r="G120" s="48" t="s">
        <v>64</v>
      </c>
      <c r="H120" s="48" t="s">
        <v>75</v>
      </c>
      <c r="I120" s="11">
        <v>1299</v>
      </c>
      <c r="J120" s="49" t="s">
        <v>32</v>
      </c>
      <c r="K120" s="49" t="s">
        <v>76</v>
      </c>
      <c r="L120" s="49" t="s">
        <v>78</v>
      </c>
      <c r="M120" s="49" t="s">
        <v>92</v>
      </c>
      <c r="N120" s="49" t="s">
        <v>89</v>
      </c>
      <c r="O120" s="48" t="s">
        <v>67</v>
      </c>
      <c r="P120" s="48" t="s">
        <v>80</v>
      </c>
      <c r="Q120" s="11" t="s">
        <v>96</v>
      </c>
      <c r="R120" s="11" t="s">
        <v>82</v>
      </c>
      <c r="S120" s="11" t="s">
        <v>2713</v>
      </c>
      <c r="T120" s="116" t="s">
        <v>10</v>
      </c>
      <c r="U120" s="88"/>
      <c r="V120" s="51">
        <v>46048</v>
      </c>
      <c r="W120" s="102" t="s">
        <v>1568</v>
      </c>
      <c r="X120" s="135" t="str">
        <f>VLOOKUP(Table1[[#This Row],[AMZ ID]],[1]Roster_1787503287932!$D$2:$AU$1370,25,0)</f>
        <v>Not Present</v>
      </c>
      <c r="Y120" s="135">
        <f>VLOOKUP(Table1[[#This Row],[AMZ ID]],[1]Roster_1787503287932!$D$2:$AM$1370,35,0)</f>
        <v>0</v>
      </c>
    </row>
    <row r="121" spans="1:25" ht="13" customHeight="1">
      <c r="A121" s="11">
        <v>115</v>
      </c>
      <c r="B121" s="47">
        <v>202199024</v>
      </c>
      <c r="C121" s="89" t="s">
        <v>124</v>
      </c>
      <c r="D121" s="11" t="s">
        <v>1944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39</v>
      </c>
      <c r="K121" s="49" t="s">
        <v>76</v>
      </c>
      <c r="L121" s="49" t="s">
        <v>77</v>
      </c>
      <c r="M121" s="49" t="s">
        <v>78</v>
      </c>
      <c r="N121" s="49" t="s">
        <v>86</v>
      </c>
      <c r="O121" s="49" t="s">
        <v>67</v>
      </c>
      <c r="P121" s="11" t="s">
        <v>80</v>
      </c>
      <c r="Q121" s="11" t="s">
        <v>87</v>
      </c>
      <c r="R121" s="11" t="s">
        <v>82</v>
      </c>
      <c r="S121" s="11" t="s">
        <v>2713</v>
      </c>
      <c r="T121" s="116" t="s">
        <v>10</v>
      </c>
      <c r="U121" s="88"/>
      <c r="V121" s="51">
        <v>45589</v>
      </c>
      <c r="W121" s="102" t="s">
        <v>1568</v>
      </c>
      <c r="X121" s="135" t="str">
        <f>VLOOKUP(Table1[[#This Row],[AMZ ID]],[1]Roster_1787503287932!$D$2:$AU$1370,25,0)</f>
        <v>Not Present</v>
      </c>
      <c r="Y121" s="135">
        <f>VLOOKUP(Table1[[#This Row],[AMZ ID]],[1]Roster_1787503287932!$D$2:$AM$1370,35,0)</f>
        <v>0</v>
      </c>
    </row>
    <row r="122" spans="1:25" ht="13" customHeight="1">
      <c r="A122" s="11">
        <v>116</v>
      </c>
      <c r="B122" s="47">
        <v>203817155</v>
      </c>
      <c r="C122" s="89" t="s">
        <v>125</v>
      </c>
      <c r="D122" s="11" t="s">
        <v>1945</v>
      </c>
      <c r="E122" s="48" t="s">
        <v>31</v>
      </c>
      <c r="F122" s="48" t="s">
        <v>74</v>
      </c>
      <c r="G122" s="11" t="s">
        <v>64</v>
      </c>
      <c r="H122" s="11" t="s">
        <v>75</v>
      </c>
      <c r="I122" s="11">
        <v>1299</v>
      </c>
      <c r="J122" s="49" t="s">
        <v>32</v>
      </c>
      <c r="K122" s="49" t="s">
        <v>76</v>
      </c>
      <c r="L122" s="49" t="s">
        <v>92</v>
      </c>
      <c r="M122" s="49" t="s">
        <v>84</v>
      </c>
      <c r="N122" s="48" t="s">
        <v>79</v>
      </c>
      <c r="O122" s="49" t="s">
        <v>67</v>
      </c>
      <c r="P122" s="11" t="s">
        <v>80</v>
      </c>
      <c r="Q122" s="11" t="s">
        <v>81</v>
      </c>
      <c r="R122" s="11" t="s">
        <v>2711</v>
      </c>
      <c r="S122" s="11" t="s">
        <v>2712</v>
      </c>
      <c r="T122" s="116" t="s">
        <v>1</v>
      </c>
      <c r="U122" s="88"/>
      <c r="V122" s="51">
        <v>45517</v>
      </c>
      <c r="W122" s="102" t="s">
        <v>1568</v>
      </c>
      <c r="X122" s="135" t="str">
        <f>VLOOKUP(Table1[[#This Row],[AMZ ID]],[1]Roster_1787503287932!$D$2:$AU$1370,25,0)</f>
        <v>Present</v>
      </c>
      <c r="Y122" s="135">
        <f>VLOOKUP(Table1[[#This Row],[AMZ ID]],[1]Roster_1787503287932!$D$2:$AM$1370,35,0)</f>
        <v>0</v>
      </c>
    </row>
    <row r="123" spans="1:25" ht="13" customHeight="1">
      <c r="A123" s="11">
        <v>117</v>
      </c>
      <c r="B123" s="47">
        <v>203679319</v>
      </c>
      <c r="C123" s="89" t="s">
        <v>2453</v>
      </c>
      <c r="D123" s="11" t="s">
        <v>2454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95</v>
      </c>
      <c r="M123" s="49" t="s">
        <v>77</v>
      </c>
      <c r="N123" s="48" t="s">
        <v>79</v>
      </c>
      <c r="O123" s="49" t="s">
        <v>67</v>
      </c>
      <c r="P123" s="11" t="s">
        <v>80</v>
      </c>
      <c r="Q123" s="11" t="s">
        <v>81</v>
      </c>
      <c r="R123" s="11" t="s">
        <v>2711</v>
      </c>
      <c r="S123" s="11" t="s">
        <v>2712</v>
      </c>
      <c r="T123" s="116" t="s">
        <v>1</v>
      </c>
      <c r="U123" s="88"/>
      <c r="V123" s="51">
        <v>45488</v>
      </c>
      <c r="W123" s="102" t="s">
        <v>1568</v>
      </c>
      <c r="X123" s="135" t="str">
        <f>VLOOKUP(Table1[[#This Row],[AMZ ID]],[1]Roster_1787503287932!$D$2:$AU$1370,25,0)</f>
        <v>Present</v>
      </c>
      <c r="Y123" s="135">
        <f>VLOOKUP(Table1[[#This Row],[AMZ ID]],[1]Roster_1787503287932!$D$2:$AM$1370,35,0)</f>
        <v>0</v>
      </c>
    </row>
    <row r="124" spans="1:25" ht="13" customHeight="1">
      <c r="A124" s="11">
        <v>118</v>
      </c>
      <c r="B124" s="47">
        <v>206953967</v>
      </c>
      <c r="C124" s="89" t="s">
        <v>2129</v>
      </c>
      <c r="D124" s="11" t="s">
        <v>2057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32</v>
      </c>
      <c r="K124" s="49" t="s">
        <v>76</v>
      </c>
      <c r="L124" s="49" t="s">
        <v>88</v>
      </c>
      <c r="M124" s="49" t="s">
        <v>95</v>
      </c>
      <c r="N124" s="48" t="s">
        <v>86</v>
      </c>
      <c r="O124" s="49" t="s">
        <v>67</v>
      </c>
      <c r="P124" s="11" t="s">
        <v>80</v>
      </c>
      <c r="Q124" s="11" t="s">
        <v>90</v>
      </c>
      <c r="R124" s="11" t="s">
        <v>2711</v>
      </c>
      <c r="S124" s="11" t="s">
        <v>2712</v>
      </c>
      <c r="T124" s="116" t="s">
        <v>1</v>
      </c>
      <c r="U124" s="88"/>
      <c r="V124" s="51">
        <v>46048</v>
      </c>
      <c r="W124" s="102" t="s">
        <v>1568</v>
      </c>
      <c r="X124" s="135" t="str">
        <f>VLOOKUP(Table1[[#This Row],[AMZ ID]],[1]Roster_1787503287932!$D$2:$AU$1370,25,0)</f>
        <v>Present</v>
      </c>
      <c r="Y124" s="135">
        <f>VLOOKUP(Table1[[#This Row],[AMZ ID]],[1]Roster_1787503287932!$D$2:$AM$1370,35,0)</f>
        <v>0</v>
      </c>
    </row>
    <row r="125" spans="1:25" ht="13" customHeight="1">
      <c r="A125" s="11">
        <v>119</v>
      </c>
      <c r="B125" s="47">
        <v>206174652</v>
      </c>
      <c r="C125" s="89" t="s">
        <v>2261</v>
      </c>
      <c r="D125" s="11" t="s">
        <v>2262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39</v>
      </c>
      <c r="K125" s="49" t="s">
        <v>76</v>
      </c>
      <c r="L125" s="49" t="s">
        <v>78</v>
      </c>
      <c r="M125" s="49" t="s">
        <v>92</v>
      </c>
      <c r="N125" s="48" t="s">
        <v>89</v>
      </c>
      <c r="O125" s="49" t="s">
        <v>67</v>
      </c>
      <c r="P125" s="11" t="s">
        <v>80</v>
      </c>
      <c r="Q125" s="11" t="s">
        <v>81</v>
      </c>
      <c r="R125" s="11" t="s">
        <v>2711</v>
      </c>
      <c r="S125" s="11" t="s">
        <v>2712</v>
      </c>
      <c r="T125" s="116" t="s">
        <v>10</v>
      </c>
      <c r="U125" s="88"/>
      <c r="V125" s="51">
        <v>45932</v>
      </c>
      <c r="W125" s="102" t="s">
        <v>1568</v>
      </c>
      <c r="X125" s="135" t="str">
        <f>VLOOKUP(Table1[[#This Row],[AMZ ID]],[1]Roster_1787503287932!$D$2:$AU$1370,25,0)</f>
        <v>Not Present</v>
      </c>
      <c r="Y125" s="135">
        <f>VLOOKUP(Table1[[#This Row],[AMZ ID]],[1]Roster_1787503287932!$D$2:$AM$1370,35,0)</f>
        <v>0</v>
      </c>
    </row>
    <row r="126" spans="1:25" ht="13" customHeight="1">
      <c r="A126" s="11">
        <v>120</v>
      </c>
      <c r="B126" s="47">
        <v>203679318</v>
      </c>
      <c r="C126" s="89" t="s">
        <v>126</v>
      </c>
      <c r="D126" s="11" t="s">
        <v>1946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39</v>
      </c>
      <c r="K126" s="49" t="s">
        <v>76</v>
      </c>
      <c r="L126" s="49" t="s">
        <v>77</v>
      </c>
      <c r="M126" s="49" t="s">
        <v>78</v>
      </c>
      <c r="N126" s="49" t="s">
        <v>79</v>
      </c>
      <c r="O126" s="49" t="s">
        <v>67</v>
      </c>
      <c r="P126" s="11" t="s">
        <v>80</v>
      </c>
      <c r="Q126" s="11" t="s">
        <v>81</v>
      </c>
      <c r="R126" s="11" t="s">
        <v>2711</v>
      </c>
      <c r="S126" s="11" t="s">
        <v>2712</v>
      </c>
      <c r="T126" s="116" t="s">
        <v>10</v>
      </c>
      <c r="U126" s="88"/>
      <c r="V126" s="51">
        <v>45488</v>
      </c>
      <c r="W126" s="102" t="s">
        <v>1568</v>
      </c>
      <c r="X126" s="135" t="str">
        <f>VLOOKUP(Table1[[#This Row],[AMZ ID]],[1]Roster_1787503287932!$D$2:$AU$1370,25,0)</f>
        <v>Not Present</v>
      </c>
      <c r="Y126" s="135">
        <f>VLOOKUP(Table1[[#This Row],[AMZ ID]],[1]Roster_1787503287932!$D$2:$AM$1370,35,0)</f>
        <v>0</v>
      </c>
    </row>
    <row r="127" spans="1:25" ht="13" customHeight="1">
      <c r="A127" s="11">
        <v>121</v>
      </c>
      <c r="B127" s="47">
        <v>206853664</v>
      </c>
      <c r="C127" s="89" t="s">
        <v>1733</v>
      </c>
      <c r="D127" s="11" t="s">
        <v>1734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85</v>
      </c>
      <c r="M127" s="49" t="s">
        <v>88</v>
      </c>
      <c r="N127" s="48" t="s">
        <v>89</v>
      </c>
      <c r="O127" s="49" t="s">
        <v>67</v>
      </c>
      <c r="P127" s="11" t="s">
        <v>80</v>
      </c>
      <c r="Q127" s="11" t="s">
        <v>90</v>
      </c>
      <c r="R127" s="11" t="s">
        <v>2711</v>
      </c>
      <c r="S127" s="11" t="s">
        <v>2712</v>
      </c>
      <c r="T127" s="116" t="s">
        <v>1</v>
      </c>
      <c r="U127" s="88"/>
      <c r="V127" s="51">
        <v>46020</v>
      </c>
      <c r="W127" s="102" t="s">
        <v>1568</v>
      </c>
      <c r="X127" s="135" t="str">
        <f>VLOOKUP(Table1[[#This Row],[AMZ ID]],[1]Roster_1787503287932!$D$2:$AU$1370,25,0)</f>
        <v>Present</v>
      </c>
      <c r="Y127" s="135">
        <f>VLOOKUP(Table1[[#This Row],[AMZ ID]],[1]Roster_1787503287932!$D$2:$AM$1370,35,0)</f>
        <v>0</v>
      </c>
    </row>
    <row r="128" spans="1:25" ht="13" customHeight="1">
      <c r="A128" s="11">
        <v>122</v>
      </c>
      <c r="B128" s="47">
        <v>206875332</v>
      </c>
      <c r="C128" s="89" t="s">
        <v>1994</v>
      </c>
      <c r="D128" s="11" t="s">
        <v>1732</v>
      </c>
      <c r="E128" s="48" t="s">
        <v>31</v>
      </c>
      <c r="F128" s="48" t="s">
        <v>74</v>
      </c>
      <c r="G128" s="48" t="s">
        <v>64</v>
      </c>
      <c r="H128" s="48" t="s">
        <v>75</v>
      </c>
      <c r="I128" s="11">
        <v>1299</v>
      </c>
      <c r="J128" s="49" t="s">
        <v>32</v>
      </c>
      <c r="K128" s="49" t="s">
        <v>76</v>
      </c>
      <c r="L128" s="49" t="s">
        <v>85</v>
      </c>
      <c r="M128" s="49" t="s">
        <v>88</v>
      </c>
      <c r="N128" s="49" t="s">
        <v>89</v>
      </c>
      <c r="O128" s="48" t="s">
        <v>67</v>
      </c>
      <c r="P128" s="48" t="s">
        <v>80</v>
      </c>
      <c r="Q128" s="11" t="s">
        <v>90</v>
      </c>
      <c r="R128" s="11" t="s">
        <v>2711</v>
      </c>
      <c r="S128" s="11" t="s">
        <v>2712</v>
      </c>
      <c r="T128" s="116" t="s">
        <v>1</v>
      </c>
      <c r="U128" s="88"/>
      <c r="V128" s="51">
        <v>46020</v>
      </c>
      <c r="W128" s="102" t="s">
        <v>1568</v>
      </c>
      <c r="X128" s="135" t="str">
        <f>VLOOKUP(Table1[[#This Row],[AMZ ID]],[1]Roster_1787503287932!$D$2:$AU$1370,25,0)</f>
        <v>Present</v>
      </c>
      <c r="Y128" s="135">
        <f>VLOOKUP(Table1[[#This Row],[AMZ ID]],[1]Roster_1787503287932!$D$2:$AM$1370,35,0)</f>
        <v>0</v>
      </c>
    </row>
    <row r="129" spans="1:25" ht="13" customHeight="1">
      <c r="A129" s="11">
        <v>123</v>
      </c>
      <c r="B129" s="47">
        <v>206873877</v>
      </c>
      <c r="C129" s="89" t="s">
        <v>1746</v>
      </c>
      <c r="D129" s="11" t="s">
        <v>1747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78</v>
      </c>
      <c r="M129" s="49" t="s">
        <v>92</v>
      </c>
      <c r="N129" s="48" t="s">
        <v>89</v>
      </c>
      <c r="O129" s="49" t="s">
        <v>67</v>
      </c>
      <c r="P129" s="11" t="s">
        <v>80</v>
      </c>
      <c r="Q129" s="11" t="s">
        <v>90</v>
      </c>
      <c r="R129" s="11" t="s">
        <v>2711</v>
      </c>
      <c r="S129" s="11" t="s">
        <v>2712</v>
      </c>
      <c r="T129" s="116" t="s">
        <v>10</v>
      </c>
      <c r="U129" s="88"/>
      <c r="V129" s="51">
        <v>46020</v>
      </c>
      <c r="W129" s="97" t="s">
        <v>1568</v>
      </c>
      <c r="X129" s="135" t="str">
        <f>VLOOKUP(Table1[[#This Row],[AMZ ID]],[1]Roster_1787503287932!$D$2:$AU$1370,25,0)</f>
        <v>Not Present</v>
      </c>
      <c r="Y129" s="135">
        <f>VLOOKUP(Table1[[#This Row],[AMZ ID]],[1]Roster_1787503287932!$D$2:$AM$1370,35,0)</f>
        <v>0</v>
      </c>
    </row>
    <row r="130" spans="1:25" ht="13" customHeight="1">
      <c r="A130" s="11">
        <v>124</v>
      </c>
      <c r="B130" s="11">
        <v>204883244</v>
      </c>
      <c r="C130" s="89" t="s">
        <v>434</v>
      </c>
      <c r="D130" s="11" t="s">
        <v>1947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88</v>
      </c>
      <c r="M130" s="49" t="s">
        <v>95</v>
      </c>
      <c r="N130" s="49" t="s">
        <v>89</v>
      </c>
      <c r="O130" s="11" t="s">
        <v>67</v>
      </c>
      <c r="P130" s="48" t="s">
        <v>80</v>
      </c>
      <c r="Q130" s="11" t="s">
        <v>87</v>
      </c>
      <c r="R130" s="11" t="s">
        <v>2711</v>
      </c>
      <c r="S130" s="11" t="s">
        <v>2712</v>
      </c>
      <c r="T130" s="116" t="s">
        <v>4</v>
      </c>
      <c r="U130" s="88"/>
      <c r="V130" s="51">
        <v>45691</v>
      </c>
      <c r="W130" s="102" t="s">
        <v>1568</v>
      </c>
      <c r="X130" s="135" t="str">
        <f>VLOOKUP(Table1[[#This Row],[AMZ ID]],[1]Roster_1787503287932!$D$2:$AU$1370,25,0)</f>
        <v>Not Present</v>
      </c>
      <c r="Y130" s="135">
        <f>VLOOKUP(Table1[[#This Row],[AMZ ID]],[1]Roster_1787503287932!$D$2:$AM$1370,35,0)</f>
        <v>0</v>
      </c>
    </row>
    <row r="131" spans="1:25" ht="13" customHeight="1">
      <c r="A131" s="11">
        <v>125</v>
      </c>
      <c r="B131" s="47">
        <v>203090005</v>
      </c>
      <c r="C131" s="89" t="s">
        <v>1480</v>
      </c>
      <c r="D131" s="11" t="s">
        <v>1481</v>
      </c>
      <c r="E131" s="48" t="s">
        <v>34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32</v>
      </c>
      <c r="K131" s="49" t="s">
        <v>76</v>
      </c>
      <c r="L131" s="49" t="s">
        <v>77</v>
      </c>
      <c r="M131" s="49" t="s">
        <v>78</v>
      </c>
      <c r="N131" s="48" t="s">
        <v>2733</v>
      </c>
      <c r="O131" s="49" t="s">
        <v>1475</v>
      </c>
      <c r="P131" s="11" t="s">
        <v>1443</v>
      </c>
      <c r="Q131" s="11" t="s">
        <v>98</v>
      </c>
      <c r="R131" s="11" t="s">
        <v>2727</v>
      </c>
      <c r="S131" s="11" t="s">
        <v>2883</v>
      </c>
      <c r="T131" s="116" t="s">
        <v>10</v>
      </c>
      <c r="U131" s="88"/>
      <c r="V131" s="51">
        <v>45377</v>
      </c>
      <c r="W131" s="97" t="s">
        <v>1583</v>
      </c>
      <c r="X131" s="135" t="e">
        <f>VLOOKUP(Table1[[#This Row],[AMZ ID]],[1]Roster_1787503287932!$D$2:$AU$1370,25,0)</f>
        <v>#N/A</v>
      </c>
      <c r="Y131" s="135" t="e">
        <f>VLOOKUP(Table1[[#This Row],[AMZ ID]],[1]Roster_1787503287932!$D$2:$AM$1370,35,0)</f>
        <v>#N/A</v>
      </c>
    </row>
    <row r="132" spans="1:25" ht="13" customHeight="1">
      <c r="A132" s="11">
        <v>126</v>
      </c>
      <c r="B132" s="47">
        <v>206962042</v>
      </c>
      <c r="C132" s="89" t="s">
        <v>2170</v>
      </c>
      <c r="D132" s="11" t="s">
        <v>2171</v>
      </c>
      <c r="E132" s="48" t="s">
        <v>31</v>
      </c>
      <c r="F132" s="48" t="s">
        <v>74</v>
      </c>
      <c r="G132" s="11" t="s">
        <v>64</v>
      </c>
      <c r="H132" s="11" t="s">
        <v>75</v>
      </c>
      <c r="I132" s="11">
        <v>1299</v>
      </c>
      <c r="J132" s="49" t="s">
        <v>39</v>
      </c>
      <c r="K132" s="49" t="s">
        <v>76</v>
      </c>
      <c r="L132" s="49" t="s">
        <v>92</v>
      </c>
      <c r="M132" s="49" t="s">
        <v>84</v>
      </c>
      <c r="N132" s="49" t="s">
        <v>79</v>
      </c>
      <c r="O132" s="49" t="s">
        <v>67</v>
      </c>
      <c r="P132" s="11" t="s">
        <v>80</v>
      </c>
      <c r="Q132" s="11" t="s">
        <v>96</v>
      </c>
      <c r="R132" s="11" t="s">
        <v>2711</v>
      </c>
      <c r="S132" s="11" t="s">
        <v>2712</v>
      </c>
      <c r="T132" s="116" t="s">
        <v>1</v>
      </c>
      <c r="U132" s="88"/>
      <c r="V132" s="51">
        <v>46048</v>
      </c>
      <c r="W132" s="102" t="s">
        <v>1568</v>
      </c>
      <c r="X132" s="135" t="str">
        <f>VLOOKUP(Table1[[#This Row],[AMZ ID]],[1]Roster_1787503287932!$D$2:$AU$1370,25,0)</f>
        <v>Present</v>
      </c>
      <c r="Y132" s="135">
        <f>VLOOKUP(Table1[[#This Row],[AMZ ID]],[1]Roster_1787503287932!$D$2:$AM$1370,35,0)</f>
        <v>0</v>
      </c>
    </row>
    <row r="133" spans="1:25" ht="13" customHeight="1">
      <c r="A133" s="11">
        <v>127</v>
      </c>
      <c r="B133" s="47">
        <v>205608624</v>
      </c>
      <c r="C133" s="90" t="s">
        <v>450</v>
      </c>
      <c r="D133" s="103" t="s">
        <v>1949</v>
      </c>
      <c r="E133" s="103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39</v>
      </c>
      <c r="K133" s="49" t="s">
        <v>76</v>
      </c>
      <c r="L133" s="49" t="s">
        <v>85</v>
      </c>
      <c r="M133" s="49" t="s">
        <v>88</v>
      </c>
      <c r="N133" s="49" t="s">
        <v>89</v>
      </c>
      <c r="O133" s="49" t="s">
        <v>67</v>
      </c>
      <c r="P133" s="49" t="s">
        <v>80</v>
      </c>
      <c r="Q133" s="49" t="s">
        <v>90</v>
      </c>
      <c r="R133" s="11" t="s">
        <v>2711</v>
      </c>
      <c r="S133" s="11" t="s">
        <v>2712</v>
      </c>
      <c r="T133" s="116" t="s">
        <v>1</v>
      </c>
      <c r="U133" s="88"/>
      <c r="V133" s="51">
        <v>45845</v>
      </c>
      <c r="W133" s="102" t="s">
        <v>1568</v>
      </c>
      <c r="X133" s="135" t="str">
        <f>VLOOKUP(Table1[[#This Row],[AMZ ID]],[1]Roster_1787503287932!$D$2:$AU$1370,25,0)</f>
        <v>Present</v>
      </c>
      <c r="Y133" s="135">
        <f>VLOOKUP(Table1[[#This Row],[AMZ ID]],[1]Roster_1787503287932!$D$2:$AM$1370,35,0)</f>
        <v>0</v>
      </c>
    </row>
    <row r="134" spans="1:25" ht="13" customHeight="1">
      <c r="A134" s="11">
        <v>128</v>
      </c>
      <c r="B134" s="47">
        <v>204869091</v>
      </c>
      <c r="C134" s="89" t="s">
        <v>127</v>
      </c>
      <c r="D134" s="11" t="s">
        <v>128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84</v>
      </c>
      <c r="M134" s="49" t="s">
        <v>85</v>
      </c>
      <c r="N134" s="49" t="s">
        <v>89</v>
      </c>
      <c r="O134" s="49" t="s">
        <v>67</v>
      </c>
      <c r="P134" s="11" t="s">
        <v>80</v>
      </c>
      <c r="Q134" s="11" t="s">
        <v>87</v>
      </c>
      <c r="R134" s="11" t="s">
        <v>2711</v>
      </c>
      <c r="S134" s="11" t="s">
        <v>2712</v>
      </c>
      <c r="T134" s="116" t="s">
        <v>1</v>
      </c>
      <c r="U134" s="88"/>
      <c r="V134" s="51">
        <v>45691</v>
      </c>
      <c r="W134" s="102" t="s">
        <v>1568</v>
      </c>
      <c r="X134" s="135" t="str">
        <f>VLOOKUP(Table1[[#This Row],[AMZ ID]],[1]Roster_1787503287932!$D$2:$AU$1370,25,0)</f>
        <v>Present</v>
      </c>
      <c r="Y134" s="135">
        <f>VLOOKUP(Table1[[#This Row],[AMZ ID]],[1]Roster_1787503287932!$D$2:$AM$1370,35,0)</f>
        <v>0</v>
      </c>
    </row>
    <row r="135" spans="1:25" ht="13" customHeight="1">
      <c r="A135" s="11">
        <v>129</v>
      </c>
      <c r="B135" s="47">
        <v>203850779</v>
      </c>
      <c r="C135" s="89" t="s">
        <v>129</v>
      </c>
      <c r="D135" s="11" t="s">
        <v>1950</v>
      </c>
      <c r="E135" s="4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85</v>
      </c>
      <c r="M135" s="49" t="s">
        <v>88</v>
      </c>
      <c r="N135" s="49" t="s">
        <v>79</v>
      </c>
      <c r="O135" s="49" t="s">
        <v>67</v>
      </c>
      <c r="P135" s="11" t="s">
        <v>80</v>
      </c>
      <c r="Q135" s="11" t="s">
        <v>81</v>
      </c>
      <c r="R135" s="11" t="s">
        <v>2711</v>
      </c>
      <c r="S135" s="11" t="s">
        <v>2712</v>
      </c>
      <c r="T135" s="116" t="s">
        <v>1</v>
      </c>
      <c r="U135" s="88"/>
      <c r="V135" s="51">
        <v>45524</v>
      </c>
      <c r="W135" s="102" t="s">
        <v>1568</v>
      </c>
      <c r="X135" s="135" t="str">
        <f>VLOOKUP(Table1[[#This Row],[AMZ ID]],[1]Roster_1787503287932!$D$2:$AU$1370,25,0)</f>
        <v>Present</v>
      </c>
      <c r="Y135" s="135">
        <f>VLOOKUP(Table1[[#This Row],[AMZ ID]],[1]Roster_1787503287932!$D$2:$AM$1370,35,0)</f>
        <v>0</v>
      </c>
    </row>
    <row r="136" spans="1:25" ht="13" customHeight="1">
      <c r="A136" s="11">
        <v>130</v>
      </c>
      <c r="B136" s="47">
        <v>206958279</v>
      </c>
      <c r="C136" s="89" t="s">
        <v>2119</v>
      </c>
      <c r="D136" s="11" t="s">
        <v>2042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32</v>
      </c>
      <c r="K136" s="49" t="s">
        <v>76</v>
      </c>
      <c r="L136" s="49" t="s">
        <v>92</v>
      </c>
      <c r="M136" s="49" t="s">
        <v>84</v>
      </c>
      <c r="N136" s="48" t="s">
        <v>89</v>
      </c>
      <c r="O136" s="49" t="s">
        <v>67</v>
      </c>
      <c r="P136" s="11" t="s">
        <v>80</v>
      </c>
      <c r="Q136" s="11" t="s">
        <v>96</v>
      </c>
      <c r="R136" s="11" t="s">
        <v>2711</v>
      </c>
      <c r="S136" s="11" t="s">
        <v>2712</v>
      </c>
      <c r="T136" s="116" t="s">
        <v>1</v>
      </c>
      <c r="U136" s="88"/>
      <c r="V136" s="51">
        <v>46048</v>
      </c>
      <c r="W136" s="102" t="s">
        <v>1568</v>
      </c>
      <c r="X136" s="135" t="str">
        <f>VLOOKUP(Table1[[#This Row],[AMZ ID]],[1]Roster_1787503287932!$D$2:$AU$1370,25,0)</f>
        <v>Present</v>
      </c>
      <c r="Y136" s="135">
        <f>VLOOKUP(Table1[[#This Row],[AMZ ID]],[1]Roster_1787503287932!$D$2:$AM$1370,35,0)</f>
        <v>0</v>
      </c>
    </row>
    <row r="137" spans="1:25" ht="13" customHeight="1">
      <c r="A137" s="11">
        <v>131</v>
      </c>
      <c r="B137" s="47">
        <v>203555407</v>
      </c>
      <c r="C137" s="89" t="s">
        <v>2263</v>
      </c>
      <c r="D137" s="11" t="s">
        <v>2264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32</v>
      </c>
      <c r="K137" s="49" t="s">
        <v>76</v>
      </c>
      <c r="L137" s="49" t="s">
        <v>78</v>
      </c>
      <c r="M137" s="49" t="s">
        <v>92</v>
      </c>
      <c r="N137" s="49" t="s">
        <v>79</v>
      </c>
      <c r="O137" s="49" t="s">
        <v>67</v>
      </c>
      <c r="P137" s="11" t="s">
        <v>80</v>
      </c>
      <c r="Q137" s="11" t="s">
        <v>81</v>
      </c>
      <c r="R137" s="11" t="s">
        <v>2711</v>
      </c>
      <c r="S137" s="11" t="s">
        <v>2712</v>
      </c>
      <c r="T137" s="116" t="s">
        <v>10</v>
      </c>
      <c r="U137" s="88"/>
      <c r="V137" s="51">
        <v>45470</v>
      </c>
      <c r="W137" s="102" t="s">
        <v>1568</v>
      </c>
      <c r="X137" s="135" t="str">
        <f>VLOOKUP(Table1[[#This Row],[AMZ ID]],[1]Roster_1787503287932!$D$2:$AU$1370,25,0)</f>
        <v>Not Present</v>
      </c>
      <c r="Y137" s="135">
        <f>VLOOKUP(Table1[[#This Row],[AMZ ID]],[1]Roster_1787503287932!$D$2:$AM$1370,35,0)</f>
        <v>0</v>
      </c>
    </row>
    <row r="138" spans="1:25" ht="13" customHeight="1">
      <c r="A138" s="11">
        <v>132</v>
      </c>
      <c r="B138" s="47">
        <v>206175159</v>
      </c>
      <c r="C138" s="89" t="s">
        <v>2479</v>
      </c>
      <c r="D138" s="11" t="s">
        <v>2480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95</v>
      </c>
      <c r="M138" s="49" t="s">
        <v>77</v>
      </c>
      <c r="N138" s="48" t="s">
        <v>89</v>
      </c>
      <c r="O138" s="49" t="s">
        <v>67</v>
      </c>
      <c r="P138" s="11" t="s">
        <v>80</v>
      </c>
      <c r="Q138" s="11" t="s">
        <v>81</v>
      </c>
      <c r="R138" s="11" t="s">
        <v>2711</v>
      </c>
      <c r="S138" s="11" t="s">
        <v>2712</v>
      </c>
      <c r="T138" s="116" t="s">
        <v>1</v>
      </c>
      <c r="U138" s="88"/>
      <c r="V138" s="51">
        <v>45932</v>
      </c>
      <c r="W138" s="102" t="s">
        <v>1568</v>
      </c>
      <c r="X138" s="135" t="str">
        <f>VLOOKUP(Table1[[#This Row],[AMZ ID]],[1]Roster_1787503287932!$D$2:$AU$1370,25,0)</f>
        <v>Present</v>
      </c>
      <c r="Y138" s="135">
        <f>VLOOKUP(Table1[[#This Row],[AMZ ID]],[1]Roster_1787503287932!$D$2:$AM$1370,35,0)</f>
        <v>0</v>
      </c>
    </row>
    <row r="139" spans="1:25" ht="13" customHeight="1">
      <c r="A139" s="11">
        <v>133</v>
      </c>
      <c r="B139" s="47">
        <v>203850775</v>
      </c>
      <c r="C139" s="89" t="s">
        <v>2265</v>
      </c>
      <c r="D139" s="11" t="s">
        <v>2266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88</v>
      </c>
      <c r="M139" s="49" t="s">
        <v>95</v>
      </c>
      <c r="N139" s="49" t="s">
        <v>79</v>
      </c>
      <c r="O139" s="49" t="s">
        <v>67</v>
      </c>
      <c r="P139" s="11" t="s">
        <v>80</v>
      </c>
      <c r="Q139" s="11" t="s">
        <v>81</v>
      </c>
      <c r="R139" s="11" t="s">
        <v>2711</v>
      </c>
      <c r="S139" s="11" t="s">
        <v>2712</v>
      </c>
      <c r="T139" s="116" t="s">
        <v>1</v>
      </c>
      <c r="U139" s="88"/>
      <c r="V139" s="51">
        <v>45524</v>
      </c>
      <c r="W139" s="102" t="s">
        <v>1568</v>
      </c>
      <c r="X139" s="135" t="str">
        <f>VLOOKUP(Table1[[#This Row],[AMZ ID]],[1]Roster_1787503287932!$D$2:$AU$1370,25,0)</f>
        <v>Present</v>
      </c>
      <c r="Y139" s="135">
        <f>VLOOKUP(Table1[[#This Row],[AMZ ID]],[1]Roster_1787503287932!$D$2:$AM$1370,35,0)</f>
        <v>0</v>
      </c>
    </row>
    <row r="140" spans="1:25" ht="13" customHeight="1">
      <c r="A140" s="11">
        <v>134</v>
      </c>
      <c r="B140" s="47">
        <v>203469169</v>
      </c>
      <c r="C140" s="89" t="s">
        <v>2267</v>
      </c>
      <c r="D140" s="11" t="s">
        <v>2268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84</v>
      </c>
      <c r="M140" s="49" t="s">
        <v>85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2711</v>
      </c>
      <c r="S140" s="11" t="s">
        <v>2712</v>
      </c>
      <c r="T140" s="116" t="s">
        <v>1</v>
      </c>
      <c r="U140" s="88"/>
      <c r="V140" s="51">
        <v>45456</v>
      </c>
      <c r="W140" s="97" t="s">
        <v>1568</v>
      </c>
      <c r="X140" s="135" t="str">
        <f>VLOOKUP(Table1[[#This Row],[AMZ ID]],[1]Roster_1787503287932!$D$2:$AU$1370,25,0)</f>
        <v>Present</v>
      </c>
      <c r="Y140" s="135">
        <f>VLOOKUP(Table1[[#This Row],[AMZ ID]],[1]Roster_1787503287932!$D$2:$AM$1370,35,0)</f>
        <v>0</v>
      </c>
    </row>
    <row r="141" spans="1:25" ht="13" customHeight="1">
      <c r="A141" s="11">
        <v>135</v>
      </c>
      <c r="B141" s="47">
        <v>205502952</v>
      </c>
      <c r="C141" s="89" t="s">
        <v>455</v>
      </c>
      <c r="D141" s="11" t="s">
        <v>1951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85</v>
      </c>
      <c r="M141" s="49" t="s">
        <v>88</v>
      </c>
      <c r="N141" s="48" t="s">
        <v>89</v>
      </c>
      <c r="O141" s="49" t="s">
        <v>67</v>
      </c>
      <c r="P141" s="11" t="s">
        <v>80</v>
      </c>
      <c r="Q141" s="11" t="s">
        <v>96</v>
      </c>
      <c r="R141" s="11" t="s">
        <v>2711</v>
      </c>
      <c r="S141" s="11" t="s">
        <v>2712</v>
      </c>
      <c r="T141" s="116" t="s">
        <v>1</v>
      </c>
      <c r="U141" s="88"/>
      <c r="V141" s="51">
        <v>45831</v>
      </c>
      <c r="W141" s="102" t="s">
        <v>1568</v>
      </c>
      <c r="X141" s="135" t="str">
        <f>VLOOKUP(Table1[[#This Row],[AMZ ID]],[1]Roster_1787503287932!$D$2:$AU$1370,25,0)</f>
        <v>Present</v>
      </c>
      <c r="Y141" s="135">
        <f>VLOOKUP(Table1[[#This Row],[AMZ ID]],[1]Roster_1787503287932!$D$2:$AM$1370,35,0)</f>
        <v>0</v>
      </c>
    </row>
    <row r="142" spans="1:25" ht="13" customHeight="1">
      <c r="A142" s="11">
        <v>136</v>
      </c>
      <c r="B142" s="47">
        <v>205608619</v>
      </c>
      <c r="C142" s="89" t="s">
        <v>462</v>
      </c>
      <c r="D142" s="11" t="s">
        <v>1952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9" t="s">
        <v>89</v>
      </c>
      <c r="O142" s="49" t="s">
        <v>67</v>
      </c>
      <c r="P142" s="11" t="s">
        <v>80</v>
      </c>
      <c r="Q142" s="11" t="s">
        <v>90</v>
      </c>
      <c r="R142" s="11" t="s">
        <v>2711</v>
      </c>
      <c r="S142" s="11" t="s">
        <v>2712</v>
      </c>
      <c r="T142" s="116" t="s">
        <v>1</v>
      </c>
      <c r="U142" s="88"/>
      <c r="V142" s="51">
        <v>45845</v>
      </c>
      <c r="W142" s="102" t="s">
        <v>1568</v>
      </c>
      <c r="X142" s="135" t="str">
        <f>VLOOKUP(Table1[[#This Row],[AMZ ID]],[1]Roster_1787503287932!$D$2:$AU$1370,25,0)</f>
        <v>Present</v>
      </c>
      <c r="Y142" s="135">
        <f>VLOOKUP(Table1[[#This Row],[AMZ ID]],[1]Roster_1787503287932!$D$2:$AM$1370,35,0)</f>
        <v>0</v>
      </c>
    </row>
    <row r="143" spans="1:25" ht="13" customHeight="1">
      <c r="A143" s="11">
        <v>137</v>
      </c>
      <c r="B143" s="47">
        <v>202219229</v>
      </c>
      <c r="C143" s="89" t="s">
        <v>2481</v>
      </c>
      <c r="D143" s="11" t="s">
        <v>2482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9" t="s">
        <v>79</v>
      </c>
      <c r="O143" s="49" t="s">
        <v>67</v>
      </c>
      <c r="P143" s="11" t="s">
        <v>80</v>
      </c>
      <c r="Q143" s="11" t="s">
        <v>81</v>
      </c>
      <c r="R143" s="11" t="s">
        <v>2711</v>
      </c>
      <c r="S143" s="11" t="s">
        <v>2712</v>
      </c>
      <c r="T143" s="116" t="s">
        <v>1</v>
      </c>
      <c r="U143" s="88"/>
      <c r="V143" s="51">
        <v>45596</v>
      </c>
      <c r="W143" s="102" t="s">
        <v>1568</v>
      </c>
      <c r="X143" s="135" t="str">
        <f>VLOOKUP(Table1[[#This Row],[AMZ ID]],[1]Roster_1787503287932!$D$2:$AU$1370,25,0)</f>
        <v>Present</v>
      </c>
      <c r="Y143" s="135">
        <f>VLOOKUP(Table1[[#This Row],[AMZ ID]],[1]Roster_1787503287932!$D$2:$AM$1370,35,0)</f>
        <v>0</v>
      </c>
    </row>
    <row r="144" spans="1:25" ht="13" customHeight="1">
      <c r="A144" s="11">
        <v>138</v>
      </c>
      <c r="B144" s="47">
        <v>206953971</v>
      </c>
      <c r="C144" s="89" t="s">
        <v>2131</v>
      </c>
      <c r="D144" s="11" t="s">
        <v>2059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88</v>
      </c>
      <c r="M144" s="49" t="s">
        <v>95</v>
      </c>
      <c r="N144" s="48" t="s">
        <v>89</v>
      </c>
      <c r="O144" s="49" t="s">
        <v>67</v>
      </c>
      <c r="P144" s="11" t="s">
        <v>80</v>
      </c>
      <c r="Q144" s="11" t="s">
        <v>90</v>
      </c>
      <c r="R144" s="11" t="s">
        <v>2711</v>
      </c>
      <c r="S144" s="11" t="s">
        <v>2712</v>
      </c>
      <c r="T144" s="116" t="s">
        <v>1</v>
      </c>
      <c r="U144" s="88"/>
      <c r="V144" s="51">
        <v>46048</v>
      </c>
      <c r="W144" s="102" t="s">
        <v>1568</v>
      </c>
      <c r="X144" s="135" t="str">
        <f>VLOOKUP(Table1[[#This Row],[AMZ ID]],[1]Roster_1787503287932!$D$2:$AU$1370,25,0)</f>
        <v>Present</v>
      </c>
      <c r="Y144" s="135">
        <f>VLOOKUP(Table1[[#This Row],[AMZ ID]],[1]Roster_1787503287932!$D$2:$AM$1370,35,0)</f>
        <v>0</v>
      </c>
    </row>
    <row r="145" spans="1:25" ht="13" customHeight="1">
      <c r="A145" s="11">
        <v>139</v>
      </c>
      <c r="B145" s="47">
        <v>203800602</v>
      </c>
      <c r="C145" s="89" t="s">
        <v>2269</v>
      </c>
      <c r="D145" s="11" t="s">
        <v>2270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39</v>
      </c>
      <c r="K145" s="49" t="s">
        <v>76</v>
      </c>
      <c r="L145" s="49" t="s">
        <v>92</v>
      </c>
      <c r="M145" s="49" t="s">
        <v>84</v>
      </c>
      <c r="N145" s="48" t="s">
        <v>89</v>
      </c>
      <c r="O145" s="49" t="s">
        <v>67</v>
      </c>
      <c r="P145" s="11" t="s">
        <v>80</v>
      </c>
      <c r="Q145" s="11" t="s">
        <v>90</v>
      </c>
      <c r="R145" s="11" t="s">
        <v>2711</v>
      </c>
      <c r="S145" s="11" t="s">
        <v>2712</v>
      </c>
      <c r="T145" s="116" t="s">
        <v>1</v>
      </c>
      <c r="U145" s="88"/>
      <c r="V145" s="51">
        <v>45516</v>
      </c>
      <c r="W145" s="102" t="s">
        <v>1568</v>
      </c>
      <c r="X145" s="135" t="str">
        <f>VLOOKUP(Table1[[#This Row],[AMZ ID]],[1]Roster_1787503287932!$D$2:$AU$1370,25,0)</f>
        <v>Present</v>
      </c>
      <c r="Y145" s="135">
        <f>VLOOKUP(Table1[[#This Row],[AMZ ID]],[1]Roster_1787503287932!$D$2:$AM$1370,35,0)</f>
        <v>0</v>
      </c>
    </row>
    <row r="146" spans="1:25" ht="13" customHeight="1">
      <c r="A146" s="11">
        <v>140</v>
      </c>
      <c r="B146" s="47">
        <v>203800375</v>
      </c>
      <c r="C146" s="89" t="s">
        <v>131</v>
      </c>
      <c r="D146" s="11" t="s">
        <v>1953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92</v>
      </c>
      <c r="M146" s="49" t="s">
        <v>84</v>
      </c>
      <c r="N146" s="49" t="s">
        <v>89</v>
      </c>
      <c r="O146" s="49" t="s">
        <v>67</v>
      </c>
      <c r="P146" s="11" t="s">
        <v>80</v>
      </c>
      <c r="Q146" s="11" t="s">
        <v>90</v>
      </c>
      <c r="R146" s="11" t="s">
        <v>2711</v>
      </c>
      <c r="S146" s="11" t="s">
        <v>2712</v>
      </c>
      <c r="T146" s="116" t="s">
        <v>1</v>
      </c>
      <c r="U146" s="88"/>
      <c r="V146" s="51">
        <v>45516</v>
      </c>
      <c r="W146" s="102" t="s">
        <v>1568</v>
      </c>
      <c r="X146" s="135" t="str">
        <f>VLOOKUP(Table1[[#This Row],[AMZ ID]],[1]Roster_1787503287932!$D$2:$AU$1370,25,0)</f>
        <v>Present</v>
      </c>
      <c r="Y146" s="135">
        <f>VLOOKUP(Table1[[#This Row],[AMZ ID]],[1]Roster_1787503287932!$D$2:$AM$1370,35,0)</f>
        <v>0</v>
      </c>
    </row>
    <row r="147" spans="1:25" ht="13" customHeight="1">
      <c r="A147" s="11">
        <v>141</v>
      </c>
      <c r="B147" s="47">
        <v>203555405</v>
      </c>
      <c r="C147" s="89" t="s">
        <v>2271</v>
      </c>
      <c r="D147" s="11" t="s">
        <v>2272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9" t="s">
        <v>79</v>
      </c>
      <c r="O147" s="49" t="s">
        <v>67</v>
      </c>
      <c r="P147" s="11" t="s">
        <v>80</v>
      </c>
      <c r="Q147" s="11" t="s">
        <v>81</v>
      </c>
      <c r="R147" s="11" t="s">
        <v>2711</v>
      </c>
      <c r="S147" s="11" t="s">
        <v>2712</v>
      </c>
      <c r="T147" s="116" t="s">
        <v>1</v>
      </c>
      <c r="U147" s="88"/>
      <c r="V147" s="51">
        <v>45470</v>
      </c>
      <c r="W147" s="102" t="s">
        <v>1568</v>
      </c>
      <c r="X147" s="135" t="str">
        <f>VLOOKUP(Table1[[#This Row],[AMZ ID]],[1]Roster_1787503287932!$D$2:$AU$1370,25,0)</f>
        <v>Present</v>
      </c>
      <c r="Y147" s="135">
        <f>VLOOKUP(Table1[[#This Row],[AMZ ID]],[1]Roster_1787503287932!$D$2:$AM$1370,35,0)</f>
        <v>0</v>
      </c>
    </row>
    <row r="148" spans="1:25" ht="13" customHeight="1">
      <c r="A148" s="11">
        <v>142</v>
      </c>
      <c r="B148" s="47">
        <v>203469396</v>
      </c>
      <c r="C148" s="89" t="s">
        <v>132</v>
      </c>
      <c r="D148" s="11" t="s">
        <v>1954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95</v>
      </c>
      <c r="M148" s="49" t="s">
        <v>77</v>
      </c>
      <c r="N148" s="48" t="s">
        <v>86</v>
      </c>
      <c r="O148" s="49" t="s">
        <v>67</v>
      </c>
      <c r="P148" s="11" t="s">
        <v>80</v>
      </c>
      <c r="Q148" s="11" t="s">
        <v>99</v>
      </c>
      <c r="R148" s="11" t="s">
        <v>2711</v>
      </c>
      <c r="S148" s="11" t="s">
        <v>2712</v>
      </c>
      <c r="T148" s="116" t="s">
        <v>1</v>
      </c>
      <c r="U148" s="88"/>
      <c r="V148" s="51">
        <v>45456</v>
      </c>
      <c r="W148" s="102" t="s">
        <v>1568</v>
      </c>
      <c r="X148" s="135" t="str">
        <f>VLOOKUP(Table1[[#This Row],[AMZ ID]],[1]Roster_1787503287932!$D$2:$AU$1370,25,0)</f>
        <v>Present</v>
      </c>
      <c r="Y148" s="135">
        <f>VLOOKUP(Table1[[#This Row],[AMZ ID]],[1]Roster_1787503287932!$D$2:$AM$1370,35,0)</f>
        <v>0</v>
      </c>
    </row>
    <row r="149" spans="1:25" ht="13" customHeight="1">
      <c r="A149" s="11">
        <v>143</v>
      </c>
      <c r="B149" s="47">
        <v>206514852</v>
      </c>
      <c r="C149" s="89" t="s">
        <v>1700</v>
      </c>
      <c r="D149" s="11" t="s">
        <v>1955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39</v>
      </c>
      <c r="K149" s="49" t="s">
        <v>76</v>
      </c>
      <c r="L149" s="49" t="s">
        <v>92</v>
      </c>
      <c r="M149" s="49" t="s">
        <v>84</v>
      </c>
      <c r="N149" s="48" t="s">
        <v>89</v>
      </c>
      <c r="O149" s="49" t="s">
        <v>67</v>
      </c>
      <c r="P149" s="11" t="s">
        <v>80</v>
      </c>
      <c r="Q149" s="11" t="s">
        <v>90</v>
      </c>
      <c r="R149" s="11" t="s">
        <v>2711</v>
      </c>
      <c r="S149" s="11" t="s">
        <v>2712</v>
      </c>
      <c r="T149" s="116" t="s">
        <v>1</v>
      </c>
      <c r="U149" s="88"/>
      <c r="V149" s="51">
        <v>45971</v>
      </c>
      <c r="W149" s="102" t="s">
        <v>1568</v>
      </c>
      <c r="X149" s="135" t="str">
        <f>VLOOKUP(Table1[[#This Row],[AMZ ID]],[1]Roster_1787503287932!$D$2:$AU$1370,25,0)</f>
        <v>Present</v>
      </c>
      <c r="Y149" s="135">
        <f>VLOOKUP(Table1[[#This Row],[AMZ ID]],[1]Roster_1787503287932!$D$2:$AM$1370,35,0)</f>
        <v>0</v>
      </c>
    </row>
    <row r="150" spans="1:25" ht="13" customHeight="1">
      <c r="A150" s="11">
        <v>144</v>
      </c>
      <c r="B150" s="47">
        <v>203555401</v>
      </c>
      <c r="C150" s="89" t="s">
        <v>2273</v>
      </c>
      <c r="D150" s="11" t="s">
        <v>2274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77</v>
      </c>
      <c r="M150" s="49" t="s">
        <v>78</v>
      </c>
      <c r="N150" s="49" t="s">
        <v>79</v>
      </c>
      <c r="O150" s="49" t="s">
        <v>67</v>
      </c>
      <c r="P150" s="11" t="s">
        <v>80</v>
      </c>
      <c r="Q150" s="11" t="s">
        <v>81</v>
      </c>
      <c r="R150" s="11" t="s">
        <v>2711</v>
      </c>
      <c r="S150" s="11" t="s">
        <v>2712</v>
      </c>
      <c r="T150" s="116" t="s">
        <v>10</v>
      </c>
      <c r="U150" s="88"/>
      <c r="V150" s="51">
        <v>45470</v>
      </c>
      <c r="W150" s="102" t="s">
        <v>1568</v>
      </c>
      <c r="X150" s="135" t="str">
        <f>VLOOKUP(Table1[[#This Row],[AMZ ID]],[1]Roster_1787503287932!$D$2:$AU$1370,25,0)</f>
        <v>Not Present</v>
      </c>
      <c r="Y150" s="135">
        <f>VLOOKUP(Table1[[#This Row],[AMZ ID]],[1]Roster_1787503287932!$D$2:$AM$1370,35,0)</f>
        <v>0</v>
      </c>
    </row>
    <row r="151" spans="1:25" ht="13" customHeight="1">
      <c r="A151" s="11">
        <v>145</v>
      </c>
      <c r="B151" s="47">
        <v>205647583</v>
      </c>
      <c r="C151" s="89" t="s">
        <v>2275</v>
      </c>
      <c r="D151" s="11" t="s">
        <v>2276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77</v>
      </c>
      <c r="M151" s="49" t="s">
        <v>78</v>
      </c>
      <c r="N151" s="48" t="s">
        <v>89</v>
      </c>
      <c r="O151" s="49" t="s">
        <v>67</v>
      </c>
      <c r="P151" s="11" t="s">
        <v>80</v>
      </c>
      <c r="Q151" s="11" t="s">
        <v>96</v>
      </c>
      <c r="R151" s="11" t="s">
        <v>2711</v>
      </c>
      <c r="S151" s="11" t="s">
        <v>2712</v>
      </c>
      <c r="T151" s="116" t="s">
        <v>10</v>
      </c>
      <c r="U151" s="88"/>
      <c r="V151" s="51">
        <v>45852</v>
      </c>
      <c r="W151" s="102" t="s">
        <v>1568</v>
      </c>
      <c r="X151" s="135" t="str">
        <f>VLOOKUP(Table1[[#This Row],[AMZ ID]],[1]Roster_1787503287932!$D$2:$AU$1370,25,0)</f>
        <v>Not Present</v>
      </c>
      <c r="Y151" s="135">
        <f>VLOOKUP(Table1[[#This Row],[AMZ ID]],[1]Roster_1787503287932!$D$2:$AM$1370,35,0)</f>
        <v>0</v>
      </c>
    </row>
    <row r="152" spans="1:25" ht="13" customHeight="1">
      <c r="A152" s="11">
        <v>146</v>
      </c>
      <c r="B152" s="47">
        <v>206949318</v>
      </c>
      <c r="C152" s="89" t="s">
        <v>2160</v>
      </c>
      <c r="D152" s="11" t="s">
        <v>2161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32</v>
      </c>
      <c r="K152" s="49" t="s">
        <v>76</v>
      </c>
      <c r="L152" s="49" t="s">
        <v>84</v>
      </c>
      <c r="M152" s="49" t="s">
        <v>85</v>
      </c>
      <c r="N152" s="49" t="s">
        <v>86</v>
      </c>
      <c r="O152" s="49" t="s">
        <v>67</v>
      </c>
      <c r="P152" s="11" t="s">
        <v>80</v>
      </c>
      <c r="Q152" s="11" t="s">
        <v>90</v>
      </c>
      <c r="R152" s="11" t="s">
        <v>2711</v>
      </c>
      <c r="S152" s="11" t="s">
        <v>2712</v>
      </c>
      <c r="T152" s="116" t="s">
        <v>1</v>
      </c>
      <c r="U152" s="88"/>
      <c r="V152" s="51">
        <v>46048</v>
      </c>
      <c r="W152" s="102" t="s">
        <v>1568</v>
      </c>
      <c r="X152" s="135" t="str">
        <f>VLOOKUP(Table1[[#This Row],[AMZ ID]],[1]Roster_1787503287932!$D$2:$AU$1370,25,0)</f>
        <v>Present</v>
      </c>
      <c r="Y152" s="135">
        <f>VLOOKUP(Table1[[#This Row],[AMZ ID]],[1]Roster_1787503287932!$D$2:$AM$1370,35,0)</f>
        <v>0</v>
      </c>
    </row>
    <row r="153" spans="1:25" ht="13" customHeight="1">
      <c r="A153" s="11">
        <v>147</v>
      </c>
      <c r="B153" s="47">
        <v>206934491</v>
      </c>
      <c r="C153" s="90" t="s">
        <v>2126</v>
      </c>
      <c r="D153" s="103" t="s">
        <v>2052</v>
      </c>
      <c r="E153" s="103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86</v>
      </c>
      <c r="O153" s="49" t="s">
        <v>67</v>
      </c>
      <c r="P153" s="49" t="s">
        <v>80</v>
      </c>
      <c r="Q153" s="49" t="s">
        <v>90</v>
      </c>
      <c r="R153" s="11" t="s">
        <v>2711</v>
      </c>
      <c r="S153" s="11" t="s">
        <v>2712</v>
      </c>
      <c r="T153" s="116" t="s">
        <v>10</v>
      </c>
      <c r="U153" s="88"/>
      <c r="V153" s="51">
        <v>46048</v>
      </c>
      <c r="W153" s="102" t="s">
        <v>1568</v>
      </c>
      <c r="X153" s="135" t="str">
        <f>VLOOKUP(Table1[[#This Row],[AMZ ID]],[1]Roster_1787503287932!$D$2:$AU$1370,25,0)</f>
        <v>Not Present</v>
      </c>
      <c r="Y153" s="135">
        <f>VLOOKUP(Table1[[#This Row],[AMZ ID]],[1]Roster_1787503287932!$D$2:$AM$1370,35,0)</f>
        <v>0</v>
      </c>
    </row>
    <row r="154" spans="1:25" ht="13" customHeight="1">
      <c r="A154" s="11">
        <v>148</v>
      </c>
      <c r="B154" s="47">
        <v>103775146</v>
      </c>
      <c r="C154" s="89" t="s">
        <v>2321</v>
      </c>
      <c r="D154" s="11" t="s">
        <v>2322</v>
      </c>
      <c r="E154" s="48" t="s">
        <v>34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78</v>
      </c>
      <c r="M154" s="49" t="s">
        <v>92</v>
      </c>
      <c r="N154" s="48" t="s">
        <v>97</v>
      </c>
      <c r="O154" s="49" t="s">
        <v>67</v>
      </c>
      <c r="P154" s="11" t="s">
        <v>80</v>
      </c>
      <c r="Q154" s="11" t="s">
        <v>98</v>
      </c>
      <c r="R154" s="11" t="s">
        <v>2711</v>
      </c>
      <c r="S154" s="11" t="s">
        <v>2712</v>
      </c>
      <c r="T154" s="116" t="s">
        <v>10</v>
      </c>
      <c r="U154" s="88"/>
      <c r="V154" s="51">
        <v>44067</v>
      </c>
      <c r="W154" s="102" t="s">
        <v>1568</v>
      </c>
      <c r="X154" s="135" t="str">
        <f>VLOOKUP(Table1[[#This Row],[AMZ ID]],[1]Roster_1787503287932!$D$2:$AU$1370,25,0)</f>
        <v>Not Present</v>
      </c>
      <c r="Y154" s="135">
        <f>VLOOKUP(Table1[[#This Row],[AMZ ID]],[1]Roster_1787503287932!$D$2:$AM$1370,35,0)</f>
        <v>0</v>
      </c>
    </row>
    <row r="155" spans="1:25" ht="13" customHeight="1">
      <c r="A155" s="11">
        <v>149</v>
      </c>
      <c r="B155" s="47">
        <v>102206211</v>
      </c>
      <c r="C155" s="89" t="s">
        <v>2277</v>
      </c>
      <c r="D155" s="11" t="s">
        <v>2278</v>
      </c>
      <c r="E155" s="48" t="s">
        <v>34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77</v>
      </c>
      <c r="M155" s="49" t="s">
        <v>78</v>
      </c>
      <c r="N155" s="48" t="s">
        <v>108</v>
      </c>
      <c r="O155" s="49" t="s">
        <v>67</v>
      </c>
      <c r="P155" s="11" t="s">
        <v>80</v>
      </c>
      <c r="Q155" s="11" t="s">
        <v>98</v>
      </c>
      <c r="R155" s="11" t="s">
        <v>82</v>
      </c>
      <c r="S155" s="11" t="s">
        <v>2713</v>
      </c>
      <c r="T155" s="116" t="s">
        <v>10</v>
      </c>
      <c r="U155" s="88"/>
      <c r="V155" s="51">
        <v>42868</v>
      </c>
      <c r="W155" s="97" t="s">
        <v>1568</v>
      </c>
      <c r="X155" s="135" t="str">
        <f>VLOOKUP(Table1[[#This Row],[AMZ ID]],[1]Roster_1787503287932!$D$2:$AU$1370,25,0)</f>
        <v>Not Present</v>
      </c>
      <c r="Y155" s="135">
        <f>VLOOKUP(Table1[[#This Row],[AMZ ID]],[1]Roster_1787503287932!$D$2:$AM$1370,35,0)</f>
        <v>0</v>
      </c>
    </row>
    <row r="156" spans="1:25" ht="13" customHeight="1">
      <c r="A156" s="11">
        <v>150</v>
      </c>
      <c r="B156" s="47">
        <v>203816296</v>
      </c>
      <c r="C156" s="89" t="s">
        <v>1706</v>
      </c>
      <c r="D156" s="11" t="s">
        <v>1956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85</v>
      </c>
      <c r="M156" s="49" t="s">
        <v>88</v>
      </c>
      <c r="N156" s="48" t="s">
        <v>89</v>
      </c>
      <c r="O156" s="49" t="s">
        <v>67</v>
      </c>
      <c r="P156" s="11" t="s">
        <v>80</v>
      </c>
      <c r="Q156" s="11" t="s">
        <v>90</v>
      </c>
      <c r="R156" s="11" t="s">
        <v>2711</v>
      </c>
      <c r="S156" s="11" t="s">
        <v>2712</v>
      </c>
      <c r="T156" s="116" t="s">
        <v>1</v>
      </c>
      <c r="U156" s="88"/>
      <c r="V156" s="51">
        <v>45518</v>
      </c>
      <c r="W156" s="102" t="s">
        <v>1568</v>
      </c>
      <c r="X156" s="135" t="str">
        <f>VLOOKUP(Table1[[#This Row],[AMZ ID]],[1]Roster_1787503287932!$D$2:$AU$1370,25,0)</f>
        <v>Present</v>
      </c>
      <c r="Y156" s="135">
        <f>VLOOKUP(Table1[[#This Row],[AMZ ID]],[1]Roster_1787503287932!$D$2:$AM$1370,35,0)</f>
        <v>0</v>
      </c>
    </row>
    <row r="157" spans="1:25" ht="13" customHeight="1">
      <c r="A157" s="11">
        <v>151</v>
      </c>
      <c r="B157" s="47">
        <v>102205456</v>
      </c>
      <c r="C157" s="89" t="s">
        <v>2685</v>
      </c>
      <c r="D157" s="11" t="s">
        <v>2710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88</v>
      </c>
      <c r="M157" s="49" t="s">
        <v>95</v>
      </c>
      <c r="N157" s="49" t="s">
        <v>108</v>
      </c>
      <c r="O157" s="49" t="s">
        <v>67</v>
      </c>
      <c r="P157" s="11" t="s">
        <v>80</v>
      </c>
      <c r="Q157" s="11" t="s">
        <v>98</v>
      </c>
      <c r="R157" s="11" t="s">
        <v>82</v>
      </c>
      <c r="S157" s="11" t="s">
        <v>2713</v>
      </c>
      <c r="T157" s="116" t="s">
        <v>1</v>
      </c>
      <c r="U157" s="88"/>
      <c r="V157" s="51">
        <v>42868</v>
      </c>
      <c r="W157" s="102" t="s">
        <v>1568</v>
      </c>
      <c r="X157" s="135" t="str">
        <f>VLOOKUP(Table1[[#This Row],[AMZ ID]],[1]Roster_1787503287932!$D$2:$AU$1370,25,0)</f>
        <v>Present</v>
      </c>
      <c r="Y157" s="135">
        <f>VLOOKUP(Table1[[#This Row],[AMZ ID]],[1]Roster_1787503287932!$D$2:$AM$1370,35,0)</f>
        <v>0</v>
      </c>
    </row>
    <row r="158" spans="1:25" ht="13" customHeight="1">
      <c r="A158" s="11">
        <v>152</v>
      </c>
      <c r="B158" s="47">
        <v>203469404</v>
      </c>
      <c r="C158" s="89" t="s">
        <v>133</v>
      </c>
      <c r="D158" s="11" t="s">
        <v>1957</v>
      </c>
      <c r="E158" s="48" t="s">
        <v>31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86</v>
      </c>
      <c r="O158" s="49" t="s">
        <v>67</v>
      </c>
      <c r="P158" s="11" t="s">
        <v>80</v>
      </c>
      <c r="Q158" s="11" t="s">
        <v>99</v>
      </c>
      <c r="R158" s="11" t="s">
        <v>2711</v>
      </c>
      <c r="S158" s="11" t="s">
        <v>2712</v>
      </c>
      <c r="T158" s="116" t="s">
        <v>10</v>
      </c>
      <c r="U158" s="88"/>
      <c r="V158" s="51">
        <v>45456</v>
      </c>
      <c r="W158" s="102" t="s">
        <v>1568</v>
      </c>
      <c r="X158" s="135" t="str">
        <f>VLOOKUP(Table1[[#This Row],[AMZ ID]],[1]Roster_1787503287932!$D$2:$AU$1370,25,0)</f>
        <v>Not Present</v>
      </c>
      <c r="Y158" s="135">
        <f>VLOOKUP(Table1[[#This Row],[AMZ ID]],[1]Roster_1787503287932!$D$2:$AM$1370,35,0)</f>
        <v>0</v>
      </c>
    </row>
    <row r="159" spans="1:25" ht="13" customHeight="1">
      <c r="A159" s="11">
        <v>153</v>
      </c>
      <c r="B159" s="47">
        <v>206514788</v>
      </c>
      <c r="C159" s="89" t="s">
        <v>1701</v>
      </c>
      <c r="D159" s="11" t="s">
        <v>1958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39</v>
      </c>
      <c r="K159" s="49" t="s">
        <v>76</v>
      </c>
      <c r="L159" s="49" t="s">
        <v>77</v>
      </c>
      <c r="M159" s="49" t="s">
        <v>78</v>
      </c>
      <c r="N159" s="48" t="s">
        <v>89</v>
      </c>
      <c r="O159" s="49" t="s">
        <v>67</v>
      </c>
      <c r="P159" s="11" t="s">
        <v>80</v>
      </c>
      <c r="Q159" s="11" t="s">
        <v>90</v>
      </c>
      <c r="R159" s="11" t="s">
        <v>2711</v>
      </c>
      <c r="S159" s="11" t="s">
        <v>2712</v>
      </c>
      <c r="T159" s="116" t="s">
        <v>10</v>
      </c>
      <c r="U159" s="88"/>
      <c r="V159" s="51">
        <v>45971</v>
      </c>
      <c r="W159" s="102" t="s">
        <v>1568</v>
      </c>
      <c r="X159" s="135" t="str">
        <f>VLOOKUP(Table1[[#This Row],[AMZ ID]],[1]Roster_1787503287932!$D$2:$AU$1370,25,0)</f>
        <v>Not Present</v>
      </c>
      <c r="Y159" s="135">
        <f>VLOOKUP(Table1[[#This Row],[AMZ ID]],[1]Roster_1787503287932!$D$2:$AM$1370,35,0)</f>
        <v>0</v>
      </c>
    </row>
    <row r="160" spans="1:25" ht="13" customHeight="1">
      <c r="A160" s="11">
        <v>154</v>
      </c>
      <c r="B160" s="47">
        <v>205647581</v>
      </c>
      <c r="C160" s="89" t="s">
        <v>134</v>
      </c>
      <c r="D160" s="11" t="s">
        <v>1959</v>
      </c>
      <c r="E160" s="48" t="s">
        <v>31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39</v>
      </c>
      <c r="K160" s="49" t="s">
        <v>76</v>
      </c>
      <c r="L160" s="49" t="s">
        <v>95</v>
      </c>
      <c r="M160" s="49" t="s">
        <v>77</v>
      </c>
      <c r="N160" s="49" t="s">
        <v>89</v>
      </c>
      <c r="O160" s="49" t="s">
        <v>67</v>
      </c>
      <c r="P160" s="11" t="s">
        <v>80</v>
      </c>
      <c r="Q160" s="11" t="s">
        <v>96</v>
      </c>
      <c r="R160" s="11" t="s">
        <v>2711</v>
      </c>
      <c r="S160" s="11" t="s">
        <v>2712</v>
      </c>
      <c r="T160" s="116" t="s">
        <v>1</v>
      </c>
      <c r="U160" s="88"/>
      <c r="V160" s="51">
        <v>45852</v>
      </c>
      <c r="W160" s="102" t="s">
        <v>1568</v>
      </c>
      <c r="X160" s="135" t="str">
        <f>VLOOKUP(Table1[[#This Row],[AMZ ID]],[1]Roster_1787503287932!$D$2:$AU$1370,25,0)</f>
        <v>Present</v>
      </c>
      <c r="Y160" s="135">
        <f>VLOOKUP(Table1[[#This Row],[AMZ ID]],[1]Roster_1787503287932!$D$2:$AM$1370,35,0)</f>
        <v>0</v>
      </c>
    </row>
    <row r="161" spans="1:25" ht="13" customHeight="1">
      <c r="A161" s="11">
        <v>155</v>
      </c>
      <c r="B161" s="47">
        <v>102981768</v>
      </c>
      <c r="C161" s="89" t="s">
        <v>2279</v>
      </c>
      <c r="D161" s="11" t="s">
        <v>2280</v>
      </c>
      <c r="E161" s="48" t="s">
        <v>34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39</v>
      </c>
      <c r="K161" s="49" t="s">
        <v>76</v>
      </c>
      <c r="L161" s="49" t="s">
        <v>84</v>
      </c>
      <c r="M161" s="49" t="s">
        <v>85</v>
      </c>
      <c r="N161" s="49" t="s">
        <v>97</v>
      </c>
      <c r="O161" s="49" t="s">
        <v>67</v>
      </c>
      <c r="P161" s="11" t="s">
        <v>80</v>
      </c>
      <c r="Q161" s="11" t="s">
        <v>98</v>
      </c>
      <c r="R161" s="11" t="s">
        <v>82</v>
      </c>
      <c r="S161" s="11" t="s">
        <v>2713</v>
      </c>
      <c r="T161" s="116" t="s">
        <v>1</v>
      </c>
      <c r="U161" s="88"/>
      <c r="V161" s="51">
        <v>43044</v>
      </c>
      <c r="W161" s="102" t="s">
        <v>1568</v>
      </c>
      <c r="X161" s="135" t="str">
        <f>VLOOKUP(Table1[[#This Row],[AMZ ID]],[1]Roster_1787503287932!$D$2:$AU$1370,25,0)</f>
        <v>Present</v>
      </c>
      <c r="Y161" s="135">
        <f>VLOOKUP(Table1[[#This Row],[AMZ ID]],[1]Roster_1787503287932!$D$2:$AM$1370,35,0)</f>
        <v>0</v>
      </c>
    </row>
    <row r="162" spans="1:25" ht="13" customHeight="1">
      <c r="A162" s="11">
        <v>156</v>
      </c>
      <c r="B162" s="47">
        <v>203801393</v>
      </c>
      <c r="C162" s="89" t="s">
        <v>135</v>
      </c>
      <c r="D162" s="11" t="s">
        <v>1960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92</v>
      </c>
      <c r="M162" s="49" t="s">
        <v>84</v>
      </c>
      <c r="N162" s="48" t="s">
        <v>79</v>
      </c>
      <c r="O162" s="49" t="s">
        <v>67</v>
      </c>
      <c r="P162" s="11" t="s">
        <v>80</v>
      </c>
      <c r="Q162" s="11" t="s">
        <v>81</v>
      </c>
      <c r="R162" s="11" t="s">
        <v>2711</v>
      </c>
      <c r="S162" s="11" t="s">
        <v>2712</v>
      </c>
      <c r="T162" s="116" t="s">
        <v>1</v>
      </c>
      <c r="U162" s="88"/>
      <c r="V162" s="51">
        <v>45517</v>
      </c>
      <c r="W162" s="102" t="s">
        <v>1568</v>
      </c>
      <c r="X162" s="135" t="str">
        <f>VLOOKUP(Table1[[#This Row],[AMZ ID]],[1]Roster_1787503287932!$D$2:$AU$1370,25,0)</f>
        <v>Present</v>
      </c>
      <c r="Y162" s="135">
        <f>VLOOKUP(Table1[[#This Row],[AMZ ID]],[1]Roster_1787503287932!$D$2:$AM$1370,35,0)</f>
        <v>0</v>
      </c>
    </row>
    <row r="163" spans="1:25" ht="13" customHeight="1">
      <c r="A163" s="11">
        <v>157</v>
      </c>
      <c r="B163" s="47">
        <v>204864416</v>
      </c>
      <c r="C163" s="89" t="s">
        <v>136</v>
      </c>
      <c r="D163" s="11" t="s">
        <v>1961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32</v>
      </c>
      <c r="K163" s="49" t="s">
        <v>76</v>
      </c>
      <c r="L163" s="49" t="s">
        <v>85</v>
      </c>
      <c r="M163" s="49" t="s">
        <v>88</v>
      </c>
      <c r="N163" s="48" t="s">
        <v>89</v>
      </c>
      <c r="O163" s="49" t="s">
        <v>67</v>
      </c>
      <c r="P163" s="11" t="s">
        <v>80</v>
      </c>
      <c r="Q163" s="11" t="s">
        <v>90</v>
      </c>
      <c r="R163" s="11" t="s">
        <v>2711</v>
      </c>
      <c r="S163" s="11" t="s">
        <v>2712</v>
      </c>
      <c r="T163" s="116" t="s">
        <v>1</v>
      </c>
      <c r="U163" s="88"/>
      <c r="V163" s="51">
        <v>45684</v>
      </c>
      <c r="W163" s="102" t="s">
        <v>1568</v>
      </c>
      <c r="X163" s="135" t="str">
        <f>VLOOKUP(Table1[[#This Row],[AMZ ID]],[1]Roster_1787503287932!$D$2:$AU$1370,25,0)</f>
        <v>Present</v>
      </c>
      <c r="Y163" s="135">
        <f>VLOOKUP(Table1[[#This Row],[AMZ ID]],[1]Roster_1787503287932!$D$2:$AM$1370,35,0)</f>
        <v>0</v>
      </c>
    </row>
    <row r="164" spans="1:25" ht="13" customHeight="1">
      <c r="A164" s="11">
        <v>158</v>
      </c>
      <c r="B164" s="47">
        <v>206016552</v>
      </c>
      <c r="C164" s="89" t="s">
        <v>526</v>
      </c>
      <c r="D164" s="11" t="s">
        <v>1962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32</v>
      </c>
      <c r="K164" s="49" t="s">
        <v>76</v>
      </c>
      <c r="L164" s="49" t="s">
        <v>77</v>
      </c>
      <c r="M164" s="49" t="s">
        <v>78</v>
      </c>
      <c r="N164" s="49" t="s">
        <v>89</v>
      </c>
      <c r="O164" s="49" t="s">
        <v>67</v>
      </c>
      <c r="P164" s="11" t="s">
        <v>80</v>
      </c>
      <c r="Q164" s="11" t="s">
        <v>81</v>
      </c>
      <c r="R164" s="11" t="s">
        <v>2711</v>
      </c>
      <c r="S164" s="11" t="s">
        <v>2712</v>
      </c>
      <c r="T164" s="116" t="s">
        <v>10</v>
      </c>
      <c r="U164" s="88"/>
      <c r="V164" s="51">
        <v>45915</v>
      </c>
      <c r="W164" s="102" t="s">
        <v>1568</v>
      </c>
      <c r="X164" s="135" t="str">
        <f>VLOOKUP(Table1[[#This Row],[AMZ ID]],[1]Roster_1787503287932!$D$2:$AU$1370,25,0)</f>
        <v>Not Present</v>
      </c>
      <c r="Y164" s="135">
        <f>VLOOKUP(Table1[[#This Row],[AMZ ID]],[1]Roster_1787503287932!$D$2:$AM$1370,35,0)</f>
        <v>0</v>
      </c>
    </row>
    <row r="165" spans="1:25" ht="13" customHeight="1">
      <c r="A165" s="11">
        <v>159</v>
      </c>
      <c r="B165" s="47">
        <v>204403811</v>
      </c>
      <c r="C165" s="89" t="s">
        <v>137</v>
      </c>
      <c r="D165" s="11" t="s">
        <v>1963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9" t="s">
        <v>79</v>
      </c>
      <c r="O165" s="49" t="s">
        <v>67</v>
      </c>
      <c r="P165" s="11" t="s">
        <v>80</v>
      </c>
      <c r="Q165" s="11" t="s">
        <v>81</v>
      </c>
      <c r="R165" s="11" t="s">
        <v>2711</v>
      </c>
      <c r="S165" s="11" t="s">
        <v>2712</v>
      </c>
      <c r="T165" s="116" t="s">
        <v>1</v>
      </c>
      <c r="U165" s="88"/>
      <c r="V165" s="51">
        <v>45596</v>
      </c>
      <c r="W165" s="102" t="s">
        <v>1568</v>
      </c>
      <c r="X165" s="135" t="str">
        <f>VLOOKUP(Table1[[#This Row],[AMZ ID]],[1]Roster_1787503287932!$D$2:$AU$1370,25,0)</f>
        <v>Present</v>
      </c>
      <c r="Y165" s="135">
        <f>VLOOKUP(Table1[[#This Row],[AMZ ID]],[1]Roster_1787503287932!$D$2:$AM$1370,35,0)</f>
        <v>0</v>
      </c>
    </row>
    <row r="166" spans="1:25" ht="13" customHeight="1">
      <c r="A166" s="11">
        <v>160</v>
      </c>
      <c r="B166" s="47">
        <v>206348053</v>
      </c>
      <c r="C166" s="89" t="s">
        <v>1695</v>
      </c>
      <c r="D166" s="11" t="s">
        <v>1991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39</v>
      </c>
      <c r="K166" s="49" t="s">
        <v>76</v>
      </c>
      <c r="L166" s="49" t="s">
        <v>84</v>
      </c>
      <c r="M166" s="49" t="s">
        <v>85</v>
      </c>
      <c r="N166" s="48" t="s">
        <v>89</v>
      </c>
      <c r="O166" s="49" t="s">
        <v>67</v>
      </c>
      <c r="P166" s="11" t="s">
        <v>80</v>
      </c>
      <c r="Q166" s="11" t="s">
        <v>81</v>
      </c>
      <c r="R166" s="11" t="s">
        <v>2711</v>
      </c>
      <c r="S166" s="11" t="s">
        <v>2712</v>
      </c>
      <c r="T166" s="116" t="s">
        <v>1</v>
      </c>
      <c r="U166" s="88"/>
      <c r="V166" s="51">
        <v>45957</v>
      </c>
      <c r="W166" s="102" t="s">
        <v>1568</v>
      </c>
      <c r="X166" s="135" t="str">
        <f>VLOOKUP(Table1[[#This Row],[AMZ ID]],[1]Roster_1787503287932!$D$2:$AU$1370,25,0)</f>
        <v>Present</v>
      </c>
      <c r="Y166" s="135">
        <f>VLOOKUP(Table1[[#This Row],[AMZ ID]],[1]Roster_1787503287932!$D$2:$AM$1370,35,0)</f>
        <v>0</v>
      </c>
    </row>
    <row r="167" spans="1:25" ht="13" customHeight="1">
      <c r="A167" s="11">
        <v>161</v>
      </c>
      <c r="B167" s="47">
        <v>206915011</v>
      </c>
      <c r="C167" s="89" t="s">
        <v>2122</v>
      </c>
      <c r="D167" s="11" t="s">
        <v>2047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92</v>
      </c>
      <c r="M167" s="49" t="s">
        <v>84</v>
      </c>
      <c r="N167" s="49" t="s">
        <v>86</v>
      </c>
      <c r="O167" s="49" t="s">
        <v>67</v>
      </c>
      <c r="P167" s="11" t="s">
        <v>80</v>
      </c>
      <c r="Q167" s="11" t="s">
        <v>90</v>
      </c>
      <c r="R167" s="11" t="s">
        <v>2711</v>
      </c>
      <c r="S167" s="11" t="s">
        <v>2712</v>
      </c>
      <c r="T167" s="116" t="s">
        <v>1</v>
      </c>
      <c r="U167" s="88"/>
      <c r="V167" s="51">
        <v>46048</v>
      </c>
      <c r="W167" s="102" t="s">
        <v>1568</v>
      </c>
      <c r="X167" s="135" t="str">
        <f>VLOOKUP(Table1[[#This Row],[AMZ ID]],[1]Roster_1787503287932!$D$2:$AU$1370,25,0)</f>
        <v>Present</v>
      </c>
      <c r="Y167" s="135">
        <f>VLOOKUP(Table1[[#This Row],[AMZ ID]],[1]Roster_1787503287932!$D$2:$AM$1370,35,0)</f>
        <v>0</v>
      </c>
    </row>
    <row r="168" spans="1:25" ht="13" customHeight="1">
      <c r="A168" s="11">
        <v>162</v>
      </c>
      <c r="B168" s="47">
        <v>203850788</v>
      </c>
      <c r="C168" s="89" t="s">
        <v>2281</v>
      </c>
      <c r="D168" s="11" t="s">
        <v>2282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39</v>
      </c>
      <c r="K168" s="49" t="s">
        <v>76</v>
      </c>
      <c r="L168" s="49" t="s">
        <v>84</v>
      </c>
      <c r="M168" s="49" t="s">
        <v>85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2711</v>
      </c>
      <c r="S168" s="11" t="s">
        <v>2712</v>
      </c>
      <c r="T168" s="116" t="s">
        <v>1</v>
      </c>
      <c r="U168" s="88"/>
      <c r="V168" s="51">
        <v>45524</v>
      </c>
      <c r="W168" s="102" t="s">
        <v>1568</v>
      </c>
      <c r="X168" s="135" t="str">
        <f>VLOOKUP(Table1[[#This Row],[AMZ ID]],[1]Roster_1787503287932!$D$2:$AU$1370,25,0)</f>
        <v>Present</v>
      </c>
      <c r="Y168" s="135">
        <f>VLOOKUP(Table1[[#This Row],[AMZ ID]],[1]Roster_1787503287932!$D$2:$AM$1370,35,0)</f>
        <v>0</v>
      </c>
    </row>
    <row r="169" spans="1:25" ht="13" customHeight="1">
      <c r="A169" s="11">
        <v>163</v>
      </c>
      <c r="B169" s="47">
        <v>206873785</v>
      </c>
      <c r="C169" s="89" t="s">
        <v>1748</v>
      </c>
      <c r="D169" s="11" t="s">
        <v>1749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8" t="s">
        <v>89</v>
      </c>
      <c r="O169" s="49" t="s">
        <v>67</v>
      </c>
      <c r="P169" s="11" t="s">
        <v>80</v>
      </c>
      <c r="Q169" s="11" t="s">
        <v>90</v>
      </c>
      <c r="R169" s="11" t="s">
        <v>2711</v>
      </c>
      <c r="S169" s="11" t="s">
        <v>2712</v>
      </c>
      <c r="T169" s="116" t="s">
        <v>1</v>
      </c>
      <c r="U169" s="88"/>
      <c r="V169" s="51">
        <v>46020</v>
      </c>
      <c r="W169" s="102" t="s">
        <v>1568</v>
      </c>
      <c r="X169" s="135" t="str">
        <f>VLOOKUP(Table1[[#This Row],[AMZ ID]],[1]Roster_1787503287932!$D$2:$AU$1370,25,0)</f>
        <v>Present</v>
      </c>
      <c r="Y169" s="135">
        <f>VLOOKUP(Table1[[#This Row],[AMZ ID]],[1]Roster_1787503287932!$D$2:$AM$1370,35,0)</f>
        <v>0</v>
      </c>
    </row>
    <row r="170" spans="1:25" ht="13" customHeight="1">
      <c r="A170" s="11">
        <v>164</v>
      </c>
      <c r="B170" s="11">
        <v>204319468</v>
      </c>
      <c r="C170" s="89" t="s">
        <v>138</v>
      </c>
      <c r="D170" s="11" t="s">
        <v>1964</v>
      </c>
      <c r="E170" s="48" t="s">
        <v>31</v>
      </c>
      <c r="F170" s="48" t="s">
        <v>74</v>
      </c>
      <c r="G170" s="48" t="s">
        <v>64</v>
      </c>
      <c r="H170" s="48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9" t="s">
        <v>86</v>
      </c>
      <c r="O170" s="11" t="s">
        <v>67</v>
      </c>
      <c r="P170" s="48" t="s">
        <v>80</v>
      </c>
      <c r="Q170" s="11" t="s">
        <v>87</v>
      </c>
      <c r="R170" s="11" t="s">
        <v>2711</v>
      </c>
      <c r="S170" s="11" t="s">
        <v>2712</v>
      </c>
      <c r="T170" s="116" t="s">
        <v>1</v>
      </c>
      <c r="U170" s="88"/>
      <c r="V170" s="51">
        <v>45589</v>
      </c>
      <c r="W170" s="102" t="s">
        <v>1568</v>
      </c>
      <c r="X170" s="135" t="str">
        <f>VLOOKUP(Table1[[#This Row],[AMZ ID]],[1]Roster_1787503287932!$D$2:$AU$1370,25,0)</f>
        <v>Present</v>
      </c>
      <c r="Y170" s="135">
        <f>VLOOKUP(Table1[[#This Row],[AMZ ID]],[1]Roster_1787503287932!$D$2:$AM$1370,35,0)</f>
        <v>0</v>
      </c>
    </row>
    <row r="171" spans="1:25" ht="13" customHeight="1">
      <c r="A171" s="11">
        <v>165</v>
      </c>
      <c r="B171" s="47">
        <v>204868856</v>
      </c>
      <c r="C171" s="89" t="s">
        <v>139</v>
      </c>
      <c r="D171" s="11" t="s">
        <v>140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88</v>
      </c>
      <c r="M171" s="49" t="s">
        <v>95</v>
      </c>
      <c r="N171" s="48" t="s">
        <v>89</v>
      </c>
      <c r="O171" s="49" t="s">
        <v>67</v>
      </c>
      <c r="P171" s="11" t="s">
        <v>80</v>
      </c>
      <c r="Q171" s="11" t="s">
        <v>87</v>
      </c>
      <c r="R171" s="11" t="s">
        <v>2711</v>
      </c>
      <c r="S171" s="11" t="s">
        <v>2712</v>
      </c>
      <c r="T171" s="116" t="s">
        <v>1</v>
      </c>
      <c r="U171" s="88"/>
      <c r="V171" s="51">
        <v>45691</v>
      </c>
      <c r="W171" s="102" t="s">
        <v>1568</v>
      </c>
      <c r="X171" s="135" t="str">
        <f>VLOOKUP(Table1[[#This Row],[AMZ ID]],[1]Roster_1787503287932!$D$2:$AU$1370,25,0)</f>
        <v>Present</v>
      </c>
      <c r="Y171" s="135">
        <f>VLOOKUP(Table1[[#This Row],[AMZ ID]],[1]Roster_1787503287932!$D$2:$AM$1370,35,0)</f>
        <v>0</v>
      </c>
    </row>
    <row r="172" spans="1:25" ht="13" customHeight="1">
      <c r="A172" s="11">
        <v>166</v>
      </c>
      <c r="B172" s="47">
        <v>206953812</v>
      </c>
      <c r="C172" s="89" t="s">
        <v>2132</v>
      </c>
      <c r="D172" s="11" t="s">
        <v>2060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32</v>
      </c>
      <c r="K172" s="49" t="s">
        <v>76</v>
      </c>
      <c r="L172" s="49" t="s">
        <v>88</v>
      </c>
      <c r="M172" s="49" t="s">
        <v>95</v>
      </c>
      <c r="N172" s="49" t="s">
        <v>89</v>
      </c>
      <c r="O172" s="49" t="s">
        <v>67</v>
      </c>
      <c r="P172" s="11" t="s">
        <v>80</v>
      </c>
      <c r="Q172" s="11" t="s">
        <v>90</v>
      </c>
      <c r="R172" s="11" t="s">
        <v>2711</v>
      </c>
      <c r="S172" s="11" t="s">
        <v>2712</v>
      </c>
      <c r="T172" s="116" t="s">
        <v>1</v>
      </c>
      <c r="U172" s="88"/>
      <c r="V172" s="51">
        <v>46048</v>
      </c>
      <c r="W172" s="102" t="s">
        <v>1568</v>
      </c>
      <c r="X172" s="135" t="str">
        <f>VLOOKUP(Table1[[#This Row],[AMZ ID]],[1]Roster_1787503287932!$D$2:$AU$1370,25,0)</f>
        <v>Present</v>
      </c>
      <c r="Y172" s="135">
        <f>VLOOKUP(Table1[[#This Row],[AMZ ID]],[1]Roster_1787503287932!$D$2:$AM$1370,35,0)</f>
        <v>0</v>
      </c>
    </row>
    <row r="173" spans="1:25" ht="13" customHeight="1">
      <c r="A173" s="11">
        <v>167</v>
      </c>
      <c r="B173" s="47">
        <v>205495602</v>
      </c>
      <c r="C173" s="89" t="s">
        <v>545</v>
      </c>
      <c r="D173" s="11" t="s">
        <v>1965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39</v>
      </c>
      <c r="K173" s="49" t="s">
        <v>76</v>
      </c>
      <c r="L173" s="49" t="s">
        <v>95</v>
      </c>
      <c r="M173" s="49" t="s">
        <v>77</v>
      </c>
      <c r="N173" s="48" t="s">
        <v>89</v>
      </c>
      <c r="O173" s="49" t="s">
        <v>67</v>
      </c>
      <c r="P173" s="11" t="s">
        <v>80</v>
      </c>
      <c r="Q173" s="11" t="s">
        <v>96</v>
      </c>
      <c r="R173" s="11" t="s">
        <v>2711</v>
      </c>
      <c r="S173" s="11" t="s">
        <v>2712</v>
      </c>
      <c r="T173" s="116" t="s">
        <v>1</v>
      </c>
      <c r="U173" s="88"/>
      <c r="V173" s="51">
        <v>45831</v>
      </c>
      <c r="W173" s="102" t="s">
        <v>1568</v>
      </c>
      <c r="X173" s="135" t="str">
        <f>VLOOKUP(Table1[[#This Row],[AMZ ID]],[1]Roster_1787503287932!$D$2:$AU$1370,25,0)</f>
        <v>Present</v>
      </c>
      <c r="Y173" s="135">
        <f>VLOOKUP(Table1[[#This Row],[AMZ ID]],[1]Roster_1787503287932!$D$2:$AM$1370,35,0)</f>
        <v>0</v>
      </c>
    </row>
    <row r="174" spans="1:25" ht="13" customHeight="1">
      <c r="A174" s="11">
        <v>168</v>
      </c>
      <c r="B174" s="47">
        <v>204299909</v>
      </c>
      <c r="C174" s="89" t="s">
        <v>2283</v>
      </c>
      <c r="D174" s="11" t="s">
        <v>2284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77</v>
      </c>
      <c r="M174" s="49" t="s">
        <v>78</v>
      </c>
      <c r="N174" s="49" t="s">
        <v>86</v>
      </c>
      <c r="O174" s="49" t="s">
        <v>67</v>
      </c>
      <c r="P174" s="11" t="s">
        <v>80</v>
      </c>
      <c r="Q174" s="11" t="s">
        <v>87</v>
      </c>
      <c r="R174" s="11" t="s">
        <v>2711</v>
      </c>
      <c r="S174" s="11" t="s">
        <v>2712</v>
      </c>
      <c r="T174" s="116" t="s">
        <v>10</v>
      </c>
      <c r="U174" s="88"/>
      <c r="V174" s="51">
        <v>45589</v>
      </c>
      <c r="W174" s="102" t="s">
        <v>1568</v>
      </c>
      <c r="X174" s="135" t="str">
        <f>VLOOKUP(Table1[[#This Row],[AMZ ID]],[1]Roster_1787503287932!$D$2:$AU$1370,25,0)</f>
        <v>Not Present</v>
      </c>
      <c r="Y174" s="135">
        <f>VLOOKUP(Table1[[#This Row],[AMZ ID]],[1]Roster_1787503287932!$D$2:$AM$1370,35,0)</f>
        <v>0</v>
      </c>
    </row>
    <row r="175" spans="1:25" ht="13" customHeight="1">
      <c r="A175" s="11">
        <v>169</v>
      </c>
      <c r="B175" s="47">
        <v>203850935</v>
      </c>
      <c r="C175" s="89" t="s">
        <v>2285</v>
      </c>
      <c r="D175" s="11" t="s">
        <v>2286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77</v>
      </c>
      <c r="M175" s="49" t="s">
        <v>78</v>
      </c>
      <c r="N175" s="48" t="s">
        <v>79</v>
      </c>
      <c r="O175" s="49" t="s">
        <v>67</v>
      </c>
      <c r="P175" s="11" t="s">
        <v>80</v>
      </c>
      <c r="Q175" s="11" t="s">
        <v>81</v>
      </c>
      <c r="R175" s="11" t="s">
        <v>2711</v>
      </c>
      <c r="S175" s="11" t="s">
        <v>2712</v>
      </c>
      <c r="T175" s="116" t="s">
        <v>10</v>
      </c>
      <c r="U175" s="88"/>
      <c r="V175" s="51">
        <v>45524</v>
      </c>
      <c r="W175" s="102" t="s">
        <v>1568</v>
      </c>
      <c r="X175" s="135" t="str">
        <f>VLOOKUP(Table1[[#This Row],[AMZ ID]],[1]Roster_1787503287932!$D$2:$AU$1370,25,0)</f>
        <v>Not Present</v>
      </c>
      <c r="Y175" s="135">
        <f>VLOOKUP(Table1[[#This Row],[AMZ ID]],[1]Roster_1787503287932!$D$2:$AM$1370,35,0)</f>
        <v>0</v>
      </c>
    </row>
    <row r="176" spans="1:25" ht="13" customHeight="1">
      <c r="A176" s="11">
        <v>170</v>
      </c>
      <c r="B176" s="47">
        <v>203813036</v>
      </c>
      <c r="C176" s="89" t="s">
        <v>260</v>
      </c>
      <c r="D176" s="11" t="s">
        <v>261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84</v>
      </c>
      <c r="M176" s="49" t="s">
        <v>85</v>
      </c>
      <c r="N176" s="48" t="s">
        <v>86</v>
      </c>
      <c r="O176" s="49" t="s">
        <v>35</v>
      </c>
      <c r="P176" s="11" t="s">
        <v>80</v>
      </c>
      <c r="Q176" s="11" t="s">
        <v>99</v>
      </c>
      <c r="R176" s="11" t="s">
        <v>225</v>
      </c>
      <c r="S176" s="11" t="s">
        <v>226</v>
      </c>
      <c r="T176" s="116" t="s">
        <v>1</v>
      </c>
      <c r="U176" s="88"/>
      <c r="V176" s="51">
        <v>45517</v>
      </c>
      <c r="W176" s="97" t="s">
        <v>1574</v>
      </c>
      <c r="X176" s="135" t="str">
        <f>VLOOKUP(Table1[[#This Row],[AMZ ID]],[1]Roster_1787503287932!$D$2:$AU$1370,25,0)</f>
        <v>Present</v>
      </c>
      <c r="Y176" s="135">
        <f>VLOOKUP(Table1[[#This Row],[AMZ ID]],[1]Roster_1787503287932!$D$2:$AM$1370,35,0)</f>
        <v>0</v>
      </c>
    </row>
    <row r="177" spans="1:25" ht="13" customHeight="1">
      <c r="A177" s="11">
        <v>171</v>
      </c>
      <c r="B177" s="47">
        <v>202238249</v>
      </c>
      <c r="C177" s="89" t="s">
        <v>141</v>
      </c>
      <c r="D177" s="11" t="s">
        <v>1966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78</v>
      </c>
      <c r="M177" s="49" t="s">
        <v>92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2711</v>
      </c>
      <c r="S177" s="11" t="s">
        <v>2712</v>
      </c>
      <c r="T177" s="116" t="s">
        <v>10</v>
      </c>
      <c r="U177" s="88"/>
      <c r="V177" s="51">
        <v>45586</v>
      </c>
      <c r="W177" s="102" t="s">
        <v>1568</v>
      </c>
      <c r="X177" s="135" t="str">
        <f>VLOOKUP(Table1[[#This Row],[AMZ ID]],[1]Roster_1787503287932!$D$2:$AU$1370,25,0)</f>
        <v>Not Present</v>
      </c>
      <c r="Y177" s="135">
        <f>VLOOKUP(Table1[[#This Row],[AMZ ID]],[1]Roster_1787503287932!$D$2:$AM$1370,35,0)</f>
        <v>0</v>
      </c>
    </row>
    <row r="178" spans="1:25" ht="13" customHeight="1">
      <c r="A178" s="11">
        <v>172</v>
      </c>
      <c r="B178" s="47">
        <v>102207652</v>
      </c>
      <c r="C178" s="89" t="s">
        <v>142</v>
      </c>
      <c r="D178" s="11" t="s">
        <v>1967</v>
      </c>
      <c r="E178" s="48" t="s">
        <v>34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39</v>
      </c>
      <c r="K178" s="49" t="s">
        <v>76</v>
      </c>
      <c r="L178" s="49" t="s">
        <v>88</v>
      </c>
      <c r="M178" s="49" t="s">
        <v>95</v>
      </c>
      <c r="N178" s="48" t="s">
        <v>108</v>
      </c>
      <c r="O178" s="49" t="s">
        <v>67</v>
      </c>
      <c r="P178" s="11" t="s">
        <v>80</v>
      </c>
      <c r="Q178" s="11" t="s">
        <v>98</v>
      </c>
      <c r="R178" s="11" t="s">
        <v>82</v>
      </c>
      <c r="S178" s="11" t="s">
        <v>2713</v>
      </c>
      <c r="T178" s="116" t="s">
        <v>1</v>
      </c>
      <c r="U178" s="88"/>
      <c r="V178" s="51">
        <v>42868</v>
      </c>
      <c r="W178" s="102" t="s">
        <v>1568</v>
      </c>
      <c r="X178" s="135" t="str">
        <f>VLOOKUP(Table1[[#This Row],[AMZ ID]],[1]Roster_1787503287932!$D$2:$AU$1370,25,0)</f>
        <v>Present</v>
      </c>
      <c r="Y178" s="135">
        <f>VLOOKUP(Table1[[#This Row],[AMZ ID]],[1]Roster_1787503287932!$D$2:$AM$1370,35,0)</f>
        <v>0</v>
      </c>
    </row>
    <row r="179" spans="1:25" ht="13" customHeight="1">
      <c r="A179" s="11">
        <v>173</v>
      </c>
      <c r="B179" s="47">
        <v>203813085</v>
      </c>
      <c r="C179" s="89" t="s">
        <v>2287</v>
      </c>
      <c r="D179" s="11" t="s">
        <v>2288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86</v>
      </c>
      <c r="O179" s="49" t="s">
        <v>67</v>
      </c>
      <c r="P179" s="11" t="s">
        <v>80</v>
      </c>
      <c r="Q179" s="11" t="s">
        <v>99</v>
      </c>
      <c r="R179" s="11" t="s">
        <v>2711</v>
      </c>
      <c r="S179" s="11" t="s">
        <v>2712</v>
      </c>
      <c r="T179" s="116" t="s">
        <v>1</v>
      </c>
      <c r="U179" s="88"/>
      <c r="V179" s="51">
        <v>45517</v>
      </c>
      <c r="W179" s="102" t="s">
        <v>1568</v>
      </c>
      <c r="X179" s="135" t="str">
        <f>VLOOKUP(Table1[[#This Row],[AMZ ID]],[1]Roster_1787503287932!$D$2:$AU$1370,25,0)</f>
        <v>Present</v>
      </c>
      <c r="Y179" s="135">
        <f>VLOOKUP(Table1[[#This Row],[AMZ ID]],[1]Roster_1787503287932!$D$2:$AM$1370,35,0)</f>
        <v>0</v>
      </c>
    </row>
    <row r="180" spans="1:25" ht="13" customHeight="1">
      <c r="A180" s="11">
        <v>174</v>
      </c>
      <c r="B180" s="47">
        <v>206875145</v>
      </c>
      <c r="C180" s="89" t="s">
        <v>1724</v>
      </c>
      <c r="D180" s="11" t="s">
        <v>1725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8" t="s">
        <v>89</v>
      </c>
      <c r="O180" s="49" t="s">
        <v>67</v>
      </c>
      <c r="P180" s="11" t="s">
        <v>80</v>
      </c>
      <c r="Q180" s="11" t="s">
        <v>90</v>
      </c>
      <c r="R180" s="11" t="s">
        <v>2711</v>
      </c>
      <c r="S180" s="11" t="s">
        <v>2712</v>
      </c>
      <c r="T180" s="116" t="s">
        <v>1</v>
      </c>
      <c r="U180" s="88"/>
      <c r="V180" s="51">
        <v>46020</v>
      </c>
      <c r="W180" s="102" t="s">
        <v>1568</v>
      </c>
      <c r="X180" s="135" t="str">
        <f>VLOOKUP(Table1[[#This Row],[AMZ ID]],[1]Roster_1787503287932!$D$2:$AU$1370,25,0)</f>
        <v>Present</v>
      </c>
      <c r="Y180" s="135">
        <f>VLOOKUP(Table1[[#This Row],[AMZ ID]],[1]Roster_1787503287932!$D$2:$AM$1370,35,0)</f>
        <v>0</v>
      </c>
    </row>
    <row r="181" spans="1:25" ht="13" customHeight="1">
      <c r="A181" s="11">
        <v>175</v>
      </c>
      <c r="B181" s="47">
        <v>206136724</v>
      </c>
      <c r="C181" s="89" t="s">
        <v>2485</v>
      </c>
      <c r="D181" s="11" t="s">
        <v>2486</v>
      </c>
      <c r="E181" s="48" t="s">
        <v>31</v>
      </c>
      <c r="F181" s="48" t="s">
        <v>74</v>
      </c>
      <c r="G181" s="48" t="s">
        <v>64</v>
      </c>
      <c r="H181" s="48" t="s">
        <v>75</v>
      </c>
      <c r="I181" s="11">
        <v>1299</v>
      </c>
      <c r="J181" s="49" t="s">
        <v>32</v>
      </c>
      <c r="K181" s="49" t="s">
        <v>76</v>
      </c>
      <c r="L181" s="49" t="s">
        <v>92</v>
      </c>
      <c r="M181" s="49" t="s">
        <v>84</v>
      </c>
      <c r="N181" s="49" t="s">
        <v>89</v>
      </c>
      <c r="O181" s="48" t="s">
        <v>67</v>
      </c>
      <c r="P181" s="48" t="s">
        <v>80</v>
      </c>
      <c r="Q181" s="11" t="s">
        <v>81</v>
      </c>
      <c r="R181" s="11" t="s">
        <v>2711</v>
      </c>
      <c r="S181" s="11" t="s">
        <v>2712</v>
      </c>
      <c r="T181" s="116" t="s">
        <v>1</v>
      </c>
      <c r="U181" s="88"/>
      <c r="V181" s="51">
        <v>45932</v>
      </c>
      <c r="W181" s="102" t="s">
        <v>1568</v>
      </c>
      <c r="X181" s="135" t="str">
        <f>VLOOKUP(Table1[[#This Row],[AMZ ID]],[1]Roster_1787503287932!$D$2:$AU$1370,25,0)</f>
        <v>Present</v>
      </c>
      <c r="Y181" s="135">
        <f>VLOOKUP(Table1[[#This Row],[AMZ ID]],[1]Roster_1787503287932!$D$2:$AM$1370,35,0)</f>
        <v>0</v>
      </c>
    </row>
    <row r="182" spans="1:25" ht="13" customHeight="1">
      <c r="A182" s="11">
        <v>176</v>
      </c>
      <c r="B182" s="47">
        <v>204329123</v>
      </c>
      <c r="C182" s="89" t="s">
        <v>2289</v>
      </c>
      <c r="D182" s="11" t="s">
        <v>2290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39</v>
      </c>
      <c r="K182" s="49" t="s">
        <v>76</v>
      </c>
      <c r="L182" s="49" t="s">
        <v>77</v>
      </c>
      <c r="M182" s="49" t="s">
        <v>78</v>
      </c>
      <c r="N182" s="49" t="s">
        <v>86</v>
      </c>
      <c r="O182" s="49" t="s">
        <v>67</v>
      </c>
      <c r="P182" s="11" t="s">
        <v>80</v>
      </c>
      <c r="Q182" s="11" t="s">
        <v>87</v>
      </c>
      <c r="R182" s="11" t="s">
        <v>2711</v>
      </c>
      <c r="S182" s="11" t="s">
        <v>2712</v>
      </c>
      <c r="T182" s="116" t="s">
        <v>10</v>
      </c>
      <c r="U182" s="88"/>
      <c r="V182" s="51">
        <v>45589</v>
      </c>
      <c r="W182" s="102" t="s">
        <v>1568</v>
      </c>
      <c r="X182" s="135" t="str">
        <f>VLOOKUP(Table1[[#This Row],[AMZ ID]],[1]Roster_1787503287932!$D$2:$AU$1370,25,0)</f>
        <v>Not Present</v>
      </c>
      <c r="Y182" s="135">
        <f>VLOOKUP(Table1[[#This Row],[AMZ ID]],[1]Roster_1787503287932!$D$2:$AM$1370,35,0)</f>
        <v>0</v>
      </c>
    </row>
    <row r="183" spans="1:25" ht="13" customHeight="1">
      <c r="A183" s="11">
        <v>177</v>
      </c>
      <c r="B183" s="47">
        <v>206851163</v>
      </c>
      <c r="C183" s="89" t="s">
        <v>1735</v>
      </c>
      <c r="D183" s="11" t="s">
        <v>1736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32</v>
      </c>
      <c r="K183" s="49" t="s">
        <v>76</v>
      </c>
      <c r="L183" s="49" t="s">
        <v>85</v>
      </c>
      <c r="M183" s="49" t="s">
        <v>88</v>
      </c>
      <c r="N183" s="48" t="s">
        <v>89</v>
      </c>
      <c r="O183" s="49" t="s">
        <v>67</v>
      </c>
      <c r="P183" s="11" t="s">
        <v>80</v>
      </c>
      <c r="Q183" s="11" t="s">
        <v>90</v>
      </c>
      <c r="R183" s="11" t="s">
        <v>2711</v>
      </c>
      <c r="S183" s="11" t="s">
        <v>2712</v>
      </c>
      <c r="T183" s="116" t="s">
        <v>1</v>
      </c>
      <c r="U183" s="88"/>
      <c r="V183" s="51">
        <v>46020</v>
      </c>
      <c r="W183" s="102" t="s">
        <v>1568</v>
      </c>
      <c r="X183" s="135" t="str">
        <f>VLOOKUP(Table1[[#This Row],[AMZ ID]],[1]Roster_1787503287932!$D$2:$AU$1370,25,0)</f>
        <v>Present</v>
      </c>
      <c r="Y183" s="135">
        <f>VLOOKUP(Table1[[#This Row],[AMZ ID]],[1]Roster_1787503287932!$D$2:$AM$1370,35,0)</f>
        <v>0</v>
      </c>
    </row>
    <row r="184" spans="1:25" ht="13" customHeight="1">
      <c r="A184" s="11">
        <v>178</v>
      </c>
      <c r="B184" s="47">
        <v>203469083</v>
      </c>
      <c r="C184" s="89" t="s">
        <v>2291</v>
      </c>
      <c r="D184" s="11" t="s">
        <v>2292</v>
      </c>
      <c r="E184" s="48" t="s">
        <v>31</v>
      </c>
      <c r="F184" s="48" t="s">
        <v>74</v>
      </c>
      <c r="G184" s="48" t="s">
        <v>64</v>
      </c>
      <c r="H184" s="48" t="s">
        <v>75</v>
      </c>
      <c r="I184" s="11">
        <v>1299</v>
      </c>
      <c r="J184" s="49" t="s">
        <v>39</v>
      </c>
      <c r="K184" s="49" t="s">
        <v>76</v>
      </c>
      <c r="L184" s="49" t="s">
        <v>92</v>
      </c>
      <c r="M184" s="49" t="s">
        <v>84</v>
      </c>
      <c r="N184" s="49" t="s">
        <v>79</v>
      </c>
      <c r="O184" s="48" t="s">
        <v>67</v>
      </c>
      <c r="P184" s="48" t="s">
        <v>80</v>
      </c>
      <c r="Q184" s="11" t="s">
        <v>81</v>
      </c>
      <c r="R184" s="11" t="s">
        <v>2711</v>
      </c>
      <c r="S184" s="11" t="s">
        <v>2712</v>
      </c>
      <c r="T184" s="116" t="s">
        <v>1</v>
      </c>
      <c r="U184" s="88"/>
      <c r="V184" s="51">
        <v>45456</v>
      </c>
      <c r="W184" s="102" t="s">
        <v>1568</v>
      </c>
      <c r="X184" s="135" t="str">
        <f>VLOOKUP(Table1[[#This Row],[AMZ ID]],[1]Roster_1787503287932!$D$2:$AU$1370,25,0)</f>
        <v>Present</v>
      </c>
      <c r="Y184" s="135">
        <f>VLOOKUP(Table1[[#This Row],[AMZ ID]],[1]Roster_1787503287932!$D$2:$AM$1370,35,0)</f>
        <v>0</v>
      </c>
    </row>
    <row r="185" spans="1:25" ht="13" customHeight="1">
      <c r="A185" s="11">
        <v>179</v>
      </c>
      <c r="B185" s="47">
        <v>203679326</v>
      </c>
      <c r="C185" s="89" t="s">
        <v>2293</v>
      </c>
      <c r="D185" s="11" t="s">
        <v>2294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77</v>
      </c>
      <c r="M185" s="49" t="s">
        <v>78</v>
      </c>
      <c r="N185" s="48" t="s">
        <v>79</v>
      </c>
      <c r="O185" s="49" t="s">
        <v>67</v>
      </c>
      <c r="P185" s="11" t="s">
        <v>80</v>
      </c>
      <c r="Q185" s="11" t="s">
        <v>81</v>
      </c>
      <c r="R185" s="11" t="s">
        <v>2711</v>
      </c>
      <c r="S185" s="11" t="s">
        <v>2712</v>
      </c>
      <c r="T185" s="116" t="s">
        <v>10</v>
      </c>
      <c r="U185" s="88"/>
      <c r="V185" s="51">
        <v>45488</v>
      </c>
      <c r="W185" s="102" t="s">
        <v>1568</v>
      </c>
      <c r="X185" s="135" t="str">
        <f>VLOOKUP(Table1[[#This Row],[AMZ ID]],[1]Roster_1787503287932!$D$2:$AU$1370,25,0)</f>
        <v>Not Present</v>
      </c>
      <c r="Y185" s="135">
        <f>VLOOKUP(Table1[[#This Row],[AMZ ID]],[1]Roster_1787503287932!$D$2:$AM$1370,35,0)</f>
        <v>0</v>
      </c>
    </row>
    <row r="186" spans="1:25" ht="13" customHeight="1">
      <c r="A186" s="11">
        <v>180</v>
      </c>
      <c r="B186" s="47">
        <v>107117478</v>
      </c>
      <c r="C186" s="89" t="s">
        <v>2687</v>
      </c>
      <c r="D186" s="11" t="s">
        <v>2688</v>
      </c>
      <c r="E186" s="48" t="s">
        <v>34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32</v>
      </c>
      <c r="K186" s="49" t="s">
        <v>76</v>
      </c>
      <c r="L186" s="49" t="s">
        <v>88</v>
      </c>
      <c r="M186" s="49" t="s">
        <v>95</v>
      </c>
      <c r="N186" s="48" t="s">
        <v>97</v>
      </c>
      <c r="O186" s="49" t="s">
        <v>67</v>
      </c>
      <c r="P186" s="11" t="s">
        <v>80</v>
      </c>
      <c r="Q186" s="11" t="s">
        <v>98</v>
      </c>
      <c r="R186" s="11" t="s">
        <v>82</v>
      </c>
      <c r="S186" s="11" t="s">
        <v>2713</v>
      </c>
      <c r="T186" s="116" t="s">
        <v>7</v>
      </c>
      <c r="U186" s="88" t="s">
        <v>3015</v>
      </c>
      <c r="V186" s="51">
        <v>44797</v>
      </c>
      <c r="W186" s="102" t="s">
        <v>1568</v>
      </c>
      <c r="X186" s="135" t="str">
        <f>VLOOKUP(Table1[[#This Row],[AMZ ID]],[1]Roster_1787503287932!$D$2:$AU$1370,25,0)</f>
        <v>Not Present</v>
      </c>
      <c r="Y186" s="135">
        <f>VLOOKUP(Table1[[#This Row],[AMZ ID]],[1]Roster_1787503287932!$D$2:$AM$1370,35,0)</f>
        <v>0</v>
      </c>
    </row>
    <row r="187" spans="1:25" ht="13" customHeight="1">
      <c r="A187" s="11">
        <v>181</v>
      </c>
      <c r="B187" s="47">
        <v>206008708</v>
      </c>
      <c r="C187" s="89" t="s">
        <v>2295</v>
      </c>
      <c r="D187" s="11" t="s">
        <v>2296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32</v>
      </c>
      <c r="K187" s="49" t="s">
        <v>76</v>
      </c>
      <c r="L187" s="49" t="s">
        <v>77</v>
      </c>
      <c r="M187" s="49" t="s">
        <v>78</v>
      </c>
      <c r="N187" s="49" t="s">
        <v>89</v>
      </c>
      <c r="O187" s="49" t="s">
        <v>67</v>
      </c>
      <c r="P187" s="11" t="s">
        <v>80</v>
      </c>
      <c r="Q187" s="11" t="s">
        <v>81</v>
      </c>
      <c r="R187" s="11" t="s">
        <v>2711</v>
      </c>
      <c r="S187" s="11" t="s">
        <v>2712</v>
      </c>
      <c r="T187" s="116" t="s">
        <v>10</v>
      </c>
      <c r="U187" s="88"/>
      <c r="V187" s="51">
        <v>45915</v>
      </c>
      <c r="W187" s="102" t="s">
        <v>1568</v>
      </c>
      <c r="X187" s="135" t="str">
        <f>VLOOKUP(Table1[[#This Row],[AMZ ID]],[1]Roster_1787503287932!$D$2:$AU$1370,25,0)</f>
        <v>Not Present</v>
      </c>
      <c r="Y187" s="135">
        <f>VLOOKUP(Table1[[#This Row],[AMZ ID]],[1]Roster_1787503287932!$D$2:$AM$1370,35,0)</f>
        <v>0</v>
      </c>
    </row>
    <row r="188" spans="1:25" ht="13" customHeight="1">
      <c r="A188" s="11">
        <v>182</v>
      </c>
      <c r="B188" s="47">
        <v>206873881</v>
      </c>
      <c r="C188" s="89" t="s">
        <v>1708</v>
      </c>
      <c r="D188" s="11" t="s">
        <v>1709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9" t="s">
        <v>89</v>
      </c>
      <c r="O188" s="49" t="s">
        <v>67</v>
      </c>
      <c r="P188" s="11" t="s">
        <v>80</v>
      </c>
      <c r="Q188" s="11" t="s">
        <v>90</v>
      </c>
      <c r="R188" s="11" t="s">
        <v>2711</v>
      </c>
      <c r="S188" s="11" t="s">
        <v>2712</v>
      </c>
      <c r="T188" s="116" t="s">
        <v>10</v>
      </c>
      <c r="U188" s="88"/>
      <c r="V188" s="51">
        <v>46020</v>
      </c>
      <c r="W188" s="102" t="s">
        <v>1568</v>
      </c>
      <c r="X188" s="135" t="str">
        <f>VLOOKUP(Table1[[#This Row],[AMZ ID]],[1]Roster_1787503287932!$D$2:$AU$1370,25,0)</f>
        <v>Not Present</v>
      </c>
      <c r="Y188" s="135">
        <f>VLOOKUP(Table1[[#This Row],[AMZ ID]],[1]Roster_1787503287932!$D$2:$AM$1370,35,0)</f>
        <v>0</v>
      </c>
    </row>
    <row r="189" spans="1:25" ht="13" customHeight="1">
      <c r="A189" s="11">
        <v>183</v>
      </c>
      <c r="B189" s="47">
        <v>206175107</v>
      </c>
      <c r="C189" s="89" t="s">
        <v>2487</v>
      </c>
      <c r="D189" s="11" t="s">
        <v>2488</v>
      </c>
      <c r="E189" s="48" t="s">
        <v>31</v>
      </c>
      <c r="F189" s="48" t="s">
        <v>74</v>
      </c>
      <c r="G189" s="48" t="s">
        <v>64</v>
      </c>
      <c r="H189" s="48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8" t="s">
        <v>67</v>
      </c>
      <c r="P189" s="48" t="s">
        <v>80</v>
      </c>
      <c r="Q189" s="11" t="s">
        <v>81</v>
      </c>
      <c r="R189" s="11" t="s">
        <v>2711</v>
      </c>
      <c r="S189" s="11" t="s">
        <v>2712</v>
      </c>
      <c r="T189" s="116" t="s">
        <v>10</v>
      </c>
      <c r="U189" s="88"/>
      <c r="V189" s="51">
        <v>45932</v>
      </c>
      <c r="W189" s="102" t="s">
        <v>1568</v>
      </c>
      <c r="X189" s="135" t="str">
        <f>VLOOKUP(Table1[[#This Row],[AMZ ID]],[1]Roster_1787503287932!$D$2:$AU$1370,25,0)</f>
        <v>Not Present</v>
      </c>
      <c r="Y189" s="135">
        <f>VLOOKUP(Table1[[#This Row],[AMZ ID]],[1]Roster_1787503287932!$D$2:$AM$1370,35,0)</f>
        <v>0</v>
      </c>
    </row>
    <row r="190" spans="1:25" ht="13" customHeight="1">
      <c r="A190" s="11">
        <v>184</v>
      </c>
      <c r="B190" s="47">
        <v>203469455</v>
      </c>
      <c r="C190" s="89" t="s">
        <v>2297</v>
      </c>
      <c r="D190" s="11" t="s">
        <v>2298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39</v>
      </c>
      <c r="K190" s="49" t="s">
        <v>76</v>
      </c>
      <c r="L190" s="49" t="s">
        <v>85</v>
      </c>
      <c r="M190" s="49" t="s">
        <v>88</v>
      </c>
      <c r="N190" s="48" t="s">
        <v>86</v>
      </c>
      <c r="O190" s="49" t="s">
        <v>67</v>
      </c>
      <c r="P190" s="11" t="s">
        <v>80</v>
      </c>
      <c r="Q190" s="11" t="s">
        <v>99</v>
      </c>
      <c r="R190" s="11" t="s">
        <v>2711</v>
      </c>
      <c r="S190" s="11" t="s">
        <v>2712</v>
      </c>
      <c r="T190" s="116" t="s">
        <v>7</v>
      </c>
      <c r="U190" s="88"/>
      <c r="V190" s="51">
        <v>45456</v>
      </c>
      <c r="W190" s="97" t="s">
        <v>1568</v>
      </c>
      <c r="X190" s="135" t="str">
        <f>VLOOKUP(Table1[[#This Row],[AMZ ID]],[1]Roster_1787503287932!$D$2:$AU$1370,25,0)</f>
        <v>Not Present</v>
      </c>
      <c r="Y190" s="135" t="str">
        <f>VLOOKUP(Table1[[#This Row],[AMZ ID]],[1]Roster_1787503287932!$D$2:$AM$1370,35,0)</f>
        <v>Carry Forwarded Annual Leave</v>
      </c>
    </row>
    <row r="191" spans="1:25" ht="13" customHeight="1">
      <c r="A191" s="11">
        <v>185</v>
      </c>
      <c r="B191" s="47">
        <v>203813088</v>
      </c>
      <c r="C191" s="89" t="s">
        <v>143</v>
      </c>
      <c r="D191" s="11" t="s">
        <v>1970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39</v>
      </c>
      <c r="K191" s="49" t="s">
        <v>76</v>
      </c>
      <c r="L191" s="49" t="s">
        <v>92</v>
      </c>
      <c r="M191" s="49" t="s">
        <v>84</v>
      </c>
      <c r="N191" s="48" t="s">
        <v>86</v>
      </c>
      <c r="O191" s="49" t="s">
        <v>67</v>
      </c>
      <c r="P191" s="11" t="s">
        <v>80</v>
      </c>
      <c r="Q191" s="11" t="s">
        <v>99</v>
      </c>
      <c r="R191" s="11" t="s">
        <v>2711</v>
      </c>
      <c r="S191" s="11" t="s">
        <v>2712</v>
      </c>
      <c r="T191" s="116" t="s">
        <v>1</v>
      </c>
      <c r="U191" s="88"/>
      <c r="V191" s="51">
        <v>45517</v>
      </c>
      <c r="W191" s="102" t="s">
        <v>1568</v>
      </c>
      <c r="X191" s="135" t="str">
        <f>VLOOKUP(Table1[[#This Row],[AMZ ID]],[1]Roster_1787503287932!$D$2:$AU$1370,25,0)</f>
        <v>Present</v>
      </c>
      <c r="Y191" s="135">
        <f>VLOOKUP(Table1[[#This Row],[AMZ ID]],[1]Roster_1787503287932!$D$2:$AM$1370,35,0)</f>
        <v>0</v>
      </c>
    </row>
    <row r="192" spans="1:25" ht="13" customHeight="1">
      <c r="A192" s="11">
        <v>186</v>
      </c>
      <c r="B192" s="47">
        <v>204072320</v>
      </c>
      <c r="C192" s="89" t="s">
        <v>144</v>
      </c>
      <c r="D192" s="11" t="s">
        <v>1971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39</v>
      </c>
      <c r="K192" s="49" t="s">
        <v>76</v>
      </c>
      <c r="L192" s="49" t="s">
        <v>85</v>
      </c>
      <c r="M192" s="49" t="s">
        <v>88</v>
      </c>
      <c r="N192" s="48" t="s">
        <v>89</v>
      </c>
      <c r="O192" s="49" t="s">
        <v>67</v>
      </c>
      <c r="P192" s="11" t="s">
        <v>80</v>
      </c>
      <c r="Q192" s="11" t="s">
        <v>90</v>
      </c>
      <c r="R192" s="11" t="s">
        <v>2711</v>
      </c>
      <c r="S192" s="11" t="s">
        <v>2712</v>
      </c>
      <c r="T192" s="116" t="s">
        <v>1</v>
      </c>
      <c r="U192" s="88"/>
      <c r="V192" s="51">
        <v>45684</v>
      </c>
      <c r="W192" s="102" t="s">
        <v>1568</v>
      </c>
      <c r="X192" s="135" t="str">
        <f>VLOOKUP(Table1[[#This Row],[AMZ ID]],[1]Roster_1787503287932!$D$2:$AU$1370,25,0)</f>
        <v>Present</v>
      </c>
      <c r="Y192" s="135">
        <f>VLOOKUP(Table1[[#This Row],[AMZ ID]],[1]Roster_1787503287932!$D$2:$AM$1370,35,0)</f>
        <v>0</v>
      </c>
    </row>
    <row r="193" spans="1:25" ht="13" customHeight="1">
      <c r="A193" s="11">
        <v>187</v>
      </c>
      <c r="B193" s="47">
        <v>204299908</v>
      </c>
      <c r="C193" s="89" t="s">
        <v>145</v>
      </c>
      <c r="D193" s="11" t="s">
        <v>1972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77</v>
      </c>
      <c r="M193" s="49" t="s">
        <v>78</v>
      </c>
      <c r="N193" s="49" t="s">
        <v>86</v>
      </c>
      <c r="O193" s="49" t="s">
        <v>67</v>
      </c>
      <c r="P193" s="11" t="s">
        <v>80</v>
      </c>
      <c r="Q193" s="11" t="s">
        <v>87</v>
      </c>
      <c r="R193" s="11" t="s">
        <v>2711</v>
      </c>
      <c r="S193" s="11" t="s">
        <v>2712</v>
      </c>
      <c r="T193" s="116" t="s">
        <v>10</v>
      </c>
      <c r="U193" s="88"/>
      <c r="V193" s="51">
        <v>45589</v>
      </c>
      <c r="W193" s="102" t="s">
        <v>1568</v>
      </c>
      <c r="X193" s="135" t="str">
        <f>VLOOKUP(Table1[[#This Row],[AMZ ID]],[1]Roster_1787503287932!$D$2:$AU$1370,25,0)</f>
        <v>Not Present</v>
      </c>
      <c r="Y193" s="135">
        <f>VLOOKUP(Table1[[#This Row],[AMZ ID]],[1]Roster_1787503287932!$D$2:$AM$1370,35,0)</f>
        <v>0</v>
      </c>
    </row>
    <row r="194" spans="1:25" ht="13" customHeight="1">
      <c r="A194" s="11">
        <v>188</v>
      </c>
      <c r="B194" s="47">
        <v>205647585</v>
      </c>
      <c r="C194" s="89" t="s">
        <v>2299</v>
      </c>
      <c r="D194" s="11" t="s">
        <v>2300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32</v>
      </c>
      <c r="K194" s="49" t="s">
        <v>76</v>
      </c>
      <c r="L194" s="49" t="s">
        <v>95</v>
      </c>
      <c r="M194" s="49" t="s">
        <v>77</v>
      </c>
      <c r="N194" s="48" t="s">
        <v>89</v>
      </c>
      <c r="O194" s="49" t="s">
        <v>67</v>
      </c>
      <c r="P194" s="11" t="s">
        <v>80</v>
      </c>
      <c r="Q194" s="11" t="s">
        <v>96</v>
      </c>
      <c r="R194" s="11" t="s">
        <v>2711</v>
      </c>
      <c r="S194" s="11" t="s">
        <v>2712</v>
      </c>
      <c r="T194" s="116" t="s">
        <v>1</v>
      </c>
      <c r="U194" s="88"/>
      <c r="V194" s="51">
        <v>45852</v>
      </c>
      <c r="W194" s="102" t="s">
        <v>1568</v>
      </c>
      <c r="X194" s="135" t="str">
        <f>VLOOKUP(Table1[[#This Row],[AMZ ID]],[1]Roster_1787503287932!$D$2:$AU$1370,25,0)</f>
        <v>Present</v>
      </c>
      <c r="Y194" s="135">
        <f>VLOOKUP(Table1[[#This Row],[AMZ ID]],[1]Roster_1787503287932!$D$2:$AM$1370,35,0)</f>
        <v>0</v>
      </c>
    </row>
    <row r="195" spans="1:25" ht="13" customHeight="1">
      <c r="A195" s="11">
        <v>189</v>
      </c>
      <c r="B195" s="47">
        <v>205647825</v>
      </c>
      <c r="C195" s="89" t="s">
        <v>146</v>
      </c>
      <c r="D195" s="11" t="s">
        <v>1973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32</v>
      </c>
      <c r="K195" s="49" t="s">
        <v>76</v>
      </c>
      <c r="L195" s="49" t="s">
        <v>88</v>
      </c>
      <c r="M195" s="49" t="s">
        <v>95</v>
      </c>
      <c r="N195" s="49" t="s">
        <v>89</v>
      </c>
      <c r="O195" s="49" t="s">
        <v>67</v>
      </c>
      <c r="P195" s="11" t="s">
        <v>80</v>
      </c>
      <c r="Q195" s="11" t="s">
        <v>96</v>
      </c>
      <c r="R195" s="11" t="s">
        <v>2711</v>
      </c>
      <c r="S195" s="11" t="s">
        <v>2712</v>
      </c>
      <c r="T195" s="116" t="s">
        <v>1</v>
      </c>
      <c r="U195" s="88"/>
      <c r="V195" s="51">
        <v>45852</v>
      </c>
      <c r="W195" s="102" t="s">
        <v>1568</v>
      </c>
      <c r="X195" s="135" t="str">
        <f>VLOOKUP(Table1[[#This Row],[AMZ ID]],[1]Roster_1787503287932!$D$2:$AU$1370,25,0)</f>
        <v>Present</v>
      </c>
      <c r="Y195" s="135">
        <f>VLOOKUP(Table1[[#This Row],[AMZ ID]],[1]Roster_1787503287932!$D$2:$AM$1370,35,0)</f>
        <v>0</v>
      </c>
    </row>
    <row r="196" spans="1:25" ht="13" customHeight="1">
      <c r="A196" s="11">
        <v>190</v>
      </c>
      <c r="B196" s="47">
        <v>206297429</v>
      </c>
      <c r="C196" s="89" t="s">
        <v>1659</v>
      </c>
      <c r="D196" s="11" t="s">
        <v>1974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9" t="s">
        <v>79</v>
      </c>
      <c r="O196" s="49" t="s">
        <v>67</v>
      </c>
      <c r="P196" s="11" t="s">
        <v>80</v>
      </c>
      <c r="Q196" s="11" t="s">
        <v>96</v>
      </c>
      <c r="R196" s="11" t="s">
        <v>2711</v>
      </c>
      <c r="S196" s="11" t="s">
        <v>2712</v>
      </c>
      <c r="T196" s="116" t="s">
        <v>10</v>
      </c>
      <c r="U196" s="88"/>
      <c r="V196" s="51">
        <v>45950</v>
      </c>
      <c r="W196" s="102" t="s">
        <v>1568</v>
      </c>
      <c r="X196" s="135" t="str">
        <f>VLOOKUP(Table1[[#This Row],[AMZ ID]],[1]Roster_1787503287932!$D$2:$AU$1370,25,0)</f>
        <v>Not Present</v>
      </c>
      <c r="Y196" s="135">
        <f>VLOOKUP(Table1[[#This Row],[AMZ ID]],[1]Roster_1787503287932!$D$2:$AM$1370,35,0)</f>
        <v>0</v>
      </c>
    </row>
    <row r="197" spans="1:25" ht="13" customHeight="1">
      <c r="A197" s="11">
        <v>191</v>
      </c>
      <c r="B197" s="47">
        <v>203469406</v>
      </c>
      <c r="C197" s="89" t="s">
        <v>147</v>
      </c>
      <c r="D197" s="11" t="s">
        <v>1975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85</v>
      </c>
      <c r="M197" s="49" t="s">
        <v>88</v>
      </c>
      <c r="N197" s="49" t="s">
        <v>86</v>
      </c>
      <c r="O197" s="49" t="s">
        <v>67</v>
      </c>
      <c r="P197" s="11" t="s">
        <v>80</v>
      </c>
      <c r="Q197" s="11" t="s">
        <v>99</v>
      </c>
      <c r="R197" s="11" t="s">
        <v>2711</v>
      </c>
      <c r="S197" s="11" t="s">
        <v>2712</v>
      </c>
      <c r="T197" s="116" t="s">
        <v>1</v>
      </c>
      <c r="U197" s="88"/>
      <c r="V197" s="51">
        <v>45456</v>
      </c>
      <c r="W197" s="102" t="s">
        <v>1568</v>
      </c>
      <c r="X197" s="135" t="str">
        <f>VLOOKUP(Table1[[#This Row],[AMZ ID]],[1]Roster_1787503287932!$D$2:$AU$1370,25,0)</f>
        <v>Present</v>
      </c>
      <c r="Y197" s="135">
        <f>VLOOKUP(Table1[[#This Row],[AMZ ID]],[1]Roster_1787503287932!$D$2:$AM$1370,35,0)</f>
        <v>0</v>
      </c>
    </row>
    <row r="198" spans="1:25" ht="13" customHeight="1">
      <c r="A198" s="11">
        <v>192</v>
      </c>
      <c r="B198" s="47">
        <v>203555408</v>
      </c>
      <c r="C198" s="89" t="s">
        <v>148</v>
      </c>
      <c r="D198" s="11" t="s">
        <v>1976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39</v>
      </c>
      <c r="K198" s="49" t="s">
        <v>76</v>
      </c>
      <c r="L198" s="49" t="s">
        <v>77</v>
      </c>
      <c r="M198" s="49" t="s">
        <v>78</v>
      </c>
      <c r="N198" s="48" t="s">
        <v>79</v>
      </c>
      <c r="O198" s="49" t="s">
        <v>67</v>
      </c>
      <c r="P198" s="11" t="s">
        <v>80</v>
      </c>
      <c r="Q198" s="11" t="s">
        <v>81</v>
      </c>
      <c r="R198" s="11" t="s">
        <v>2711</v>
      </c>
      <c r="S198" s="11" t="s">
        <v>2712</v>
      </c>
      <c r="T198" s="116" t="s">
        <v>10</v>
      </c>
      <c r="U198" s="88"/>
      <c r="V198" s="51">
        <v>45470</v>
      </c>
      <c r="W198" s="102" t="s">
        <v>1568</v>
      </c>
      <c r="X198" s="135" t="str">
        <f>VLOOKUP(Table1[[#This Row],[AMZ ID]],[1]Roster_1787503287932!$D$2:$AU$1370,25,0)</f>
        <v>Not Present</v>
      </c>
      <c r="Y198" s="135">
        <f>VLOOKUP(Table1[[#This Row],[AMZ ID]],[1]Roster_1787503287932!$D$2:$AM$1370,35,0)</f>
        <v>0</v>
      </c>
    </row>
    <row r="199" spans="1:25" ht="13" customHeight="1">
      <c r="A199" s="11">
        <v>193</v>
      </c>
      <c r="B199" s="47">
        <v>203469114</v>
      </c>
      <c r="C199" s="89" t="s">
        <v>149</v>
      </c>
      <c r="D199" s="11" t="s">
        <v>1977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88</v>
      </c>
      <c r="M199" s="49" t="s">
        <v>95</v>
      </c>
      <c r="N199" s="48" t="s">
        <v>79</v>
      </c>
      <c r="O199" s="49" t="s">
        <v>67</v>
      </c>
      <c r="P199" s="11" t="s">
        <v>80</v>
      </c>
      <c r="Q199" s="11" t="s">
        <v>81</v>
      </c>
      <c r="R199" s="11" t="s">
        <v>2711</v>
      </c>
      <c r="S199" s="11" t="s">
        <v>2712</v>
      </c>
      <c r="T199" s="116" t="s">
        <v>1</v>
      </c>
      <c r="U199" s="88"/>
      <c r="V199" s="51">
        <v>45456</v>
      </c>
      <c r="W199" s="102" t="s">
        <v>1568</v>
      </c>
      <c r="X199" s="135" t="str">
        <f>VLOOKUP(Table1[[#This Row],[AMZ ID]],[1]Roster_1787503287932!$D$2:$AU$1370,25,0)</f>
        <v>Present</v>
      </c>
      <c r="Y199" s="135">
        <f>VLOOKUP(Table1[[#This Row],[AMZ ID]],[1]Roster_1787503287932!$D$2:$AM$1370,35,0)</f>
        <v>0</v>
      </c>
    </row>
    <row r="200" spans="1:25" ht="13" customHeight="1">
      <c r="A200" s="11">
        <v>194</v>
      </c>
      <c r="B200" s="47">
        <v>203813078</v>
      </c>
      <c r="C200" s="89" t="s">
        <v>150</v>
      </c>
      <c r="D200" s="11" t="s">
        <v>1978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78</v>
      </c>
      <c r="M200" s="49" t="s">
        <v>92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2711</v>
      </c>
      <c r="S200" s="11" t="s">
        <v>2712</v>
      </c>
      <c r="T200" s="116" t="s">
        <v>10</v>
      </c>
      <c r="U200" s="88"/>
      <c r="V200" s="51">
        <v>45517</v>
      </c>
      <c r="W200" s="102" t="s">
        <v>1568</v>
      </c>
      <c r="X200" s="135" t="str">
        <f>VLOOKUP(Table1[[#This Row],[AMZ ID]],[1]Roster_1787503287932!$D$2:$AU$1370,25,0)</f>
        <v>Not Present</v>
      </c>
      <c r="Y200" s="135">
        <f>VLOOKUP(Table1[[#This Row],[AMZ ID]],[1]Roster_1787503287932!$D$2:$AM$1370,35,0)</f>
        <v>0</v>
      </c>
    </row>
    <row r="201" spans="1:25" ht="13" customHeight="1">
      <c r="A201" s="11">
        <v>195</v>
      </c>
      <c r="B201" s="47">
        <v>206952968</v>
      </c>
      <c r="C201" s="89" t="s">
        <v>2121</v>
      </c>
      <c r="D201" s="11" t="s">
        <v>2044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32</v>
      </c>
      <c r="K201" s="49" t="s">
        <v>76</v>
      </c>
      <c r="L201" s="49" t="s">
        <v>84</v>
      </c>
      <c r="M201" s="49" t="s">
        <v>85</v>
      </c>
      <c r="N201" s="48" t="s">
        <v>86</v>
      </c>
      <c r="O201" s="49" t="s">
        <v>67</v>
      </c>
      <c r="P201" s="11" t="s">
        <v>80</v>
      </c>
      <c r="Q201" s="11" t="s">
        <v>90</v>
      </c>
      <c r="R201" s="11" t="s">
        <v>2711</v>
      </c>
      <c r="S201" s="11" t="s">
        <v>2712</v>
      </c>
      <c r="T201" s="116" t="s">
        <v>1</v>
      </c>
      <c r="U201" s="88"/>
      <c r="V201" s="51">
        <v>46048</v>
      </c>
      <c r="W201" s="102" t="s">
        <v>1568</v>
      </c>
      <c r="X201" s="135" t="str">
        <f>VLOOKUP(Table1[[#This Row],[AMZ ID]],[1]Roster_1787503287932!$D$2:$AU$1370,25,0)</f>
        <v>Present</v>
      </c>
      <c r="Y201" s="135">
        <f>VLOOKUP(Table1[[#This Row],[AMZ ID]],[1]Roster_1787503287932!$D$2:$AM$1370,35,0)</f>
        <v>0</v>
      </c>
    </row>
    <row r="202" spans="1:25" ht="13" customHeight="1">
      <c r="A202" s="11">
        <v>196</v>
      </c>
      <c r="B202" s="47">
        <v>205608882</v>
      </c>
      <c r="C202" s="89" t="s">
        <v>594</v>
      </c>
      <c r="D202" s="11" t="s">
        <v>1979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92</v>
      </c>
      <c r="M202" s="49" t="s">
        <v>84</v>
      </c>
      <c r="N202" s="48" t="s">
        <v>89</v>
      </c>
      <c r="O202" s="49" t="s">
        <v>67</v>
      </c>
      <c r="P202" s="11" t="s">
        <v>80</v>
      </c>
      <c r="Q202" s="11" t="s">
        <v>90</v>
      </c>
      <c r="R202" s="11" t="s">
        <v>2711</v>
      </c>
      <c r="S202" s="11" t="s">
        <v>2712</v>
      </c>
      <c r="T202" s="116" t="s">
        <v>7</v>
      </c>
      <c r="U202" s="88"/>
      <c r="V202" s="51">
        <v>45845</v>
      </c>
      <c r="W202" s="102" t="s">
        <v>1568</v>
      </c>
      <c r="X202" s="135" t="str">
        <f>VLOOKUP(Table1[[#This Row],[AMZ ID]],[1]Roster_1787503287932!$D$2:$AU$1370,25,0)</f>
        <v>Not Present</v>
      </c>
      <c r="Y202" s="135" t="str">
        <f>VLOOKUP(Table1[[#This Row],[AMZ ID]],[1]Roster_1787503287932!$D$2:$AM$1370,35,0)</f>
        <v>Annual Leave</v>
      </c>
    </row>
    <row r="203" spans="1:25" ht="13" customHeight="1">
      <c r="A203" s="11">
        <v>197</v>
      </c>
      <c r="B203" s="47">
        <v>205276100</v>
      </c>
      <c r="C203" s="89" t="s">
        <v>1434</v>
      </c>
      <c r="D203" s="11" t="s">
        <v>1992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39</v>
      </c>
      <c r="K203" s="49" t="s">
        <v>76</v>
      </c>
      <c r="L203" s="49" t="s">
        <v>77</v>
      </c>
      <c r="M203" s="49" t="s">
        <v>78</v>
      </c>
      <c r="N203" s="49" t="s">
        <v>89</v>
      </c>
      <c r="O203" s="49" t="s">
        <v>67</v>
      </c>
      <c r="P203" s="11" t="s">
        <v>80</v>
      </c>
      <c r="Q203" s="11" t="s">
        <v>90</v>
      </c>
      <c r="R203" s="11" t="s">
        <v>2711</v>
      </c>
      <c r="S203" s="11" t="s">
        <v>2712</v>
      </c>
      <c r="T203" s="116" t="s">
        <v>10</v>
      </c>
      <c r="U203" s="88"/>
      <c r="V203" s="51">
        <v>45796</v>
      </c>
      <c r="W203" s="102" t="s">
        <v>1568</v>
      </c>
      <c r="X203" s="135" t="str">
        <f>VLOOKUP(Table1[[#This Row],[AMZ ID]],[1]Roster_1787503287932!$D$2:$AU$1370,25,0)</f>
        <v>Not Present</v>
      </c>
      <c r="Y203" s="135">
        <f>VLOOKUP(Table1[[#This Row],[AMZ ID]],[1]Roster_1787503287932!$D$2:$AM$1370,35,0)</f>
        <v>0</v>
      </c>
    </row>
    <row r="204" spans="1:25" ht="13" customHeight="1">
      <c r="A204" s="11">
        <v>198</v>
      </c>
      <c r="B204" s="47">
        <v>203908354</v>
      </c>
      <c r="C204" s="89" t="s">
        <v>2301</v>
      </c>
      <c r="D204" s="11" t="s">
        <v>2302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39</v>
      </c>
      <c r="K204" s="49" t="s">
        <v>76</v>
      </c>
      <c r="L204" s="49" t="s">
        <v>95</v>
      </c>
      <c r="M204" s="49" t="s">
        <v>77</v>
      </c>
      <c r="N204" s="48" t="s">
        <v>89</v>
      </c>
      <c r="O204" s="49" t="s">
        <v>67</v>
      </c>
      <c r="P204" s="11" t="s">
        <v>80</v>
      </c>
      <c r="Q204" s="11" t="s">
        <v>90</v>
      </c>
      <c r="R204" s="11" t="s">
        <v>2711</v>
      </c>
      <c r="S204" s="11" t="s">
        <v>2712</v>
      </c>
      <c r="T204" s="116" t="s">
        <v>1</v>
      </c>
      <c r="U204" s="88"/>
      <c r="V204" s="51">
        <v>45684</v>
      </c>
      <c r="W204" s="102" t="s">
        <v>1568</v>
      </c>
      <c r="X204" s="135" t="str">
        <f>VLOOKUP(Table1[[#This Row],[AMZ ID]],[1]Roster_1787503287932!$D$2:$AU$1370,25,0)</f>
        <v>Present</v>
      </c>
      <c r="Y204" s="135">
        <f>VLOOKUP(Table1[[#This Row],[AMZ ID]],[1]Roster_1787503287932!$D$2:$AM$1370,35,0)</f>
        <v>0</v>
      </c>
    </row>
    <row r="205" spans="1:25" ht="13" customHeight="1">
      <c r="A205" s="11">
        <v>199</v>
      </c>
      <c r="B205" s="47">
        <v>205647835</v>
      </c>
      <c r="C205" s="89" t="s">
        <v>2303</v>
      </c>
      <c r="D205" s="11" t="s">
        <v>2304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85</v>
      </c>
      <c r="M205" s="49" t="s">
        <v>88</v>
      </c>
      <c r="N205" s="49" t="s">
        <v>89</v>
      </c>
      <c r="O205" s="49" t="s">
        <v>67</v>
      </c>
      <c r="P205" s="11" t="s">
        <v>80</v>
      </c>
      <c r="Q205" s="11" t="s">
        <v>96</v>
      </c>
      <c r="R205" s="11" t="s">
        <v>2711</v>
      </c>
      <c r="S205" s="11" t="s">
        <v>2712</v>
      </c>
      <c r="T205" s="116" t="s">
        <v>1</v>
      </c>
      <c r="U205" s="88"/>
      <c r="V205" s="51">
        <v>45852</v>
      </c>
      <c r="W205" s="102" t="s">
        <v>1568</v>
      </c>
      <c r="X205" s="135" t="str">
        <f>VLOOKUP(Table1[[#This Row],[AMZ ID]],[1]Roster_1787503287932!$D$2:$AU$1370,25,0)</f>
        <v>Present</v>
      </c>
      <c r="Y205" s="135">
        <f>VLOOKUP(Table1[[#This Row],[AMZ ID]],[1]Roster_1787503287932!$D$2:$AM$1370,35,0)</f>
        <v>0</v>
      </c>
    </row>
    <row r="206" spans="1:25" ht="13" customHeight="1">
      <c r="A206" s="11">
        <v>200</v>
      </c>
      <c r="B206" s="47">
        <v>203965024</v>
      </c>
      <c r="C206" s="89" t="s">
        <v>696</v>
      </c>
      <c r="D206" s="11" t="s">
        <v>697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32</v>
      </c>
      <c r="K206" s="49" t="s">
        <v>76</v>
      </c>
      <c r="L206" s="49" t="s">
        <v>77</v>
      </c>
      <c r="M206" s="49" t="s">
        <v>78</v>
      </c>
      <c r="N206" s="48" t="s">
        <v>86</v>
      </c>
      <c r="O206" s="49" t="s">
        <v>37</v>
      </c>
      <c r="P206" s="11" t="s">
        <v>80</v>
      </c>
      <c r="Q206" s="11" t="s">
        <v>99</v>
      </c>
      <c r="R206" s="11" t="s">
        <v>647</v>
      </c>
      <c r="S206" s="11" t="s">
        <v>1798</v>
      </c>
      <c r="T206" s="116" t="s">
        <v>10</v>
      </c>
      <c r="U206" s="88"/>
      <c r="V206" s="51">
        <v>45544</v>
      </c>
      <c r="W206" s="97" t="s">
        <v>1577</v>
      </c>
      <c r="X206" s="135" t="str">
        <f>VLOOKUP(Table1[[#This Row],[AMZ ID]],[1]Roster_1787503287932!$D$2:$AU$1370,25,0)</f>
        <v>Not Present</v>
      </c>
      <c r="Y206" s="135">
        <f>VLOOKUP(Table1[[#This Row],[AMZ ID]],[1]Roster_1787503287932!$D$2:$AM$1370,35,0)</f>
        <v>0</v>
      </c>
    </row>
    <row r="207" spans="1:25" ht="13" customHeight="1">
      <c r="A207" s="11">
        <v>201</v>
      </c>
      <c r="B207" s="47">
        <v>203469168</v>
      </c>
      <c r="C207" s="89" t="s">
        <v>2305</v>
      </c>
      <c r="D207" s="11" t="s">
        <v>2306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84</v>
      </c>
      <c r="M207" s="49" t="s">
        <v>85</v>
      </c>
      <c r="N207" s="48" t="s">
        <v>79</v>
      </c>
      <c r="O207" s="49" t="s">
        <v>67</v>
      </c>
      <c r="P207" s="11" t="s">
        <v>80</v>
      </c>
      <c r="Q207" s="11" t="s">
        <v>81</v>
      </c>
      <c r="R207" s="11" t="s">
        <v>2711</v>
      </c>
      <c r="S207" s="11" t="s">
        <v>2712</v>
      </c>
      <c r="T207" s="116" t="s">
        <v>1</v>
      </c>
      <c r="U207" s="88"/>
      <c r="V207" s="51">
        <v>45456</v>
      </c>
      <c r="W207" s="102" t="s">
        <v>1568</v>
      </c>
      <c r="X207" s="135" t="str">
        <f>VLOOKUP(Table1[[#This Row],[AMZ ID]],[1]Roster_1787503287932!$D$2:$AU$1370,25,0)</f>
        <v>Present</v>
      </c>
      <c r="Y207" s="135">
        <f>VLOOKUP(Table1[[#This Row],[AMZ ID]],[1]Roster_1787503287932!$D$2:$AM$1370,35,0)</f>
        <v>0</v>
      </c>
    </row>
    <row r="208" spans="1:25" ht="13" customHeight="1">
      <c r="A208" s="11">
        <v>202</v>
      </c>
      <c r="B208" s="47">
        <v>205651024</v>
      </c>
      <c r="C208" s="89" t="s">
        <v>2307</v>
      </c>
      <c r="D208" s="11" t="s">
        <v>2308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95</v>
      </c>
      <c r="M208" s="49" t="s">
        <v>77</v>
      </c>
      <c r="N208" s="48" t="s">
        <v>89</v>
      </c>
      <c r="O208" s="49" t="s">
        <v>67</v>
      </c>
      <c r="P208" s="11" t="s">
        <v>80</v>
      </c>
      <c r="Q208" s="11" t="s">
        <v>96</v>
      </c>
      <c r="R208" s="11" t="s">
        <v>2711</v>
      </c>
      <c r="S208" s="11" t="s">
        <v>2712</v>
      </c>
      <c r="T208" s="116" t="s">
        <v>1</v>
      </c>
      <c r="U208" s="88"/>
      <c r="V208" s="51">
        <v>45852</v>
      </c>
      <c r="W208" s="102" t="s">
        <v>1568</v>
      </c>
      <c r="X208" s="135" t="str">
        <f>VLOOKUP(Table1[[#This Row],[AMZ ID]],[1]Roster_1787503287932!$D$2:$AU$1370,25,0)</f>
        <v>Present</v>
      </c>
      <c r="Y208" s="135">
        <f>VLOOKUP(Table1[[#This Row],[AMZ ID]],[1]Roster_1787503287932!$D$2:$AM$1370,35,0)</f>
        <v>0</v>
      </c>
    </row>
    <row r="209" spans="1:25" ht="13" customHeight="1">
      <c r="A209" s="11">
        <v>203</v>
      </c>
      <c r="B209" s="47">
        <v>205024343</v>
      </c>
      <c r="C209" s="89" t="s">
        <v>1523</v>
      </c>
      <c r="D209" s="11" t="s">
        <v>1524</v>
      </c>
      <c r="E209" s="48" t="s">
        <v>34</v>
      </c>
      <c r="F209" s="48" t="s">
        <v>74</v>
      </c>
      <c r="G209" s="11" t="s">
        <v>64</v>
      </c>
      <c r="H209" s="11" t="s">
        <v>75</v>
      </c>
      <c r="I209" s="11">
        <v>1299</v>
      </c>
      <c r="J209" s="129" t="s">
        <v>32</v>
      </c>
      <c r="K209" s="11" t="s">
        <v>76</v>
      </c>
      <c r="L209" s="129" t="s">
        <v>78</v>
      </c>
      <c r="M209" s="129" t="s">
        <v>92</v>
      </c>
      <c r="N209" s="11" t="s">
        <v>1516</v>
      </c>
      <c r="O209" s="11" t="s">
        <v>1517</v>
      </c>
      <c r="P209" s="11" t="s">
        <v>1443</v>
      </c>
      <c r="Q209" s="11" t="s">
        <v>98</v>
      </c>
      <c r="R209" s="11" t="s">
        <v>1518</v>
      </c>
      <c r="S209" s="11" t="s">
        <v>2728</v>
      </c>
      <c r="T209" s="116" t="s">
        <v>10</v>
      </c>
      <c r="U209" s="88"/>
      <c r="V209" s="51">
        <v>45775</v>
      </c>
      <c r="W209" s="102" t="s">
        <v>1584</v>
      </c>
      <c r="X209" s="135" t="e">
        <f>VLOOKUP(Table1[[#This Row],[AMZ ID]],[1]Roster_1787503287932!$D$2:$AU$1370,25,0)</f>
        <v>#N/A</v>
      </c>
      <c r="Y209" s="135" t="e">
        <f>VLOOKUP(Table1[[#This Row],[AMZ ID]],[1]Roster_1787503287932!$D$2:$AM$1370,35,0)</f>
        <v>#N/A</v>
      </c>
    </row>
    <row r="210" spans="1:25" ht="13" customHeight="1">
      <c r="A210" s="11">
        <v>204</v>
      </c>
      <c r="B210" s="47">
        <v>203555404</v>
      </c>
      <c r="C210" s="89" t="s">
        <v>2311</v>
      </c>
      <c r="D210" s="11" t="s">
        <v>2312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88</v>
      </c>
      <c r="M210" s="49" t="s">
        <v>95</v>
      </c>
      <c r="N210" s="49" t="s">
        <v>79</v>
      </c>
      <c r="O210" s="49" t="s">
        <v>67</v>
      </c>
      <c r="P210" s="11" t="s">
        <v>80</v>
      </c>
      <c r="Q210" s="11" t="s">
        <v>81</v>
      </c>
      <c r="R210" s="11" t="s">
        <v>2711</v>
      </c>
      <c r="S210" s="11" t="s">
        <v>2712</v>
      </c>
      <c r="T210" s="116" t="s">
        <v>1</v>
      </c>
      <c r="U210" s="88"/>
      <c r="V210" s="51">
        <v>45470</v>
      </c>
      <c r="W210" s="102" t="s">
        <v>1568</v>
      </c>
      <c r="X210" s="135" t="str">
        <f>VLOOKUP(Table1[[#This Row],[AMZ ID]],[1]Roster_1787503287932!$D$2:$AU$1370,25,0)</f>
        <v>Present</v>
      </c>
      <c r="Y210" s="135">
        <f>VLOOKUP(Table1[[#This Row],[AMZ ID]],[1]Roster_1787503287932!$D$2:$AM$1370,35,0)</f>
        <v>0</v>
      </c>
    </row>
    <row r="211" spans="1:25" ht="13" customHeight="1">
      <c r="A211" s="11">
        <v>205</v>
      </c>
      <c r="B211" s="47">
        <v>102434105</v>
      </c>
      <c r="C211" s="89" t="s">
        <v>151</v>
      </c>
      <c r="D211" s="11" t="s">
        <v>152</v>
      </c>
      <c r="E211" s="48" t="s">
        <v>34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78</v>
      </c>
      <c r="M211" s="49" t="s">
        <v>92</v>
      </c>
      <c r="N211" s="48" t="s">
        <v>108</v>
      </c>
      <c r="O211" s="49" t="s">
        <v>67</v>
      </c>
      <c r="P211" s="11" t="s">
        <v>80</v>
      </c>
      <c r="Q211" s="11" t="s">
        <v>98</v>
      </c>
      <c r="R211" s="11" t="s">
        <v>2711</v>
      </c>
      <c r="S211" s="11" t="s">
        <v>2712</v>
      </c>
      <c r="T211" s="116" t="s">
        <v>10</v>
      </c>
      <c r="U211" s="88"/>
      <c r="V211" s="51">
        <v>42883</v>
      </c>
      <c r="W211" s="102" t="s">
        <v>1568</v>
      </c>
      <c r="X211" s="135" t="str">
        <f>VLOOKUP(Table1[[#This Row],[AMZ ID]],[1]Roster_1787503287932!$D$2:$AU$1370,25,0)</f>
        <v>Not Present</v>
      </c>
      <c r="Y211" s="135">
        <f>VLOOKUP(Table1[[#This Row],[AMZ ID]],[1]Roster_1787503287932!$D$2:$AM$1370,35,0)</f>
        <v>0</v>
      </c>
    </row>
    <row r="212" spans="1:25" ht="13" customHeight="1">
      <c r="A212" s="11">
        <v>206</v>
      </c>
      <c r="B212" s="47">
        <v>204319805</v>
      </c>
      <c r="C212" s="89" t="s">
        <v>2313</v>
      </c>
      <c r="D212" s="11" t="s">
        <v>2314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39</v>
      </c>
      <c r="K212" s="49" t="s">
        <v>76</v>
      </c>
      <c r="L212" s="49" t="s">
        <v>77</v>
      </c>
      <c r="M212" s="49" t="s">
        <v>78</v>
      </c>
      <c r="N212" s="48" t="s">
        <v>86</v>
      </c>
      <c r="O212" s="49" t="s">
        <v>67</v>
      </c>
      <c r="P212" s="11" t="s">
        <v>80</v>
      </c>
      <c r="Q212" s="11" t="s">
        <v>87</v>
      </c>
      <c r="R212" s="11" t="s">
        <v>2711</v>
      </c>
      <c r="S212" s="11" t="s">
        <v>2712</v>
      </c>
      <c r="T212" s="116" t="s">
        <v>10</v>
      </c>
      <c r="U212" s="88"/>
      <c r="V212" s="51">
        <v>45589</v>
      </c>
      <c r="W212" s="102" t="s">
        <v>1568</v>
      </c>
      <c r="X212" s="135" t="str">
        <f>VLOOKUP(Table1[[#This Row],[AMZ ID]],[1]Roster_1787503287932!$D$2:$AU$1370,25,0)</f>
        <v>Not Present</v>
      </c>
      <c r="Y212" s="135">
        <f>VLOOKUP(Table1[[#This Row],[AMZ ID]],[1]Roster_1787503287932!$D$2:$AM$1370,35,0)</f>
        <v>0</v>
      </c>
    </row>
    <row r="213" spans="1:25" ht="13" customHeight="1">
      <c r="A213" s="11">
        <v>207</v>
      </c>
      <c r="B213" s="47">
        <v>206949310</v>
      </c>
      <c r="C213" s="89" t="s">
        <v>2164</v>
      </c>
      <c r="D213" s="11" t="s">
        <v>2165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84</v>
      </c>
      <c r="M213" s="49" t="s">
        <v>85</v>
      </c>
      <c r="N213" s="48" t="s">
        <v>86</v>
      </c>
      <c r="O213" s="49" t="s">
        <v>67</v>
      </c>
      <c r="P213" s="11" t="s">
        <v>80</v>
      </c>
      <c r="Q213" s="11" t="s">
        <v>90</v>
      </c>
      <c r="R213" s="11" t="s">
        <v>2711</v>
      </c>
      <c r="S213" s="11" t="s">
        <v>2712</v>
      </c>
      <c r="T213" s="116" t="s">
        <v>1</v>
      </c>
      <c r="U213" s="88"/>
      <c r="V213" s="51">
        <v>46048</v>
      </c>
      <c r="W213" s="102" t="s">
        <v>1568</v>
      </c>
      <c r="X213" s="135" t="str">
        <f>VLOOKUP(Table1[[#This Row],[AMZ ID]],[1]Roster_1787503287932!$D$2:$AU$1370,25,0)</f>
        <v>Present</v>
      </c>
      <c r="Y213" s="135">
        <f>VLOOKUP(Table1[[#This Row],[AMZ ID]],[1]Roster_1787503287932!$D$2:$AM$1370,35,0)</f>
        <v>0</v>
      </c>
    </row>
    <row r="214" spans="1:25" ht="13" customHeight="1">
      <c r="A214" s="11">
        <v>208</v>
      </c>
      <c r="B214" s="47">
        <v>206007530</v>
      </c>
      <c r="C214" s="90" t="s">
        <v>609</v>
      </c>
      <c r="D214" s="103" t="s">
        <v>1980</v>
      </c>
      <c r="E214" s="103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39</v>
      </c>
      <c r="K214" s="49" t="s">
        <v>76</v>
      </c>
      <c r="L214" s="49" t="s">
        <v>88</v>
      </c>
      <c r="M214" s="49" t="s">
        <v>95</v>
      </c>
      <c r="N214" s="48" t="s">
        <v>89</v>
      </c>
      <c r="O214" s="49" t="s">
        <v>67</v>
      </c>
      <c r="P214" s="49" t="s">
        <v>80</v>
      </c>
      <c r="Q214" s="49" t="s">
        <v>81</v>
      </c>
      <c r="R214" s="11" t="s">
        <v>2711</v>
      </c>
      <c r="S214" s="11" t="s">
        <v>2712</v>
      </c>
      <c r="T214" s="116" t="s">
        <v>1</v>
      </c>
      <c r="U214" s="88"/>
      <c r="V214" s="51">
        <v>45915</v>
      </c>
      <c r="W214" s="102" t="s">
        <v>1568</v>
      </c>
      <c r="X214" s="135" t="str">
        <f>VLOOKUP(Table1[[#This Row],[AMZ ID]],[1]Roster_1787503287932!$D$2:$AU$1370,25,0)</f>
        <v>Present</v>
      </c>
      <c r="Y214" s="135">
        <f>VLOOKUP(Table1[[#This Row],[AMZ ID]],[1]Roster_1787503287932!$D$2:$AM$1370,35,0)</f>
        <v>0</v>
      </c>
    </row>
    <row r="215" spans="1:25" ht="13" customHeight="1">
      <c r="A215" s="11">
        <v>209</v>
      </c>
      <c r="B215" s="47">
        <v>203800377</v>
      </c>
      <c r="C215" s="89" t="s">
        <v>2315</v>
      </c>
      <c r="D215" s="11" t="s">
        <v>2316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84</v>
      </c>
      <c r="M215" s="49" t="s">
        <v>85</v>
      </c>
      <c r="N215" s="49" t="s">
        <v>89</v>
      </c>
      <c r="O215" s="49" t="s">
        <v>67</v>
      </c>
      <c r="P215" s="11" t="s">
        <v>80</v>
      </c>
      <c r="Q215" s="11" t="s">
        <v>90</v>
      </c>
      <c r="R215" s="11" t="s">
        <v>2711</v>
      </c>
      <c r="S215" s="11" t="s">
        <v>2712</v>
      </c>
      <c r="T215" s="116" t="s">
        <v>1</v>
      </c>
      <c r="U215" s="88"/>
      <c r="V215" s="51">
        <v>45516</v>
      </c>
      <c r="W215" s="102" t="s">
        <v>1568</v>
      </c>
      <c r="X215" s="135" t="str">
        <f>VLOOKUP(Table1[[#This Row],[AMZ ID]],[1]Roster_1787503287932!$D$2:$AU$1370,25,0)</f>
        <v>Present</v>
      </c>
      <c r="Y215" s="135">
        <f>VLOOKUP(Table1[[#This Row],[AMZ ID]],[1]Roster_1787503287932!$D$2:$AM$1370,35,0)</f>
        <v>0</v>
      </c>
    </row>
    <row r="216" spans="1:25" ht="13" customHeight="1">
      <c r="A216" s="11">
        <v>210</v>
      </c>
      <c r="B216" s="47">
        <v>205609143</v>
      </c>
      <c r="C216" s="89" t="s">
        <v>610</v>
      </c>
      <c r="D216" s="11" t="s">
        <v>1981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88</v>
      </c>
      <c r="M216" s="49" t="s">
        <v>95</v>
      </c>
      <c r="N216" s="49" t="s">
        <v>89</v>
      </c>
      <c r="O216" s="49" t="s">
        <v>67</v>
      </c>
      <c r="P216" s="11" t="s">
        <v>80</v>
      </c>
      <c r="Q216" s="11" t="s">
        <v>90</v>
      </c>
      <c r="R216" s="11" t="s">
        <v>2711</v>
      </c>
      <c r="S216" s="11" t="s">
        <v>2712</v>
      </c>
      <c r="T216" s="116" t="s">
        <v>1</v>
      </c>
      <c r="U216" s="88"/>
      <c r="V216" s="51">
        <v>45845</v>
      </c>
      <c r="W216" s="102" t="s">
        <v>1568</v>
      </c>
      <c r="X216" s="135" t="str">
        <f>VLOOKUP(Table1[[#This Row],[AMZ ID]],[1]Roster_1787503287932!$D$2:$AU$1370,25,0)</f>
        <v>Present</v>
      </c>
      <c r="Y216" s="135" t="str">
        <f>VLOOKUP(Table1[[#This Row],[AMZ ID]],[1]Roster_1787503287932!$D$2:$AM$1370,35,0)</f>
        <v>Carry Forwarded Annual Leave</v>
      </c>
    </row>
    <row r="217" spans="1:25" ht="13" customHeight="1">
      <c r="A217" s="11">
        <v>211</v>
      </c>
      <c r="B217" s="47">
        <v>206296205</v>
      </c>
      <c r="C217" s="89" t="s">
        <v>1660</v>
      </c>
      <c r="D217" s="11" t="s">
        <v>1982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92</v>
      </c>
      <c r="M217" s="49" t="s">
        <v>84</v>
      </c>
      <c r="N217" s="49" t="s">
        <v>89</v>
      </c>
      <c r="O217" s="49" t="s">
        <v>67</v>
      </c>
      <c r="P217" s="11" t="s">
        <v>80</v>
      </c>
      <c r="Q217" s="11" t="s">
        <v>96</v>
      </c>
      <c r="R217" s="11" t="s">
        <v>2711</v>
      </c>
      <c r="S217" s="11" t="s">
        <v>2712</v>
      </c>
      <c r="T217" s="116" t="s">
        <v>1</v>
      </c>
      <c r="U217" s="88"/>
      <c r="V217" s="51">
        <v>45950</v>
      </c>
      <c r="W217" s="102" t="s">
        <v>1568</v>
      </c>
      <c r="X217" s="135" t="str">
        <f>VLOOKUP(Table1[[#This Row],[AMZ ID]],[1]Roster_1787503287932!$D$2:$AU$1370,25,0)</f>
        <v>Present</v>
      </c>
      <c r="Y217" s="135">
        <f>VLOOKUP(Table1[[#This Row],[AMZ ID]],[1]Roster_1787503287932!$D$2:$AM$1370,35,0)</f>
        <v>0</v>
      </c>
    </row>
    <row r="218" spans="1:25" ht="13" customHeight="1">
      <c r="A218" s="11">
        <v>212</v>
      </c>
      <c r="B218" s="47">
        <v>203555406</v>
      </c>
      <c r="C218" s="89" t="s">
        <v>153</v>
      </c>
      <c r="D218" s="11" t="s">
        <v>1983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78</v>
      </c>
      <c r="M218" s="49" t="s">
        <v>92</v>
      </c>
      <c r="N218" s="49" t="s">
        <v>79</v>
      </c>
      <c r="O218" s="49" t="s">
        <v>67</v>
      </c>
      <c r="P218" s="11" t="s">
        <v>80</v>
      </c>
      <c r="Q218" s="11" t="s">
        <v>81</v>
      </c>
      <c r="R218" s="11" t="s">
        <v>2711</v>
      </c>
      <c r="S218" s="11" t="s">
        <v>2712</v>
      </c>
      <c r="T218" s="116" t="s">
        <v>10</v>
      </c>
      <c r="U218" s="88"/>
      <c r="V218" s="51">
        <v>45470</v>
      </c>
      <c r="W218" s="102" t="s">
        <v>1568</v>
      </c>
      <c r="X218" s="135" t="str">
        <f>VLOOKUP(Table1[[#This Row],[AMZ ID]],[1]Roster_1787503287932!$D$2:$AU$1370,25,0)</f>
        <v>Not Present</v>
      </c>
      <c r="Y218" s="135">
        <f>VLOOKUP(Table1[[#This Row],[AMZ ID]],[1]Roster_1787503287932!$D$2:$AM$1370,35,0)</f>
        <v>0</v>
      </c>
    </row>
    <row r="219" spans="1:25" ht="13" customHeight="1">
      <c r="A219" s="11">
        <v>213</v>
      </c>
      <c r="B219" s="47">
        <v>203817154</v>
      </c>
      <c r="C219" s="89" t="s">
        <v>2317</v>
      </c>
      <c r="D219" s="11" t="s">
        <v>2318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39</v>
      </c>
      <c r="K219" s="49" t="s">
        <v>76</v>
      </c>
      <c r="L219" s="49" t="s">
        <v>92</v>
      </c>
      <c r="M219" s="49" t="s">
        <v>84</v>
      </c>
      <c r="N219" s="48" t="s">
        <v>79</v>
      </c>
      <c r="O219" s="49" t="s">
        <v>67</v>
      </c>
      <c r="P219" s="11" t="s">
        <v>80</v>
      </c>
      <c r="Q219" s="11" t="s">
        <v>81</v>
      </c>
      <c r="R219" s="11" t="s">
        <v>2711</v>
      </c>
      <c r="S219" s="11" t="s">
        <v>2712</v>
      </c>
      <c r="T219" s="116" t="s">
        <v>1</v>
      </c>
      <c r="U219" s="88"/>
      <c r="V219" s="51">
        <v>45517</v>
      </c>
      <c r="W219" s="102" t="s">
        <v>1568</v>
      </c>
      <c r="X219" s="135" t="str">
        <f>VLOOKUP(Table1[[#This Row],[AMZ ID]],[1]Roster_1787503287932!$D$2:$AU$1370,25,0)</f>
        <v>Present</v>
      </c>
      <c r="Y219" s="135">
        <f>VLOOKUP(Table1[[#This Row],[AMZ ID]],[1]Roster_1787503287932!$D$2:$AM$1370,35,0)</f>
        <v>0</v>
      </c>
    </row>
    <row r="220" spans="1:25" ht="13" customHeight="1">
      <c r="A220" s="11">
        <v>214</v>
      </c>
      <c r="B220" s="47">
        <v>206192235</v>
      </c>
      <c r="C220" s="89" t="s">
        <v>1599</v>
      </c>
      <c r="D220" s="11" t="s">
        <v>1984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32</v>
      </c>
      <c r="K220" s="49" t="s">
        <v>76</v>
      </c>
      <c r="L220" s="49" t="s">
        <v>77</v>
      </c>
      <c r="M220" s="49" t="s">
        <v>78</v>
      </c>
      <c r="N220" s="48" t="s">
        <v>79</v>
      </c>
      <c r="O220" s="49" t="s">
        <v>67</v>
      </c>
      <c r="P220" s="11" t="s">
        <v>80</v>
      </c>
      <c r="Q220" s="11" t="s">
        <v>96</v>
      </c>
      <c r="R220" s="11" t="s">
        <v>2711</v>
      </c>
      <c r="S220" s="11" t="s">
        <v>2712</v>
      </c>
      <c r="T220" s="116" t="s">
        <v>10</v>
      </c>
      <c r="U220" s="88"/>
      <c r="V220" s="51">
        <v>45936</v>
      </c>
      <c r="W220" s="102" t="s">
        <v>1568</v>
      </c>
      <c r="X220" s="135" t="str">
        <f>VLOOKUP(Table1[[#This Row],[AMZ ID]],[1]Roster_1787503287932!$D$2:$AU$1370,25,0)</f>
        <v>Not Present</v>
      </c>
      <c r="Y220" s="135">
        <f>VLOOKUP(Table1[[#This Row],[AMZ ID]],[1]Roster_1787503287932!$D$2:$AM$1370,35,0)</f>
        <v>0</v>
      </c>
    </row>
    <row r="221" spans="1:25" ht="13" customHeight="1">
      <c r="A221" s="11">
        <v>215</v>
      </c>
      <c r="B221" s="47">
        <v>203813132</v>
      </c>
      <c r="C221" s="89" t="s">
        <v>154</v>
      </c>
      <c r="D221" s="11" t="s">
        <v>1985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95</v>
      </c>
      <c r="M221" s="49" t="s">
        <v>77</v>
      </c>
      <c r="N221" s="49" t="s">
        <v>86</v>
      </c>
      <c r="O221" s="49" t="s">
        <v>67</v>
      </c>
      <c r="P221" s="11" t="s">
        <v>80</v>
      </c>
      <c r="Q221" s="11" t="s">
        <v>99</v>
      </c>
      <c r="R221" s="11" t="s">
        <v>2711</v>
      </c>
      <c r="S221" s="11" t="s">
        <v>2712</v>
      </c>
      <c r="T221" s="116" t="s">
        <v>1</v>
      </c>
      <c r="U221" s="88"/>
      <c r="V221" s="51">
        <v>45517</v>
      </c>
      <c r="W221" s="102" t="s">
        <v>1568</v>
      </c>
      <c r="X221" s="135" t="str">
        <f>VLOOKUP(Table1[[#This Row],[AMZ ID]],[1]Roster_1787503287932!$D$2:$AU$1370,25,0)</f>
        <v>Present</v>
      </c>
      <c r="Y221" s="135">
        <f>VLOOKUP(Table1[[#This Row],[AMZ ID]],[1]Roster_1787503287932!$D$2:$AM$1370,35,0)</f>
        <v>0</v>
      </c>
    </row>
    <row r="222" spans="1:25" ht="13" customHeight="1">
      <c r="A222" s="11">
        <v>216</v>
      </c>
      <c r="B222" s="47">
        <v>203735945</v>
      </c>
      <c r="C222" s="89" t="s">
        <v>2467</v>
      </c>
      <c r="D222" s="11" t="s">
        <v>2468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85</v>
      </c>
      <c r="M222" s="49" t="s">
        <v>88</v>
      </c>
      <c r="N222" s="48" t="s">
        <v>89</v>
      </c>
      <c r="O222" s="49" t="s">
        <v>67</v>
      </c>
      <c r="P222" s="11" t="s">
        <v>80</v>
      </c>
      <c r="Q222" s="11" t="s">
        <v>90</v>
      </c>
      <c r="R222" s="11" t="s">
        <v>2711</v>
      </c>
      <c r="S222" s="11" t="s">
        <v>2712</v>
      </c>
      <c r="T222" s="116" t="s">
        <v>1</v>
      </c>
      <c r="U222" s="88"/>
      <c r="V222" s="51">
        <v>45502</v>
      </c>
      <c r="W222" s="102" t="s">
        <v>1568</v>
      </c>
      <c r="X222" s="135" t="str">
        <f>VLOOKUP(Table1[[#This Row],[AMZ ID]],[1]Roster_1787503287932!$D$2:$AU$1370,25,0)</f>
        <v>Present</v>
      </c>
      <c r="Y222" s="135">
        <f>VLOOKUP(Table1[[#This Row],[AMZ ID]],[1]Roster_1787503287932!$D$2:$AM$1370,35,0)</f>
        <v>0</v>
      </c>
    </row>
    <row r="223" spans="1:25" ht="13" customHeight="1">
      <c r="A223" s="11">
        <v>217</v>
      </c>
      <c r="B223" s="47">
        <v>203816755</v>
      </c>
      <c r="C223" s="89" t="s">
        <v>2469</v>
      </c>
      <c r="D223" s="11" t="s">
        <v>2470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39</v>
      </c>
      <c r="K223" s="49" t="s">
        <v>76</v>
      </c>
      <c r="L223" s="49" t="s">
        <v>78</v>
      </c>
      <c r="M223" s="49" t="s">
        <v>92</v>
      </c>
      <c r="N223" s="49" t="s">
        <v>89</v>
      </c>
      <c r="O223" s="49" t="s">
        <v>67</v>
      </c>
      <c r="P223" s="11" t="s">
        <v>80</v>
      </c>
      <c r="Q223" s="11" t="s">
        <v>90</v>
      </c>
      <c r="R223" s="11" t="s">
        <v>2711</v>
      </c>
      <c r="S223" s="11" t="s">
        <v>2712</v>
      </c>
      <c r="T223" s="116" t="s">
        <v>10</v>
      </c>
      <c r="U223" s="88"/>
      <c r="V223" s="51">
        <v>45518</v>
      </c>
      <c r="W223" s="102" t="s">
        <v>1568</v>
      </c>
      <c r="X223" s="135" t="str">
        <f>VLOOKUP(Table1[[#This Row],[AMZ ID]],[1]Roster_1787503287932!$D$2:$AU$1370,25,0)</f>
        <v>Not Present</v>
      </c>
      <c r="Y223" s="135">
        <f>VLOOKUP(Table1[[#This Row],[AMZ ID]],[1]Roster_1787503287932!$D$2:$AM$1370,35,0)</f>
        <v>0</v>
      </c>
    </row>
    <row r="224" spans="1:25" ht="13" customHeight="1">
      <c r="A224" s="11">
        <v>218</v>
      </c>
      <c r="B224" s="47">
        <v>205275635</v>
      </c>
      <c r="C224" s="89" t="s">
        <v>1661</v>
      </c>
      <c r="D224" s="11" t="s">
        <v>1986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32</v>
      </c>
      <c r="K224" s="49" t="s">
        <v>76</v>
      </c>
      <c r="L224" s="49" t="s">
        <v>77</v>
      </c>
      <c r="M224" s="49" t="s">
        <v>78</v>
      </c>
      <c r="N224" s="49" t="s">
        <v>89</v>
      </c>
      <c r="O224" s="49" t="s">
        <v>67</v>
      </c>
      <c r="P224" s="11" t="s">
        <v>80</v>
      </c>
      <c r="Q224" s="11" t="s">
        <v>96</v>
      </c>
      <c r="R224" s="11" t="s">
        <v>2711</v>
      </c>
      <c r="S224" s="11" t="s">
        <v>2712</v>
      </c>
      <c r="T224" s="116" t="s">
        <v>10</v>
      </c>
      <c r="U224" s="88"/>
      <c r="V224" s="51">
        <v>45950</v>
      </c>
      <c r="W224" s="102" t="s">
        <v>1568</v>
      </c>
      <c r="X224" s="135" t="str">
        <f>VLOOKUP(Table1[[#This Row],[AMZ ID]],[1]Roster_1787503287932!$D$2:$AU$1370,25,0)</f>
        <v>Not Present</v>
      </c>
      <c r="Y224" s="135">
        <f>VLOOKUP(Table1[[#This Row],[AMZ ID]],[1]Roster_1787503287932!$D$2:$AM$1370,35,0)</f>
        <v>0</v>
      </c>
    </row>
    <row r="225" spans="1:25" ht="13" customHeight="1">
      <c r="A225" s="11">
        <v>219</v>
      </c>
      <c r="B225" s="47">
        <v>203468510</v>
      </c>
      <c r="C225" s="89" t="s">
        <v>155</v>
      </c>
      <c r="D225" s="11" t="s">
        <v>156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2471</v>
      </c>
      <c r="K225" s="49" t="s">
        <v>76</v>
      </c>
      <c r="L225" s="49" t="s">
        <v>95</v>
      </c>
      <c r="M225" s="49" t="s">
        <v>77</v>
      </c>
      <c r="N225" s="49" t="s">
        <v>79</v>
      </c>
      <c r="O225" s="49" t="s">
        <v>33</v>
      </c>
      <c r="P225" s="11" t="s">
        <v>80</v>
      </c>
      <c r="Q225" s="11" t="s">
        <v>81</v>
      </c>
      <c r="R225" s="11" t="s">
        <v>159</v>
      </c>
      <c r="S225" s="11" t="s">
        <v>2714</v>
      </c>
      <c r="T225" s="116" t="s">
        <v>1</v>
      </c>
      <c r="U225" s="88"/>
      <c r="V225" s="51">
        <v>45456</v>
      </c>
      <c r="W225" s="102" t="s">
        <v>1569</v>
      </c>
      <c r="X225" s="135" t="str">
        <f>VLOOKUP(Table1[[#This Row],[AMZ ID]],[1]Roster_1787503287932!$D$2:$AU$1370,25,0)</f>
        <v>Present</v>
      </c>
      <c r="Y225" s="135">
        <f>VLOOKUP(Table1[[#This Row],[AMZ ID]],[1]Roster_1787503287932!$D$2:$AM$1370,35,0)</f>
        <v>0</v>
      </c>
    </row>
    <row r="226" spans="1:25" ht="13" customHeight="1">
      <c r="A226" s="11">
        <v>220</v>
      </c>
      <c r="B226" s="47">
        <v>202308467</v>
      </c>
      <c r="C226" s="89" t="s">
        <v>157</v>
      </c>
      <c r="D226" s="11" t="s">
        <v>158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32</v>
      </c>
      <c r="K226" s="49" t="s">
        <v>76</v>
      </c>
      <c r="L226" s="49" t="s">
        <v>85</v>
      </c>
      <c r="M226" s="49" t="s">
        <v>88</v>
      </c>
      <c r="N226" s="48" t="s">
        <v>79</v>
      </c>
      <c r="O226" s="49" t="s">
        <v>33</v>
      </c>
      <c r="P226" s="11" t="s">
        <v>80</v>
      </c>
      <c r="Q226" s="11" t="s">
        <v>81</v>
      </c>
      <c r="R226" s="11" t="s">
        <v>159</v>
      </c>
      <c r="S226" s="11" t="s">
        <v>2714</v>
      </c>
      <c r="T226" s="116" t="s">
        <v>1</v>
      </c>
      <c r="U226" s="88"/>
      <c r="V226" s="51">
        <v>45915</v>
      </c>
      <c r="W226" s="97" t="s">
        <v>1569</v>
      </c>
      <c r="X226" s="135" t="str">
        <f>VLOOKUP(Table1[[#This Row],[AMZ ID]],[1]Roster_1787503287932!$D$2:$AU$1370,25,0)</f>
        <v>Present</v>
      </c>
      <c r="Y226" s="135">
        <f>VLOOKUP(Table1[[#This Row],[AMZ ID]],[1]Roster_1787503287932!$D$2:$AM$1370,35,0)</f>
        <v>0</v>
      </c>
    </row>
    <row r="227" spans="1:25" ht="13" customHeight="1">
      <c r="A227" s="11">
        <v>221</v>
      </c>
      <c r="B227" s="47">
        <v>112836630</v>
      </c>
      <c r="C227" s="89" t="s">
        <v>1531</v>
      </c>
      <c r="D227" s="11" t="s">
        <v>1532</v>
      </c>
      <c r="E227" s="48" t="s">
        <v>34</v>
      </c>
      <c r="F227" s="48" t="s">
        <v>74</v>
      </c>
      <c r="G227" s="11" t="s">
        <v>64</v>
      </c>
      <c r="H227" s="11" t="s">
        <v>75</v>
      </c>
      <c r="I227" s="11">
        <v>1299</v>
      </c>
      <c r="J227" s="129" t="s">
        <v>32</v>
      </c>
      <c r="K227" s="11" t="s">
        <v>76</v>
      </c>
      <c r="L227" s="129" t="s">
        <v>78</v>
      </c>
      <c r="M227" s="129" t="s">
        <v>92</v>
      </c>
      <c r="N227" s="11" t="s">
        <v>1533</v>
      </c>
      <c r="O227" s="11" t="s">
        <v>1534</v>
      </c>
      <c r="P227" s="11" t="s">
        <v>1443</v>
      </c>
      <c r="Q227" s="11" t="s">
        <v>98</v>
      </c>
      <c r="R227" s="11" t="s">
        <v>2729</v>
      </c>
      <c r="S227" s="11" t="s">
        <v>2730</v>
      </c>
      <c r="T227" s="116" t="s">
        <v>10</v>
      </c>
      <c r="U227" s="88"/>
      <c r="V227" s="51">
        <v>44767</v>
      </c>
      <c r="W227" s="102" t="s">
        <v>1583</v>
      </c>
      <c r="X227" s="135" t="e">
        <f>VLOOKUP(Table1[[#This Row],[AMZ ID]],[1]Roster_1787503287932!$D$2:$AU$1370,25,0)</f>
        <v>#N/A</v>
      </c>
      <c r="Y227" s="135" t="e">
        <f>VLOOKUP(Table1[[#This Row],[AMZ ID]],[1]Roster_1787503287932!$D$2:$AM$1370,35,0)</f>
        <v>#N/A</v>
      </c>
    </row>
    <row r="228" spans="1:25" ht="13" customHeight="1">
      <c r="A228" s="11">
        <v>222</v>
      </c>
      <c r="B228" s="47">
        <v>207220266</v>
      </c>
      <c r="C228" s="89" t="s">
        <v>2360</v>
      </c>
      <c r="D228" s="11" t="s">
        <v>2361</v>
      </c>
      <c r="E228" s="48" t="s">
        <v>34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77</v>
      </c>
      <c r="M228" s="49" t="s">
        <v>78</v>
      </c>
      <c r="N228" s="48" t="s">
        <v>97</v>
      </c>
      <c r="O228" s="49" t="s">
        <v>33</v>
      </c>
      <c r="P228" s="11" t="s">
        <v>80</v>
      </c>
      <c r="Q228" s="11" t="s">
        <v>98</v>
      </c>
      <c r="R228" s="11" t="s">
        <v>159</v>
      </c>
      <c r="S228" s="11" t="s">
        <v>2714</v>
      </c>
      <c r="T228" s="116" t="s">
        <v>10</v>
      </c>
      <c r="U228" s="88"/>
      <c r="V228" s="51">
        <v>46147</v>
      </c>
      <c r="W228" s="97" t="s">
        <v>1569</v>
      </c>
      <c r="X228" s="135" t="e">
        <f>VLOOKUP(Table1[[#This Row],[AMZ ID]],[1]Roster_1787503287932!$D$2:$AU$1370,25,0)</f>
        <v>#N/A</v>
      </c>
      <c r="Y228" s="135" t="e">
        <f>VLOOKUP(Table1[[#This Row],[AMZ ID]],[1]Roster_1787503287932!$D$2:$AM$1370,35,0)</f>
        <v>#N/A</v>
      </c>
    </row>
    <row r="229" spans="1:25" ht="13" customHeight="1">
      <c r="A229" s="11">
        <v>223</v>
      </c>
      <c r="B229" s="47">
        <v>203850930</v>
      </c>
      <c r="C229" s="89" t="s">
        <v>162</v>
      </c>
      <c r="D229" s="11" t="s">
        <v>163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84</v>
      </c>
      <c r="M229" s="49" t="s">
        <v>85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159</v>
      </c>
      <c r="S229" s="11" t="s">
        <v>2714</v>
      </c>
      <c r="T229" s="116" t="s">
        <v>1</v>
      </c>
      <c r="U229" s="88"/>
      <c r="V229" s="51">
        <v>45524</v>
      </c>
      <c r="W229" s="102" t="s">
        <v>1569</v>
      </c>
      <c r="X229" s="135" t="str">
        <f>VLOOKUP(Table1[[#This Row],[AMZ ID]],[1]Roster_1787503287932!$D$2:$AU$1370,25,0)</f>
        <v>Present</v>
      </c>
      <c r="Y229" s="135">
        <f>VLOOKUP(Table1[[#This Row],[AMZ ID]],[1]Roster_1787503287932!$D$2:$AM$1370,35,0)</f>
        <v>0</v>
      </c>
    </row>
    <row r="230" spans="1:25" ht="13" customHeight="1">
      <c r="A230" s="11">
        <v>224</v>
      </c>
      <c r="B230" s="47">
        <v>206953795</v>
      </c>
      <c r="C230" s="89" t="s">
        <v>2107</v>
      </c>
      <c r="D230" s="11" t="s">
        <v>2030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92</v>
      </c>
      <c r="M230" s="49" t="s">
        <v>84</v>
      </c>
      <c r="N230" s="48" t="s">
        <v>86</v>
      </c>
      <c r="O230" s="49" t="s">
        <v>33</v>
      </c>
      <c r="P230" s="11" t="s">
        <v>80</v>
      </c>
      <c r="Q230" s="11" t="s">
        <v>96</v>
      </c>
      <c r="R230" s="11" t="s">
        <v>159</v>
      </c>
      <c r="S230" s="11" t="s">
        <v>2714</v>
      </c>
      <c r="T230" s="116" t="s">
        <v>1</v>
      </c>
      <c r="U230" s="88"/>
      <c r="V230" s="51">
        <v>46048</v>
      </c>
      <c r="W230" s="97" t="s">
        <v>1569</v>
      </c>
      <c r="X230" s="135" t="str">
        <f>VLOOKUP(Table1[[#This Row],[AMZ ID]],[1]Roster_1787503287932!$D$2:$AU$1370,25,0)</f>
        <v>Present</v>
      </c>
      <c r="Y230" s="135">
        <f>VLOOKUP(Table1[[#This Row],[AMZ ID]],[1]Roster_1787503287932!$D$2:$AM$1370,35,0)</f>
        <v>0</v>
      </c>
    </row>
    <row r="231" spans="1:25" ht="13" customHeight="1">
      <c r="A231" s="11">
        <v>225</v>
      </c>
      <c r="B231" s="47">
        <v>203800481</v>
      </c>
      <c r="C231" s="89" t="s">
        <v>399</v>
      </c>
      <c r="D231" s="11" t="s">
        <v>400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78</v>
      </c>
      <c r="M231" s="49" t="s">
        <v>92</v>
      </c>
      <c r="N231" s="48" t="s">
        <v>86</v>
      </c>
      <c r="O231" s="49" t="s">
        <v>35</v>
      </c>
      <c r="P231" s="11" t="s">
        <v>80</v>
      </c>
      <c r="Q231" s="11" t="s">
        <v>90</v>
      </c>
      <c r="R231" s="11" t="s">
        <v>225</v>
      </c>
      <c r="S231" s="11" t="s">
        <v>226</v>
      </c>
      <c r="T231" s="116" t="s">
        <v>10</v>
      </c>
      <c r="U231" s="88"/>
      <c r="V231" s="51">
        <v>45516</v>
      </c>
      <c r="W231" s="97" t="s">
        <v>1573</v>
      </c>
      <c r="X231" s="135" t="str">
        <f>VLOOKUP(Table1[[#This Row],[AMZ ID]],[1]Roster_1787503287932!$D$2:$AU$1370,25,0)</f>
        <v>Not Present</v>
      </c>
      <c r="Y231" s="135">
        <f>VLOOKUP(Table1[[#This Row],[AMZ ID]],[1]Roster_1787503287932!$D$2:$AM$1370,35,0)</f>
        <v>0</v>
      </c>
    </row>
    <row r="232" spans="1:25" ht="13" customHeight="1">
      <c r="A232" s="11">
        <v>226</v>
      </c>
      <c r="B232" s="47">
        <v>205977130</v>
      </c>
      <c r="C232" s="89" t="s">
        <v>164</v>
      </c>
      <c r="D232" s="11" t="s">
        <v>165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92</v>
      </c>
      <c r="M232" s="49" t="s">
        <v>84</v>
      </c>
      <c r="N232" s="48" t="s">
        <v>86</v>
      </c>
      <c r="O232" s="49" t="s">
        <v>33</v>
      </c>
      <c r="P232" s="11" t="s">
        <v>80</v>
      </c>
      <c r="Q232" s="11" t="s">
        <v>90</v>
      </c>
      <c r="R232" s="11" t="s">
        <v>159</v>
      </c>
      <c r="S232" s="11" t="s">
        <v>2714</v>
      </c>
      <c r="T232" s="116" t="s">
        <v>1</v>
      </c>
      <c r="U232" s="88"/>
      <c r="V232" s="51">
        <v>45915</v>
      </c>
      <c r="W232" s="97" t="s">
        <v>1569</v>
      </c>
      <c r="X232" s="135" t="str">
        <f>VLOOKUP(Table1[[#This Row],[AMZ ID]],[1]Roster_1787503287932!$D$2:$AU$1370,25,0)</f>
        <v>Present</v>
      </c>
      <c r="Y232" s="135">
        <f>VLOOKUP(Table1[[#This Row],[AMZ ID]],[1]Roster_1787503287932!$D$2:$AM$1370,35,0)</f>
        <v>0</v>
      </c>
    </row>
    <row r="233" spans="1:25" ht="13" customHeight="1">
      <c r="A233" s="11">
        <v>227</v>
      </c>
      <c r="B233" s="47">
        <v>203555224</v>
      </c>
      <c r="C233" s="89" t="s">
        <v>1348</v>
      </c>
      <c r="D233" s="11" t="s">
        <v>1349</v>
      </c>
      <c r="E233" s="48" t="s">
        <v>31</v>
      </c>
      <c r="F233" s="48" t="s">
        <v>74</v>
      </c>
      <c r="G233" s="48" t="s">
        <v>64</v>
      </c>
      <c r="H233" s="48" t="s">
        <v>75</v>
      </c>
      <c r="I233" s="11">
        <v>1299</v>
      </c>
      <c r="J233" s="49" t="s">
        <v>32</v>
      </c>
      <c r="K233" s="49" t="s">
        <v>76</v>
      </c>
      <c r="L233" s="49" t="s">
        <v>77</v>
      </c>
      <c r="M233" s="49" t="s">
        <v>78</v>
      </c>
      <c r="N233" s="49" t="s">
        <v>79</v>
      </c>
      <c r="O233" s="48" t="s">
        <v>33</v>
      </c>
      <c r="P233" s="48" t="s">
        <v>80</v>
      </c>
      <c r="Q233" s="11" t="s">
        <v>81</v>
      </c>
      <c r="R233" s="11" t="s">
        <v>159</v>
      </c>
      <c r="S233" s="11" t="s">
        <v>2714</v>
      </c>
      <c r="T233" s="116" t="s">
        <v>10</v>
      </c>
      <c r="U233" s="88"/>
      <c r="V233" s="51">
        <v>45470</v>
      </c>
      <c r="W233" s="102" t="s">
        <v>68</v>
      </c>
      <c r="X233" s="135" t="str">
        <f>VLOOKUP(Table1[[#This Row],[AMZ ID]],[1]Roster_1787503287932!$D$2:$AU$1370,25,0)</f>
        <v>Not Present</v>
      </c>
      <c r="Y233" s="135">
        <f>VLOOKUP(Table1[[#This Row],[AMZ ID]],[1]Roster_1787503287932!$D$2:$AM$1370,35,0)</f>
        <v>0</v>
      </c>
    </row>
    <row r="234" spans="1:25" ht="13" customHeight="1">
      <c r="A234" s="11">
        <v>228</v>
      </c>
      <c r="B234" s="47">
        <v>206953381</v>
      </c>
      <c r="C234" s="89" t="s">
        <v>2108</v>
      </c>
      <c r="D234" s="11" t="s">
        <v>2031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92</v>
      </c>
      <c r="M234" s="49" t="s">
        <v>84</v>
      </c>
      <c r="N234" s="48" t="s">
        <v>86</v>
      </c>
      <c r="O234" s="49" t="s">
        <v>33</v>
      </c>
      <c r="P234" s="11" t="s">
        <v>80</v>
      </c>
      <c r="Q234" s="11" t="s">
        <v>96</v>
      </c>
      <c r="R234" s="11" t="s">
        <v>159</v>
      </c>
      <c r="S234" s="11" t="s">
        <v>2714</v>
      </c>
      <c r="T234" s="116" t="s">
        <v>1</v>
      </c>
      <c r="U234" s="88"/>
      <c r="V234" s="51">
        <v>46048</v>
      </c>
      <c r="W234" s="97" t="s">
        <v>1569</v>
      </c>
      <c r="X234" s="135" t="str">
        <f>VLOOKUP(Table1[[#This Row],[AMZ ID]],[1]Roster_1787503287932!$D$2:$AU$1370,25,0)</f>
        <v>Present</v>
      </c>
      <c r="Y234" s="135">
        <f>VLOOKUP(Table1[[#This Row],[AMZ ID]],[1]Roster_1787503287932!$D$2:$AM$1370,35,0)</f>
        <v>0</v>
      </c>
    </row>
    <row r="235" spans="1:25" ht="13" customHeight="1">
      <c r="A235" s="11">
        <v>229</v>
      </c>
      <c r="B235" s="47">
        <v>205996683</v>
      </c>
      <c r="C235" s="89" t="s">
        <v>166</v>
      </c>
      <c r="D235" s="11" t="s">
        <v>167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84</v>
      </c>
      <c r="M235" s="49" t="s">
        <v>85</v>
      </c>
      <c r="N235" s="49" t="s">
        <v>79</v>
      </c>
      <c r="O235" s="49" t="s">
        <v>33</v>
      </c>
      <c r="P235" s="11" t="s">
        <v>80</v>
      </c>
      <c r="Q235" s="11" t="s">
        <v>81</v>
      </c>
      <c r="R235" s="11" t="s">
        <v>159</v>
      </c>
      <c r="S235" s="11" t="s">
        <v>2714</v>
      </c>
      <c r="T235" s="116" t="s">
        <v>1</v>
      </c>
      <c r="U235" s="88"/>
      <c r="V235" s="51">
        <v>45915</v>
      </c>
      <c r="W235" s="97" t="s">
        <v>1569</v>
      </c>
      <c r="X235" s="135" t="str">
        <f>VLOOKUP(Table1[[#This Row],[AMZ ID]],[1]Roster_1787503287932!$D$2:$AU$1370,25,0)</f>
        <v>Present</v>
      </c>
      <c r="Y235" s="135">
        <f>VLOOKUP(Table1[[#This Row],[AMZ ID]],[1]Roster_1787503287932!$D$2:$AM$1370,35,0)</f>
        <v>0</v>
      </c>
    </row>
    <row r="236" spans="1:25" ht="13" customHeight="1">
      <c r="A236" s="11">
        <v>230</v>
      </c>
      <c r="B236" s="47">
        <v>206192647</v>
      </c>
      <c r="C236" s="89" t="s">
        <v>1644</v>
      </c>
      <c r="D236" s="11" t="s">
        <v>1630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78</v>
      </c>
      <c r="M236" s="49" t="s">
        <v>92</v>
      </c>
      <c r="N236" s="48" t="s">
        <v>79</v>
      </c>
      <c r="O236" s="49" t="s">
        <v>33</v>
      </c>
      <c r="P236" s="11" t="s">
        <v>80</v>
      </c>
      <c r="Q236" s="11" t="s">
        <v>96</v>
      </c>
      <c r="R236" s="11" t="s">
        <v>159</v>
      </c>
      <c r="S236" s="11" t="s">
        <v>2714</v>
      </c>
      <c r="T236" s="116" t="s">
        <v>10</v>
      </c>
      <c r="U236" s="88"/>
      <c r="V236" s="51">
        <v>45943</v>
      </c>
      <c r="W236" s="97" t="s">
        <v>1569</v>
      </c>
      <c r="X236" s="135" t="str">
        <f>VLOOKUP(Table1[[#This Row],[AMZ ID]],[1]Roster_1787503287932!$D$2:$AU$1370,25,0)</f>
        <v>Not Present</v>
      </c>
      <c r="Y236" s="135">
        <f>VLOOKUP(Table1[[#This Row],[AMZ ID]],[1]Roster_1787503287932!$D$2:$AM$1370,35,0)</f>
        <v>0</v>
      </c>
    </row>
    <row r="237" spans="1:25" ht="13" customHeight="1">
      <c r="A237" s="11">
        <v>231</v>
      </c>
      <c r="B237" s="47">
        <v>206953797</v>
      </c>
      <c r="C237" s="89" t="s">
        <v>2109</v>
      </c>
      <c r="D237" s="11" t="s">
        <v>2032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8" t="s">
        <v>86</v>
      </c>
      <c r="O237" s="49" t="s">
        <v>33</v>
      </c>
      <c r="P237" s="11" t="s">
        <v>80</v>
      </c>
      <c r="Q237" s="11" t="s">
        <v>96</v>
      </c>
      <c r="R237" s="11" t="s">
        <v>159</v>
      </c>
      <c r="S237" s="11" t="s">
        <v>2714</v>
      </c>
      <c r="T237" s="116" t="s">
        <v>1</v>
      </c>
      <c r="U237" s="88"/>
      <c r="V237" s="51">
        <v>46048</v>
      </c>
      <c r="W237" s="97" t="s">
        <v>1569</v>
      </c>
      <c r="X237" s="135" t="str">
        <f>VLOOKUP(Table1[[#This Row],[AMZ ID]],[1]Roster_1787503287932!$D$2:$AU$1370,25,0)</f>
        <v>Present</v>
      </c>
      <c r="Y237" s="135">
        <f>VLOOKUP(Table1[[#This Row],[AMZ ID]],[1]Roster_1787503287932!$D$2:$AM$1370,35,0)</f>
        <v>0</v>
      </c>
    </row>
    <row r="238" spans="1:25" ht="13" customHeight="1">
      <c r="A238" s="11">
        <v>232</v>
      </c>
      <c r="B238" s="47">
        <v>203850932</v>
      </c>
      <c r="C238" s="89" t="s">
        <v>168</v>
      </c>
      <c r="D238" s="11" t="s">
        <v>169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9" t="s">
        <v>79</v>
      </c>
      <c r="O238" s="49" t="s">
        <v>33</v>
      </c>
      <c r="P238" s="11" t="s">
        <v>80</v>
      </c>
      <c r="Q238" s="11" t="s">
        <v>81</v>
      </c>
      <c r="R238" s="11" t="s">
        <v>159</v>
      </c>
      <c r="S238" s="11" t="s">
        <v>2714</v>
      </c>
      <c r="T238" s="116" t="s">
        <v>1</v>
      </c>
      <c r="U238" s="88"/>
      <c r="V238" s="51">
        <v>45524</v>
      </c>
      <c r="W238" s="97" t="s">
        <v>1569</v>
      </c>
      <c r="X238" s="135" t="str">
        <f>VLOOKUP(Table1[[#This Row],[AMZ ID]],[1]Roster_1787503287932!$D$2:$AU$1370,25,0)</f>
        <v>Present</v>
      </c>
      <c r="Y238" s="135">
        <f>VLOOKUP(Table1[[#This Row],[AMZ ID]],[1]Roster_1787503287932!$D$2:$AM$1370,35,0)</f>
        <v>0</v>
      </c>
    </row>
    <row r="239" spans="1:25" ht="13" customHeight="1">
      <c r="A239" s="11">
        <v>233</v>
      </c>
      <c r="B239" s="47">
        <v>203709877</v>
      </c>
      <c r="C239" s="89" t="s">
        <v>170</v>
      </c>
      <c r="D239" s="11" t="s">
        <v>171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77</v>
      </c>
      <c r="M239" s="49" t="s">
        <v>78</v>
      </c>
      <c r="N239" s="48" t="s">
        <v>86</v>
      </c>
      <c r="O239" s="49" t="s">
        <v>33</v>
      </c>
      <c r="P239" s="11" t="s">
        <v>80</v>
      </c>
      <c r="Q239" s="11" t="s">
        <v>99</v>
      </c>
      <c r="R239" s="11" t="s">
        <v>159</v>
      </c>
      <c r="S239" s="11" t="s">
        <v>2714</v>
      </c>
      <c r="T239" s="116" t="s">
        <v>10</v>
      </c>
      <c r="U239" s="88"/>
      <c r="V239" s="51">
        <v>45495</v>
      </c>
      <c r="W239" s="97" t="s">
        <v>1569</v>
      </c>
      <c r="X239" s="135" t="str">
        <f>VLOOKUP(Table1[[#This Row],[AMZ ID]],[1]Roster_1787503287932!$D$2:$AU$1370,25,0)</f>
        <v>Not Present</v>
      </c>
      <c r="Y239" s="135">
        <f>VLOOKUP(Table1[[#This Row],[AMZ ID]],[1]Roster_1787503287932!$D$2:$AM$1370,35,0)</f>
        <v>0</v>
      </c>
    </row>
    <row r="240" spans="1:25" ht="13" customHeight="1">
      <c r="A240" s="11">
        <v>234</v>
      </c>
      <c r="B240" s="47">
        <v>206953796</v>
      </c>
      <c r="C240" s="89" t="s">
        <v>2110</v>
      </c>
      <c r="D240" s="11" t="s">
        <v>2033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8" t="s">
        <v>86</v>
      </c>
      <c r="O240" s="49" t="s">
        <v>33</v>
      </c>
      <c r="P240" s="11" t="s">
        <v>80</v>
      </c>
      <c r="Q240" s="11" t="s">
        <v>96</v>
      </c>
      <c r="R240" s="11" t="s">
        <v>159</v>
      </c>
      <c r="S240" s="11" t="s">
        <v>2714</v>
      </c>
      <c r="T240" s="116" t="s">
        <v>1</v>
      </c>
      <c r="U240" s="88"/>
      <c r="V240" s="51">
        <v>46048</v>
      </c>
      <c r="W240" s="97" t="s">
        <v>1569</v>
      </c>
      <c r="X240" s="135" t="str">
        <f>VLOOKUP(Table1[[#This Row],[AMZ ID]],[1]Roster_1787503287932!$D$2:$AU$1370,25,0)</f>
        <v>Present</v>
      </c>
      <c r="Y240" s="135">
        <f>VLOOKUP(Table1[[#This Row],[AMZ ID]],[1]Roster_1787503287932!$D$2:$AM$1370,35,0)</f>
        <v>0</v>
      </c>
    </row>
    <row r="241" spans="1:25" ht="13" customHeight="1">
      <c r="A241" s="11">
        <v>235</v>
      </c>
      <c r="B241" s="47">
        <v>203850933</v>
      </c>
      <c r="C241" s="89" t="s">
        <v>172</v>
      </c>
      <c r="D241" s="11" t="s">
        <v>173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95</v>
      </c>
      <c r="M241" s="49" t="s">
        <v>77</v>
      </c>
      <c r="N241" s="49" t="s">
        <v>79</v>
      </c>
      <c r="O241" s="49" t="s">
        <v>33</v>
      </c>
      <c r="P241" s="11" t="s">
        <v>80</v>
      </c>
      <c r="Q241" s="11" t="s">
        <v>81</v>
      </c>
      <c r="R241" s="11" t="s">
        <v>159</v>
      </c>
      <c r="S241" s="11" t="s">
        <v>2714</v>
      </c>
      <c r="T241" s="116" t="s">
        <v>1</v>
      </c>
      <c r="U241" s="88"/>
      <c r="V241" s="51">
        <v>45524</v>
      </c>
      <c r="W241" s="97" t="s">
        <v>1569</v>
      </c>
      <c r="X241" s="135" t="str">
        <f>VLOOKUP(Table1[[#This Row],[AMZ ID]],[1]Roster_1787503287932!$D$2:$AU$1370,25,0)</f>
        <v>Present</v>
      </c>
      <c r="Y241" s="135">
        <f>VLOOKUP(Table1[[#This Row],[AMZ ID]],[1]Roster_1787503287932!$D$2:$AM$1370,35,0)</f>
        <v>0</v>
      </c>
    </row>
    <row r="242" spans="1:25" ht="13" customHeight="1">
      <c r="A242" s="11">
        <v>236</v>
      </c>
      <c r="B242" s="47">
        <v>203468509</v>
      </c>
      <c r="C242" s="89" t="s">
        <v>174</v>
      </c>
      <c r="D242" s="11" t="s">
        <v>175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95</v>
      </c>
      <c r="M242" s="49" t="s">
        <v>77</v>
      </c>
      <c r="N242" s="48" t="s">
        <v>79</v>
      </c>
      <c r="O242" s="49" t="s">
        <v>33</v>
      </c>
      <c r="P242" s="11" t="s">
        <v>80</v>
      </c>
      <c r="Q242" s="11" t="s">
        <v>81</v>
      </c>
      <c r="R242" s="11" t="s">
        <v>159</v>
      </c>
      <c r="S242" s="11" t="s">
        <v>2714</v>
      </c>
      <c r="T242" s="116" t="s">
        <v>1</v>
      </c>
      <c r="U242" s="88"/>
      <c r="V242" s="51">
        <v>45456</v>
      </c>
      <c r="W242" s="97" t="s">
        <v>1569</v>
      </c>
      <c r="X242" s="135" t="str">
        <f>VLOOKUP(Table1[[#This Row],[AMZ ID]],[1]Roster_1787503287932!$D$2:$AU$1370,25,0)</f>
        <v>Present</v>
      </c>
      <c r="Y242" s="135">
        <f>VLOOKUP(Table1[[#This Row],[AMZ ID]],[1]Roster_1787503287932!$D$2:$AM$1370,35,0)</f>
        <v>0</v>
      </c>
    </row>
    <row r="243" spans="1:25" ht="13" customHeight="1">
      <c r="A243" s="11">
        <v>237</v>
      </c>
      <c r="B243" s="47">
        <v>206361763</v>
      </c>
      <c r="C243" s="89" t="s">
        <v>1664</v>
      </c>
      <c r="D243" s="11" t="s">
        <v>1665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8" t="s">
        <v>89</v>
      </c>
      <c r="O243" s="49" t="s">
        <v>33</v>
      </c>
      <c r="P243" s="11" t="s">
        <v>80</v>
      </c>
      <c r="Q243" s="11" t="s">
        <v>81</v>
      </c>
      <c r="R243" s="11" t="s">
        <v>159</v>
      </c>
      <c r="S243" s="11" t="s">
        <v>2714</v>
      </c>
      <c r="T243" s="116" t="s">
        <v>1</v>
      </c>
      <c r="U243" s="88"/>
      <c r="V243" s="51">
        <v>45957</v>
      </c>
      <c r="W243" s="97" t="s">
        <v>1569</v>
      </c>
      <c r="X243" s="135" t="str">
        <f>VLOOKUP(Table1[[#This Row],[AMZ ID]],[1]Roster_1787503287932!$D$2:$AU$1370,25,0)</f>
        <v>Present</v>
      </c>
      <c r="Y243" s="135">
        <f>VLOOKUP(Table1[[#This Row],[AMZ ID]],[1]Roster_1787503287932!$D$2:$AM$1370,35,0)</f>
        <v>0</v>
      </c>
    </row>
    <row r="244" spans="1:25" ht="13" customHeight="1">
      <c r="A244" s="11">
        <v>238</v>
      </c>
      <c r="B244" s="47">
        <v>203850934</v>
      </c>
      <c r="C244" s="89" t="s">
        <v>176</v>
      </c>
      <c r="D244" s="11" t="s">
        <v>177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85</v>
      </c>
      <c r="M244" s="49" t="s">
        <v>88</v>
      </c>
      <c r="N244" s="49" t="s">
        <v>79</v>
      </c>
      <c r="O244" s="49" t="s">
        <v>33</v>
      </c>
      <c r="P244" s="11" t="s">
        <v>80</v>
      </c>
      <c r="Q244" s="11" t="s">
        <v>81</v>
      </c>
      <c r="R244" s="11" t="s">
        <v>159</v>
      </c>
      <c r="S244" s="11" t="s">
        <v>2714</v>
      </c>
      <c r="T244" s="116" t="s">
        <v>1</v>
      </c>
      <c r="U244" s="88"/>
      <c r="V244" s="51">
        <v>45524</v>
      </c>
      <c r="W244" s="97" t="s">
        <v>1569</v>
      </c>
      <c r="X244" s="135" t="str">
        <f>VLOOKUP(Table1[[#This Row],[AMZ ID]],[1]Roster_1787503287932!$D$2:$AU$1370,25,0)</f>
        <v>Present</v>
      </c>
      <c r="Y244" s="135">
        <f>VLOOKUP(Table1[[#This Row],[AMZ ID]],[1]Roster_1787503287932!$D$2:$AM$1370,35,0)</f>
        <v>0</v>
      </c>
    </row>
    <row r="245" spans="1:25" ht="13" customHeight="1">
      <c r="A245" s="11">
        <v>239</v>
      </c>
      <c r="B245" s="47">
        <v>205996686</v>
      </c>
      <c r="C245" s="89" t="s">
        <v>178</v>
      </c>
      <c r="D245" s="11" t="s">
        <v>179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88</v>
      </c>
      <c r="M245" s="49" t="s">
        <v>95</v>
      </c>
      <c r="N245" s="48" t="s">
        <v>89</v>
      </c>
      <c r="O245" s="49" t="s">
        <v>33</v>
      </c>
      <c r="P245" s="11" t="s">
        <v>80</v>
      </c>
      <c r="Q245" s="11" t="s">
        <v>81</v>
      </c>
      <c r="R245" s="11" t="s">
        <v>159</v>
      </c>
      <c r="S245" s="11" t="s">
        <v>2714</v>
      </c>
      <c r="T245" s="116" t="s">
        <v>1</v>
      </c>
      <c r="U245" s="88"/>
      <c r="V245" s="51">
        <v>45915</v>
      </c>
      <c r="W245" s="97" t="s">
        <v>1569</v>
      </c>
      <c r="X245" s="135" t="str">
        <f>VLOOKUP(Table1[[#This Row],[AMZ ID]],[1]Roster_1787503287932!$D$2:$AU$1370,25,0)</f>
        <v>Present</v>
      </c>
      <c r="Y245" s="135">
        <f>VLOOKUP(Table1[[#This Row],[AMZ ID]],[1]Roster_1787503287932!$D$2:$AM$1370,35,0)</f>
        <v>0</v>
      </c>
    </row>
    <row r="246" spans="1:25" ht="13" customHeight="1">
      <c r="A246" s="11">
        <v>240</v>
      </c>
      <c r="B246" s="47">
        <v>203468508</v>
      </c>
      <c r="C246" s="89" t="s">
        <v>180</v>
      </c>
      <c r="D246" s="11" t="s">
        <v>181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84</v>
      </c>
      <c r="M246" s="49" t="s">
        <v>85</v>
      </c>
      <c r="N246" s="49" t="s">
        <v>79</v>
      </c>
      <c r="O246" s="49" t="s">
        <v>33</v>
      </c>
      <c r="P246" s="11" t="s">
        <v>80</v>
      </c>
      <c r="Q246" s="11" t="s">
        <v>81</v>
      </c>
      <c r="R246" s="11" t="s">
        <v>159</v>
      </c>
      <c r="S246" s="11" t="s">
        <v>2714</v>
      </c>
      <c r="T246" s="116" t="s">
        <v>1</v>
      </c>
      <c r="U246" s="88"/>
      <c r="V246" s="51">
        <v>45456</v>
      </c>
      <c r="W246" s="97" t="s">
        <v>1569</v>
      </c>
      <c r="X246" s="135" t="str">
        <f>VLOOKUP(Table1[[#This Row],[AMZ ID]],[1]Roster_1787503287932!$D$2:$AU$1370,25,0)</f>
        <v>Present</v>
      </c>
      <c r="Y246" s="135">
        <f>VLOOKUP(Table1[[#This Row],[AMZ ID]],[1]Roster_1787503287932!$D$2:$AM$1370,35,0)</f>
        <v>0</v>
      </c>
    </row>
    <row r="247" spans="1:25" ht="13" customHeight="1">
      <c r="A247" s="11">
        <v>241</v>
      </c>
      <c r="B247" s="47">
        <v>204941770</v>
      </c>
      <c r="C247" s="89" t="s">
        <v>182</v>
      </c>
      <c r="D247" s="11" t="s">
        <v>183</v>
      </c>
      <c r="E247" s="48" t="s">
        <v>34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78</v>
      </c>
      <c r="M247" s="49" t="s">
        <v>92</v>
      </c>
      <c r="N247" s="48" t="s">
        <v>97</v>
      </c>
      <c r="O247" s="49" t="s">
        <v>33</v>
      </c>
      <c r="P247" s="11" t="s">
        <v>80</v>
      </c>
      <c r="Q247" s="11" t="s">
        <v>98</v>
      </c>
      <c r="R247" s="11" t="s">
        <v>159</v>
      </c>
      <c r="S247" s="11" t="s">
        <v>2714</v>
      </c>
      <c r="T247" s="116" t="s">
        <v>10</v>
      </c>
      <c r="U247" s="88"/>
      <c r="V247" s="51">
        <v>45733</v>
      </c>
      <c r="W247" s="97" t="s">
        <v>1569</v>
      </c>
      <c r="X247" s="135" t="str">
        <f>VLOOKUP(Table1[[#This Row],[AMZ ID]],[1]Roster_1787503287932!$D$2:$AU$1370,25,0)</f>
        <v>Not Present</v>
      </c>
      <c r="Y247" s="135">
        <f>VLOOKUP(Table1[[#This Row],[AMZ ID]],[1]Roster_1787503287932!$D$2:$AM$1370,35,0)</f>
        <v>0</v>
      </c>
    </row>
    <row r="248" spans="1:25" ht="13" customHeight="1">
      <c r="A248" s="11">
        <v>242</v>
      </c>
      <c r="B248" s="47">
        <v>203468507</v>
      </c>
      <c r="C248" s="89" t="s">
        <v>184</v>
      </c>
      <c r="D248" s="11" t="s">
        <v>185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39</v>
      </c>
      <c r="K248" s="49" t="s">
        <v>76</v>
      </c>
      <c r="L248" s="49" t="s">
        <v>85</v>
      </c>
      <c r="M248" s="49" t="s">
        <v>88</v>
      </c>
      <c r="N248" s="48" t="s">
        <v>79</v>
      </c>
      <c r="O248" s="49" t="s">
        <v>33</v>
      </c>
      <c r="P248" s="11" t="s">
        <v>80</v>
      </c>
      <c r="Q248" s="11" t="s">
        <v>81</v>
      </c>
      <c r="R248" s="11" t="s">
        <v>159</v>
      </c>
      <c r="S248" s="11" t="s">
        <v>2714</v>
      </c>
      <c r="T248" s="116" t="s">
        <v>1</v>
      </c>
      <c r="U248" s="88"/>
      <c r="V248" s="51">
        <v>45456</v>
      </c>
      <c r="W248" s="97" t="s">
        <v>1569</v>
      </c>
      <c r="X248" s="135" t="str">
        <f>VLOOKUP(Table1[[#This Row],[AMZ ID]],[1]Roster_1787503287932!$D$2:$AU$1370,25,0)</f>
        <v>Present</v>
      </c>
      <c r="Y248" s="135">
        <f>VLOOKUP(Table1[[#This Row],[AMZ ID]],[1]Roster_1787503287932!$D$2:$AM$1370,35,0)</f>
        <v>0</v>
      </c>
    </row>
    <row r="249" spans="1:25" ht="13" customHeight="1">
      <c r="A249" s="11">
        <v>243</v>
      </c>
      <c r="B249" s="47">
        <v>106268319</v>
      </c>
      <c r="C249" s="89" t="s">
        <v>186</v>
      </c>
      <c r="D249" s="11" t="s">
        <v>187</v>
      </c>
      <c r="E249" s="48" t="s">
        <v>34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95</v>
      </c>
      <c r="M249" s="49" t="s">
        <v>77</v>
      </c>
      <c r="N249" s="48" t="s">
        <v>108</v>
      </c>
      <c r="O249" s="49" t="s">
        <v>33</v>
      </c>
      <c r="P249" s="11" t="s">
        <v>80</v>
      </c>
      <c r="Q249" s="11" t="s">
        <v>98</v>
      </c>
      <c r="R249" s="11" t="s">
        <v>159</v>
      </c>
      <c r="S249" s="11" t="s">
        <v>2714</v>
      </c>
      <c r="T249" s="116" t="s">
        <v>1</v>
      </c>
      <c r="U249" s="88"/>
      <c r="V249" s="51">
        <v>44757</v>
      </c>
      <c r="W249" s="97" t="s">
        <v>1569</v>
      </c>
      <c r="X249" s="135" t="str">
        <f>VLOOKUP(Table1[[#This Row],[AMZ ID]],[1]Roster_1787503287932!$D$2:$AU$1370,25,0)</f>
        <v>Present</v>
      </c>
      <c r="Y249" s="135">
        <f>VLOOKUP(Table1[[#This Row],[AMZ ID]],[1]Roster_1787503287932!$D$2:$AM$1370,35,0)</f>
        <v>0</v>
      </c>
    </row>
    <row r="250" spans="1:25" ht="13" customHeight="1">
      <c r="A250" s="11">
        <v>244</v>
      </c>
      <c r="B250" s="47">
        <v>206149617</v>
      </c>
      <c r="C250" s="89" t="s">
        <v>188</v>
      </c>
      <c r="D250" s="11" t="s">
        <v>189</v>
      </c>
      <c r="E250" s="48" t="s">
        <v>31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79</v>
      </c>
      <c r="O250" s="49" t="s">
        <v>33</v>
      </c>
      <c r="P250" s="11" t="s">
        <v>80</v>
      </c>
      <c r="Q250" s="11" t="s">
        <v>81</v>
      </c>
      <c r="R250" s="11" t="s">
        <v>159</v>
      </c>
      <c r="S250" s="11" t="s">
        <v>2714</v>
      </c>
      <c r="T250" s="116" t="s">
        <v>10</v>
      </c>
      <c r="U250" s="88"/>
      <c r="V250" s="51">
        <v>45929</v>
      </c>
      <c r="W250" s="97" t="s">
        <v>1569</v>
      </c>
      <c r="X250" s="135" t="str">
        <f>VLOOKUP(Table1[[#This Row],[AMZ ID]],[1]Roster_1787503287932!$D$2:$AU$1370,25,0)</f>
        <v>Not Present</v>
      </c>
      <c r="Y250" s="135">
        <f>VLOOKUP(Table1[[#This Row],[AMZ ID]],[1]Roster_1787503287932!$D$2:$AM$1370,35,0)</f>
        <v>0</v>
      </c>
    </row>
    <row r="251" spans="1:25" ht="13" customHeight="1">
      <c r="A251" s="11">
        <v>245</v>
      </c>
      <c r="B251" s="47">
        <v>102577243</v>
      </c>
      <c r="C251" s="89" t="s">
        <v>190</v>
      </c>
      <c r="D251" s="11" t="s">
        <v>191</v>
      </c>
      <c r="E251" s="48" t="s">
        <v>34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32</v>
      </c>
      <c r="K251" s="49" t="s">
        <v>76</v>
      </c>
      <c r="L251" s="49" t="s">
        <v>95</v>
      </c>
      <c r="M251" s="49" t="s">
        <v>77</v>
      </c>
      <c r="N251" s="48" t="s">
        <v>97</v>
      </c>
      <c r="O251" s="49" t="s">
        <v>33</v>
      </c>
      <c r="P251" s="11" t="s">
        <v>80</v>
      </c>
      <c r="Q251" s="11" t="s">
        <v>98</v>
      </c>
      <c r="R251" s="11" t="s">
        <v>159</v>
      </c>
      <c r="S251" s="11" t="s">
        <v>2714</v>
      </c>
      <c r="T251" s="116" t="s">
        <v>1</v>
      </c>
      <c r="U251" s="88"/>
      <c r="V251" s="51">
        <v>42913</v>
      </c>
      <c r="W251" s="97" t="s">
        <v>1569</v>
      </c>
      <c r="X251" s="135" t="e">
        <f>VLOOKUP(Table1[[#This Row],[AMZ ID]],[1]Roster_1787503287932!$D$2:$AU$1370,25,0)</f>
        <v>#N/A</v>
      </c>
      <c r="Y251" s="135" t="e">
        <f>VLOOKUP(Table1[[#This Row],[AMZ ID]],[1]Roster_1787503287932!$D$2:$AM$1370,35,0)</f>
        <v>#N/A</v>
      </c>
    </row>
    <row r="252" spans="1:25" ht="13" customHeight="1">
      <c r="A252" s="11">
        <v>246</v>
      </c>
      <c r="B252" s="47">
        <v>204095446</v>
      </c>
      <c r="C252" s="89" t="s">
        <v>1386</v>
      </c>
      <c r="D252" s="11" t="s">
        <v>1387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1181</v>
      </c>
      <c r="J252" s="49" t="s">
        <v>32</v>
      </c>
      <c r="K252" s="49" t="s">
        <v>76</v>
      </c>
      <c r="L252" s="49" t="s">
        <v>85</v>
      </c>
      <c r="M252" s="49" t="s">
        <v>88</v>
      </c>
      <c r="N252" s="48" t="s">
        <v>86</v>
      </c>
      <c r="O252" s="49" t="s">
        <v>33</v>
      </c>
      <c r="P252" s="11" t="s">
        <v>80</v>
      </c>
      <c r="Q252" s="11" t="s">
        <v>87</v>
      </c>
      <c r="R252" s="11" t="s">
        <v>159</v>
      </c>
      <c r="S252" s="11" t="s">
        <v>2714</v>
      </c>
      <c r="T252" s="116" t="s">
        <v>1</v>
      </c>
      <c r="U252" s="88"/>
      <c r="V252" s="51">
        <v>45561</v>
      </c>
      <c r="W252" s="97" t="s">
        <v>1569</v>
      </c>
      <c r="X252" s="135" t="str">
        <f>VLOOKUP(Table1[[#This Row],[AMZ ID]],[1]Roster_1787503287932!$D$2:$AU$1370,25,0)</f>
        <v>Present</v>
      </c>
      <c r="Y252" s="135">
        <f>VLOOKUP(Table1[[#This Row],[AMZ ID]],[1]Roster_1787503287932!$D$2:$AM$1370,35,0)</f>
        <v>0</v>
      </c>
    </row>
    <row r="253" spans="1:25" ht="13" customHeight="1">
      <c r="A253" s="11">
        <v>247</v>
      </c>
      <c r="B253" s="47">
        <v>206239528</v>
      </c>
      <c r="C253" s="89" t="s">
        <v>1645</v>
      </c>
      <c r="D253" s="11" t="s">
        <v>1629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159</v>
      </c>
      <c r="S253" s="11" t="s">
        <v>2714</v>
      </c>
      <c r="T253" s="116" t="s">
        <v>1</v>
      </c>
      <c r="U253" s="88"/>
      <c r="V253" s="51">
        <v>45943</v>
      </c>
      <c r="W253" s="97" t="s">
        <v>1569</v>
      </c>
      <c r="X253" s="135" t="str">
        <f>VLOOKUP(Table1[[#This Row],[AMZ ID]],[1]Roster_1787503287932!$D$2:$AU$1370,25,0)</f>
        <v>Present</v>
      </c>
      <c r="Y253" s="135">
        <f>VLOOKUP(Table1[[#This Row],[AMZ ID]],[1]Roster_1787503287932!$D$2:$AM$1370,35,0)</f>
        <v>0</v>
      </c>
    </row>
    <row r="254" spans="1:25" ht="13" customHeight="1">
      <c r="A254" s="11">
        <v>248</v>
      </c>
      <c r="B254" s="47">
        <v>203709876</v>
      </c>
      <c r="C254" s="89" t="s">
        <v>192</v>
      </c>
      <c r="D254" s="11" t="s">
        <v>193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86</v>
      </c>
      <c r="O254" s="49" t="s">
        <v>33</v>
      </c>
      <c r="P254" s="11" t="s">
        <v>80</v>
      </c>
      <c r="Q254" s="11" t="s">
        <v>99</v>
      </c>
      <c r="R254" s="11" t="s">
        <v>159</v>
      </c>
      <c r="S254" s="11" t="s">
        <v>2714</v>
      </c>
      <c r="T254" s="116" t="s">
        <v>1</v>
      </c>
      <c r="U254" s="88"/>
      <c r="V254" s="51">
        <v>45495</v>
      </c>
      <c r="W254" s="97" t="s">
        <v>1569</v>
      </c>
      <c r="X254" s="135" t="str">
        <f>VLOOKUP(Table1[[#This Row],[AMZ ID]],[1]Roster_1787503287932!$D$2:$AU$1370,25,0)</f>
        <v>Present</v>
      </c>
      <c r="Y254" s="135">
        <f>VLOOKUP(Table1[[#This Row],[AMZ ID]],[1]Roster_1787503287932!$D$2:$AM$1370,35,0)</f>
        <v>0</v>
      </c>
    </row>
    <row r="255" spans="1:25" ht="13" customHeight="1">
      <c r="A255" s="11">
        <v>249</v>
      </c>
      <c r="B255" s="47">
        <v>201228114</v>
      </c>
      <c r="C255" s="89" t="s">
        <v>194</v>
      </c>
      <c r="D255" s="11" t="s">
        <v>195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1299</v>
      </c>
      <c r="J255" s="49" t="s">
        <v>2471</v>
      </c>
      <c r="K255" s="49" t="s">
        <v>76</v>
      </c>
      <c r="L255" s="49" t="s">
        <v>78</v>
      </c>
      <c r="M255" s="49" t="s">
        <v>92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159</v>
      </c>
      <c r="S255" s="11" t="s">
        <v>2714</v>
      </c>
      <c r="T255" s="116" t="s">
        <v>10</v>
      </c>
      <c r="U255" s="88"/>
      <c r="V255" s="51">
        <v>45596</v>
      </c>
      <c r="W255" s="97" t="s">
        <v>1569</v>
      </c>
      <c r="X255" s="135" t="str">
        <f>VLOOKUP(Table1[[#This Row],[AMZ ID]],[1]Roster_1787503287932!$D$2:$AU$1370,25,0)</f>
        <v>Not Present</v>
      </c>
      <c r="Y255" s="135">
        <f>VLOOKUP(Table1[[#This Row],[AMZ ID]],[1]Roster_1787503287932!$D$2:$AM$1370,35,0)</f>
        <v>0</v>
      </c>
    </row>
    <row r="256" spans="1:25" ht="13" customHeight="1">
      <c r="A256" s="11">
        <v>250</v>
      </c>
      <c r="B256" s="47">
        <v>110492547</v>
      </c>
      <c r="C256" s="89" t="s">
        <v>1014</v>
      </c>
      <c r="D256" s="11" t="s">
        <v>1015</v>
      </c>
      <c r="E256" s="11" t="s">
        <v>34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92</v>
      </c>
      <c r="M256" s="49" t="s">
        <v>84</v>
      </c>
      <c r="N256" s="49" t="s">
        <v>108</v>
      </c>
      <c r="O256" s="49" t="s">
        <v>37</v>
      </c>
      <c r="P256" s="11" t="s">
        <v>80</v>
      </c>
      <c r="Q256" s="11" t="s">
        <v>98</v>
      </c>
      <c r="R256" s="11" t="s">
        <v>647</v>
      </c>
      <c r="S256" s="11" t="s">
        <v>1798</v>
      </c>
      <c r="T256" s="116" t="s">
        <v>4</v>
      </c>
      <c r="U256" s="88"/>
      <c r="V256" s="51">
        <v>44757</v>
      </c>
      <c r="W256" s="97" t="s">
        <v>1577</v>
      </c>
      <c r="X256" s="135" t="str">
        <f>VLOOKUP(Table1[[#This Row],[AMZ ID]],[1]Roster_1787503287932!$D$2:$AU$1370,25,0)</f>
        <v>Not Present</v>
      </c>
      <c r="Y256" s="135">
        <f>VLOOKUP(Table1[[#This Row],[AMZ ID]],[1]Roster_1787503287932!$D$2:$AM$1370,35,0)</f>
        <v>0</v>
      </c>
    </row>
    <row r="257" spans="1:25" ht="13" customHeight="1">
      <c r="A257" s="11">
        <v>251</v>
      </c>
      <c r="B257" s="47">
        <v>102865821</v>
      </c>
      <c r="C257" s="89" t="s">
        <v>1535</v>
      </c>
      <c r="D257" s="11" t="s">
        <v>1536</v>
      </c>
      <c r="E257" s="48" t="s">
        <v>34</v>
      </c>
      <c r="F257" s="48" t="s">
        <v>74</v>
      </c>
      <c r="G257" s="11" t="s">
        <v>64</v>
      </c>
      <c r="H257" s="11" t="s">
        <v>75</v>
      </c>
      <c r="I257" s="11">
        <v>1299</v>
      </c>
      <c r="J257" s="129" t="s">
        <v>32</v>
      </c>
      <c r="K257" s="11" t="s">
        <v>76</v>
      </c>
      <c r="L257" s="129" t="s">
        <v>77</v>
      </c>
      <c r="M257" s="129" t="s">
        <v>78</v>
      </c>
      <c r="N257" s="11" t="s">
        <v>2734</v>
      </c>
      <c r="O257" s="11" t="s">
        <v>1537</v>
      </c>
      <c r="P257" s="11" t="s">
        <v>1443</v>
      </c>
      <c r="Q257" s="11" t="s">
        <v>98</v>
      </c>
      <c r="R257" s="11" t="s">
        <v>1538</v>
      </c>
      <c r="S257" s="11" t="s">
        <v>1539</v>
      </c>
      <c r="T257" s="116" t="s">
        <v>10</v>
      </c>
      <c r="U257" s="88"/>
      <c r="V257" s="51">
        <v>43012</v>
      </c>
      <c r="W257" s="102" t="s">
        <v>1583</v>
      </c>
      <c r="X257" s="135" t="str">
        <f>VLOOKUP(Table1[[#This Row],[AMZ ID]],[1]Roster_1787503287932!$D$2:$AU$1370,25,0)</f>
        <v>Not Present</v>
      </c>
      <c r="Y257" s="135">
        <f>VLOOKUP(Table1[[#This Row],[AMZ ID]],[1]Roster_1787503287932!$D$2:$AM$1370,35,0)</f>
        <v>0</v>
      </c>
    </row>
    <row r="258" spans="1:25" ht="13" customHeight="1">
      <c r="A258" s="11">
        <v>252</v>
      </c>
      <c r="B258" s="47">
        <v>203709886</v>
      </c>
      <c r="C258" s="89" t="s">
        <v>198</v>
      </c>
      <c r="D258" s="11" t="s">
        <v>199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2471</v>
      </c>
      <c r="K258" s="49" t="s">
        <v>76</v>
      </c>
      <c r="L258" s="49" t="s">
        <v>95</v>
      </c>
      <c r="M258" s="49" t="s">
        <v>77</v>
      </c>
      <c r="N258" s="48" t="s">
        <v>86</v>
      </c>
      <c r="O258" s="49" t="s">
        <v>33</v>
      </c>
      <c r="P258" s="11" t="s">
        <v>80</v>
      </c>
      <c r="Q258" s="11" t="s">
        <v>99</v>
      </c>
      <c r="R258" s="11" t="s">
        <v>159</v>
      </c>
      <c r="S258" s="11" t="s">
        <v>2714</v>
      </c>
      <c r="T258" s="116" t="s">
        <v>1</v>
      </c>
      <c r="U258" s="88"/>
      <c r="V258" s="51">
        <v>45495</v>
      </c>
      <c r="W258" s="97" t="s">
        <v>1569</v>
      </c>
      <c r="X258" s="135" t="str">
        <f>VLOOKUP(Table1[[#This Row],[AMZ ID]],[1]Roster_1787503287932!$D$2:$AU$1370,25,0)</f>
        <v>Present</v>
      </c>
      <c r="Y258" s="135">
        <f>VLOOKUP(Table1[[#This Row],[AMZ ID]],[1]Roster_1787503287932!$D$2:$AM$1370,35,0)</f>
        <v>0</v>
      </c>
    </row>
    <row r="259" spans="1:25" ht="13" customHeight="1">
      <c r="A259" s="11">
        <v>253</v>
      </c>
      <c r="B259" s="47">
        <v>103875256</v>
      </c>
      <c r="C259" s="89" t="s">
        <v>200</v>
      </c>
      <c r="D259" s="11" t="s">
        <v>201</v>
      </c>
      <c r="E259" s="48" t="s">
        <v>34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88</v>
      </c>
      <c r="M259" s="49" t="s">
        <v>95</v>
      </c>
      <c r="N259" s="48" t="s">
        <v>108</v>
      </c>
      <c r="O259" s="49" t="s">
        <v>33</v>
      </c>
      <c r="P259" s="11" t="s">
        <v>80</v>
      </c>
      <c r="Q259" s="11" t="s">
        <v>98</v>
      </c>
      <c r="R259" s="11" t="s">
        <v>159</v>
      </c>
      <c r="S259" s="11" t="s">
        <v>2714</v>
      </c>
      <c r="T259" s="116" t="s">
        <v>1</v>
      </c>
      <c r="U259" s="88"/>
      <c r="V259" s="51">
        <v>44782</v>
      </c>
      <c r="W259" s="97" t="s">
        <v>1569</v>
      </c>
      <c r="X259" s="135" t="str">
        <f>VLOOKUP(Table1[[#This Row],[AMZ ID]],[1]Roster_1787503287932!$D$2:$AU$1370,25,0)</f>
        <v>Present</v>
      </c>
      <c r="Y259" s="135">
        <f>VLOOKUP(Table1[[#This Row],[AMZ ID]],[1]Roster_1787503287932!$D$2:$AM$1370,35,0)</f>
        <v>0</v>
      </c>
    </row>
    <row r="260" spans="1:25" ht="13" customHeight="1">
      <c r="A260" s="11">
        <v>254</v>
      </c>
      <c r="B260" s="47">
        <v>204883087</v>
      </c>
      <c r="C260" s="89" t="s">
        <v>202</v>
      </c>
      <c r="D260" s="11" t="s">
        <v>203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95</v>
      </c>
      <c r="M260" s="49" t="s">
        <v>77</v>
      </c>
      <c r="N260" s="48" t="s">
        <v>86</v>
      </c>
      <c r="O260" s="49" t="s">
        <v>33</v>
      </c>
      <c r="P260" s="11" t="s">
        <v>80</v>
      </c>
      <c r="Q260" s="11" t="s">
        <v>87</v>
      </c>
      <c r="R260" s="11" t="s">
        <v>159</v>
      </c>
      <c r="S260" s="11" t="s">
        <v>2714</v>
      </c>
      <c r="T260" s="116" t="s">
        <v>1</v>
      </c>
      <c r="U260" s="88"/>
      <c r="V260" s="51">
        <v>45691</v>
      </c>
      <c r="W260" s="97" t="s">
        <v>1569</v>
      </c>
      <c r="X260" s="135" t="str">
        <f>VLOOKUP(Table1[[#This Row],[AMZ ID]],[1]Roster_1787503287932!$D$2:$AU$1370,25,0)</f>
        <v>Present</v>
      </c>
      <c r="Y260" s="135">
        <f>VLOOKUP(Table1[[#This Row],[AMZ ID]],[1]Roster_1787503287932!$D$2:$AM$1370,35,0)</f>
        <v>0</v>
      </c>
    </row>
    <row r="261" spans="1:25" ht="13" customHeight="1">
      <c r="A261" s="11">
        <v>255</v>
      </c>
      <c r="B261" s="47">
        <v>204967040</v>
      </c>
      <c r="C261" s="89" t="s">
        <v>204</v>
      </c>
      <c r="D261" s="11" t="s">
        <v>205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2471</v>
      </c>
      <c r="K261" s="49" t="s">
        <v>76</v>
      </c>
      <c r="L261" s="49" t="s">
        <v>78</v>
      </c>
      <c r="M261" s="49" t="s">
        <v>92</v>
      </c>
      <c r="N261" s="48" t="s">
        <v>86</v>
      </c>
      <c r="O261" s="49" t="s">
        <v>33</v>
      </c>
      <c r="P261" s="11" t="s">
        <v>80</v>
      </c>
      <c r="Q261" s="11" t="s">
        <v>90</v>
      </c>
      <c r="R261" s="11" t="s">
        <v>159</v>
      </c>
      <c r="S261" s="11" t="s">
        <v>2714</v>
      </c>
      <c r="T261" s="116" t="s">
        <v>10</v>
      </c>
      <c r="U261" s="88"/>
      <c r="V261" s="51">
        <v>45719</v>
      </c>
      <c r="W261" s="97" t="s">
        <v>1569</v>
      </c>
      <c r="X261" s="135" t="str">
        <f>VLOOKUP(Table1[[#This Row],[AMZ ID]],[1]Roster_1787503287932!$D$2:$AU$1370,25,0)</f>
        <v>Not Present</v>
      </c>
      <c r="Y261" s="135">
        <f>VLOOKUP(Table1[[#This Row],[AMZ ID]],[1]Roster_1787503287932!$D$2:$AM$1370,35,0)</f>
        <v>0</v>
      </c>
    </row>
    <row r="262" spans="1:25" ht="13" customHeight="1">
      <c r="A262" s="11">
        <v>256</v>
      </c>
      <c r="B262" s="47">
        <v>203470082</v>
      </c>
      <c r="C262" s="89" t="s">
        <v>206</v>
      </c>
      <c r="D262" s="11" t="s">
        <v>207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2471</v>
      </c>
      <c r="K262" s="49" t="s">
        <v>76</v>
      </c>
      <c r="L262" s="49" t="s">
        <v>84</v>
      </c>
      <c r="M262" s="49" t="s">
        <v>85</v>
      </c>
      <c r="N262" s="48" t="s">
        <v>86</v>
      </c>
      <c r="O262" s="49" t="s">
        <v>33</v>
      </c>
      <c r="P262" s="11" t="s">
        <v>80</v>
      </c>
      <c r="Q262" s="11" t="s">
        <v>99</v>
      </c>
      <c r="R262" s="11" t="s">
        <v>159</v>
      </c>
      <c r="S262" s="11" t="s">
        <v>2714</v>
      </c>
      <c r="T262" s="116" t="s">
        <v>1</v>
      </c>
      <c r="U262" s="88"/>
      <c r="V262" s="51">
        <v>45456</v>
      </c>
      <c r="W262" s="97" t="s">
        <v>1569</v>
      </c>
      <c r="X262" s="135" t="str">
        <f>VLOOKUP(Table1[[#This Row],[AMZ ID]],[1]Roster_1787503287932!$D$2:$AU$1370,25,0)</f>
        <v>Present</v>
      </c>
      <c r="Y262" s="135">
        <f>VLOOKUP(Table1[[#This Row],[AMZ ID]],[1]Roster_1787503287932!$D$2:$AM$1370,35,0)</f>
        <v>0</v>
      </c>
    </row>
    <row r="263" spans="1:25" ht="13" customHeight="1">
      <c r="A263" s="11">
        <v>257</v>
      </c>
      <c r="B263" s="47">
        <v>206015654</v>
      </c>
      <c r="C263" s="89" t="s">
        <v>208</v>
      </c>
      <c r="D263" s="11" t="s">
        <v>209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92</v>
      </c>
      <c r="M263" s="49" t="s">
        <v>84</v>
      </c>
      <c r="N263" s="48" t="s">
        <v>79</v>
      </c>
      <c r="O263" s="49" t="s">
        <v>33</v>
      </c>
      <c r="P263" s="11" t="s">
        <v>80</v>
      </c>
      <c r="Q263" s="11" t="s">
        <v>81</v>
      </c>
      <c r="R263" s="11" t="s">
        <v>159</v>
      </c>
      <c r="S263" s="11" t="s">
        <v>2714</v>
      </c>
      <c r="T263" s="116" t="s">
        <v>1</v>
      </c>
      <c r="U263" s="88"/>
      <c r="V263" s="51">
        <v>45915</v>
      </c>
      <c r="W263" s="97" t="s">
        <v>1569</v>
      </c>
      <c r="X263" s="135" t="str">
        <f>VLOOKUP(Table1[[#This Row],[AMZ ID]],[1]Roster_1787503287932!$D$2:$AU$1370,25,0)</f>
        <v>Present</v>
      </c>
      <c r="Y263" s="135">
        <f>VLOOKUP(Table1[[#This Row],[AMZ ID]],[1]Roster_1787503287932!$D$2:$AM$1370,35,0)</f>
        <v>0</v>
      </c>
    </row>
    <row r="264" spans="1:25" ht="13" customHeight="1">
      <c r="A264" s="11">
        <v>258</v>
      </c>
      <c r="B264" s="47">
        <v>203635600</v>
      </c>
      <c r="C264" s="89" t="s">
        <v>210</v>
      </c>
      <c r="D264" s="11" t="s">
        <v>211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32</v>
      </c>
      <c r="K264" s="49" t="s">
        <v>76</v>
      </c>
      <c r="L264" s="49" t="s">
        <v>88</v>
      </c>
      <c r="M264" s="49" t="s">
        <v>95</v>
      </c>
      <c r="N264" s="48" t="s">
        <v>79</v>
      </c>
      <c r="O264" s="49" t="s">
        <v>33</v>
      </c>
      <c r="P264" s="11" t="s">
        <v>80</v>
      </c>
      <c r="Q264" s="11" t="s">
        <v>81</v>
      </c>
      <c r="R264" s="11" t="s">
        <v>159</v>
      </c>
      <c r="S264" s="11" t="s">
        <v>2714</v>
      </c>
      <c r="T264" s="116" t="s">
        <v>1</v>
      </c>
      <c r="U264" s="88"/>
      <c r="V264" s="51">
        <v>45481</v>
      </c>
      <c r="W264" s="97" t="s">
        <v>1569</v>
      </c>
      <c r="X264" s="135" t="str">
        <f>VLOOKUP(Table1[[#This Row],[AMZ ID]],[1]Roster_1787503287932!$D$2:$AU$1370,25,0)</f>
        <v>Present</v>
      </c>
      <c r="Y264" s="135">
        <f>VLOOKUP(Table1[[#This Row],[AMZ ID]],[1]Roster_1787503287932!$D$2:$AM$1370,35,0)</f>
        <v>0</v>
      </c>
    </row>
    <row r="265" spans="1:25" ht="13" customHeight="1">
      <c r="A265" s="11">
        <v>259</v>
      </c>
      <c r="B265" s="47">
        <v>204013736</v>
      </c>
      <c r="C265" s="89" t="s">
        <v>212</v>
      </c>
      <c r="D265" s="11" t="s">
        <v>213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2471</v>
      </c>
      <c r="K265" s="49" t="s">
        <v>76</v>
      </c>
      <c r="L265" s="49" t="s">
        <v>77</v>
      </c>
      <c r="M265" s="49" t="s">
        <v>78</v>
      </c>
      <c r="N265" s="48" t="s">
        <v>79</v>
      </c>
      <c r="O265" s="49" t="s">
        <v>33</v>
      </c>
      <c r="P265" s="11" t="s">
        <v>80</v>
      </c>
      <c r="Q265" s="11" t="s">
        <v>81</v>
      </c>
      <c r="R265" s="11" t="s">
        <v>159</v>
      </c>
      <c r="S265" s="11" t="s">
        <v>2714</v>
      </c>
      <c r="T265" s="116" t="s">
        <v>10</v>
      </c>
      <c r="U265" s="88"/>
      <c r="V265" s="51">
        <v>45551</v>
      </c>
      <c r="W265" s="97" t="s">
        <v>1569</v>
      </c>
      <c r="X265" s="135" t="str">
        <f>VLOOKUP(Table1[[#This Row],[AMZ ID]],[1]Roster_1787503287932!$D$2:$AU$1370,25,0)</f>
        <v>Not Present</v>
      </c>
      <c r="Y265" s="135">
        <f>VLOOKUP(Table1[[#This Row],[AMZ ID]],[1]Roster_1787503287932!$D$2:$AM$1370,35,0)</f>
        <v>0</v>
      </c>
    </row>
    <row r="266" spans="1:25" ht="13" customHeight="1">
      <c r="A266" s="11">
        <v>260</v>
      </c>
      <c r="B266" s="47">
        <v>206953819</v>
      </c>
      <c r="C266" s="89" t="s">
        <v>2104</v>
      </c>
      <c r="D266" s="11" t="s">
        <v>2027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88</v>
      </c>
      <c r="M266" s="49" t="s">
        <v>95</v>
      </c>
      <c r="N266" s="48" t="s">
        <v>89</v>
      </c>
      <c r="O266" s="49" t="s">
        <v>33</v>
      </c>
      <c r="P266" s="11" t="s">
        <v>80</v>
      </c>
      <c r="Q266" s="11" t="s">
        <v>96</v>
      </c>
      <c r="R266" s="11" t="s">
        <v>159</v>
      </c>
      <c r="S266" s="11" t="s">
        <v>2714</v>
      </c>
      <c r="T266" s="116" t="s">
        <v>1</v>
      </c>
      <c r="U266" s="88"/>
      <c r="V266" s="51">
        <v>46048</v>
      </c>
      <c r="W266" s="97" t="s">
        <v>1569</v>
      </c>
      <c r="X266" s="135" t="str">
        <f>VLOOKUP(Table1[[#This Row],[AMZ ID]],[1]Roster_1787503287932!$D$2:$AU$1370,25,0)</f>
        <v>Present</v>
      </c>
      <c r="Y266" s="135">
        <f>VLOOKUP(Table1[[#This Row],[AMZ ID]],[1]Roster_1787503287932!$D$2:$AM$1370,35,0)</f>
        <v>0</v>
      </c>
    </row>
    <row r="267" spans="1:25" ht="13" customHeight="1">
      <c r="A267" s="11">
        <v>261</v>
      </c>
      <c r="B267" s="47">
        <v>206348214</v>
      </c>
      <c r="C267" s="89" t="s">
        <v>1666</v>
      </c>
      <c r="D267" s="11" t="s">
        <v>1667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77</v>
      </c>
      <c r="M267" s="49" t="s">
        <v>78</v>
      </c>
      <c r="N267" s="49" t="s">
        <v>89</v>
      </c>
      <c r="O267" s="49" t="s">
        <v>33</v>
      </c>
      <c r="P267" s="11" t="s">
        <v>80</v>
      </c>
      <c r="Q267" s="11" t="s">
        <v>81</v>
      </c>
      <c r="R267" s="11" t="s">
        <v>159</v>
      </c>
      <c r="S267" s="11" t="s">
        <v>2714</v>
      </c>
      <c r="T267" s="116" t="s">
        <v>10</v>
      </c>
      <c r="U267" s="88"/>
      <c r="V267" s="51">
        <v>45957</v>
      </c>
      <c r="W267" s="97" t="s">
        <v>1569</v>
      </c>
      <c r="X267" s="135" t="str">
        <f>VLOOKUP(Table1[[#This Row],[AMZ ID]],[1]Roster_1787503287932!$D$2:$AU$1370,25,0)</f>
        <v>Not Present</v>
      </c>
      <c r="Y267" s="135">
        <f>VLOOKUP(Table1[[#This Row],[AMZ ID]],[1]Roster_1787503287932!$D$2:$AM$1370,35,0)</f>
        <v>0</v>
      </c>
    </row>
    <row r="268" spans="1:25" ht="13" customHeight="1">
      <c r="A268" s="11">
        <v>262</v>
      </c>
      <c r="B268" s="47">
        <v>206148779</v>
      </c>
      <c r="C268" s="89" t="s">
        <v>214</v>
      </c>
      <c r="D268" s="11" t="s">
        <v>215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95</v>
      </c>
      <c r="M268" s="49" t="s">
        <v>77</v>
      </c>
      <c r="N268" s="49" t="s">
        <v>79</v>
      </c>
      <c r="O268" s="49" t="s">
        <v>33</v>
      </c>
      <c r="P268" s="11" t="s">
        <v>80</v>
      </c>
      <c r="Q268" s="11" t="s">
        <v>81</v>
      </c>
      <c r="R268" s="11" t="s">
        <v>159</v>
      </c>
      <c r="S268" s="11" t="s">
        <v>2714</v>
      </c>
      <c r="T268" s="116" t="s">
        <v>1</v>
      </c>
      <c r="U268" s="88"/>
      <c r="V268" s="51">
        <v>45929</v>
      </c>
      <c r="W268" s="97" t="s">
        <v>1569</v>
      </c>
      <c r="X268" s="135" t="str">
        <f>VLOOKUP(Table1[[#This Row],[AMZ ID]],[1]Roster_1787503287932!$D$2:$AU$1370,25,0)</f>
        <v>Present</v>
      </c>
      <c r="Y268" s="135">
        <f>VLOOKUP(Table1[[#This Row],[AMZ ID]],[1]Roster_1787503287932!$D$2:$AM$1370,35,0)</f>
        <v>0</v>
      </c>
    </row>
    <row r="269" spans="1:25" ht="13" customHeight="1">
      <c r="A269" s="11">
        <v>263</v>
      </c>
      <c r="B269" s="47">
        <v>206192491</v>
      </c>
      <c r="C269" s="89" t="s">
        <v>1646</v>
      </c>
      <c r="D269" s="11" t="s">
        <v>1631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85</v>
      </c>
      <c r="M269" s="49" t="s">
        <v>88</v>
      </c>
      <c r="N269" s="48" t="s">
        <v>79</v>
      </c>
      <c r="O269" s="49" t="s">
        <v>33</v>
      </c>
      <c r="P269" s="11" t="s">
        <v>80</v>
      </c>
      <c r="Q269" s="11" t="s">
        <v>96</v>
      </c>
      <c r="R269" s="11" t="s">
        <v>159</v>
      </c>
      <c r="S269" s="11" t="s">
        <v>2714</v>
      </c>
      <c r="T269" s="116" t="s">
        <v>1</v>
      </c>
      <c r="U269" s="88"/>
      <c r="V269" s="51">
        <v>45943</v>
      </c>
      <c r="W269" s="97" t="s">
        <v>1569</v>
      </c>
      <c r="X269" s="135" t="str">
        <f>VLOOKUP(Table1[[#This Row],[AMZ ID]],[1]Roster_1787503287932!$D$2:$AU$1370,25,0)</f>
        <v>Present</v>
      </c>
      <c r="Y269" s="135">
        <f>VLOOKUP(Table1[[#This Row],[AMZ ID]],[1]Roster_1787503287932!$D$2:$AM$1370,35,0)</f>
        <v>0</v>
      </c>
    </row>
    <row r="270" spans="1:25" ht="13" customHeight="1">
      <c r="A270" s="11">
        <v>264</v>
      </c>
      <c r="B270" s="47">
        <v>206953568</v>
      </c>
      <c r="C270" s="89" t="s">
        <v>2105</v>
      </c>
      <c r="D270" s="11" t="s">
        <v>2028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88</v>
      </c>
      <c r="M270" s="49" t="s">
        <v>95</v>
      </c>
      <c r="N270" s="48" t="s">
        <v>89</v>
      </c>
      <c r="O270" s="49" t="s">
        <v>33</v>
      </c>
      <c r="P270" s="11" t="s">
        <v>80</v>
      </c>
      <c r="Q270" s="11" t="s">
        <v>96</v>
      </c>
      <c r="R270" s="11" t="s">
        <v>159</v>
      </c>
      <c r="S270" s="11" t="s">
        <v>2714</v>
      </c>
      <c r="T270" s="116" t="s">
        <v>1</v>
      </c>
      <c r="U270" s="88"/>
      <c r="V270" s="51">
        <v>46048</v>
      </c>
      <c r="W270" s="97" t="s">
        <v>1569</v>
      </c>
      <c r="X270" s="135" t="str">
        <f>VLOOKUP(Table1[[#This Row],[AMZ ID]],[1]Roster_1787503287932!$D$2:$AU$1370,25,0)</f>
        <v>Present</v>
      </c>
      <c r="Y270" s="135">
        <f>VLOOKUP(Table1[[#This Row],[AMZ ID]],[1]Roster_1787503287932!$D$2:$AM$1370,35,0)</f>
        <v>0</v>
      </c>
    </row>
    <row r="271" spans="1:25" ht="13" customHeight="1">
      <c r="A271" s="11">
        <v>265</v>
      </c>
      <c r="B271" s="47">
        <v>206953818</v>
      </c>
      <c r="C271" s="89" t="s">
        <v>2106</v>
      </c>
      <c r="D271" s="11" t="s">
        <v>2029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92</v>
      </c>
      <c r="M271" s="49" t="s">
        <v>84</v>
      </c>
      <c r="N271" s="49" t="s">
        <v>89</v>
      </c>
      <c r="O271" s="49" t="s">
        <v>33</v>
      </c>
      <c r="P271" s="11" t="s">
        <v>80</v>
      </c>
      <c r="Q271" s="11" t="s">
        <v>96</v>
      </c>
      <c r="R271" s="11" t="s">
        <v>159</v>
      </c>
      <c r="S271" s="11" t="s">
        <v>2714</v>
      </c>
      <c r="T271" s="116" t="s">
        <v>1</v>
      </c>
      <c r="U271" s="88"/>
      <c r="V271" s="51">
        <v>46048</v>
      </c>
      <c r="W271" s="97" t="s">
        <v>1569</v>
      </c>
      <c r="X271" s="135" t="str">
        <f>VLOOKUP(Table1[[#This Row],[AMZ ID]],[1]Roster_1787503287932!$D$2:$AU$1370,25,0)</f>
        <v>Present</v>
      </c>
      <c r="Y271" s="135">
        <f>VLOOKUP(Table1[[#This Row],[AMZ ID]],[1]Roster_1787503287932!$D$2:$AM$1370,35,0)</f>
        <v>0</v>
      </c>
    </row>
    <row r="272" spans="1:25" ht="13" customHeight="1">
      <c r="A272" s="11">
        <v>266</v>
      </c>
      <c r="B272" s="47">
        <v>203709884</v>
      </c>
      <c r="C272" s="89" t="s">
        <v>216</v>
      </c>
      <c r="D272" s="11" t="s">
        <v>217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77</v>
      </c>
      <c r="M272" s="49" t="s">
        <v>78</v>
      </c>
      <c r="N272" s="49" t="s">
        <v>86</v>
      </c>
      <c r="O272" s="49" t="s">
        <v>33</v>
      </c>
      <c r="P272" s="11" t="s">
        <v>80</v>
      </c>
      <c r="Q272" s="11" t="s">
        <v>99</v>
      </c>
      <c r="R272" s="11" t="s">
        <v>159</v>
      </c>
      <c r="S272" s="11" t="s">
        <v>2714</v>
      </c>
      <c r="T272" s="116" t="s">
        <v>10</v>
      </c>
      <c r="U272" s="88"/>
      <c r="V272" s="51">
        <v>45495</v>
      </c>
      <c r="W272" s="97" t="s">
        <v>1569</v>
      </c>
      <c r="X272" s="135" t="str">
        <f>VLOOKUP(Table1[[#This Row],[AMZ ID]],[1]Roster_1787503287932!$D$2:$AU$1370,25,0)</f>
        <v>Not Present</v>
      </c>
      <c r="Y272" s="135">
        <f>VLOOKUP(Table1[[#This Row],[AMZ ID]],[1]Roster_1787503287932!$D$2:$AM$1370,35,0)</f>
        <v>0</v>
      </c>
    </row>
    <row r="273" spans="1:25" ht="13" customHeight="1">
      <c r="A273" s="11">
        <v>267</v>
      </c>
      <c r="B273" s="47">
        <v>203709883</v>
      </c>
      <c r="C273" s="89" t="s">
        <v>218</v>
      </c>
      <c r="D273" s="11" t="s">
        <v>219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85</v>
      </c>
      <c r="M273" s="49" t="s">
        <v>88</v>
      </c>
      <c r="N273" s="48" t="s">
        <v>86</v>
      </c>
      <c r="O273" s="49" t="s">
        <v>33</v>
      </c>
      <c r="P273" s="11" t="s">
        <v>80</v>
      </c>
      <c r="Q273" s="11" t="s">
        <v>99</v>
      </c>
      <c r="R273" s="11" t="s">
        <v>159</v>
      </c>
      <c r="S273" s="11" t="s">
        <v>2714</v>
      </c>
      <c r="T273" s="116" t="s">
        <v>1</v>
      </c>
      <c r="U273" s="88"/>
      <c r="V273" s="51">
        <v>45495</v>
      </c>
      <c r="W273" s="97" t="s">
        <v>1569</v>
      </c>
      <c r="X273" s="135" t="str">
        <f>VLOOKUP(Table1[[#This Row],[AMZ ID]],[1]Roster_1787503287932!$D$2:$AU$1370,25,0)</f>
        <v>Present</v>
      </c>
      <c r="Y273" s="135">
        <f>VLOOKUP(Table1[[#This Row],[AMZ ID]],[1]Roster_1787503287932!$D$2:$AM$1370,35,0)</f>
        <v>0</v>
      </c>
    </row>
    <row r="274" spans="1:25" ht="13" customHeight="1">
      <c r="A274" s="11">
        <v>268</v>
      </c>
      <c r="B274" s="47">
        <v>203470579</v>
      </c>
      <c r="C274" s="89" t="s">
        <v>220</v>
      </c>
      <c r="D274" s="11" t="s">
        <v>221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77</v>
      </c>
      <c r="M274" s="49" t="s">
        <v>78</v>
      </c>
      <c r="N274" s="48" t="s">
        <v>86</v>
      </c>
      <c r="O274" s="49" t="s">
        <v>33</v>
      </c>
      <c r="P274" s="11" t="s">
        <v>80</v>
      </c>
      <c r="Q274" s="11" t="s">
        <v>99</v>
      </c>
      <c r="R274" s="11" t="s">
        <v>159</v>
      </c>
      <c r="S274" s="11" t="s">
        <v>2714</v>
      </c>
      <c r="T274" s="116" t="s">
        <v>10</v>
      </c>
      <c r="U274" s="88"/>
      <c r="V274" s="51">
        <v>45456</v>
      </c>
      <c r="W274" s="97" t="s">
        <v>1569</v>
      </c>
      <c r="X274" s="135" t="str">
        <f>VLOOKUP(Table1[[#This Row],[AMZ ID]],[1]Roster_1787503287932!$D$2:$AU$1370,25,0)</f>
        <v>Not Present</v>
      </c>
      <c r="Y274" s="135">
        <f>VLOOKUP(Table1[[#This Row],[AMZ ID]],[1]Roster_1787503287932!$D$2:$AM$1370,35,0)</f>
        <v>0</v>
      </c>
    </row>
    <row r="275" spans="1:25" ht="13" customHeight="1">
      <c r="A275" s="11">
        <v>269</v>
      </c>
      <c r="B275" s="47">
        <v>206791751</v>
      </c>
      <c r="C275" s="89" t="s">
        <v>2491</v>
      </c>
      <c r="D275" s="11" t="s">
        <v>2492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78</v>
      </c>
      <c r="M275" s="49" t="s">
        <v>92</v>
      </c>
      <c r="N275" s="48" t="s">
        <v>89</v>
      </c>
      <c r="O275" s="49" t="s">
        <v>35</v>
      </c>
      <c r="P275" s="11" t="s">
        <v>80</v>
      </c>
      <c r="Q275" s="11" t="s">
        <v>90</v>
      </c>
      <c r="R275" s="11" t="s">
        <v>224</v>
      </c>
      <c r="S275" s="11" t="s">
        <v>2715</v>
      </c>
      <c r="T275" s="116" t="s">
        <v>10</v>
      </c>
      <c r="U275" s="88"/>
      <c r="V275" s="51">
        <v>45999</v>
      </c>
      <c r="W275" s="97" t="s">
        <v>1573</v>
      </c>
      <c r="X275" s="135" t="str">
        <f>VLOOKUP(Table1[[#This Row],[AMZ ID]],[1]Roster_1787503287932!$D$2:$AU$1370,25,0)</f>
        <v>Not Present</v>
      </c>
      <c r="Y275" s="135">
        <f>VLOOKUP(Table1[[#This Row],[AMZ ID]],[1]Roster_1787503287932!$D$2:$AM$1370,35,0)</f>
        <v>0</v>
      </c>
    </row>
    <row r="276" spans="1:25" ht="13" customHeight="1">
      <c r="A276" s="11">
        <v>270</v>
      </c>
      <c r="B276" s="47">
        <v>111231851</v>
      </c>
      <c r="C276" s="89" t="s">
        <v>222</v>
      </c>
      <c r="D276" s="11" t="s">
        <v>223</v>
      </c>
      <c r="E276" s="48" t="s">
        <v>34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88</v>
      </c>
      <c r="M276" s="49" t="s">
        <v>95</v>
      </c>
      <c r="N276" s="49" t="s">
        <v>108</v>
      </c>
      <c r="O276" s="49" t="s">
        <v>35</v>
      </c>
      <c r="P276" s="11" t="s">
        <v>80</v>
      </c>
      <c r="Q276" s="11" t="s">
        <v>98</v>
      </c>
      <c r="R276" s="11" t="s">
        <v>224</v>
      </c>
      <c r="S276" s="11" t="s">
        <v>2715</v>
      </c>
      <c r="T276" s="116" t="s">
        <v>1</v>
      </c>
      <c r="U276" s="88"/>
      <c r="V276" s="51">
        <v>44782</v>
      </c>
      <c r="W276" s="97" t="s">
        <v>1570</v>
      </c>
      <c r="X276" s="135" t="str">
        <f>VLOOKUP(Table1[[#This Row],[AMZ ID]],[1]Roster_1787503287932!$D$2:$AU$1370,25,0)</f>
        <v>Present</v>
      </c>
      <c r="Y276" s="135">
        <f>VLOOKUP(Table1[[#This Row],[AMZ ID]],[1]Roster_1787503287932!$D$2:$AM$1370,35,0)</f>
        <v>0</v>
      </c>
    </row>
    <row r="277" spans="1:25" ht="13" customHeight="1">
      <c r="A277" s="11">
        <v>271</v>
      </c>
      <c r="B277" s="47">
        <v>206791753</v>
      </c>
      <c r="C277" s="89" t="s">
        <v>2493</v>
      </c>
      <c r="D277" s="11" t="s">
        <v>2494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39</v>
      </c>
      <c r="K277" s="49" t="s">
        <v>76</v>
      </c>
      <c r="L277" s="49" t="s">
        <v>88</v>
      </c>
      <c r="M277" s="49" t="s">
        <v>95</v>
      </c>
      <c r="N277" s="48" t="s">
        <v>89</v>
      </c>
      <c r="O277" s="49" t="s">
        <v>35</v>
      </c>
      <c r="P277" s="11" t="s">
        <v>80</v>
      </c>
      <c r="Q277" s="11" t="s">
        <v>90</v>
      </c>
      <c r="R277" s="11" t="s">
        <v>225</v>
      </c>
      <c r="S277" s="11" t="s">
        <v>226</v>
      </c>
      <c r="T277" s="116" t="s">
        <v>1</v>
      </c>
      <c r="U277" s="88"/>
      <c r="V277" s="51">
        <v>45999</v>
      </c>
      <c r="W277" s="97" t="s">
        <v>1574</v>
      </c>
      <c r="X277" s="135" t="str">
        <f>VLOOKUP(Table1[[#This Row],[AMZ ID]],[1]Roster_1787503287932!$D$2:$AU$1370,25,0)</f>
        <v>Present</v>
      </c>
      <c r="Y277" s="135">
        <f>VLOOKUP(Table1[[#This Row],[AMZ ID]],[1]Roster_1787503287932!$D$2:$AM$1370,35,0)</f>
        <v>0</v>
      </c>
    </row>
    <row r="278" spans="1:25" ht="13" customHeight="1">
      <c r="A278" s="11">
        <v>272</v>
      </c>
      <c r="B278" s="47">
        <v>203850647</v>
      </c>
      <c r="C278" s="89" t="s">
        <v>2495</v>
      </c>
      <c r="D278" s="11" t="s">
        <v>2496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86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226</v>
      </c>
      <c r="T278" s="116" t="s">
        <v>10</v>
      </c>
      <c r="U278" s="88"/>
      <c r="V278" s="51">
        <v>45524</v>
      </c>
      <c r="W278" s="97" t="s">
        <v>1572</v>
      </c>
      <c r="X278" s="135" t="str">
        <f>VLOOKUP(Table1[[#This Row],[AMZ ID]],[1]Roster_1787503287932!$D$2:$AU$1370,25,0)</f>
        <v>Not Present</v>
      </c>
      <c r="Y278" s="135">
        <f>VLOOKUP(Table1[[#This Row],[AMZ ID]],[1]Roster_1787503287932!$D$2:$AM$1370,35,0)</f>
        <v>0</v>
      </c>
    </row>
    <row r="279" spans="1:25" ht="13" customHeight="1">
      <c r="A279" s="11">
        <v>273</v>
      </c>
      <c r="B279" s="47">
        <v>203816837</v>
      </c>
      <c r="C279" s="89" t="s">
        <v>227</v>
      </c>
      <c r="D279" s="11" t="s">
        <v>228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78</v>
      </c>
      <c r="M279" s="49" t="s">
        <v>92</v>
      </c>
      <c r="N279" s="48" t="s">
        <v>86</v>
      </c>
      <c r="O279" s="49" t="s">
        <v>35</v>
      </c>
      <c r="P279" s="11" t="s">
        <v>80</v>
      </c>
      <c r="Q279" s="11" t="s">
        <v>99</v>
      </c>
      <c r="R279" s="11" t="s">
        <v>225</v>
      </c>
      <c r="S279" s="11" t="s">
        <v>226</v>
      </c>
      <c r="T279" s="116" t="s">
        <v>10</v>
      </c>
      <c r="U279" s="88"/>
      <c r="V279" s="51">
        <v>45517</v>
      </c>
      <c r="W279" s="97" t="s">
        <v>1573</v>
      </c>
      <c r="X279" s="135" t="str">
        <f>VLOOKUP(Table1[[#This Row],[AMZ ID]],[1]Roster_1787503287932!$D$2:$AU$1370,25,0)</f>
        <v>Not Present</v>
      </c>
      <c r="Y279" s="135">
        <f>VLOOKUP(Table1[[#This Row],[AMZ ID]],[1]Roster_1787503287932!$D$2:$AM$1370,35,0)</f>
        <v>0</v>
      </c>
    </row>
    <row r="280" spans="1:25" ht="13" customHeight="1">
      <c r="A280" s="11">
        <v>274</v>
      </c>
      <c r="B280" s="47">
        <v>206874041</v>
      </c>
      <c r="C280" s="89" t="s">
        <v>2583</v>
      </c>
      <c r="D280" s="11" t="s">
        <v>2584</v>
      </c>
      <c r="E280" s="48" t="s">
        <v>31</v>
      </c>
      <c r="F280" s="48" t="s">
        <v>74</v>
      </c>
      <c r="G280" s="48" t="s">
        <v>64</v>
      </c>
      <c r="H280" s="48" t="s">
        <v>75</v>
      </c>
      <c r="I280" s="11">
        <v>1299</v>
      </c>
      <c r="J280" s="49" t="s">
        <v>32</v>
      </c>
      <c r="K280" s="49" t="s">
        <v>76</v>
      </c>
      <c r="L280" s="49" t="s">
        <v>78</v>
      </c>
      <c r="M280" s="49" t="s">
        <v>92</v>
      </c>
      <c r="N280" s="49" t="s">
        <v>89</v>
      </c>
      <c r="O280" s="48" t="s">
        <v>35</v>
      </c>
      <c r="P280" s="48" t="s">
        <v>80</v>
      </c>
      <c r="Q280" s="11" t="s">
        <v>90</v>
      </c>
      <c r="R280" s="11" t="s">
        <v>231</v>
      </c>
      <c r="S280" s="11" t="s">
        <v>1753</v>
      </c>
      <c r="T280" s="116" t="s">
        <v>10</v>
      </c>
      <c r="U280" s="88"/>
      <c r="V280" s="51">
        <v>46020</v>
      </c>
      <c r="W280" s="97" t="s">
        <v>1573</v>
      </c>
      <c r="X280" s="135" t="str">
        <f>VLOOKUP(Table1[[#This Row],[AMZ ID]],[1]Roster_1787503287932!$D$2:$AU$1370,25,0)</f>
        <v>Not Present</v>
      </c>
      <c r="Y280" s="135">
        <f>VLOOKUP(Table1[[#This Row],[AMZ ID]],[1]Roster_1787503287932!$D$2:$AM$1370,35,0)</f>
        <v>0</v>
      </c>
    </row>
    <row r="281" spans="1:25" ht="13" customHeight="1">
      <c r="A281" s="11">
        <v>275</v>
      </c>
      <c r="B281" s="47">
        <v>203850646</v>
      </c>
      <c r="C281" s="89" t="s">
        <v>2497</v>
      </c>
      <c r="D281" s="11" t="s">
        <v>2498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88</v>
      </c>
      <c r="M281" s="49" t="s">
        <v>95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225</v>
      </c>
      <c r="S281" s="11" t="s">
        <v>226</v>
      </c>
      <c r="T281" s="116" t="s">
        <v>1</v>
      </c>
      <c r="U281" s="88"/>
      <c r="V281" s="51">
        <v>45524</v>
      </c>
      <c r="W281" s="97" t="s">
        <v>1572</v>
      </c>
      <c r="X281" s="135" t="str">
        <f>VLOOKUP(Table1[[#This Row],[AMZ ID]],[1]Roster_1787503287932!$D$2:$AU$1370,25,0)</f>
        <v>Present</v>
      </c>
      <c r="Y281" s="135">
        <f>VLOOKUP(Table1[[#This Row],[AMZ ID]],[1]Roster_1787503287932!$D$2:$AM$1370,35,0)</f>
        <v>0</v>
      </c>
    </row>
    <row r="282" spans="1:25" ht="13" customHeight="1">
      <c r="A282" s="11">
        <v>276</v>
      </c>
      <c r="B282" s="47">
        <v>203741314</v>
      </c>
      <c r="C282" s="89" t="s">
        <v>233</v>
      </c>
      <c r="D282" s="11" t="s">
        <v>234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77</v>
      </c>
      <c r="M282" s="49" t="s">
        <v>78</v>
      </c>
      <c r="N282" s="48" t="s">
        <v>79</v>
      </c>
      <c r="O282" s="49" t="s">
        <v>35</v>
      </c>
      <c r="P282" s="11" t="s">
        <v>80</v>
      </c>
      <c r="Q282" s="11" t="s">
        <v>81</v>
      </c>
      <c r="R282" s="11" t="s">
        <v>224</v>
      </c>
      <c r="S282" s="11" t="s">
        <v>2715</v>
      </c>
      <c r="T282" s="116" t="s">
        <v>10</v>
      </c>
      <c r="U282" s="88"/>
      <c r="V282" s="51">
        <v>45502</v>
      </c>
      <c r="W282" s="97" t="s">
        <v>1573</v>
      </c>
      <c r="X282" s="135" t="str">
        <f>VLOOKUP(Table1[[#This Row],[AMZ ID]],[1]Roster_1787503287932!$D$2:$AU$1370,25,0)</f>
        <v>Not Present</v>
      </c>
      <c r="Y282" s="135">
        <f>VLOOKUP(Table1[[#This Row],[AMZ ID]],[1]Roster_1787503287932!$D$2:$AM$1370,35,0)</f>
        <v>0</v>
      </c>
    </row>
    <row r="283" spans="1:25" ht="13" customHeight="1">
      <c r="A283" s="11">
        <v>277</v>
      </c>
      <c r="B283" s="47">
        <v>203813034</v>
      </c>
      <c r="C283" s="89" t="s">
        <v>235</v>
      </c>
      <c r="D283" s="11" t="s">
        <v>236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77</v>
      </c>
      <c r="M283" s="49" t="s">
        <v>78</v>
      </c>
      <c r="N283" s="48" t="s">
        <v>86</v>
      </c>
      <c r="O283" s="49" t="s">
        <v>35</v>
      </c>
      <c r="P283" s="11" t="s">
        <v>80</v>
      </c>
      <c r="Q283" s="11" t="s">
        <v>99</v>
      </c>
      <c r="R283" s="11" t="s">
        <v>225</v>
      </c>
      <c r="S283" s="11" t="s">
        <v>226</v>
      </c>
      <c r="T283" s="116" t="s">
        <v>10</v>
      </c>
      <c r="U283" s="88"/>
      <c r="V283" s="51">
        <v>45517</v>
      </c>
      <c r="W283" s="97" t="s">
        <v>1573</v>
      </c>
      <c r="X283" s="135" t="str">
        <f>VLOOKUP(Table1[[#This Row],[AMZ ID]],[1]Roster_1787503287932!$D$2:$AU$1370,25,0)</f>
        <v>Not Present</v>
      </c>
      <c r="Y283" s="135">
        <f>VLOOKUP(Table1[[#This Row],[AMZ ID]],[1]Roster_1787503287932!$D$2:$AM$1370,35,0)</f>
        <v>0</v>
      </c>
    </row>
    <row r="284" spans="1:25" ht="13" customHeight="1">
      <c r="A284" s="11">
        <v>278</v>
      </c>
      <c r="B284" s="47">
        <v>203813038</v>
      </c>
      <c r="C284" s="89" t="s">
        <v>237</v>
      </c>
      <c r="D284" s="11" t="s">
        <v>238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84</v>
      </c>
      <c r="M284" s="49" t="s">
        <v>85</v>
      </c>
      <c r="N284" s="48" t="s">
        <v>86</v>
      </c>
      <c r="O284" s="49" t="s">
        <v>35</v>
      </c>
      <c r="P284" s="11" t="s">
        <v>80</v>
      </c>
      <c r="Q284" s="11" t="s">
        <v>99</v>
      </c>
      <c r="R284" s="11" t="s">
        <v>225</v>
      </c>
      <c r="S284" s="11" t="s">
        <v>226</v>
      </c>
      <c r="T284" s="116" t="s">
        <v>1</v>
      </c>
      <c r="U284" s="88"/>
      <c r="V284" s="51">
        <v>45517</v>
      </c>
      <c r="W284" s="97" t="s">
        <v>1573</v>
      </c>
      <c r="X284" s="135" t="str">
        <f>VLOOKUP(Table1[[#This Row],[AMZ ID]],[1]Roster_1787503287932!$D$2:$AU$1370,25,0)</f>
        <v>Present</v>
      </c>
      <c r="Y284" s="135">
        <f>VLOOKUP(Table1[[#This Row],[AMZ ID]],[1]Roster_1787503287932!$D$2:$AM$1370,35,0)</f>
        <v>0</v>
      </c>
    </row>
    <row r="285" spans="1:25" ht="13" customHeight="1">
      <c r="A285" s="11">
        <v>279</v>
      </c>
      <c r="B285" s="47">
        <v>203813033</v>
      </c>
      <c r="C285" s="89" t="s">
        <v>239</v>
      </c>
      <c r="D285" s="11" t="s">
        <v>240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39</v>
      </c>
      <c r="K285" s="49" t="s">
        <v>76</v>
      </c>
      <c r="L285" s="49" t="s">
        <v>78</v>
      </c>
      <c r="M285" s="49" t="s">
        <v>92</v>
      </c>
      <c r="N285" s="48" t="s">
        <v>86</v>
      </c>
      <c r="O285" s="49" t="s">
        <v>35</v>
      </c>
      <c r="P285" s="11" t="s">
        <v>80</v>
      </c>
      <c r="Q285" s="11" t="s">
        <v>99</v>
      </c>
      <c r="R285" s="11" t="s">
        <v>225</v>
      </c>
      <c r="S285" s="11" t="s">
        <v>226</v>
      </c>
      <c r="T285" s="116" t="s">
        <v>10</v>
      </c>
      <c r="U285" s="88"/>
      <c r="V285" s="51">
        <v>45517</v>
      </c>
      <c r="W285" s="97" t="s">
        <v>1573</v>
      </c>
      <c r="X285" s="135" t="str">
        <f>VLOOKUP(Table1[[#This Row],[AMZ ID]],[1]Roster_1787503287932!$D$2:$AU$1370,25,0)</f>
        <v>Not Present</v>
      </c>
      <c r="Y285" s="135">
        <f>VLOOKUP(Table1[[#This Row],[AMZ ID]],[1]Roster_1787503287932!$D$2:$AM$1370,35,0)</f>
        <v>0</v>
      </c>
    </row>
    <row r="286" spans="1:25" ht="13" customHeight="1">
      <c r="A286" s="11">
        <v>280</v>
      </c>
      <c r="B286" s="47">
        <v>205977111</v>
      </c>
      <c r="C286" s="89" t="s">
        <v>241</v>
      </c>
      <c r="D286" s="11" t="s">
        <v>242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85</v>
      </c>
      <c r="M286" s="49" t="s">
        <v>88</v>
      </c>
      <c r="N286" s="48" t="s">
        <v>86</v>
      </c>
      <c r="O286" s="49" t="s">
        <v>35</v>
      </c>
      <c r="P286" s="11" t="s">
        <v>80</v>
      </c>
      <c r="Q286" s="11" t="s">
        <v>90</v>
      </c>
      <c r="R286" s="11" t="s">
        <v>231</v>
      </c>
      <c r="S286" s="11" t="s">
        <v>1753</v>
      </c>
      <c r="T286" s="116" t="s">
        <v>1</v>
      </c>
      <c r="U286" s="88"/>
      <c r="V286" s="51">
        <v>45915</v>
      </c>
      <c r="W286" s="97" t="s">
        <v>1571</v>
      </c>
      <c r="X286" s="135" t="str">
        <f>VLOOKUP(Table1[[#This Row],[AMZ ID]],[1]Roster_1787503287932!$D$2:$AU$1370,25,0)</f>
        <v>Present</v>
      </c>
      <c r="Y286" s="135">
        <f>VLOOKUP(Table1[[#This Row],[AMZ ID]],[1]Roster_1787503287932!$D$2:$AM$1370,35,0)</f>
        <v>0</v>
      </c>
    </row>
    <row r="287" spans="1:25" ht="13" customHeight="1">
      <c r="A287" s="11">
        <v>281</v>
      </c>
      <c r="B287" s="47">
        <v>204946685</v>
      </c>
      <c r="C287" s="89" t="s">
        <v>2735</v>
      </c>
      <c r="D287" s="11" t="s">
        <v>2736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92</v>
      </c>
      <c r="M287" s="49" t="s">
        <v>84</v>
      </c>
      <c r="N287" s="48" t="s">
        <v>89</v>
      </c>
      <c r="O287" s="49" t="s">
        <v>37</v>
      </c>
      <c r="P287" s="11" t="s">
        <v>80</v>
      </c>
      <c r="Q287" s="11" t="s">
        <v>90</v>
      </c>
      <c r="R287" s="49" t="s">
        <v>627</v>
      </c>
      <c r="S287" s="11" t="s">
        <v>628</v>
      </c>
      <c r="T287" s="116" t="s">
        <v>1</v>
      </c>
      <c r="U287" s="88"/>
      <c r="V287" s="51">
        <v>45719</v>
      </c>
      <c r="W287" s="97" t="s">
        <v>1579</v>
      </c>
      <c r="X287" s="135" t="str">
        <f>VLOOKUP(Table1[[#This Row],[AMZ ID]],[1]Roster_1787503287932!$D$2:$AU$1370,25,0)</f>
        <v>Present</v>
      </c>
      <c r="Y287" s="135">
        <f>VLOOKUP(Table1[[#This Row],[AMZ ID]],[1]Roster_1787503287932!$D$2:$AM$1370,35,0)</f>
        <v>0</v>
      </c>
    </row>
    <row r="288" spans="1:25" ht="13" customHeight="1">
      <c r="A288" s="11">
        <v>282</v>
      </c>
      <c r="B288" s="47">
        <v>206871907</v>
      </c>
      <c r="C288" s="89" t="s">
        <v>1772</v>
      </c>
      <c r="D288" s="11" t="s">
        <v>1773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2471</v>
      </c>
      <c r="K288" s="49" t="s">
        <v>76</v>
      </c>
      <c r="L288" s="49" t="s">
        <v>84</v>
      </c>
      <c r="M288" s="49" t="s">
        <v>85</v>
      </c>
      <c r="N288" s="48" t="s">
        <v>89</v>
      </c>
      <c r="O288" s="49" t="s">
        <v>35</v>
      </c>
      <c r="P288" s="11" t="s">
        <v>80</v>
      </c>
      <c r="Q288" s="11" t="s">
        <v>81</v>
      </c>
      <c r="R288" s="11" t="s">
        <v>225</v>
      </c>
      <c r="S288" s="11" t="s">
        <v>226</v>
      </c>
      <c r="T288" s="116" t="s">
        <v>1</v>
      </c>
      <c r="U288" s="88"/>
      <c r="V288" s="51">
        <v>46020</v>
      </c>
      <c r="W288" s="97" t="s">
        <v>1572</v>
      </c>
      <c r="X288" s="135" t="str">
        <f>VLOOKUP(Table1[[#This Row],[AMZ ID]],[1]Roster_1787503287932!$D$2:$AU$1370,25,0)</f>
        <v>Present</v>
      </c>
      <c r="Y288" s="135">
        <f>VLOOKUP(Table1[[#This Row],[AMZ ID]],[1]Roster_1787503287932!$D$2:$AM$1370,35,0)</f>
        <v>0</v>
      </c>
    </row>
    <row r="289" spans="1:25" ht="13" customHeight="1">
      <c r="A289" s="11">
        <v>283</v>
      </c>
      <c r="B289" s="11">
        <v>110330601</v>
      </c>
      <c r="C289" s="89" t="s">
        <v>245</v>
      </c>
      <c r="D289" s="11" t="s">
        <v>246</v>
      </c>
      <c r="E289" s="48" t="s">
        <v>34</v>
      </c>
      <c r="F289" s="48" t="s">
        <v>74</v>
      </c>
      <c r="G289" s="48" t="s">
        <v>64</v>
      </c>
      <c r="H289" s="48" t="s">
        <v>75</v>
      </c>
      <c r="I289" s="11">
        <v>1299</v>
      </c>
      <c r="J289" s="49" t="s">
        <v>39</v>
      </c>
      <c r="K289" s="49" t="s">
        <v>76</v>
      </c>
      <c r="L289" s="49" t="s">
        <v>95</v>
      </c>
      <c r="M289" s="49" t="s">
        <v>77</v>
      </c>
      <c r="N289" s="49" t="s">
        <v>108</v>
      </c>
      <c r="O289" s="48" t="s">
        <v>35</v>
      </c>
      <c r="P289" s="48" t="s">
        <v>80</v>
      </c>
      <c r="Q289" s="11" t="s">
        <v>98</v>
      </c>
      <c r="R289" s="11" t="s">
        <v>224</v>
      </c>
      <c r="S289" s="11" t="s">
        <v>2715</v>
      </c>
      <c r="T289" s="116" t="s">
        <v>1</v>
      </c>
      <c r="U289" s="88"/>
      <c r="V289" s="51">
        <v>44757</v>
      </c>
      <c r="W289" s="97" t="s">
        <v>1570</v>
      </c>
      <c r="X289" s="135" t="str">
        <f>VLOOKUP(Table1[[#This Row],[AMZ ID]],[1]Roster_1787503287932!$D$2:$AU$1370,25,0)</f>
        <v>Present</v>
      </c>
      <c r="Y289" s="135">
        <f>VLOOKUP(Table1[[#This Row],[AMZ ID]],[1]Roster_1787503287932!$D$2:$AM$1370,35,0)</f>
        <v>0</v>
      </c>
    </row>
    <row r="290" spans="1:25" ht="13" customHeight="1">
      <c r="A290" s="11">
        <v>284</v>
      </c>
      <c r="B290" s="47">
        <v>203796734</v>
      </c>
      <c r="C290" s="89" t="s">
        <v>247</v>
      </c>
      <c r="D290" s="11" t="s">
        <v>248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78</v>
      </c>
      <c r="M290" s="49" t="s">
        <v>92</v>
      </c>
      <c r="N290" s="48" t="s">
        <v>79</v>
      </c>
      <c r="O290" s="49" t="s">
        <v>35</v>
      </c>
      <c r="P290" s="11" t="s">
        <v>80</v>
      </c>
      <c r="Q290" s="11" t="s">
        <v>81</v>
      </c>
      <c r="R290" s="11" t="s">
        <v>225</v>
      </c>
      <c r="S290" s="11" t="s">
        <v>226</v>
      </c>
      <c r="T290" s="116" t="s">
        <v>10</v>
      </c>
      <c r="U290" s="88"/>
      <c r="V290" s="51">
        <v>45517</v>
      </c>
      <c r="W290" s="97" t="s">
        <v>1573</v>
      </c>
      <c r="X290" s="135" t="str">
        <f>VLOOKUP(Table1[[#This Row],[AMZ ID]],[1]Roster_1787503287932!$D$2:$AU$1370,25,0)</f>
        <v>Not Present</v>
      </c>
      <c r="Y290" s="135">
        <f>VLOOKUP(Table1[[#This Row],[AMZ ID]],[1]Roster_1787503287932!$D$2:$AM$1370,35,0)</f>
        <v>0</v>
      </c>
    </row>
    <row r="291" spans="1:25" ht="13" customHeight="1">
      <c r="A291" s="11">
        <v>285</v>
      </c>
      <c r="B291" s="47">
        <v>206348034</v>
      </c>
      <c r="C291" s="89" t="s">
        <v>1690</v>
      </c>
      <c r="D291" s="11" t="s">
        <v>1703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1181</v>
      </c>
      <c r="J291" s="49" t="s">
        <v>32</v>
      </c>
      <c r="K291" s="49" t="s">
        <v>76</v>
      </c>
      <c r="L291" s="49" t="s">
        <v>84</v>
      </c>
      <c r="M291" s="49" t="s">
        <v>85</v>
      </c>
      <c r="N291" s="48" t="s">
        <v>89</v>
      </c>
      <c r="O291" s="49" t="s">
        <v>33</v>
      </c>
      <c r="P291" s="11" t="s">
        <v>80</v>
      </c>
      <c r="Q291" s="11" t="s">
        <v>81</v>
      </c>
      <c r="R291" s="11" t="s">
        <v>159</v>
      </c>
      <c r="S291" s="11" t="s">
        <v>2714</v>
      </c>
      <c r="T291" s="116" t="s">
        <v>1</v>
      </c>
      <c r="U291" s="88"/>
      <c r="V291" s="51">
        <v>45957</v>
      </c>
      <c r="W291" s="97" t="s">
        <v>1569</v>
      </c>
      <c r="X291" s="135" t="str">
        <f>VLOOKUP(Table1[[#This Row],[AMZ ID]],[1]Roster_1787503287932!$D$2:$AU$1370,25,0)</f>
        <v>Present</v>
      </c>
      <c r="Y291" s="135">
        <f>VLOOKUP(Table1[[#This Row],[AMZ ID]],[1]Roster_1787503287932!$D$2:$AM$1370,35,0)</f>
        <v>0</v>
      </c>
    </row>
    <row r="292" spans="1:25" ht="13" customHeight="1">
      <c r="A292" s="11">
        <v>286</v>
      </c>
      <c r="B292" s="47">
        <v>205477618</v>
      </c>
      <c r="C292" s="90" t="s">
        <v>249</v>
      </c>
      <c r="D292" s="103" t="s">
        <v>250</v>
      </c>
      <c r="E292" s="103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32</v>
      </c>
      <c r="K292" s="49" t="s">
        <v>76</v>
      </c>
      <c r="L292" s="49" t="s">
        <v>88</v>
      </c>
      <c r="M292" s="49" t="s">
        <v>95</v>
      </c>
      <c r="N292" s="49" t="s">
        <v>86</v>
      </c>
      <c r="O292" s="49" t="s">
        <v>35</v>
      </c>
      <c r="P292" s="49" t="s">
        <v>80</v>
      </c>
      <c r="Q292" s="49" t="s">
        <v>90</v>
      </c>
      <c r="R292" s="11" t="s">
        <v>225</v>
      </c>
      <c r="S292" s="49" t="s">
        <v>226</v>
      </c>
      <c r="T292" s="116" t="s">
        <v>3</v>
      </c>
      <c r="U292" s="88"/>
      <c r="V292" s="51">
        <v>45831</v>
      </c>
      <c r="W292" s="97" t="s">
        <v>1574</v>
      </c>
      <c r="X292" s="135" t="str">
        <f>VLOOKUP(Table1[[#This Row],[AMZ ID]],[1]Roster_1787503287932!$D$2:$AU$1370,25,0)</f>
        <v>Not Present</v>
      </c>
      <c r="Y292" s="135">
        <f>VLOOKUP(Table1[[#This Row],[AMZ ID]],[1]Roster_1787503287932!$D$2:$AM$1370,35,0)</f>
        <v>0</v>
      </c>
    </row>
    <row r="293" spans="1:25" ht="13" customHeight="1">
      <c r="A293" s="11">
        <v>287</v>
      </c>
      <c r="B293" s="47">
        <v>206015600</v>
      </c>
      <c r="C293" s="89" t="s">
        <v>252</v>
      </c>
      <c r="D293" s="11" t="s">
        <v>253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39</v>
      </c>
      <c r="K293" s="49" t="s">
        <v>76</v>
      </c>
      <c r="L293" s="49" t="s">
        <v>88</v>
      </c>
      <c r="M293" s="49" t="s">
        <v>95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231</v>
      </c>
      <c r="S293" s="11" t="s">
        <v>1753</v>
      </c>
      <c r="T293" s="116" t="s">
        <v>1</v>
      </c>
      <c r="U293" s="88"/>
      <c r="V293" s="51">
        <v>45915</v>
      </c>
      <c r="W293" s="97" t="s">
        <v>1573</v>
      </c>
      <c r="X293" s="135" t="str">
        <f>VLOOKUP(Table1[[#This Row],[AMZ ID]],[1]Roster_1787503287932!$D$2:$AU$1370,25,0)</f>
        <v>Present</v>
      </c>
      <c r="Y293" s="135">
        <f>VLOOKUP(Table1[[#This Row],[AMZ ID]],[1]Roster_1787503287932!$D$2:$AM$1370,35,0)</f>
        <v>0</v>
      </c>
    </row>
    <row r="294" spans="1:25" ht="13" customHeight="1">
      <c r="A294" s="11">
        <v>288</v>
      </c>
      <c r="B294" s="47">
        <v>203880236</v>
      </c>
      <c r="C294" s="89" t="s">
        <v>254</v>
      </c>
      <c r="D294" s="11" t="s">
        <v>255</v>
      </c>
      <c r="E294" s="48" t="s">
        <v>31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8" t="s">
        <v>79</v>
      </c>
      <c r="O294" s="49" t="s">
        <v>35</v>
      </c>
      <c r="P294" s="11" t="s">
        <v>80</v>
      </c>
      <c r="Q294" s="11" t="s">
        <v>81</v>
      </c>
      <c r="R294" s="11" t="s">
        <v>225</v>
      </c>
      <c r="S294" s="11" t="s">
        <v>226</v>
      </c>
      <c r="T294" s="116" t="s">
        <v>10</v>
      </c>
      <c r="U294" s="88"/>
      <c r="V294" s="51">
        <v>45530</v>
      </c>
      <c r="W294" s="97" t="s">
        <v>1573</v>
      </c>
      <c r="X294" s="135" t="str">
        <f>VLOOKUP(Table1[[#This Row],[AMZ ID]],[1]Roster_1787503287932!$D$2:$AU$1370,25,0)</f>
        <v>Not Present</v>
      </c>
      <c r="Y294" s="135">
        <f>VLOOKUP(Table1[[#This Row],[AMZ ID]],[1]Roster_1787503287932!$D$2:$AM$1370,35,0)</f>
        <v>0</v>
      </c>
    </row>
    <row r="295" spans="1:25" ht="13" customHeight="1">
      <c r="A295" s="11">
        <v>289</v>
      </c>
      <c r="B295" s="47">
        <v>203741612</v>
      </c>
      <c r="C295" s="89" t="s">
        <v>256</v>
      </c>
      <c r="D295" s="11" t="s">
        <v>257</v>
      </c>
      <c r="E295" s="48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8" t="s">
        <v>79</v>
      </c>
      <c r="O295" s="49" t="s">
        <v>35</v>
      </c>
      <c r="P295" s="11" t="s">
        <v>80</v>
      </c>
      <c r="Q295" s="11" t="s">
        <v>81</v>
      </c>
      <c r="R295" s="11" t="s">
        <v>224</v>
      </c>
      <c r="S295" s="11" t="s">
        <v>2715</v>
      </c>
      <c r="T295" s="116" t="s">
        <v>10</v>
      </c>
      <c r="U295" s="88"/>
      <c r="V295" s="51">
        <v>45516</v>
      </c>
      <c r="W295" s="97" t="s">
        <v>1573</v>
      </c>
      <c r="X295" s="135" t="str">
        <f>VLOOKUP(Table1[[#This Row],[AMZ ID]],[1]Roster_1787503287932!$D$2:$AU$1370,25,0)</f>
        <v>Not Present</v>
      </c>
      <c r="Y295" s="135">
        <f>VLOOKUP(Table1[[#This Row],[AMZ ID]],[1]Roster_1787503287932!$D$2:$AM$1370,35,0)</f>
        <v>0</v>
      </c>
    </row>
    <row r="296" spans="1:25" ht="13" customHeight="1">
      <c r="A296" s="11">
        <v>290</v>
      </c>
      <c r="B296" s="47">
        <v>203737145</v>
      </c>
      <c r="C296" s="89" t="s">
        <v>258</v>
      </c>
      <c r="D296" s="11" t="s">
        <v>259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2471</v>
      </c>
      <c r="K296" s="49" t="s">
        <v>76</v>
      </c>
      <c r="L296" s="49" t="s">
        <v>78</v>
      </c>
      <c r="M296" s="49" t="s">
        <v>92</v>
      </c>
      <c r="N296" s="48" t="s">
        <v>79</v>
      </c>
      <c r="O296" s="49" t="s">
        <v>35</v>
      </c>
      <c r="P296" s="11" t="s">
        <v>80</v>
      </c>
      <c r="Q296" s="11" t="s">
        <v>81</v>
      </c>
      <c r="R296" s="11" t="s">
        <v>224</v>
      </c>
      <c r="S296" s="11" t="s">
        <v>2715</v>
      </c>
      <c r="T296" s="116" t="s">
        <v>10</v>
      </c>
      <c r="U296" s="88"/>
      <c r="V296" s="51">
        <v>45502</v>
      </c>
      <c r="W296" s="97" t="s">
        <v>1573</v>
      </c>
      <c r="X296" s="135" t="str">
        <f>VLOOKUP(Table1[[#This Row],[AMZ ID]],[1]Roster_1787503287932!$D$2:$AU$1370,25,0)</f>
        <v>Not Present</v>
      </c>
      <c r="Y296" s="135">
        <f>VLOOKUP(Table1[[#This Row],[AMZ ID]],[1]Roster_1787503287932!$D$2:$AM$1370,35,0)</f>
        <v>0</v>
      </c>
    </row>
    <row r="297" spans="1:25" ht="13" customHeight="1">
      <c r="A297" s="11">
        <v>291</v>
      </c>
      <c r="B297" s="47">
        <v>205236900</v>
      </c>
      <c r="C297" s="89" t="s">
        <v>287</v>
      </c>
      <c r="D297" s="11" t="s">
        <v>288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86</v>
      </c>
      <c r="O297" s="49" t="s">
        <v>35</v>
      </c>
      <c r="P297" s="11" t="s">
        <v>80</v>
      </c>
      <c r="Q297" s="11" t="s">
        <v>90</v>
      </c>
      <c r="R297" s="11" t="s">
        <v>225</v>
      </c>
      <c r="S297" s="11" t="s">
        <v>226</v>
      </c>
      <c r="T297" s="116" t="s">
        <v>10</v>
      </c>
      <c r="U297" s="88"/>
      <c r="V297" s="51">
        <v>45831</v>
      </c>
      <c r="W297" s="97" t="s">
        <v>1574</v>
      </c>
      <c r="X297" s="135" t="str">
        <f>VLOOKUP(Table1[[#This Row],[AMZ ID]],[1]Roster_1787503287932!$D$2:$AU$1370,25,0)</f>
        <v>Not Present</v>
      </c>
      <c r="Y297" s="135" t="str">
        <f>VLOOKUP(Table1[[#This Row],[AMZ ID]],[1]Roster_1787503287932!$D$2:$AM$1370,35,0)</f>
        <v>Carry Forwarded Annual Leave</v>
      </c>
    </row>
    <row r="298" spans="1:25" ht="13" customHeight="1">
      <c r="A298" s="11">
        <v>292</v>
      </c>
      <c r="B298" s="47">
        <v>203813037</v>
      </c>
      <c r="C298" s="89" t="s">
        <v>262</v>
      </c>
      <c r="D298" s="11" t="s">
        <v>263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86</v>
      </c>
      <c r="O298" s="49" t="s">
        <v>35</v>
      </c>
      <c r="P298" s="11" t="s">
        <v>80</v>
      </c>
      <c r="Q298" s="11" t="s">
        <v>99</v>
      </c>
      <c r="R298" s="11" t="s">
        <v>225</v>
      </c>
      <c r="S298" s="11" t="s">
        <v>226</v>
      </c>
      <c r="T298" s="116" t="s">
        <v>10</v>
      </c>
      <c r="U298" s="88"/>
      <c r="V298" s="51">
        <v>45517</v>
      </c>
      <c r="W298" s="97" t="s">
        <v>1573</v>
      </c>
      <c r="X298" s="135" t="str">
        <f>VLOOKUP(Table1[[#This Row],[AMZ ID]],[1]Roster_1787503287932!$D$2:$AU$1370,25,0)</f>
        <v>Not Present</v>
      </c>
      <c r="Y298" s="135">
        <f>VLOOKUP(Table1[[#This Row],[AMZ ID]],[1]Roster_1787503287932!$D$2:$AM$1370,35,0)</f>
        <v>0</v>
      </c>
    </row>
    <row r="299" spans="1:25" ht="13" customHeight="1">
      <c r="A299" s="11">
        <v>293</v>
      </c>
      <c r="B299" s="47">
        <v>206958086</v>
      </c>
      <c r="C299" s="89" t="s">
        <v>2499</v>
      </c>
      <c r="D299" s="11" t="s">
        <v>2500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78</v>
      </c>
      <c r="M299" s="49" t="s">
        <v>92</v>
      </c>
      <c r="N299" s="48" t="s">
        <v>89</v>
      </c>
      <c r="O299" s="49" t="s">
        <v>35</v>
      </c>
      <c r="P299" s="11" t="s">
        <v>80</v>
      </c>
      <c r="Q299" s="11" t="s">
        <v>96</v>
      </c>
      <c r="R299" s="11" t="s">
        <v>224</v>
      </c>
      <c r="S299" s="11" t="s">
        <v>2715</v>
      </c>
      <c r="T299" s="116" t="s">
        <v>10</v>
      </c>
      <c r="U299" s="88"/>
      <c r="V299" s="51">
        <v>46048</v>
      </c>
      <c r="W299" s="97" t="s">
        <v>1573</v>
      </c>
      <c r="X299" s="135" t="str">
        <f>VLOOKUP(Table1[[#This Row],[AMZ ID]],[1]Roster_1787503287932!$D$2:$AU$1370,25,0)</f>
        <v>Not Present</v>
      </c>
      <c r="Y299" s="135">
        <f>VLOOKUP(Table1[[#This Row],[AMZ ID]],[1]Roster_1787503287932!$D$2:$AM$1370,35,0)</f>
        <v>0</v>
      </c>
    </row>
    <row r="300" spans="1:25" ht="13" customHeight="1">
      <c r="A300" s="11">
        <v>294</v>
      </c>
      <c r="B300" s="47">
        <v>205977126</v>
      </c>
      <c r="C300" s="89" t="s">
        <v>2635</v>
      </c>
      <c r="D300" s="11" t="s">
        <v>2636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78</v>
      </c>
      <c r="M300" s="49" t="s">
        <v>92</v>
      </c>
      <c r="N300" s="49" t="s">
        <v>86</v>
      </c>
      <c r="O300" s="49" t="s">
        <v>35</v>
      </c>
      <c r="P300" s="11" t="s">
        <v>80</v>
      </c>
      <c r="Q300" s="11" t="s">
        <v>90</v>
      </c>
      <c r="R300" s="11" t="s">
        <v>224</v>
      </c>
      <c r="S300" s="11" t="s">
        <v>2715</v>
      </c>
      <c r="T300" s="116" t="s">
        <v>10</v>
      </c>
      <c r="U300" s="88"/>
      <c r="V300" s="51">
        <v>45915</v>
      </c>
      <c r="W300" s="97" t="s">
        <v>1573</v>
      </c>
      <c r="X300" s="135" t="str">
        <f>VLOOKUP(Table1[[#This Row],[AMZ ID]],[1]Roster_1787503287932!$D$2:$AU$1370,25,0)</f>
        <v>Not Present</v>
      </c>
      <c r="Y300" s="135">
        <f>VLOOKUP(Table1[[#This Row],[AMZ ID]],[1]Roster_1787503287932!$D$2:$AM$1370,35,0)</f>
        <v>0</v>
      </c>
    </row>
    <row r="301" spans="1:25" ht="13" customHeight="1">
      <c r="A301" s="11">
        <v>295</v>
      </c>
      <c r="B301" s="47">
        <v>206883741</v>
      </c>
      <c r="C301" s="89" t="s">
        <v>1792</v>
      </c>
      <c r="D301" s="11" t="s">
        <v>1793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78</v>
      </c>
      <c r="M301" s="49" t="s">
        <v>92</v>
      </c>
      <c r="N301" s="48" t="s">
        <v>89</v>
      </c>
      <c r="O301" s="49" t="s">
        <v>35</v>
      </c>
      <c r="P301" s="11" t="s">
        <v>80</v>
      </c>
      <c r="Q301" s="11" t="s">
        <v>96</v>
      </c>
      <c r="R301" s="11" t="s">
        <v>231</v>
      </c>
      <c r="S301" s="11" t="s">
        <v>1753</v>
      </c>
      <c r="T301" s="116" t="s">
        <v>10</v>
      </c>
      <c r="U301" s="88"/>
      <c r="V301" s="51">
        <v>46027</v>
      </c>
      <c r="W301" s="97" t="s">
        <v>1573</v>
      </c>
      <c r="X301" s="135" t="str">
        <f>VLOOKUP(Table1[[#This Row],[AMZ ID]],[1]Roster_1787503287932!$D$2:$AU$1370,25,0)</f>
        <v>Not Present</v>
      </c>
      <c r="Y301" s="135">
        <f>VLOOKUP(Table1[[#This Row],[AMZ ID]],[1]Roster_1787503287932!$D$2:$AM$1370,35,0)</f>
        <v>0</v>
      </c>
    </row>
    <row r="302" spans="1:25" ht="13" customHeight="1">
      <c r="A302" s="11">
        <v>296</v>
      </c>
      <c r="B302" s="47">
        <v>203813035</v>
      </c>
      <c r="C302" s="89" t="s">
        <v>267</v>
      </c>
      <c r="D302" s="11" t="s">
        <v>268</v>
      </c>
      <c r="E302" s="11" t="s">
        <v>31</v>
      </c>
      <c r="F302" s="11" t="s">
        <v>74</v>
      </c>
      <c r="G302" s="11" t="s">
        <v>64</v>
      </c>
      <c r="H302" s="11" t="s">
        <v>75</v>
      </c>
      <c r="I302" s="11">
        <v>1299</v>
      </c>
      <c r="J302" s="49" t="s">
        <v>2471</v>
      </c>
      <c r="K302" s="49" t="s">
        <v>76</v>
      </c>
      <c r="L302" s="49" t="s">
        <v>78</v>
      </c>
      <c r="M302" s="49" t="s">
        <v>92</v>
      </c>
      <c r="N302" s="49" t="s">
        <v>86</v>
      </c>
      <c r="O302" s="11" t="s">
        <v>35</v>
      </c>
      <c r="P302" s="11" t="s">
        <v>80</v>
      </c>
      <c r="Q302" s="11" t="s">
        <v>99</v>
      </c>
      <c r="R302" s="11" t="s">
        <v>224</v>
      </c>
      <c r="S302" s="11" t="s">
        <v>2715</v>
      </c>
      <c r="T302" s="116" t="s">
        <v>10</v>
      </c>
      <c r="U302" s="88"/>
      <c r="V302" s="51">
        <v>45517</v>
      </c>
      <c r="W302" s="102" t="s">
        <v>1573</v>
      </c>
      <c r="X302" s="135" t="str">
        <f>VLOOKUP(Table1[[#This Row],[AMZ ID]],[1]Roster_1787503287932!$D$2:$AU$1370,25,0)</f>
        <v>Not Present</v>
      </c>
      <c r="Y302" s="135">
        <f>VLOOKUP(Table1[[#This Row],[AMZ ID]],[1]Roster_1787503287932!$D$2:$AM$1370,35,0)</f>
        <v>0</v>
      </c>
    </row>
    <row r="303" spans="1:25" ht="13" customHeight="1">
      <c r="A303" s="11">
        <v>297</v>
      </c>
      <c r="B303" s="47">
        <v>203816396</v>
      </c>
      <c r="C303" s="89" t="s">
        <v>2661</v>
      </c>
      <c r="D303" s="11" t="s">
        <v>2662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90</v>
      </c>
      <c r="R303" s="11" t="s">
        <v>225</v>
      </c>
      <c r="S303" s="11" t="s">
        <v>226</v>
      </c>
      <c r="T303" s="116" t="s">
        <v>10</v>
      </c>
      <c r="U303" s="88"/>
      <c r="V303" s="51">
        <v>45518</v>
      </c>
      <c r="W303" s="97" t="s">
        <v>1572</v>
      </c>
      <c r="X303" s="135" t="str">
        <f>VLOOKUP(Table1[[#This Row],[AMZ ID]],[1]Roster_1787503287932!$D$2:$AU$1370,25,0)</f>
        <v>Not Present</v>
      </c>
      <c r="Y303" s="135">
        <f>VLOOKUP(Table1[[#This Row],[AMZ ID]],[1]Roster_1787503287932!$D$2:$AM$1370,35,0)</f>
        <v>0</v>
      </c>
    </row>
    <row r="304" spans="1:25" ht="13" customHeight="1">
      <c r="A304" s="11">
        <v>298</v>
      </c>
      <c r="B304" s="47">
        <v>203709740</v>
      </c>
      <c r="C304" s="89" t="s">
        <v>271</v>
      </c>
      <c r="D304" s="11" t="s">
        <v>272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39</v>
      </c>
      <c r="K304" s="49" t="s">
        <v>76</v>
      </c>
      <c r="L304" s="49" t="s">
        <v>85</v>
      </c>
      <c r="M304" s="49" t="s">
        <v>88</v>
      </c>
      <c r="N304" s="48" t="s">
        <v>86</v>
      </c>
      <c r="O304" s="49" t="s">
        <v>35</v>
      </c>
      <c r="P304" s="11" t="s">
        <v>80</v>
      </c>
      <c r="Q304" s="11" t="s">
        <v>99</v>
      </c>
      <c r="R304" s="11" t="s">
        <v>224</v>
      </c>
      <c r="S304" s="11" t="s">
        <v>2715</v>
      </c>
      <c r="T304" s="116" t="s">
        <v>1</v>
      </c>
      <c r="U304" s="88"/>
      <c r="V304" s="51">
        <v>45495</v>
      </c>
      <c r="W304" s="97" t="s">
        <v>1573</v>
      </c>
      <c r="X304" s="135" t="str">
        <f>VLOOKUP(Table1[[#This Row],[AMZ ID]],[1]Roster_1787503287932!$D$2:$AU$1370,25,0)</f>
        <v>Present</v>
      </c>
      <c r="Y304" s="135">
        <f>VLOOKUP(Table1[[#This Row],[AMZ ID]],[1]Roster_1787503287932!$D$2:$AM$1370,35,0)</f>
        <v>0</v>
      </c>
    </row>
    <row r="305" spans="1:25" ht="13" customHeight="1">
      <c r="A305" s="11">
        <v>299</v>
      </c>
      <c r="B305" s="47">
        <v>203802272</v>
      </c>
      <c r="C305" s="89" t="s">
        <v>273</v>
      </c>
      <c r="D305" s="11" t="s">
        <v>274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84</v>
      </c>
      <c r="M305" s="49" t="s">
        <v>85</v>
      </c>
      <c r="N305" s="48" t="s">
        <v>79</v>
      </c>
      <c r="O305" s="49" t="s">
        <v>35</v>
      </c>
      <c r="P305" s="11" t="s">
        <v>80</v>
      </c>
      <c r="Q305" s="11" t="s">
        <v>81</v>
      </c>
      <c r="R305" s="11" t="s">
        <v>224</v>
      </c>
      <c r="S305" s="11" t="s">
        <v>2715</v>
      </c>
      <c r="T305" s="116" t="s">
        <v>1</v>
      </c>
      <c r="U305" s="88"/>
      <c r="V305" s="51">
        <v>45517</v>
      </c>
      <c r="W305" s="97" t="s">
        <v>1573</v>
      </c>
      <c r="X305" s="135" t="str">
        <f>VLOOKUP(Table1[[#This Row],[AMZ ID]],[1]Roster_1787503287932!$D$2:$AU$1370,25,0)</f>
        <v>Present</v>
      </c>
      <c r="Y305" s="135">
        <f>VLOOKUP(Table1[[#This Row],[AMZ ID]],[1]Roster_1787503287932!$D$2:$AM$1370,35,0)</f>
        <v>0</v>
      </c>
    </row>
    <row r="306" spans="1:25" ht="13" customHeight="1">
      <c r="A306" s="11">
        <v>300</v>
      </c>
      <c r="B306" s="47">
        <v>204869090</v>
      </c>
      <c r="C306" s="89" t="s">
        <v>275</v>
      </c>
      <c r="D306" s="11" t="s">
        <v>276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32</v>
      </c>
      <c r="K306" s="49" t="s">
        <v>76</v>
      </c>
      <c r="L306" s="49" t="s">
        <v>95</v>
      </c>
      <c r="M306" s="49" t="s">
        <v>77</v>
      </c>
      <c r="N306" s="48" t="s">
        <v>86</v>
      </c>
      <c r="O306" s="49" t="s">
        <v>35</v>
      </c>
      <c r="P306" s="11" t="s">
        <v>80</v>
      </c>
      <c r="Q306" s="11" t="s">
        <v>87</v>
      </c>
      <c r="R306" s="11" t="s">
        <v>225</v>
      </c>
      <c r="S306" s="11" t="s">
        <v>226</v>
      </c>
      <c r="T306" s="116" t="s">
        <v>1</v>
      </c>
      <c r="U306" s="88"/>
      <c r="V306" s="51">
        <v>45691</v>
      </c>
      <c r="W306" s="97" t="s">
        <v>1572</v>
      </c>
      <c r="X306" s="135" t="str">
        <f>VLOOKUP(Table1[[#This Row],[AMZ ID]],[1]Roster_1787503287932!$D$2:$AU$1370,25,0)</f>
        <v>Present</v>
      </c>
      <c r="Y306" s="135">
        <f>VLOOKUP(Table1[[#This Row],[AMZ ID]],[1]Roster_1787503287932!$D$2:$AM$1370,35,0)</f>
        <v>0</v>
      </c>
    </row>
    <row r="307" spans="1:25" ht="13" customHeight="1">
      <c r="A307" s="11">
        <v>301</v>
      </c>
      <c r="B307" s="47">
        <v>206845692</v>
      </c>
      <c r="C307" s="89" t="s">
        <v>2501</v>
      </c>
      <c r="D307" s="11" t="s">
        <v>2502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2471</v>
      </c>
      <c r="K307" s="49" t="s">
        <v>76</v>
      </c>
      <c r="L307" s="49" t="s">
        <v>88</v>
      </c>
      <c r="M307" s="49" t="s">
        <v>95</v>
      </c>
      <c r="N307" s="48" t="s">
        <v>89</v>
      </c>
      <c r="O307" s="49" t="s">
        <v>35</v>
      </c>
      <c r="P307" s="11" t="s">
        <v>80</v>
      </c>
      <c r="Q307" s="11" t="s">
        <v>90</v>
      </c>
      <c r="R307" s="11" t="s">
        <v>231</v>
      </c>
      <c r="S307" s="11" t="s">
        <v>1753</v>
      </c>
      <c r="T307" s="116" t="s">
        <v>1</v>
      </c>
      <c r="U307" s="88"/>
      <c r="V307" s="51">
        <v>46013</v>
      </c>
      <c r="W307" s="97" t="s">
        <v>1573</v>
      </c>
      <c r="X307" s="135" t="str">
        <f>VLOOKUP(Table1[[#This Row],[AMZ ID]],[1]Roster_1787503287932!$D$2:$AU$1370,25,0)</f>
        <v>Present</v>
      </c>
      <c r="Y307" s="135">
        <f>VLOOKUP(Table1[[#This Row],[AMZ ID]],[1]Roster_1787503287932!$D$2:$AM$1370,35,0)</f>
        <v>0</v>
      </c>
    </row>
    <row r="308" spans="1:25" ht="13" customHeight="1">
      <c r="A308" s="11">
        <v>302</v>
      </c>
      <c r="B308" s="47">
        <v>203635501</v>
      </c>
      <c r="C308" s="89" t="s">
        <v>277</v>
      </c>
      <c r="D308" s="47" t="s">
        <v>278</v>
      </c>
      <c r="E308" s="47" t="s">
        <v>31</v>
      </c>
      <c r="F308" s="47" t="s">
        <v>74</v>
      </c>
      <c r="G308" s="47" t="s">
        <v>64</v>
      </c>
      <c r="H308" s="47" t="s">
        <v>75</v>
      </c>
      <c r="I308" s="47">
        <v>1299</v>
      </c>
      <c r="J308" s="49" t="s">
        <v>32</v>
      </c>
      <c r="K308" s="49" t="s">
        <v>76</v>
      </c>
      <c r="L308" s="49" t="s">
        <v>78</v>
      </c>
      <c r="M308" s="49" t="s">
        <v>92</v>
      </c>
      <c r="N308" s="49" t="s">
        <v>79</v>
      </c>
      <c r="O308" s="47" t="s">
        <v>35</v>
      </c>
      <c r="P308" s="47" t="s">
        <v>80</v>
      </c>
      <c r="Q308" s="47" t="s">
        <v>81</v>
      </c>
      <c r="R308" s="11" t="s">
        <v>225</v>
      </c>
      <c r="S308" s="47" t="s">
        <v>226</v>
      </c>
      <c r="T308" s="116" t="s">
        <v>10</v>
      </c>
      <c r="U308" s="88"/>
      <c r="V308" s="51">
        <v>45481</v>
      </c>
      <c r="W308" s="132" t="s">
        <v>1573</v>
      </c>
      <c r="X308" s="135" t="str">
        <f>VLOOKUP(Table1[[#This Row],[AMZ ID]],[1]Roster_1787503287932!$D$2:$AU$1370,25,0)</f>
        <v>Not Present</v>
      </c>
      <c r="Y308" s="135">
        <f>VLOOKUP(Table1[[#This Row],[AMZ ID]],[1]Roster_1787503287932!$D$2:$AM$1370,35,0)</f>
        <v>0</v>
      </c>
    </row>
    <row r="309" spans="1:25" ht="13" customHeight="1">
      <c r="A309" s="11">
        <v>303</v>
      </c>
      <c r="B309" s="47">
        <v>206915298</v>
      </c>
      <c r="C309" s="89" t="s">
        <v>2503</v>
      </c>
      <c r="D309" s="11" t="s">
        <v>2504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78</v>
      </c>
      <c r="M309" s="49" t="s">
        <v>92</v>
      </c>
      <c r="N309" s="48" t="s">
        <v>89</v>
      </c>
      <c r="O309" s="49" t="s">
        <v>35</v>
      </c>
      <c r="P309" s="11" t="s">
        <v>80</v>
      </c>
      <c r="Q309" s="11" t="s">
        <v>90</v>
      </c>
      <c r="R309" s="11" t="s">
        <v>224</v>
      </c>
      <c r="S309" s="11" t="s">
        <v>2715</v>
      </c>
      <c r="T309" s="116" t="s">
        <v>10</v>
      </c>
      <c r="U309" s="88"/>
      <c r="V309" s="51">
        <v>46034</v>
      </c>
      <c r="W309" s="97" t="s">
        <v>1573</v>
      </c>
      <c r="X309" s="135" t="str">
        <f>VLOOKUP(Table1[[#This Row],[AMZ ID]],[1]Roster_1787503287932!$D$2:$AU$1370,25,0)</f>
        <v>Not Present</v>
      </c>
      <c r="Y309" s="135">
        <f>VLOOKUP(Table1[[#This Row],[AMZ ID]],[1]Roster_1787503287932!$D$2:$AM$1370,35,0)</f>
        <v>0</v>
      </c>
    </row>
    <row r="310" spans="1:25" ht="13" customHeight="1">
      <c r="A310" s="11">
        <v>304</v>
      </c>
      <c r="B310" s="47">
        <v>206504126</v>
      </c>
      <c r="C310" s="89" t="s">
        <v>2505</v>
      </c>
      <c r="D310" s="11" t="s">
        <v>2506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78</v>
      </c>
      <c r="M310" s="49" t="s">
        <v>92</v>
      </c>
      <c r="N310" s="49" t="s">
        <v>86</v>
      </c>
      <c r="O310" s="49" t="s">
        <v>35</v>
      </c>
      <c r="P310" s="49" t="s">
        <v>80</v>
      </c>
      <c r="Q310" s="49" t="s">
        <v>90</v>
      </c>
      <c r="R310" s="11" t="s">
        <v>231</v>
      </c>
      <c r="S310" s="49" t="s">
        <v>1753</v>
      </c>
      <c r="T310" s="116" t="s">
        <v>10</v>
      </c>
      <c r="U310" s="88"/>
      <c r="V310" s="51">
        <v>45971</v>
      </c>
      <c r="W310" s="97" t="s">
        <v>1573</v>
      </c>
      <c r="X310" s="135" t="str">
        <f>VLOOKUP(Table1[[#This Row],[AMZ ID]],[1]Roster_1787503287932!$D$2:$AU$1370,25,0)</f>
        <v>Not Present</v>
      </c>
      <c r="Y310" s="135">
        <f>VLOOKUP(Table1[[#This Row],[AMZ ID]],[1]Roster_1787503287932!$D$2:$AM$1370,35,0)</f>
        <v>0</v>
      </c>
    </row>
    <row r="311" spans="1:25" ht="13" customHeight="1">
      <c r="A311" s="11">
        <v>305</v>
      </c>
      <c r="B311" s="47">
        <v>203881598</v>
      </c>
      <c r="C311" s="89" t="s">
        <v>279</v>
      </c>
      <c r="D311" s="11" t="s">
        <v>280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8" t="s">
        <v>79</v>
      </c>
      <c r="O311" s="49" t="s">
        <v>35</v>
      </c>
      <c r="P311" s="11" t="s">
        <v>80</v>
      </c>
      <c r="Q311" s="11" t="s">
        <v>81</v>
      </c>
      <c r="R311" s="11" t="s">
        <v>225</v>
      </c>
      <c r="S311" s="11" t="s">
        <v>226</v>
      </c>
      <c r="T311" s="116" t="s">
        <v>10</v>
      </c>
      <c r="U311" s="88"/>
      <c r="V311" s="51">
        <v>45530</v>
      </c>
      <c r="W311" s="97" t="s">
        <v>1573</v>
      </c>
      <c r="X311" s="135" t="str">
        <f>VLOOKUP(Table1[[#This Row],[AMZ ID]],[1]Roster_1787503287932!$D$2:$AU$1370,25,0)</f>
        <v>Not Present</v>
      </c>
      <c r="Y311" s="135">
        <f>VLOOKUP(Table1[[#This Row],[AMZ ID]],[1]Roster_1787503287932!$D$2:$AM$1370,35,0)</f>
        <v>0</v>
      </c>
    </row>
    <row r="312" spans="1:25" ht="13" customHeight="1">
      <c r="A312" s="11">
        <v>306</v>
      </c>
      <c r="B312" s="47">
        <v>206915295</v>
      </c>
      <c r="C312" s="89" t="s">
        <v>2507</v>
      </c>
      <c r="D312" s="11" t="s">
        <v>2508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89</v>
      </c>
      <c r="O312" s="49" t="s">
        <v>35</v>
      </c>
      <c r="P312" s="11" t="s">
        <v>80</v>
      </c>
      <c r="Q312" s="11" t="s">
        <v>90</v>
      </c>
      <c r="R312" s="11" t="s">
        <v>224</v>
      </c>
      <c r="S312" s="11" t="s">
        <v>2715</v>
      </c>
      <c r="T312" s="116" t="s">
        <v>10</v>
      </c>
      <c r="U312" s="88"/>
      <c r="V312" s="51">
        <v>46034</v>
      </c>
      <c r="W312" s="97" t="s">
        <v>1573</v>
      </c>
      <c r="X312" s="135" t="str">
        <f>VLOOKUP(Table1[[#This Row],[AMZ ID]],[1]Roster_1787503287932!$D$2:$AU$1370,25,0)</f>
        <v>Not Present</v>
      </c>
      <c r="Y312" s="135">
        <f>VLOOKUP(Table1[[#This Row],[AMZ ID]],[1]Roster_1787503287932!$D$2:$AM$1370,35,0)</f>
        <v>0</v>
      </c>
    </row>
    <row r="313" spans="1:25" ht="13" customHeight="1">
      <c r="A313" s="11">
        <v>307</v>
      </c>
      <c r="B313" s="47">
        <v>203712972</v>
      </c>
      <c r="C313" s="89" t="s">
        <v>281</v>
      </c>
      <c r="D313" s="11" t="s">
        <v>282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86</v>
      </c>
      <c r="O313" s="49" t="s">
        <v>35</v>
      </c>
      <c r="P313" s="49" t="s">
        <v>80</v>
      </c>
      <c r="Q313" s="49" t="s">
        <v>99</v>
      </c>
      <c r="R313" s="11" t="s">
        <v>225</v>
      </c>
      <c r="S313" s="49" t="s">
        <v>226</v>
      </c>
      <c r="T313" s="116" t="s">
        <v>10</v>
      </c>
      <c r="U313" s="88"/>
      <c r="V313" s="51">
        <v>45517</v>
      </c>
      <c r="W313" s="97" t="s">
        <v>1573</v>
      </c>
      <c r="X313" s="135" t="str">
        <f>VLOOKUP(Table1[[#This Row],[AMZ ID]],[1]Roster_1787503287932!$D$2:$AU$1370,25,0)</f>
        <v>Not Present</v>
      </c>
      <c r="Y313" s="135">
        <f>VLOOKUP(Table1[[#This Row],[AMZ ID]],[1]Roster_1787503287932!$D$2:$AM$1370,35,0)</f>
        <v>0</v>
      </c>
    </row>
    <row r="314" spans="1:25" ht="13" customHeight="1">
      <c r="A314" s="11">
        <v>308</v>
      </c>
      <c r="B314" s="47">
        <v>204883250</v>
      </c>
      <c r="C314" s="89" t="s">
        <v>283</v>
      </c>
      <c r="D314" s="11" t="s">
        <v>284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9" t="s">
        <v>86</v>
      </c>
      <c r="O314" s="49" t="s">
        <v>35</v>
      </c>
      <c r="P314" s="11" t="s">
        <v>80</v>
      </c>
      <c r="Q314" s="11" t="s">
        <v>87</v>
      </c>
      <c r="R314" s="11" t="s">
        <v>225</v>
      </c>
      <c r="S314" s="11" t="s">
        <v>226</v>
      </c>
      <c r="T314" s="116" t="s">
        <v>10</v>
      </c>
      <c r="U314" s="88"/>
      <c r="V314" s="51">
        <v>45691</v>
      </c>
      <c r="W314" s="97" t="s">
        <v>1572</v>
      </c>
      <c r="X314" s="135" t="str">
        <f>VLOOKUP(Table1[[#This Row],[AMZ ID]],[1]Roster_1787503287932!$D$2:$AU$1370,25,0)</f>
        <v>Not Present</v>
      </c>
      <c r="Y314" s="135">
        <f>VLOOKUP(Table1[[#This Row],[AMZ ID]],[1]Roster_1787503287932!$D$2:$AM$1370,35,0)</f>
        <v>0</v>
      </c>
    </row>
    <row r="315" spans="1:25" ht="13" customHeight="1">
      <c r="A315" s="11">
        <v>309</v>
      </c>
      <c r="B315" s="47">
        <v>203521129</v>
      </c>
      <c r="C315" s="89" t="s">
        <v>285</v>
      </c>
      <c r="D315" s="11" t="s">
        <v>286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39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224</v>
      </c>
      <c r="S315" s="11" t="s">
        <v>2715</v>
      </c>
      <c r="T315" s="116" t="s">
        <v>10</v>
      </c>
      <c r="U315" s="88"/>
      <c r="V315" s="51">
        <v>45463</v>
      </c>
      <c r="W315" s="97" t="s">
        <v>1573</v>
      </c>
      <c r="X315" s="135" t="str">
        <f>VLOOKUP(Table1[[#This Row],[AMZ ID]],[1]Roster_1787503287932!$D$2:$AU$1370,25,0)</f>
        <v>Not Present</v>
      </c>
      <c r="Y315" s="135">
        <f>VLOOKUP(Table1[[#This Row],[AMZ ID]],[1]Roster_1787503287932!$D$2:$AM$1370,35,0)</f>
        <v>0</v>
      </c>
    </row>
    <row r="316" spans="1:25" ht="13" customHeight="1">
      <c r="A316" s="11">
        <v>310</v>
      </c>
      <c r="B316" s="47">
        <v>205609884</v>
      </c>
      <c r="C316" s="89" t="s">
        <v>2513</v>
      </c>
      <c r="D316" s="11" t="s">
        <v>2514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8" t="s">
        <v>86</v>
      </c>
      <c r="O316" s="49" t="s">
        <v>35</v>
      </c>
      <c r="P316" s="11" t="s">
        <v>80</v>
      </c>
      <c r="Q316" s="11" t="s">
        <v>90</v>
      </c>
      <c r="R316" s="11" t="s">
        <v>224</v>
      </c>
      <c r="S316" s="11" t="s">
        <v>2715</v>
      </c>
      <c r="T316" s="116" t="s">
        <v>10</v>
      </c>
      <c r="U316" s="88"/>
      <c r="V316" s="51">
        <v>45845</v>
      </c>
      <c r="W316" s="97" t="s">
        <v>1573</v>
      </c>
      <c r="X316" s="135" t="str">
        <f>VLOOKUP(Table1[[#This Row],[AMZ ID]],[1]Roster_1787503287932!$D$2:$AU$1370,25,0)</f>
        <v>Not Present</v>
      </c>
      <c r="Y316" s="135" t="str">
        <f>VLOOKUP(Table1[[#This Row],[AMZ ID]],[1]Roster_1787503287932!$D$2:$AM$1370,35,0)</f>
        <v>Carry Forwarded Annual Leave</v>
      </c>
    </row>
    <row r="317" spans="1:25" ht="13" customHeight="1">
      <c r="A317" s="11">
        <v>311</v>
      </c>
      <c r="B317" s="47">
        <v>205839586</v>
      </c>
      <c r="C317" s="89" t="s">
        <v>788</v>
      </c>
      <c r="D317" s="11" t="s">
        <v>789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77</v>
      </c>
      <c r="M317" s="49" t="s">
        <v>78</v>
      </c>
      <c r="N317" s="48" t="s">
        <v>86</v>
      </c>
      <c r="O317" s="49" t="s">
        <v>37</v>
      </c>
      <c r="P317" s="11" t="s">
        <v>80</v>
      </c>
      <c r="Q317" s="11" t="s">
        <v>90</v>
      </c>
      <c r="R317" s="49" t="s">
        <v>2845</v>
      </c>
      <c r="S317" s="11" t="s">
        <v>2846</v>
      </c>
      <c r="T317" s="116" t="s">
        <v>10</v>
      </c>
      <c r="U317" s="88"/>
      <c r="V317" s="51">
        <v>45894</v>
      </c>
      <c r="W317" s="97" t="s">
        <v>1577</v>
      </c>
      <c r="X317" s="135" t="str">
        <f>VLOOKUP(Table1[[#This Row],[AMZ ID]],[1]Roster_1787503287932!$D$2:$AU$1370,25,0)</f>
        <v>Not Present</v>
      </c>
      <c r="Y317" s="135" t="str">
        <f>VLOOKUP(Table1[[#This Row],[AMZ ID]],[1]Roster_1787503287932!$D$2:$AM$1370,35,0)</f>
        <v>Carry Forwarded Annual Leave</v>
      </c>
    </row>
    <row r="318" spans="1:25" ht="13" customHeight="1">
      <c r="A318" s="11">
        <v>312</v>
      </c>
      <c r="B318" s="47">
        <v>206873865</v>
      </c>
      <c r="C318" s="89" t="s">
        <v>2509</v>
      </c>
      <c r="D318" s="11" t="s">
        <v>2510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89</v>
      </c>
      <c r="O318" s="49" t="s">
        <v>35</v>
      </c>
      <c r="P318" s="11" t="s">
        <v>80</v>
      </c>
      <c r="Q318" s="11" t="s">
        <v>90</v>
      </c>
      <c r="R318" s="11" t="s">
        <v>231</v>
      </c>
      <c r="S318" s="11" t="s">
        <v>1753</v>
      </c>
      <c r="T318" s="116" t="s">
        <v>10</v>
      </c>
      <c r="U318" s="88"/>
      <c r="V318" s="51">
        <v>46020</v>
      </c>
      <c r="W318" s="97" t="s">
        <v>1573</v>
      </c>
      <c r="X318" s="135" t="str">
        <f>VLOOKUP(Table1[[#This Row],[AMZ ID]],[1]Roster_1787503287932!$D$2:$AU$1370,25,0)</f>
        <v>Not Present</v>
      </c>
      <c r="Y318" s="135">
        <f>VLOOKUP(Table1[[#This Row],[AMZ ID]],[1]Roster_1787503287932!$D$2:$AM$1370,35,0)</f>
        <v>0</v>
      </c>
    </row>
    <row r="319" spans="1:25" ht="13" customHeight="1">
      <c r="A319" s="11">
        <v>313</v>
      </c>
      <c r="B319" s="47">
        <v>203800480</v>
      </c>
      <c r="C319" s="89" t="s">
        <v>2511</v>
      </c>
      <c r="D319" s="11" t="s">
        <v>2512</v>
      </c>
      <c r="E319" s="48" t="s">
        <v>31</v>
      </c>
      <c r="F319" s="48" t="s">
        <v>74</v>
      </c>
      <c r="G319" s="48" t="s">
        <v>64</v>
      </c>
      <c r="H319" s="48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9" t="s">
        <v>86</v>
      </c>
      <c r="O319" s="48" t="s">
        <v>35</v>
      </c>
      <c r="P319" s="48" t="s">
        <v>80</v>
      </c>
      <c r="Q319" s="11" t="s">
        <v>90</v>
      </c>
      <c r="R319" s="11" t="s">
        <v>224</v>
      </c>
      <c r="S319" s="11" t="s">
        <v>2715</v>
      </c>
      <c r="T319" s="116" t="s">
        <v>10</v>
      </c>
      <c r="U319" s="88"/>
      <c r="V319" s="51">
        <v>45516</v>
      </c>
      <c r="W319" s="97" t="s">
        <v>1573</v>
      </c>
      <c r="X319" s="135" t="str">
        <f>VLOOKUP(Table1[[#This Row],[AMZ ID]],[1]Roster_1787503287932!$D$2:$AU$1370,25,0)</f>
        <v>Not Present</v>
      </c>
      <c r="Y319" s="135">
        <f>VLOOKUP(Table1[[#This Row],[AMZ ID]],[1]Roster_1787503287932!$D$2:$AM$1370,35,0)</f>
        <v>0</v>
      </c>
    </row>
    <row r="320" spans="1:25" ht="13" customHeight="1">
      <c r="A320" s="11">
        <v>314</v>
      </c>
      <c r="B320" s="47">
        <v>206958910</v>
      </c>
      <c r="C320" s="89" t="s">
        <v>2103</v>
      </c>
      <c r="D320" s="11" t="s">
        <v>2026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89</v>
      </c>
      <c r="O320" s="49" t="s">
        <v>35</v>
      </c>
      <c r="P320" s="11" t="s">
        <v>80</v>
      </c>
      <c r="Q320" s="11" t="s">
        <v>96</v>
      </c>
      <c r="R320" s="11" t="s">
        <v>224</v>
      </c>
      <c r="S320" s="11" t="s">
        <v>2715</v>
      </c>
      <c r="T320" s="116" t="s">
        <v>10</v>
      </c>
      <c r="U320" s="88"/>
      <c r="V320" s="51">
        <v>46048</v>
      </c>
      <c r="W320" s="97" t="s">
        <v>1573</v>
      </c>
      <c r="X320" s="135" t="str">
        <f>VLOOKUP(Table1[[#This Row],[AMZ ID]],[1]Roster_1787503287932!$D$2:$AU$1370,25,0)</f>
        <v>Not Present</v>
      </c>
      <c r="Y320" s="135">
        <f>VLOOKUP(Table1[[#This Row],[AMZ ID]],[1]Roster_1787503287932!$D$2:$AM$1370,35,0)</f>
        <v>0</v>
      </c>
    </row>
    <row r="321" spans="1:25" ht="13" customHeight="1">
      <c r="A321" s="11">
        <v>315</v>
      </c>
      <c r="B321" s="47">
        <v>203521521</v>
      </c>
      <c r="C321" s="89" t="s">
        <v>291</v>
      </c>
      <c r="D321" s="11" t="s">
        <v>292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9" t="s">
        <v>79</v>
      </c>
      <c r="O321" s="49" t="s">
        <v>35</v>
      </c>
      <c r="P321" s="11" t="s">
        <v>80</v>
      </c>
      <c r="Q321" s="11" t="s">
        <v>81</v>
      </c>
      <c r="R321" s="11" t="s">
        <v>225</v>
      </c>
      <c r="S321" s="11" t="s">
        <v>226</v>
      </c>
      <c r="T321" s="116" t="s">
        <v>10</v>
      </c>
      <c r="U321" s="88"/>
      <c r="V321" s="51">
        <v>45463</v>
      </c>
      <c r="W321" s="97" t="s">
        <v>1570</v>
      </c>
      <c r="X321" s="135" t="str">
        <f>VLOOKUP(Table1[[#This Row],[AMZ ID]],[1]Roster_1787503287932!$D$2:$AU$1370,25,0)</f>
        <v>Not Present</v>
      </c>
      <c r="Y321" s="135">
        <f>VLOOKUP(Table1[[#This Row],[AMZ ID]],[1]Roster_1787503287932!$D$2:$AM$1370,35,0)</f>
        <v>0</v>
      </c>
    </row>
    <row r="322" spans="1:25" ht="13" customHeight="1">
      <c r="A322" s="11">
        <v>316</v>
      </c>
      <c r="B322" s="47">
        <v>203965524</v>
      </c>
      <c r="C322" s="89" t="s">
        <v>293</v>
      </c>
      <c r="D322" s="11" t="s">
        <v>294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32</v>
      </c>
      <c r="K322" s="49" t="s">
        <v>76</v>
      </c>
      <c r="L322" s="49" t="s">
        <v>95</v>
      </c>
      <c r="M322" s="49" t="s">
        <v>77</v>
      </c>
      <c r="N322" s="48" t="s">
        <v>79</v>
      </c>
      <c r="O322" s="49" t="s">
        <v>35</v>
      </c>
      <c r="P322" s="11" t="s">
        <v>80</v>
      </c>
      <c r="Q322" s="11" t="s">
        <v>81</v>
      </c>
      <c r="R322" s="11" t="s">
        <v>225</v>
      </c>
      <c r="S322" s="11" t="s">
        <v>226</v>
      </c>
      <c r="T322" s="116" t="s">
        <v>1</v>
      </c>
      <c r="U322" s="88"/>
      <c r="V322" s="51">
        <v>45544</v>
      </c>
      <c r="W322" s="97" t="s">
        <v>1573</v>
      </c>
      <c r="X322" s="135" t="str">
        <f>VLOOKUP(Table1[[#This Row],[AMZ ID]],[1]Roster_1787503287932!$D$2:$AU$1370,25,0)</f>
        <v>Present</v>
      </c>
      <c r="Y322" s="135">
        <f>VLOOKUP(Table1[[#This Row],[AMZ ID]],[1]Roster_1787503287932!$D$2:$AM$1370,35,0)</f>
        <v>0</v>
      </c>
    </row>
    <row r="323" spans="1:25" ht="13" customHeight="1">
      <c r="A323" s="11">
        <v>317</v>
      </c>
      <c r="B323" s="47">
        <v>205845560</v>
      </c>
      <c r="C323" s="89" t="s">
        <v>1211</v>
      </c>
      <c r="D323" s="11" t="s">
        <v>1212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77</v>
      </c>
      <c r="M323" s="49" t="s">
        <v>78</v>
      </c>
      <c r="N323" s="48" t="s">
        <v>86</v>
      </c>
      <c r="O323" s="49" t="s">
        <v>37</v>
      </c>
      <c r="P323" s="11" t="s">
        <v>80</v>
      </c>
      <c r="Q323" s="11" t="s">
        <v>90</v>
      </c>
      <c r="R323" s="11" t="s">
        <v>2845</v>
      </c>
      <c r="S323" s="11" t="s">
        <v>2846</v>
      </c>
      <c r="T323" s="116" t="s">
        <v>10</v>
      </c>
      <c r="U323" s="88"/>
      <c r="V323" s="51">
        <v>45894</v>
      </c>
      <c r="W323" s="97" t="s">
        <v>1577</v>
      </c>
      <c r="X323" s="135" t="str">
        <f>VLOOKUP(Table1[[#This Row],[AMZ ID]],[1]Roster_1787503287932!$D$2:$AU$1370,25,0)</f>
        <v>Not Present</v>
      </c>
      <c r="Y323" s="135" t="str">
        <f>VLOOKUP(Table1[[#This Row],[AMZ ID]],[1]Roster_1787503287932!$D$2:$AM$1370,35,0)</f>
        <v>Carry Forwarded Annual Leave</v>
      </c>
    </row>
    <row r="324" spans="1:25" ht="13" customHeight="1">
      <c r="A324" s="11">
        <v>318</v>
      </c>
      <c r="B324" s="47">
        <v>205236908</v>
      </c>
      <c r="C324" s="89" t="s">
        <v>2561</v>
      </c>
      <c r="D324" s="11" t="s">
        <v>2562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85</v>
      </c>
      <c r="M324" s="49" t="s">
        <v>88</v>
      </c>
      <c r="N324" s="49" t="s">
        <v>86</v>
      </c>
      <c r="O324" s="49" t="s">
        <v>35</v>
      </c>
      <c r="P324" s="11" t="s">
        <v>80</v>
      </c>
      <c r="Q324" s="11" t="s">
        <v>90</v>
      </c>
      <c r="R324" s="11" t="s">
        <v>225</v>
      </c>
      <c r="S324" s="11" t="s">
        <v>226</v>
      </c>
      <c r="T324" s="116" t="s">
        <v>7</v>
      </c>
      <c r="U324" s="88" t="s">
        <v>3015</v>
      </c>
      <c r="V324" s="51">
        <v>45831</v>
      </c>
      <c r="W324" s="97" t="s">
        <v>1574</v>
      </c>
      <c r="X324" s="135" t="str">
        <f>VLOOKUP(Table1[[#This Row],[AMZ ID]],[1]Roster_1787503287932!$D$2:$AU$1370,25,0)</f>
        <v>Not Present</v>
      </c>
      <c r="Y324" s="135" t="str">
        <f>VLOOKUP(Table1[[#This Row],[AMZ ID]],[1]Roster_1787503287932!$D$2:$AM$1370,35,0)</f>
        <v>Carry Forwarded Annual Leave</v>
      </c>
    </row>
    <row r="325" spans="1:25" ht="13" customHeight="1">
      <c r="A325" s="11">
        <v>319</v>
      </c>
      <c r="B325" s="47">
        <v>205608621</v>
      </c>
      <c r="C325" s="89" t="s">
        <v>2587</v>
      </c>
      <c r="D325" s="11" t="s">
        <v>2588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86</v>
      </c>
      <c r="O325" s="49" t="s">
        <v>35</v>
      </c>
      <c r="P325" s="11" t="s">
        <v>80</v>
      </c>
      <c r="Q325" s="11" t="s">
        <v>90</v>
      </c>
      <c r="R325" s="11" t="s">
        <v>224</v>
      </c>
      <c r="S325" s="11" t="s">
        <v>2715</v>
      </c>
      <c r="T325" s="116" t="s">
        <v>10</v>
      </c>
      <c r="U325" s="88"/>
      <c r="V325" s="51">
        <v>45845</v>
      </c>
      <c r="W325" s="97" t="s">
        <v>1573</v>
      </c>
      <c r="X325" s="135" t="str">
        <f>VLOOKUP(Table1[[#This Row],[AMZ ID]],[1]Roster_1787503287932!$D$2:$AU$1370,25,0)</f>
        <v>Not Present</v>
      </c>
      <c r="Y325" s="135" t="str">
        <f>VLOOKUP(Table1[[#This Row],[AMZ ID]],[1]Roster_1787503287932!$D$2:$AM$1370,35,0)</f>
        <v>Carry Forwarded Annual Leave</v>
      </c>
    </row>
    <row r="326" spans="1:25" ht="13" customHeight="1">
      <c r="A326" s="11">
        <v>320</v>
      </c>
      <c r="B326" s="47">
        <v>203802274</v>
      </c>
      <c r="C326" s="89" t="s">
        <v>299</v>
      </c>
      <c r="D326" s="11" t="s">
        <v>300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78</v>
      </c>
      <c r="M326" s="49" t="s">
        <v>92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224</v>
      </c>
      <c r="S326" s="11" t="s">
        <v>2715</v>
      </c>
      <c r="T326" s="116" t="s">
        <v>10</v>
      </c>
      <c r="U326" s="88"/>
      <c r="V326" s="51">
        <v>45516</v>
      </c>
      <c r="W326" s="97" t="s">
        <v>1573</v>
      </c>
      <c r="X326" s="135" t="str">
        <f>VLOOKUP(Table1[[#This Row],[AMZ ID]],[1]Roster_1787503287932!$D$2:$AU$1370,25,0)</f>
        <v>Not Present</v>
      </c>
      <c r="Y326" s="135">
        <f>VLOOKUP(Table1[[#This Row],[AMZ ID]],[1]Roster_1787503287932!$D$2:$AM$1370,35,0)</f>
        <v>0</v>
      </c>
    </row>
    <row r="327" spans="1:25" ht="13" customHeight="1">
      <c r="A327" s="11">
        <v>321</v>
      </c>
      <c r="B327" s="47">
        <v>205506017</v>
      </c>
      <c r="C327" s="89" t="s">
        <v>2515</v>
      </c>
      <c r="D327" s="11" t="s">
        <v>2516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77</v>
      </c>
      <c r="M327" s="49" t="s">
        <v>78</v>
      </c>
      <c r="N327" s="48" t="s">
        <v>89</v>
      </c>
      <c r="O327" s="49" t="s">
        <v>35</v>
      </c>
      <c r="P327" s="11" t="s">
        <v>80</v>
      </c>
      <c r="Q327" s="11" t="s">
        <v>96</v>
      </c>
      <c r="R327" s="11" t="s">
        <v>224</v>
      </c>
      <c r="S327" s="11" t="s">
        <v>2715</v>
      </c>
      <c r="T327" s="116" t="s">
        <v>10</v>
      </c>
      <c r="U327" s="88"/>
      <c r="V327" s="51">
        <v>45831</v>
      </c>
      <c r="W327" s="97" t="s">
        <v>1573</v>
      </c>
      <c r="X327" s="135" t="str">
        <f>VLOOKUP(Table1[[#This Row],[AMZ ID]],[1]Roster_1787503287932!$D$2:$AU$1370,25,0)</f>
        <v>Not Present</v>
      </c>
      <c r="Y327" s="135">
        <f>VLOOKUP(Table1[[#This Row],[AMZ ID]],[1]Roster_1787503287932!$D$2:$AM$1370,35,0)</f>
        <v>0</v>
      </c>
    </row>
    <row r="328" spans="1:25" ht="13" customHeight="1">
      <c r="A328" s="11">
        <v>322</v>
      </c>
      <c r="B328" s="47">
        <v>205608618</v>
      </c>
      <c r="C328" s="89" t="s">
        <v>2517</v>
      </c>
      <c r="D328" s="11" t="s">
        <v>2518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78</v>
      </c>
      <c r="M328" s="49" t="s">
        <v>92</v>
      </c>
      <c r="N328" s="49" t="s">
        <v>86</v>
      </c>
      <c r="O328" s="49" t="s">
        <v>35</v>
      </c>
      <c r="P328" s="11" t="s">
        <v>80</v>
      </c>
      <c r="Q328" s="11" t="s">
        <v>90</v>
      </c>
      <c r="R328" s="11" t="s">
        <v>224</v>
      </c>
      <c r="S328" s="11" t="s">
        <v>2715</v>
      </c>
      <c r="T328" s="116" t="s">
        <v>10</v>
      </c>
      <c r="U328" s="88"/>
      <c r="V328" s="51">
        <v>45845</v>
      </c>
      <c r="W328" s="97" t="s">
        <v>1573</v>
      </c>
      <c r="X328" s="135" t="str">
        <f>VLOOKUP(Table1[[#This Row],[AMZ ID]],[1]Roster_1787503287932!$D$2:$AU$1370,25,0)</f>
        <v>Not Present</v>
      </c>
      <c r="Y328" s="135">
        <f>VLOOKUP(Table1[[#This Row],[AMZ ID]],[1]Roster_1787503287932!$D$2:$AM$1370,35,0)</f>
        <v>0</v>
      </c>
    </row>
    <row r="329" spans="1:25" ht="13" customHeight="1">
      <c r="A329" s="11">
        <v>323</v>
      </c>
      <c r="B329" s="47">
        <v>203965520</v>
      </c>
      <c r="C329" s="89" t="s">
        <v>302</v>
      </c>
      <c r="D329" s="11" t="s">
        <v>303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39</v>
      </c>
      <c r="K329" s="49" t="s">
        <v>76</v>
      </c>
      <c r="L329" s="49" t="s">
        <v>78</v>
      </c>
      <c r="M329" s="49" t="s">
        <v>92</v>
      </c>
      <c r="N329" s="49" t="s">
        <v>79</v>
      </c>
      <c r="O329" s="49" t="s">
        <v>35</v>
      </c>
      <c r="P329" s="11" t="s">
        <v>80</v>
      </c>
      <c r="Q329" s="11" t="s">
        <v>81</v>
      </c>
      <c r="R329" s="11" t="s">
        <v>224</v>
      </c>
      <c r="S329" s="11" t="s">
        <v>2715</v>
      </c>
      <c r="T329" s="116" t="s">
        <v>10</v>
      </c>
      <c r="U329" s="88"/>
      <c r="V329" s="51">
        <v>45544</v>
      </c>
      <c r="W329" s="97" t="s">
        <v>1573</v>
      </c>
      <c r="X329" s="135" t="str">
        <f>VLOOKUP(Table1[[#This Row],[AMZ ID]],[1]Roster_1787503287932!$D$2:$AU$1370,25,0)</f>
        <v>Not Present</v>
      </c>
      <c r="Y329" s="135">
        <f>VLOOKUP(Table1[[#This Row],[AMZ ID]],[1]Roster_1787503287932!$D$2:$AM$1370,35,0)</f>
        <v>0</v>
      </c>
    </row>
    <row r="330" spans="1:25" ht="13" customHeight="1">
      <c r="A330" s="11">
        <v>324</v>
      </c>
      <c r="B330" s="47">
        <v>203851006</v>
      </c>
      <c r="C330" s="89" t="s">
        <v>304</v>
      </c>
      <c r="D330" s="11" t="s">
        <v>305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226</v>
      </c>
      <c r="T330" s="116" t="s">
        <v>10</v>
      </c>
      <c r="U330" s="88"/>
      <c r="V330" s="51">
        <v>45524</v>
      </c>
      <c r="W330" s="97" t="s">
        <v>1572</v>
      </c>
      <c r="X330" s="135" t="str">
        <f>VLOOKUP(Table1[[#This Row],[AMZ ID]],[1]Roster_1787503287932!$D$2:$AU$1370,25,0)</f>
        <v>Not Present</v>
      </c>
      <c r="Y330" s="135">
        <f>VLOOKUP(Table1[[#This Row],[AMZ ID]],[1]Roster_1787503287932!$D$2:$AM$1370,35,0)</f>
        <v>0</v>
      </c>
    </row>
    <row r="331" spans="1:25" ht="13" customHeight="1">
      <c r="A331" s="11">
        <v>325</v>
      </c>
      <c r="B331" s="47">
        <v>203881601</v>
      </c>
      <c r="C331" s="89" t="s">
        <v>306</v>
      </c>
      <c r="D331" s="11" t="s">
        <v>307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88</v>
      </c>
      <c r="M331" s="49" t="s">
        <v>95</v>
      </c>
      <c r="N331" s="48" t="s">
        <v>79</v>
      </c>
      <c r="O331" s="49" t="s">
        <v>35</v>
      </c>
      <c r="P331" s="11" t="s">
        <v>80</v>
      </c>
      <c r="Q331" s="11" t="s">
        <v>81</v>
      </c>
      <c r="R331" s="11" t="s">
        <v>224</v>
      </c>
      <c r="S331" s="11" t="s">
        <v>2715</v>
      </c>
      <c r="T331" s="116" t="s">
        <v>4</v>
      </c>
      <c r="U331" s="88"/>
      <c r="V331" s="51">
        <v>45530</v>
      </c>
      <c r="W331" s="97" t="s">
        <v>1573</v>
      </c>
      <c r="X331" s="135" t="str">
        <f>VLOOKUP(Table1[[#This Row],[AMZ ID]],[1]Roster_1787503287932!$D$2:$AU$1370,25,0)</f>
        <v>Not Present</v>
      </c>
      <c r="Y331" s="135">
        <f>VLOOKUP(Table1[[#This Row],[AMZ ID]],[1]Roster_1787503287932!$D$2:$AM$1370,35,0)</f>
        <v>0</v>
      </c>
    </row>
    <row r="332" spans="1:25" ht="13" customHeight="1">
      <c r="A332" s="11">
        <v>326</v>
      </c>
      <c r="B332" s="47">
        <v>204967143</v>
      </c>
      <c r="C332" s="89" t="s">
        <v>308</v>
      </c>
      <c r="D332" s="11" t="s">
        <v>309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84</v>
      </c>
      <c r="M332" s="49" t="s">
        <v>85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224</v>
      </c>
      <c r="S332" s="11" t="s">
        <v>2715</v>
      </c>
      <c r="T332" s="116" t="s">
        <v>1</v>
      </c>
      <c r="U332" s="88"/>
      <c r="V332" s="51">
        <v>45826</v>
      </c>
      <c r="W332" s="97" t="s">
        <v>1573</v>
      </c>
      <c r="X332" s="135" t="str">
        <f>VLOOKUP(Table1[[#This Row],[AMZ ID]],[1]Roster_1787503287932!$D$2:$AU$1370,25,0)</f>
        <v>Present</v>
      </c>
      <c r="Y332" s="135">
        <f>VLOOKUP(Table1[[#This Row],[AMZ ID]],[1]Roster_1787503287932!$D$2:$AM$1370,35,0)</f>
        <v>0</v>
      </c>
    </row>
    <row r="333" spans="1:25" ht="13" customHeight="1">
      <c r="A333" s="11">
        <v>327</v>
      </c>
      <c r="B333" s="47">
        <v>206065200</v>
      </c>
      <c r="C333" s="89" t="s">
        <v>310</v>
      </c>
      <c r="D333" s="11" t="s">
        <v>311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226</v>
      </c>
      <c r="T333" s="116" t="s">
        <v>10</v>
      </c>
      <c r="U333" s="88"/>
      <c r="V333" s="51">
        <v>45922</v>
      </c>
      <c r="W333" s="97" t="s">
        <v>1572</v>
      </c>
      <c r="X333" s="135" t="str">
        <f>VLOOKUP(Table1[[#This Row],[AMZ ID]],[1]Roster_1787503287932!$D$2:$AU$1370,25,0)</f>
        <v>Not Present</v>
      </c>
      <c r="Y333" s="135">
        <f>VLOOKUP(Table1[[#This Row],[AMZ ID]],[1]Roster_1787503287932!$D$2:$AM$1370,35,0)</f>
        <v>0</v>
      </c>
    </row>
    <row r="334" spans="1:25" ht="13" customHeight="1">
      <c r="A334" s="11">
        <v>328</v>
      </c>
      <c r="B334" s="47">
        <v>205495596</v>
      </c>
      <c r="C334" s="89" t="s">
        <v>2519</v>
      </c>
      <c r="D334" s="11" t="s">
        <v>2520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84</v>
      </c>
      <c r="M334" s="49" t="s">
        <v>85</v>
      </c>
      <c r="N334" s="48" t="s">
        <v>89</v>
      </c>
      <c r="O334" s="49" t="s">
        <v>35</v>
      </c>
      <c r="P334" s="11" t="s">
        <v>80</v>
      </c>
      <c r="Q334" s="11" t="s">
        <v>96</v>
      </c>
      <c r="R334" s="11" t="s">
        <v>224</v>
      </c>
      <c r="S334" s="11" t="s">
        <v>2715</v>
      </c>
      <c r="T334" s="116" t="s">
        <v>1</v>
      </c>
      <c r="U334" s="88"/>
      <c r="V334" s="51">
        <v>45831</v>
      </c>
      <c r="W334" s="97" t="s">
        <v>1573</v>
      </c>
      <c r="X334" s="135" t="str">
        <f>VLOOKUP(Table1[[#This Row],[AMZ ID]],[1]Roster_1787503287932!$D$2:$AU$1370,25,0)</f>
        <v>Present</v>
      </c>
      <c r="Y334" s="135">
        <f>VLOOKUP(Table1[[#This Row],[AMZ ID]],[1]Roster_1787503287932!$D$2:$AM$1370,35,0)</f>
        <v>0</v>
      </c>
    </row>
    <row r="335" spans="1:25" ht="13" customHeight="1">
      <c r="A335" s="11">
        <v>329</v>
      </c>
      <c r="B335" s="47">
        <v>204246157</v>
      </c>
      <c r="C335" s="89" t="s">
        <v>312</v>
      </c>
      <c r="D335" s="11" t="s">
        <v>313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84</v>
      </c>
      <c r="M335" s="49" t="s">
        <v>85</v>
      </c>
      <c r="N335" s="49" t="s">
        <v>86</v>
      </c>
      <c r="O335" s="49" t="s">
        <v>35</v>
      </c>
      <c r="P335" s="11" t="s">
        <v>80</v>
      </c>
      <c r="Q335" s="11" t="s">
        <v>87</v>
      </c>
      <c r="R335" s="11" t="s">
        <v>224</v>
      </c>
      <c r="S335" s="11" t="s">
        <v>2715</v>
      </c>
      <c r="T335" s="116" t="s">
        <v>1</v>
      </c>
      <c r="U335" s="88"/>
      <c r="V335" s="51">
        <v>45579</v>
      </c>
      <c r="W335" s="97" t="s">
        <v>1573</v>
      </c>
      <c r="X335" s="135" t="str">
        <f>VLOOKUP(Table1[[#This Row],[AMZ ID]],[1]Roster_1787503287932!$D$2:$AU$1370,25,0)</f>
        <v>Present</v>
      </c>
      <c r="Y335" s="135">
        <f>VLOOKUP(Table1[[#This Row],[AMZ ID]],[1]Roster_1787503287932!$D$2:$AM$1370,35,0)</f>
        <v>0</v>
      </c>
    </row>
    <row r="336" spans="1:25" ht="13" customHeight="1">
      <c r="A336" s="11">
        <v>330</v>
      </c>
      <c r="B336" s="47">
        <v>204868859</v>
      </c>
      <c r="C336" s="89" t="s">
        <v>314</v>
      </c>
      <c r="D336" s="11" t="s">
        <v>315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32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87</v>
      </c>
      <c r="R336" s="11" t="s">
        <v>231</v>
      </c>
      <c r="S336" s="11" t="s">
        <v>1753</v>
      </c>
      <c r="T336" s="116" t="s">
        <v>1</v>
      </c>
      <c r="U336" s="88"/>
      <c r="V336" s="51">
        <v>45691</v>
      </c>
      <c r="W336" s="97" t="s">
        <v>1573</v>
      </c>
      <c r="X336" s="135" t="str">
        <f>VLOOKUP(Table1[[#This Row],[AMZ ID]],[1]Roster_1787503287932!$D$2:$AU$1370,25,0)</f>
        <v>Present</v>
      </c>
      <c r="Y336" s="135">
        <f>VLOOKUP(Table1[[#This Row],[AMZ ID]],[1]Roster_1787503287932!$D$2:$AM$1370,35,0)</f>
        <v>0</v>
      </c>
    </row>
    <row r="337" spans="1:25" ht="13" customHeight="1">
      <c r="A337" s="11">
        <v>331</v>
      </c>
      <c r="B337" s="47">
        <v>204872907</v>
      </c>
      <c r="C337" s="89" t="s">
        <v>316</v>
      </c>
      <c r="D337" s="11" t="s">
        <v>317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39</v>
      </c>
      <c r="K337" s="49" t="s">
        <v>76</v>
      </c>
      <c r="L337" s="49" t="s">
        <v>84</v>
      </c>
      <c r="M337" s="49" t="s">
        <v>85</v>
      </c>
      <c r="N337" s="48" t="s">
        <v>86</v>
      </c>
      <c r="O337" s="49" t="s">
        <v>35</v>
      </c>
      <c r="P337" s="11" t="s">
        <v>80</v>
      </c>
      <c r="Q337" s="11" t="s">
        <v>90</v>
      </c>
      <c r="R337" s="11" t="s">
        <v>224</v>
      </c>
      <c r="S337" s="11" t="s">
        <v>2715</v>
      </c>
      <c r="T337" s="116" t="s">
        <v>7</v>
      </c>
      <c r="U337" s="88"/>
      <c r="V337" s="51">
        <v>45826</v>
      </c>
      <c r="W337" s="97" t="s">
        <v>1573</v>
      </c>
      <c r="X337" s="135" t="str">
        <f>VLOOKUP(Table1[[#This Row],[AMZ ID]],[1]Roster_1787503287932!$D$2:$AU$1370,25,0)</f>
        <v>Not Present</v>
      </c>
      <c r="Y337" s="135" t="str">
        <f>VLOOKUP(Table1[[#This Row],[AMZ ID]],[1]Roster_1787503287932!$D$2:$AM$1370,35,0)</f>
        <v>Carry Forwarded Annual Leave</v>
      </c>
    </row>
    <row r="338" spans="1:25" ht="13" customHeight="1">
      <c r="A338" s="11">
        <v>332</v>
      </c>
      <c r="B338" s="47">
        <v>206065195</v>
      </c>
      <c r="C338" s="89" t="s">
        <v>318</v>
      </c>
      <c r="D338" s="11" t="s">
        <v>319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225</v>
      </c>
      <c r="S338" s="11" t="s">
        <v>226</v>
      </c>
      <c r="T338" s="116" t="s">
        <v>1</v>
      </c>
      <c r="U338" s="88"/>
      <c r="V338" s="51">
        <v>45922</v>
      </c>
      <c r="W338" s="97" t="s">
        <v>1572</v>
      </c>
      <c r="X338" s="135" t="str">
        <f>VLOOKUP(Table1[[#This Row],[AMZ ID]],[1]Roster_1787503287932!$D$2:$AU$1370,25,0)</f>
        <v>Present</v>
      </c>
      <c r="Y338" s="135">
        <f>VLOOKUP(Table1[[#This Row],[AMZ ID]],[1]Roster_1787503287932!$D$2:$AM$1370,35,0)</f>
        <v>0</v>
      </c>
    </row>
    <row r="339" spans="1:25" ht="13" customHeight="1">
      <c r="A339" s="11">
        <v>333</v>
      </c>
      <c r="B339" s="47">
        <v>205845561</v>
      </c>
      <c r="C339" s="89" t="s">
        <v>2432</v>
      </c>
      <c r="D339" s="11" t="s">
        <v>2433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32</v>
      </c>
      <c r="K339" s="49" t="s">
        <v>76</v>
      </c>
      <c r="L339" s="49" t="s">
        <v>77</v>
      </c>
      <c r="M339" s="49" t="s">
        <v>78</v>
      </c>
      <c r="N339" s="48" t="s">
        <v>86</v>
      </c>
      <c r="O339" s="49" t="s">
        <v>37</v>
      </c>
      <c r="P339" s="11" t="s">
        <v>80</v>
      </c>
      <c r="Q339" s="11" t="s">
        <v>90</v>
      </c>
      <c r="R339" s="11" t="s">
        <v>2845</v>
      </c>
      <c r="S339" s="11" t="s">
        <v>2846</v>
      </c>
      <c r="T339" s="116" t="s">
        <v>10</v>
      </c>
      <c r="U339" s="88"/>
      <c r="V339" s="51">
        <v>45894</v>
      </c>
      <c r="W339" s="97" t="s">
        <v>1577</v>
      </c>
      <c r="X339" s="135" t="str">
        <f>VLOOKUP(Table1[[#This Row],[AMZ ID]],[1]Roster_1787503287932!$D$2:$AU$1370,25,0)</f>
        <v>Not Present</v>
      </c>
      <c r="Y339" s="135">
        <f>VLOOKUP(Table1[[#This Row],[AMZ ID]],[1]Roster_1787503287932!$D$2:$AM$1370,35,0)</f>
        <v>0</v>
      </c>
    </row>
    <row r="340" spans="1:25" ht="13" customHeight="1">
      <c r="A340" s="11">
        <v>334</v>
      </c>
      <c r="B340" s="47">
        <v>205671334</v>
      </c>
      <c r="C340" s="89" t="s">
        <v>2362</v>
      </c>
      <c r="D340" s="11" t="s">
        <v>2363</v>
      </c>
      <c r="E340" s="48" t="s">
        <v>34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32</v>
      </c>
      <c r="K340" s="49" t="s">
        <v>76</v>
      </c>
      <c r="L340" s="49" t="s">
        <v>78</v>
      </c>
      <c r="M340" s="49" t="s">
        <v>92</v>
      </c>
      <c r="N340" s="48" t="s">
        <v>97</v>
      </c>
      <c r="O340" s="49" t="s">
        <v>35</v>
      </c>
      <c r="P340" s="11" t="s">
        <v>80</v>
      </c>
      <c r="Q340" s="11" t="s">
        <v>98</v>
      </c>
      <c r="R340" s="11" t="s">
        <v>231</v>
      </c>
      <c r="S340" s="11" t="s">
        <v>1753</v>
      </c>
      <c r="T340" s="116" t="s">
        <v>10</v>
      </c>
      <c r="U340" s="88"/>
      <c r="V340" s="51">
        <v>46062</v>
      </c>
      <c r="W340" s="97" t="s">
        <v>1575</v>
      </c>
      <c r="X340" s="135" t="str">
        <f>VLOOKUP(Table1[[#This Row],[AMZ ID]],[1]Roster_1787503287932!$D$2:$AU$1370,25,0)</f>
        <v>Not Present</v>
      </c>
      <c r="Y340" s="135">
        <f>VLOOKUP(Table1[[#This Row],[AMZ ID]],[1]Roster_1787503287932!$D$2:$AM$1370,35,0)</f>
        <v>0</v>
      </c>
    </row>
    <row r="341" spans="1:25" ht="13" customHeight="1">
      <c r="A341" s="11">
        <v>335</v>
      </c>
      <c r="B341" s="47">
        <v>203851004</v>
      </c>
      <c r="C341" s="89" t="s">
        <v>322</v>
      </c>
      <c r="D341" s="11" t="s">
        <v>323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79</v>
      </c>
      <c r="O341" s="49" t="s">
        <v>35</v>
      </c>
      <c r="P341" s="11" t="s">
        <v>80</v>
      </c>
      <c r="Q341" s="11" t="s">
        <v>81</v>
      </c>
      <c r="R341" s="11" t="s">
        <v>225</v>
      </c>
      <c r="S341" s="11" t="s">
        <v>226</v>
      </c>
      <c r="T341" s="116" t="s">
        <v>1</v>
      </c>
      <c r="U341" s="88"/>
      <c r="V341" s="51">
        <v>45524</v>
      </c>
      <c r="W341" s="97" t="s">
        <v>1572</v>
      </c>
      <c r="X341" s="135" t="str">
        <f>VLOOKUP(Table1[[#This Row],[AMZ ID]],[1]Roster_1787503287932!$D$2:$AU$1370,25,0)</f>
        <v>Present</v>
      </c>
      <c r="Y341" s="135">
        <f>VLOOKUP(Table1[[#This Row],[AMZ ID]],[1]Roster_1787503287932!$D$2:$AM$1370,35,0)</f>
        <v>0</v>
      </c>
    </row>
    <row r="342" spans="1:25" ht="13" customHeight="1">
      <c r="A342" s="11">
        <v>336</v>
      </c>
      <c r="B342" s="47">
        <v>203736252</v>
      </c>
      <c r="C342" s="89" t="s">
        <v>2521</v>
      </c>
      <c r="D342" s="11" t="s">
        <v>2522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39</v>
      </c>
      <c r="K342" s="49" t="s">
        <v>76</v>
      </c>
      <c r="L342" s="49" t="s">
        <v>92</v>
      </c>
      <c r="M342" s="49" t="s">
        <v>84</v>
      </c>
      <c r="N342" s="48" t="s">
        <v>86</v>
      </c>
      <c r="O342" s="49" t="s">
        <v>35</v>
      </c>
      <c r="P342" s="11" t="s">
        <v>80</v>
      </c>
      <c r="Q342" s="11" t="s">
        <v>90</v>
      </c>
      <c r="R342" s="11" t="s">
        <v>224</v>
      </c>
      <c r="S342" s="11" t="s">
        <v>2715</v>
      </c>
      <c r="T342" s="116" t="s">
        <v>1</v>
      </c>
      <c r="U342" s="88"/>
      <c r="V342" s="51">
        <v>45502</v>
      </c>
      <c r="W342" s="97" t="s">
        <v>1573</v>
      </c>
      <c r="X342" s="135" t="str">
        <f>VLOOKUP(Table1[[#This Row],[AMZ ID]],[1]Roster_1787503287932!$D$2:$AU$1370,25,0)</f>
        <v>Present</v>
      </c>
      <c r="Y342" s="135">
        <f>VLOOKUP(Table1[[#This Row],[AMZ ID]],[1]Roster_1787503287932!$D$2:$AM$1370,35,0)</f>
        <v>0</v>
      </c>
    </row>
    <row r="343" spans="1:25" ht="13" customHeight="1">
      <c r="A343" s="11">
        <v>337</v>
      </c>
      <c r="B343" s="47">
        <v>204246170</v>
      </c>
      <c r="C343" s="89" t="s">
        <v>324</v>
      </c>
      <c r="D343" s="11" t="s">
        <v>325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39</v>
      </c>
      <c r="K343" s="49" t="s">
        <v>76</v>
      </c>
      <c r="L343" s="49" t="s">
        <v>85</v>
      </c>
      <c r="M343" s="49" t="s">
        <v>88</v>
      </c>
      <c r="N343" s="48" t="s">
        <v>86</v>
      </c>
      <c r="O343" s="49" t="s">
        <v>35</v>
      </c>
      <c r="P343" s="11" t="s">
        <v>80</v>
      </c>
      <c r="Q343" s="11" t="s">
        <v>87</v>
      </c>
      <c r="R343" s="11" t="s">
        <v>224</v>
      </c>
      <c r="S343" s="11" t="s">
        <v>2715</v>
      </c>
      <c r="T343" s="116" t="s">
        <v>1</v>
      </c>
      <c r="U343" s="88"/>
      <c r="V343" s="51">
        <v>45579</v>
      </c>
      <c r="W343" s="97" t="s">
        <v>1573</v>
      </c>
      <c r="X343" s="135" t="str">
        <f>VLOOKUP(Table1[[#This Row],[AMZ ID]],[1]Roster_1787503287932!$D$2:$AU$1370,25,0)</f>
        <v>Present</v>
      </c>
      <c r="Y343" s="135">
        <f>VLOOKUP(Table1[[#This Row],[AMZ ID]],[1]Roster_1787503287932!$D$2:$AM$1370,35,0)</f>
        <v>0</v>
      </c>
    </row>
    <row r="344" spans="1:25" ht="13" customHeight="1">
      <c r="A344" s="11">
        <v>338</v>
      </c>
      <c r="B344" s="47">
        <v>204246161</v>
      </c>
      <c r="C344" s="89" t="s">
        <v>326</v>
      </c>
      <c r="D344" s="11" t="s">
        <v>327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86</v>
      </c>
      <c r="O344" s="49" t="s">
        <v>35</v>
      </c>
      <c r="P344" s="11" t="s">
        <v>80</v>
      </c>
      <c r="Q344" s="11" t="s">
        <v>87</v>
      </c>
      <c r="R344" s="11" t="s">
        <v>224</v>
      </c>
      <c r="S344" s="11" t="s">
        <v>2715</v>
      </c>
      <c r="T344" s="116" t="s">
        <v>10</v>
      </c>
      <c r="U344" s="88"/>
      <c r="V344" s="51">
        <v>45579</v>
      </c>
      <c r="W344" s="97" t="s">
        <v>1573</v>
      </c>
      <c r="X344" s="135" t="str">
        <f>VLOOKUP(Table1[[#This Row],[AMZ ID]],[1]Roster_1787503287932!$D$2:$AU$1370,25,0)</f>
        <v>Not Present</v>
      </c>
      <c r="Y344" s="135">
        <f>VLOOKUP(Table1[[#This Row],[AMZ ID]],[1]Roster_1787503287932!$D$2:$AM$1370,35,0)</f>
        <v>0</v>
      </c>
    </row>
    <row r="345" spans="1:25" ht="13" customHeight="1">
      <c r="A345" s="11">
        <v>339</v>
      </c>
      <c r="B345" s="47">
        <v>102582327</v>
      </c>
      <c r="C345" s="89" t="s">
        <v>328</v>
      </c>
      <c r="D345" s="11" t="s">
        <v>329</v>
      </c>
      <c r="E345" s="48" t="s">
        <v>34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2471</v>
      </c>
      <c r="K345" s="49" t="s">
        <v>76</v>
      </c>
      <c r="L345" s="49" t="s">
        <v>78</v>
      </c>
      <c r="M345" s="49" t="s">
        <v>92</v>
      </c>
      <c r="N345" s="48" t="s">
        <v>97</v>
      </c>
      <c r="O345" s="49" t="s">
        <v>35</v>
      </c>
      <c r="P345" s="11" t="s">
        <v>80</v>
      </c>
      <c r="Q345" s="11" t="s">
        <v>98</v>
      </c>
      <c r="R345" s="11" t="s">
        <v>224</v>
      </c>
      <c r="S345" s="11" t="s">
        <v>2715</v>
      </c>
      <c r="T345" s="116" t="s">
        <v>10</v>
      </c>
      <c r="U345" s="88"/>
      <c r="V345" s="51">
        <v>42960</v>
      </c>
      <c r="W345" s="97" t="s">
        <v>1575</v>
      </c>
      <c r="X345" s="135" t="str">
        <f>VLOOKUP(Table1[[#This Row],[AMZ ID]],[1]Roster_1787503287932!$D$2:$AU$1370,25,0)</f>
        <v>Not Present</v>
      </c>
      <c r="Y345" s="135">
        <f>VLOOKUP(Table1[[#This Row],[AMZ ID]],[1]Roster_1787503287932!$D$2:$AM$1370,35,0)</f>
        <v>0</v>
      </c>
    </row>
    <row r="346" spans="1:25" ht="13" customHeight="1">
      <c r="A346" s="11">
        <v>340</v>
      </c>
      <c r="B346" s="47">
        <v>203555714</v>
      </c>
      <c r="C346" s="89" t="s">
        <v>330</v>
      </c>
      <c r="D346" s="11" t="s">
        <v>331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32</v>
      </c>
      <c r="K346" s="49" t="s">
        <v>76</v>
      </c>
      <c r="L346" s="49" t="s">
        <v>77</v>
      </c>
      <c r="M346" s="49" t="s">
        <v>78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225</v>
      </c>
      <c r="S346" s="11" t="s">
        <v>226</v>
      </c>
      <c r="T346" s="116" t="s">
        <v>10</v>
      </c>
      <c r="U346" s="88"/>
      <c r="V346" s="51">
        <v>45470</v>
      </c>
      <c r="W346" s="97" t="s">
        <v>1572</v>
      </c>
      <c r="X346" s="135" t="str">
        <f>VLOOKUP(Table1[[#This Row],[AMZ ID]],[1]Roster_1787503287932!$D$2:$AU$1370,25,0)</f>
        <v>Not Present</v>
      </c>
      <c r="Y346" s="135">
        <f>VLOOKUP(Table1[[#This Row],[AMZ ID]],[1]Roster_1787503287932!$D$2:$AM$1370,35,0)</f>
        <v>0</v>
      </c>
    </row>
    <row r="347" spans="1:25" ht="13" customHeight="1">
      <c r="A347" s="11">
        <v>341</v>
      </c>
      <c r="B347" s="47">
        <v>203468318</v>
      </c>
      <c r="C347" s="89" t="s">
        <v>332</v>
      </c>
      <c r="D347" s="11" t="s">
        <v>333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79</v>
      </c>
      <c r="O347" s="49" t="s">
        <v>35</v>
      </c>
      <c r="P347" s="11" t="s">
        <v>80</v>
      </c>
      <c r="Q347" s="11" t="s">
        <v>81</v>
      </c>
      <c r="R347" s="11" t="s">
        <v>225</v>
      </c>
      <c r="S347" s="11" t="s">
        <v>226</v>
      </c>
      <c r="T347" s="116" t="s">
        <v>10</v>
      </c>
      <c r="U347" s="88"/>
      <c r="V347" s="51">
        <v>45456</v>
      </c>
      <c r="W347" s="97" t="s">
        <v>1570</v>
      </c>
      <c r="X347" s="135" t="str">
        <f>VLOOKUP(Table1[[#This Row],[AMZ ID]],[1]Roster_1787503287932!$D$2:$AU$1370,25,0)</f>
        <v>Not Present</v>
      </c>
      <c r="Y347" s="135">
        <f>VLOOKUP(Table1[[#This Row],[AMZ ID]],[1]Roster_1787503287932!$D$2:$AM$1370,35,0)</f>
        <v>0</v>
      </c>
    </row>
    <row r="348" spans="1:25" ht="13" customHeight="1">
      <c r="A348" s="11">
        <v>342</v>
      </c>
      <c r="B348" s="47">
        <v>206873868</v>
      </c>
      <c r="C348" s="89" t="s">
        <v>2523</v>
      </c>
      <c r="D348" s="11" t="s">
        <v>2524</v>
      </c>
      <c r="E348" s="48" t="s">
        <v>31</v>
      </c>
      <c r="F348" s="48" t="s">
        <v>74</v>
      </c>
      <c r="G348" s="48" t="s">
        <v>64</v>
      </c>
      <c r="H348" s="48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9" t="s">
        <v>89</v>
      </c>
      <c r="O348" s="48" t="s">
        <v>35</v>
      </c>
      <c r="P348" s="48" t="s">
        <v>80</v>
      </c>
      <c r="Q348" s="11" t="s">
        <v>90</v>
      </c>
      <c r="R348" s="11" t="s">
        <v>231</v>
      </c>
      <c r="S348" s="11" t="s">
        <v>1753</v>
      </c>
      <c r="T348" s="116" t="s">
        <v>10</v>
      </c>
      <c r="U348" s="88"/>
      <c r="V348" s="51">
        <v>46020</v>
      </c>
      <c r="W348" s="97" t="s">
        <v>1573</v>
      </c>
      <c r="X348" s="135" t="str">
        <f>VLOOKUP(Table1[[#This Row],[AMZ ID]],[1]Roster_1787503287932!$D$2:$AU$1370,25,0)</f>
        <v>Not Present</v>
      </c>
      <c r="Y348" s="135">
        <f>VLOOKUP(Table1[[#This Row],[AMZ ID]],[1]Roster_1787503287932!$D$2:$AM$1370,35,0)</f>
        <v>0</v>
      </c>
    </row>
    <row r="349" spans="1:25" ht="13" customHeight="1">
      <c r="A349" s="11">
        <v>343</v>
      </c>
      <c r="B349" s="47">
        <v>204868858</v>
      </c>
      <c r="C349" s="89" t="s">
        <v>334</v>
      </c>
      <c r="D349" s="11" t="s">
        <v>335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2471</v>
      </c>
      <c r="K349" s="49" t="s">
        <v>76</v>
      </c>
      <c r="L349" s="49" t="s">
        <v>84</v>
      </c>
      <c r="M349" s="49" t="s">
        <v>85</v>
      </c>
      <c r="N349" s="48" t="s">
        <v>86</v>
      </c>
      <c r="O349" s="49" t="s">
        <v>35</v>
      </c>
      <c r="P349" s="11" t="s">
        <v>80</v>
      </c>
      <c r="Q349" s="11" t="s">
        <v>87</v>
      </c>
      <c r="R349" s="11" t="s">
        <v>224</v>
      </c>
      <c r="S349" s="11" t="s">
        <v>2715</v>
      </c>
      <c r="T349" s="116" t="s">
        <v>1</v>
      </c>
      <c r="U349" s="88"/>
      <c r="V349" s="51">
        <v>45691</v>
      </c>
      <c r="W349" s="97" t="s">
        <v>1573</v>
      </c>
      <c r="X349" s="135" t="str">
        <f>VLOOKUP(Table1[[#This Row],[AMZ ID]],[1]Roster_1787503287932!$D$2:$AU$1370,25,0)</f>
        <v>Present</v>
      </c>
      <c r="Y349" s="135">
        <f>VLOOKUP(Table1[[#This Row],[AMZ ID]],[1]Roster_1787503287932!$D$2:$AM$1370,35,0)</f>
        <v>0</v>
      </c>
    </row>
    <row r="350" spans="1:25" ht="13" customHeight="1">
      <c r="A350" s="11">
        <v>344</v>
      </c>
      <c r="B350" s="47">
        <v>203521428</v>
      </c>
      <c r="C350" s="89" t="s">
        <v>336</v>
      </c>
      <c r="D350" s="11" t="s">
        <v>337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225</v>
      </c>
      <c r="S350" s="11" t="s">
        <v>226</v>
      </c>
      <c r="T350" s="116" t="s">
        <v>10</v>
      </c>
      <c r="U350" s="88"/>
      <c r="V350" s="51">
        <v>45463</v>
      </c>
      <c r="W350" s="97" t="s">
        <v>1574</v>
      </c>
      <c r="X350" s="135" t="str">
        <f>VLOOKUP(Table1[[#This Row],[AMZ ID]],[1]Roster_1787503287932!$D$2:$AU$1370,25,0)</f>
        <v>Not Present</v>
      </c>
      <c r="Y350" s="135">
        <f>VLOOKUP(Table1[[#This Row],[AMZ ID]],[1]Roster_1787503287932!$D$2:$AM$1370,35,0)</f>
        <v>0</v>
      </c>
    </row>
    <row r="351" spans="1:25" ht="13" customHeight="1">
      <c r="A351" s="11">
        <v>345</v>
      </c>
      <c r="B351" s="47">
        <v>204246156</v>
      </c>
      <c r="C351" s="89" t="s">
        <v>338</v>
      </c>
      <c r="D351" s="11" t="s">
        <v>339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9" t="s">
        <v>86</v>
      </c>
      <c r="O351" s="49" t="s">
        <v>35</v>
      </c>
      <c r="P351" s="11" t="s">
        <v>80</v>
      </c>
      <c r="Q351" s="11" t="s">
        <v>87</v>
      </c>
      <c r="R351" s="11" t="s">
        <v>2844</v>
      </c>
      <c r="S351" s="11" t="s">
        <v>2716</v>
      </c>
      <c r="T351" s="116" t="s">
        <v>10</v>
      </c>
      <c r="U351" s="88"/>
      <c r="V351" s="51">
        <v>45579</v>
      </c>
      <c r="W351" s="97" t="s">
        <v>1573</v>
      </c>
      <c r="X351" s="135" t="str">
        <f>VLOOKUP(Table1[[#This Row],[AMZ ID]],[1]Roster_1787503287932!$D$2:$AU$1370,25,0)</f>
        <v>Not Present</v>
      </c>
      <c r="Y351" s="135">
        <f>VLOOKUP(Table1[[#This Row],[AMZ ID]],[1]Roster_1787503287932!$D$2:$AM$1370,35,0)</f>
        <v>0</v>
      </c>
    </row>
    <row r="352" spans="1:25" ht="13" customHeight="1">
      <c r="A352" s="11">
        <v>346</v>
      </c>
      <c r="B352" s="47">
        <v>103060279</v>
      </c>
      <c r="C352" s="89" t="s">
        <v>340</v>
      </c>
      <c r="D352" s="11" t="s">
        <v>341</v>
      </c>
      <c r="E352" s="48" t="s">
        <v>34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32</v>
      </c>
      <c r="K352" s="49" t="s">
        <v>76</v>
      </c>
      <c r="L352" s="49" t="s">
        <v>92</v>
      </c>
      <c r="M352" s="49" t="s">
        <v>84</v>
      </c>
      <c r="N352" s="48" t="s">
        <v>108</v>
      </c>
      <c r="O352" s="49" t="s">
        <v>35</v>
      </c>
      <c r="P352" s="11" t="s">
        <v>80</v>
      </c>
      <c r="Q352" s="11" t="s">
        <v>98</v>
      </c>
      <c r="R352" s="11" t="s">
        <v>225</v>
      </c>
      <c r="S352" s="11" t="s">
        <v>226</v>
      </c>
      <c r="T352" s="116" t="s">
        <v>7</v>
      </c>
      <c r="U352" s="88" t="s">
        <v>3015</v>
      </c>
      <c r="V352" s="51">
        <v>43080</v>
      </c>
      <c r="W352" s="97" t="s">
        <v>1574</v>
      </c>
      <c r="X352" s="135" t="str">
        <f>VLOOKUP(Table1[[#This Row],[AMZ ID]],[1]Roster_1787503287932!$D$2:$AU$1370,25,0)</f>
        <v>Not Present</v>
      </c>
      <c r="Y352" s="135">
        <f>VLOOKUP(Table1[[#This Row],[AMZ ID]],[1]Roster_1787503287932!$D$2:$AM$1370,35,0)</f>
        <v>0</v>
      </c>
    </row>
    <row r="353" spans="1:25" ht="13" customHeight="1">
      <c r="A353" s="11">
        <v>347</v>
      </c>
      <c r="B353" s="47">
        <v>204880567</v>
      </c>
      <c r="C353" s="89" t="s">
        <v>2525</v>
      </c>
      <c r="D353" s="11" t="s">
        <v>2526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84</v>
      </c>
      <c r="M353" s="49" t="s">
        <v>85</v>
      </c>
      <c r="N353" s="49" t="s">
        <v>89</v>
      </c>
      <c r="O353" s="49" t="s">
        <v>35</v>
      </c>
      <c r="P353" s="11" t="s">
        <v>80</v>
      </c>
      <c r="Q353" s="11" t="s">
        <v>90</v>
      </c>
      <c r="R353" s="11" t="s">
        <v>224</v>
      </c>
      <c r="S353" s="11" t="s">
        <v>2715</v>
      </c>
      <c r="T353" s="116" t="s">
        <v>1</v>
      </c>
      <c r="U353" s="88"/>
      <c r="V353" s="51">
        <v>45826</v>
      </c>
      <c r="W353" s="97" t="s">
        <v>1573</v>
      </c>
      <c r="X353" s="135" t="str">
        <f>VLOOKUP(Table1[[#This Row],[AMZ ID]],[1]Roster_1787503287932!$D$2:$AU$1370,25,0)</f>
        <v>Present</v>
      </c>
      <c r="Y353" s="135">
        <f>VLOOKUP(Table1[[#This Row],[AMZ ID]],[1]Roster_1787503287932!$D$2:$AM$1370,35,0)</f>
        <v>0</v>
      </c>
    </row>
    <row r="354" spans="1:25" ht="13" customHeight="1">
      <c r="A354" s="11">
        <v>348</v>
      </c>
      <c r="B354" s="47">
        <v>203736250</v>
      </c>
      <c r="C354" s="89" t="s">
        <v>2527</v>
      </c>
      <c r="D354" s="11" t="s">
        <v>2528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39</v>
      </c>
      <c r="K354" s="49" t="s">
        <v>76</v>
      </c>
      <c r="L354" s="49" t="s">
        <v>77</v>
      </c>
      <c r="M354" s="49" t="s">
        <v>78</v>
      </c>
      <c r="N354" s="48" t="s">
        <v>86</v>
      </c>
      <c r="O354" s="49" t="s">
        <v>35</v>
      </c>
      <c r="P354" s="11" t="s">
        <v>80</v>
      </c>
      <c r="Q354" s="11" t="s">
        <v>90</v>
      </c>
      <c r="R354" s="11" t="s">
        <v>224</v>
      </c>
      <c r="S354" s="11" t="s">
        <v>2715</v>
      </c>
      <c r="T354" s="116" t="s">
        <v>10</v>
      </c>
      <c r="U354" s="88"/>
      <c r="V354" s="51">
        <v>45502</v>
      </c>
      <c r="W354" s="97" t="s">
        <v>1573</v>
      </c>
      <c r="X354" s="135" t="str">
        <f>VLOOKUP(Table1[[#This Row],[AMZ ID]],[1]Roster_1787503287932!$D$2:$AU$1370,25,0)</f>
        <v>Not Present</v>
      </c>
      <c r="Y354" s="135">
        <f>VLOOKUP(Table1[[#This Row],[AMZ ID]],[1]Roster_1787503287932!$D$2:$AM$1370,35,0)</f>
        <v>0</v>
      </c>
    </row>
    <row r="355" spans="1:25" ht="13" customHeight="1">
      <c r="A355" s="11">
        <v>349</v>
      </c>
      <c r="B355" s="47">
        <v>205495355</v>
      </c>
      <c r="C355" s="89" t="s">
        <v>342</v>
      </c>
      <c r="D355" s="11" t="s">
        <v>343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39</v>
      </c>
      <c r="K355" s="49" t="s">
        <v>76</v>
      </c>
      <c r="L355" s="49" t="s">
        <v>78</v>
      </c>
      <c r="M355" s="49" t="s">
        <v>92</v>
      </c>
      <c r="N355" s="49" t="s">
        <v>89</v>
      </c>
      <c r="O355" s="49" t="s">
        <v>35</v>
      </c>
      <c r="P355" s="11" t="s">
        <v>80</v>
      </c>
      <c r="Q355" s="11" t="s">
        <v>96</v>
      </c>
      <c r="R355" s="11" t="s">
        <v>225</v>
      </c>
      <c r="S355" s="11" t="s">
        <v>226</v>
      </c>
      <c r="T355" s="116" t="s">
        <v>10</v>
      </c>
      <c r="U355" s="88"/>
      <c r="V355" s="51">
        <v>45831</v>
      </c>
      <c r="W355" s="97" t="s">
        <v>1574</v>
      </c>
      <c r="X355" s="135" t="str">
        <f>VLOOKUP(Table1[[#This Row],[AMZ ID]],[1]Roster_1787503287932!$D$2:$AU$1370,25,0)</f>
        <v>Not Present</v>
      </c>
      <c r="Y355" s="135" t="str">
        <f>VLOOKUP(Table1[[#This Row],[AMZ ID]],[1]Roster_1787503287932!$D$2:$AM$1370,35,0)</f>
        <v>Annual Leave</v>
      </c>
    </row>
    <row r="356" spans="1:25" ht="13" customHeight="1">
      <c r="A356" s="11">
        <v>350</v>
      </c>
      <c r="B356" s="47">
        <v>206873870</v>
      </c>
      <c r="C356" s="89" t="s">
        <v>1766</v>
      </c>
      <c r="D356" s="11" t="s">
        <v>1767</v>
      </c>
      <c r="E356" s="48" t="s">
        <v>31</v>
      </c>
      <c r="F356" s="48" t="s">
        <v>74</v>
      </c>
      <c r="G356" s="48" t="s">
        <v>64</v>
      </c>
      <c r="H356" s="48" t="s">
        <v>75</v>
      </c>
      <c r="I356" s="11">
        <v>1299</v>
      </c>
      <c r="J356" s="49" t="s">
        <v>32</v>
      </c>
      <c r="K356" s="49" t="s">
        <v>76</v>
      </c>
      <c r="L356" s="49" t="s">
        <v>78</v>
      </c>
      <c r="M356" s="49" t="s">
        <v>92</v>
      </c>
      <c r="N356" s="49" t="s">
        <v>89</v>
      </c>
      <c r="O356" s="48" t="s">
        <v>35</v>
      </c>
      <c r="P356" s="48" t="s">
        <v>80</v>
      </c>
      <c r="Q356" s="11" t="s">
        <v>90</v>
      </c>
      <c r="R356" s="11" t="s">
        <v>231</v>
      </c>
      <c r="S356" s="11" t="s">
        <v>1753</v>
      </c>
      <c r="T356" s="116" t="s">
        <v>10</v>
      </c>
      <c r="U356" s="88"/>
      <c r="V356" s="51">
        <v>46020</v>
      </c>
      <c r="W356" s="97" t="s">
        <v>1573</v>
      </c>
      <c r="X356" s="135" t="str">
        <f>VLOOKUP(Table1[[#This Row],[AMZ ID]],[1]Roster_1787503287932!$D$2:$AU$1370,25,0)</f>
        <v>Not Present</v>
      </c>
      <c r="Y356" s="135">
        <f>VLOOKUP(Table1[[#This Row],[AMZ ID]],[1]Roster_1787503287932!$D$2:$AM$1370,35,0)</f>
        <v>0</v>
      </c>
    </row>
    <row r="357" spans="1:25" ht="13" customHeight="1">
      <c r="A357" s="11">
        <v>351</v>
      </c>
      <c r="B357" s="47">
        <v>203741310</v>
      </c>
      <c r="C357" s="89" t="s">
        <v>344</v>
      </c>
      <c r="D357" s="11" t="s">
        <v>345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8" t="s">
        <v>79</v>
      </c>
      <c r="O357" s="49" t="s">
        <v>35</v>
      </c>
      <c r="P357" s="11" t="s">
        <v>80</v>
      </c>
      <c r="Q357" s="11" t="s">
        <v>81</v>
      </c>
      <c r="R357" s="11" t="s">
        <v>224</v>
      </c>
      <c r="S357" s="11" t="s">
        <v>2715</v>
      </c>
      <c r="T357" s="116" t="s">
        <v>1</v>
      </c>
      <c r="U357" s="88"/>
      <c r="V357" s="51">
        <v>45502</v>
      </c>
      <c r="W357" s="97" t="s">
        <v>1573</v>
      </c>
      <c r="X357" s="135" t="str">
        <f>VLOOKUP(Table1[[#This Row],[AMZ ID]],[1]Roster_1787503287932!$D$2:$AU$1370,25,0)</f>
        <v>Present</v>
      </c>
      <c r="Y357" s="135">
        <f>VLOOKUP(Table1[[#This Row],[AMZ ID]],[1]Roster_1787503287932!$D$2:$AM$1370,35,0)</f>
        <v>0</v>
      </c>
    </row>
    <row r="358" spans="1:25" ht="13" customHeight="1">
      <c r="A358" s="11">
        <v>352</v>
      </c>
      <c r="B358" s="47">
        <v>203741317</v>
      </c>
      <c r="C358" s="89" t="s">
        <v>346</v>
      </c>
      <c r="D358" s="11" t="s">
        <v>347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39</v>
      </c>
      <c r="K358" s="49" t="s">
        <v>76</v>
      </c>
      <c r="L358" s="49" t="s">
        <v>85</v>
      </c>
      <c r="M358" s="49" t="s">
        <v>88</v>
      </c>
      <c r="N358" s="48" t="s">
        <v>79</v>
      </c>
      <c r="O358" s="49" t="s">
        <v>35</v>
      </c>
      <c r="P358" s="11" t="s">
        <v>80</v>
      </c>
      <c r="Q358" s="11" t="s">
        <v>81</v>
      </c>
      <c r="R358" s="11" t="s">
        <v>224</v>
      </c>
      <c r="S358" s="11" t="s">
        <v>2715</v>
      </c>
      <c r="T358" s="116" t="s">
        <v>1</v>
      </c>
      <c r="U358" s="88"/>
      <c r="V358" s="51">
        <v>45502</v>
      </c>
      <c r="W358" s="97" t="s">
        <v>1573</v>
      </c>
      <c r="X358" s="135" t="str">
        <f>VLOOKUP(Table1[[#This Row],[AMZ ID]],[1]Roster_1787503287932!$D$2:$AU$1370,25,0)</f>
        <v>Present</v>
      </c>
      <c r="Y358" s="135">
        <f>VLOOKUP(Table1[[#This Row],[AMZ ID]],[1]Roster_1787503287932!$D$2:$AM$1370,35,0)</f>
        <v>0</v>
      </c>
    </row>
    <row r="359" spans="1:25" ht="13" customHeight="1">
      <c r="A359" s="11">
        <v>353</v>
      </c>
      <c r="B359" s="47">
        <v>206065199</v>
      </c>
      <c r="C359" s="89" t="s">
        <v>348</v>
      </c>
      <c r="D359" s="11" t="s">
        <v>349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32</v>
      </c>
      <c r="K359" s="49" t="s">
        <v>76</v>
      </c>
      <c r="L359" s="49" t="s">
        <v>88</v>
      </c>
      <c r="M359" s="49" t="s">
        <v>95</v>
      </c>
      <c r="N359" s="48" t="s">
        <v>79</v>
      </c>
      <c r="O359" s="49" t="s">
        <v>35</v>
      </c>
      <c r="P359" s="11" t="s">
        <v>80</v>
      </c>
      <c r="Q359" s="11" t="s">
        <v>81</v>
      </c>
      <c r="R359" s="11" t="s">
        <v>225</v>
      </c>
      <c r="S359" s="11" t="s">
        <v>226</v>
      </c>
      <c r="T359" s="116" t="s">
        <v>1</v>
      </c>
      <c r="U359" s="88"/>
      <c r="V359" s="51">
        <v>45922</v>
      </c>
      <c r="W359" s="97" t="s">
        <v>1572</v>
      </c>
      <c r="X359" s="135" t="str">
        <f>VLOOKUP(Table1[[#This Row],[AMZ ID]],[1]Roster_1787503287932!$D$2:$AU$1370,25,0)</f>
        <v>Present</v>
      </c>
      <c r="Y359" s="135">
        <f>VLOOKUP(Table1[[#This Row],[AMZ ID]],[1]Roster_1787503287932!$D$2:$AM$1370,35,0)</f>
        <v>0</v>
      </c>
    </row>
    <row r="360" spans="1:25" ht="13" customHeight="1">
      <c r="A360" s="11">
        <v>354</v>
      </c>
      <c r="B360" s="47">
        <v>203736253</v>
      </c>
      <c r="C360" s="89" t="s">
        <v>2529</v>
      </c>
      <c r="D360" s="11" t="s">
        <v>2530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39</v>
      </c>
      <c r="K360" s="49" t="s">
        <v>76</v>
      </c>
      <c r="L360" s="49" t="s">
        <v>77</v>
      </c>
      <c r="M360" s="49" t="s">
        <v>78</v>
      </c>
      <c r="N360" s="48" t="s">
        <v>86</v>
      </c>
      <c r="O360" s="49" t="s">
        <v>35</v>
      </c>
      <c r="P360" s="11" t="s">
        <v>80</v>
      </c>
      <c r="Q360" s="11" t="s">
        <v>90</v>
      </c>
      <c r="R360" s="11" t="s">
        <v>224</v>
      </c>
      <c r="S360" s="11" t="s">
        <v>2715</v>
      </c>
      <c r="T360" s="116" t="s">
        <v>10</v>
      </c>
      <c r="U360" s="88"/>
      <c r="V360" s="51">
        <v>45502</v>
      </c>
      <c r="W360" s="97" t="s">
        <v>1573</v>
      </c>
      <c r="X360" s="135" t="str">
        <f>VLOOKUP(Table1[[#This Row],[AMZ ID]],[1]Roster_1787503287932!$D$2:$AU$1370,25,0)</f>
        <v>Not Present</v>
      </c>
      <c r="Y360" s="135">
        <f>VLOOKUP(Table1[[#This Row],[AMZ ID]],[1]Roster_1787503287932!$D$2:$AM$1370,35,0)</f>
        <v>0</v>
      </c>
    </row>
    <row r="361" spans="1:25" ht="13" customHeight="1">
      <c r="A361" s="11">
        <v>355</v>
      </c>
      <c r="B361" s="47">
        <v>203521133</v>
      </c>
      <c r="C361" s="89" t="s">
        <v>350</v>
      </c>
      <c r="D361" s="11" t="s">
        <v>351</v>
      </c>
      <c r="E361" s="48" t="s">
        <v>31</v>
      </c>
      <c r="F361" s="48" t="s">
        <v>74</v>
      </c>
      <c r="G361" s="11" t="s">
        <v>65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95</v>
      </c>
      <c r="M361" s="49" t="s">
        <v>77</v>
      </c>
      <c r="N361" s="48" t="s">
        <v>79</v>
      </c>
      <c r="O361" s="49" t="s">
        <v>68</v>
      </c>
      <c r="P361" s="11" t="s">
        <v>80</v>
      </c>
      <c r="Q361" s="11" t="s">
        <v>81</v>
      </c>
      <c r="R361" s="11" t="s">
        <v>2720</v>
      </c>
      <c r="S361" s="11" t="s">
        <v>2721</v>
      </c>
      <c r="T361" s="116" t="s">
        <v>1</v>
      </c>
      <c r="U361" s="88"/>
      <c r="V361" s="51">
        <v>45463</v>
      </c>
      <c r="W361" s="97" t="s">
        <v>68</v>
      </c>
      <c r="X361" s="135" t="str">
        <f>VLOOKUP(Table1[[#This Row],[AMZ ID]],[1]Roster_1787503287932!$D$2:$AU$1370,25,0)</f>
        <v>Present</v>
      </c>
      <c r="Y361" s="135">
        <f>VLOOKUP(Table1[[#This Row],[AMZ ID]],[1]Roster_1787503287932!$D$2:$AM$1370,35,0)</f>
        <v>0</v>
      </c>
    </row>
    <row r="362" spans="1:25" ht="13" customHeight="1">
      <c r="A362" s="11">
        <v>356</v>
      </c>
      <c r="B362" s="47">
        <v>204013733</v>
      </c>
      <c r="C362" s="89" t="s">
        <v>352</v>
      </c>
      <c r="D362" s="11" t="s">
        <v>353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78</v>
      </c>
      <c r="M362" s="49" t="s">
        <v>92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226</v>
      </c>
      <c r="T362" s="116" t="s">
        <v>10</v>
      </c>
      <c r="U362" s="88"/>
      <c r="V362" s="51">
        <v>45551</v>
      </c>
      <c r="W362" s="97" t="s">
        <v>1573</v>
      </c>
      <c r="X362" s="135" t="str">
        <f>VLOOKUP(Table1[[#This Row],[AMZ ID]],[1]Roster_1787503287932!$D$2:$AU$1370,25,0)</f>
        <v>Not Present</v>
      </c>
      <c r="Y362" s="135">
        <f>VLOOKUP(Table1[[#This Row],[AMZ ID]],[1]Roster_1787503287932!$D$2:$AM$1370,35,0)</f>
        <v>0</v>
      </c>
    </row>
    <row r="363" spans="1:25" ht="13" customHeight="1">
      <c r="A363" s="11">
        <v>357</v>
      </c>
      <c r="B363" s="47">
        <v>204967151</v>
      </c>
      <c r="C363" s="89" t="s">
        <v>2531</v>
      </c>
      <c r="D363" s="11" t="s">
        <v>2532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85</v>
      </c>
      <c r="M363" s="49" t="s">
        <v>88</v>
      </c>
      <c r="N363" s="48" t="s">
        <v>86</v>
      </c>
      <c r="O363" s="49" t="s">
        <v>35</v>
      </c>
      <c r="P363" s="11" t="s">
        <v>80</v>
      </c>
      <c r="Q363" s="11" t="s">
        <v>90</v>
      </c>
      <c r="R363" s="11" t="s">
        <v>224</v>
      </c>
      <c r="S363" s="11" t="s">
        <v>2715</v>
      </c>
      <c r="T363" s="116" t="s">
        <v>1</v>
      </c>
      <c r="U363" s="88"/>
      <c r="V363" s="51">
        <v>45826</v>
      </c>
      <c r="W363" s="97" t="s">
        <v>1573</v>
      </c>
      <c r="X363" s="135" t="str">
        <f>VLOOKUP(Table1[[#This Row],[AMZ ID]],[1]Roster_1787503287932!$D$2:$AU$1370,25,0)</f>
        <v>Present</v>
      </c>
      <c r="Y363" s="135">
        <f>VLOOKUP(Table1[[#This Row],[AMZ ID]],[1]Roster_1787503287932!$D$2:$AM$1370,35,0)</f>
        <v>0</v>
      </c>
    </row>
    <row r="364" spans="1:25" ht="13" customHeight="1">
      <c r="A364" s="11">
        <v>358</v>
      </c>
      <c r="B364" s="47">
        <v>203965496</v>
      </c>
      <c r="C364" s="89" t="s">
        <v>354</v>
      </c>
      <c r="D364" s="11" t="s">
        <v>355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84</v>
      </c>
      <c r="M364" s="49" t="s">
        <v>85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224</v>
      </c>
      <c r="S364" s="11" t="s">
        <v>2715</v>
      </c>
      <c r="T364" s="116" t="s">
        <v>1</v>
      </c>
      <c r="U364" s="88"/>
      <c r="V364" s="51">
        <v>45544</v>
      </c>
      <c r="W364" s="97" t="s">
        <v>1573</v>
      </c>
      <c r="X364" s="135" t="str">
        <f>VLOOKUP(Table1[[#This Row],[AMZ ID]],[1]Roster_1787503287932!$D$2:$AU$1370,25,0)</f>
        <v>Present</v>
      </c>
      <c r="Y364" s="135">
        <f>VLOOKUP(Table1[[#This Row],[AMZ ID]],[1]Roster_1787503287932!$D$2:$AM$1370,35,0)</f>
        <v>0</v>
      </c>
    </row>
    <row r="365" spans="1:25" ht="13" customHeight="1">
      <c r="A365" s="11">
        <v>359</v>
      </c>
      <c r="B365" s="47">
        <v>203965492</v>
      </c>
      <c r="C365" s="89" t="s">
        <v>356</v>
      </c>
      <c r="D365" s="11" t="s">
        <v>357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84</v>
      </c>
      <c r="M365" s="49" t="s">
        <v>85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224</v>
      </c>
      <c r="S365" s="11" t="s">
        <v>2715</v>
      </c>
      <c r="T365" s="116" t="s">
        <v>4</v>
      </c>
      <c r="U365" s="88"/>
      <c r="V365" s="51">
        <v>45544</v>
      </c>
      <c r="W365" s="97" t="s">
        <v>1573</v>
      </c>
      <c r="X365" s="135" t="str">
        <f>VLOOKUP(Table1[[#This Row],[AMZ ID]],[1]Roster_1787503287932!$D$2:$AU$1370,25,0)</f>
        <v>Not Present</v>
      </c>
      <c r="Y365" s="135">
        <f>VLOOKUP(Table1[[#This Row],[AMZ ID]],[1]Roster_1787503287932!$D$2:$AM$1370,35,0)</f>
        <v>0</v>
      </c>
    </row>
    <row r="366" spans="1:25" ht="13" customHeight="1">
      <c r="A366" s="11">
        <v>360</v>
      </c>
      <c r="B366" s="47">
        <v>205502951</v>
      </c>
      <c r="C366" s="89" t="s">
        <v>358</v>
      </c>
      <c r="D366" s="11" t="s">
        <v>359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39</v>
      </c>
      <c r="K366" s="49" t="s">
        <v>76</v>
      </c>
      <c r="L366" s="49" t="s">
        <v>88</v>
      </c>
      <c r="M366" s="49" t="s">
        <v>95</v>
      </c>
      <c r="N366" s="49" t="s">
        <v>89</v>
      </c>
      <c r="O366" s="49" t="s">
        <v>35</v>
      </c>
      <c r="P366" s="11" t="s">
        <v>80</v>
      </c>
      <c r="Q366" s="11" t="s">
        <v>96</v>
      </c>
      <c r="R366" s="11" t="s">
        <v>224</v>
      </c>
      <c r="S366" s="11" t="s">
        <v>2715</v>
      </c>
      <c r="T366" s="116" t="s">
        <v>1</v>
      </c>
      <c r="U366" s="88"/>
      <c r="V366" s="51">
        <v>45831</v>
      </c>
      <c r="W366" s="97" t="s">
        <v>1573</v>
      </c>
      <c r="X366" s="135" t="str">
        <f>VLOOKUP(Table1[[#This Row],[AMZ ID]],[1]Roster_1787503287932!$D$2:$AU$1370,25,0)</f>
        <v>Present</v>
      </c>
      <c r="Y366" s="135">
        <f>VLOOKUP(Table1[[#This Row],[AMZ ID]],[1]Roster_1787503287932!$D$2:$AM$1370,35,0)</f>
        <v>0</v>
      </c>
    </row>
    <row r="367" spans="1:25" ht="13" customHeight="1">
      <c r="A367" s="11">
        <v>361</v>
      </c>
      <c r="B367" s="47">
        <v>203521134</v>
      </c>
      <c r="C367" s="89" t="s">
        <v>360</v>
      </c>
      <c r="D367" s="11" t="s">
        <v>361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231</v>
      </c>
      <c r="S367" s="11" t="s">
        <v>1753</v>
      </c>
      <c r="T367" s="116" t="s">
        <v>10</v>
      </c>
      <c r="U367" s="88"/>
      <c r="V367" s="51">
        <v>45463</v>
      </c>
      <c r="W367" s="97" t="s">
        <v>1573</v>
      </c>
      <c r="X367" s="135" t="str">
        <f>VLOOKUP(Table1[[#This Row],[AMZ ID]],[1]Roster_1787503287932!$D$2:$AU$1370,25,0)</f>
        <v>Not Present</v>
      </c>
      <c r="Y367" s="135">
        <f>VLOOKUP(Table1[[#This Row],[AMZ ID]],[1]Roster_1787503287932!$D$2:$AM$1370,35,0)</f>
        <v>0</v>
      </c>
    </row>
    <row r="368" spans="1:25" ht="13" customHeight="1">
      <c r="A368" s="11">
        <v>362</v>
      </c>
      <c r="B368" s="47">
        <v>206886729</v>
      </c>
      <c r="C368" s="89" t="s">
        <v>2533</v>
      </c>
      <c r="D368" s="11" t="s">
        <v>2534</v>
      </c>
      <c r="E368" s="11" t="s">
        <v>31</v>
      </c>
      <c r="F368" s="11" t="s">
        <v>74</v>
      </c>
      <c r="G368" s="11" t="s">
        <v>64</v>
      </c>
      <c r="H368" s="11" t="s">
        <v>75</v>
      </c>
      <c r="I368" s="11">
        <v>1299</v>
      </c>
      <c r="J368" s="49" t="s">
        <v>32</v>
      </c>
      <c r="K368" s="49" t="s">
        <v>76</v>
      </c>
      <c r="L368" s="49" t="s">
        <v>78</v>
      </c>
      <c r="M368" s="49" t="s">
        <v>92</v>
      </c>
      <c r="N368" s="49" t="s">
        <v>79</v>
      </c>
      <c r="O368" s="11" t="s">
        <v>35</v>
      </c>
      <c r="P368" s="11" t="s">
        <v>80</v>
      </c>
      <c r="Q368" s="11" t="s">
        <v>96</v>
      </c>
      <c r="R368" s="11" t="s">
        <v>224</v>
      </c>
      <c r="S368" s="11" t="s">
        <v>2715</v>
      </c>
      <c r="T368" s="116" t="s">
        <v>10</v>
      </c>
      <c r="U368" s="88"/>
      <c r="V368" s="51">
        <v>46027</v>
      </c>
      <c r="W368" s="102" t="s">
        <v>1573</v>
      </c>
      <c r="X368" s="135" t="str">
        <f>VLOOKUP(Table1[[#This Row],[AMZ ID]],[1]Roster_1787503287932!$D$2:$AU$1370,25,0)</f>
        <v>Not Present</v>
      </c>
      <c r="Y368" s="135">
        <f>VLOOKUP(Table1[[#This Row],[AMZ ID]],[1]Roster_1787503287932!$D$2:$AM$1370,35,0)</f>
        <v>0</v>
      </c>
    </row>
    <row r="369" spans="1:25" ht="13" customHeight="1">
      <c r="A369" s="11">
        <v>363</v>
      </c>
      <c r="B369" s="47">
        <v>206886638</v>
      </c>
      <c r="C369" s="89" t="s">
        <v>1794</v>
      </c>
      <c r="D369" s="11" t="s">
        <v>1795</v>
      </c>
      <c r="E369" s="11" t="s">
        <v>31</v>
      </c>
      <c r="F369" s="11" t="s">
        <v>74</v>
      </c>
      <c r="G369" s="11" t="s">
        <v>64</v>
      </c>
      <c r="H369" s="11" t="s">
        <v>75</v>
      </c>
      <c r="I369" s="11">
        <v>1299</v>
      </c>
      <c r="J369" s="49" t="s">
        <v>32</v>
      </c>
      <c r="K369" s="49" t="s">
        <v>76</v>
      </c>
      <c r="L369" s="49" t="s">
        <v>78</v>
      </c>
      <c r="M369" s="49" t="s">
        <v>92</v>
      </c>
      <c r="N369" s="49" t="s">
        <v>89</v>
      </c>
      <c r="O369" s="11" t="s">
        <v>35</v>
      </c>
      <c r="P369" s="11" t="s">
        <v>80</v>
      </c>
      <c r="Q369" s="11" t="s">
        <v>96</v>
      </c>
      <c r="R369" s="11" t="s">
        <v>224</v>
      </c>
      <c r="S369" s="11" t="s">
        <v>2715</v>
      </c>
      <c r="T369" s="116" t="s">
        <v>10</v>
      </c>
      <c r="U369" s="88"/>
      <c r="V369" s="51">
        <v>46027</v>
      </c>
      <c r="W369" s="102" t="s">
        <v>1573</v>
      </c>
      <c r="X369" s="135" t="str">
        <f>VLOOKUP(Table1[[#This Row],[AMZ ID]],[1]Roster_1787503287932!$D$2:$AU$1370,25,0)</f>
        <v>Not Present</v>
      </c>
      <c r="Y369" s="135">
        <f>VLOOKUP(Table1[[#This Row],[AMZ ID]],[1]Roster_1787503287932!$D$2:$AM$1370,35,0)</f>
        <v>0</v>
      </c>
    </row>
    <row r="370" spans="1:25" ht="13" customHeight="1">
      <c r="A370" s="11">
        <v>364</v>
      </c>
      <c r="B370" s="47">
        <v>206890228</v>
      </c>
      <c r="C370" s="89" t="s">
        <v>1796</v>
      </c>
      <c r="D370" s="11" t="s">
        <v>1797</v>
      </c>
      <c r="E370" s="11" t="s">
        <v>31</v>
      </c>
      <c r="F370" s="11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9" t="s">
        <v>89</v>
      </c>
      <c r="O370" s="11" t="s">
        <v>35</v>
      </c>
      <c r="P370" s="11" t="s">
        <v>80</v>
      </c>
      <c r="Q370" s="11" t="s">
        <v>96</v>
      </c>
      <c r="R370" s="11" t="s">
        <v>224</v>
      </c>
      <c r="S370" s="11" t="s">
        <v>2715</v>
      </c>
      <c r="T370" s="116" t="s">
        <v>10</v>
      </c>
      <c r="U370" s="88"/>
      <c r="V370" s="51">
        <v>46027</v>
      </c>
      <c r="W370" s="102" t="s">
        <v>1573</v>
      </c>
      <c r="X370" s="135" t="str">
        <f>VLOOKUP(Table1[[#This Row],[AMZ ID]],[1]Roster_1787503287932!$D$2:$AU$1370,25,0)</f>
        <v>Not Present</v>
      </c>
      <c r="Y370" s="135">
        <f>VLOOKUP(Table1[[#This Row],[AMZ ID]],[1]Roster_1787503287932!$D$2:$AM$1370,35,0)</f>
        <v>0</v>
      </c>
    </row>
    <row r="371" spans="1:25" ht="13" customHeight="1">
      <c r="A371" s="11">
        <v>365</v>
      </c>
      <c r="B371" s="47">
        <v>206015637</v>
      </c>
      <c r="C371" s="89" t="s">
        <v>364</v>
      </c>
      <c r="D371" s="11" t="s">
        <v>365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225</v>
      </c>
      <c r="S371" s="11" t="s">
        <v>226</v>
      </c>
      <c r="T371" s="116" t="s">
        <v>10</v>
      </c>
      <c r="U371" s="88"/>
      <c r="V371" s="51">
        <v>45915</v>
      </c>
      <c r="W371" s="97" t="s">
        <v>1574</v>
      </c>
      <c r="X371" s="135" t="str">
        <f>VLOOKUP(Table1[[#This Row],[AMZ ID]],[1]Roster_1787503287932!$D$2:$AU$1370,25,0)</f>
        <v>Not Present</v>
      </c>
      <c r="Y371" s="135">
        <f>VLOOKUP(Table1[[#This Row],[AMZ ID]],[1]Roster_1787503287932!$D$2:$AM$1370,35,0)</f>
        <v>0</v>
      </c>
    </row>
    <row r="372" spans="1:25" ht="13" customHeight="1">
      <c r="A372" s="11">
        <v>366</v>
      </c>
      <c r="B372" s="47">
        <v>206065197</v>
      </c>
      <c r="C372" s="89" t="s">
        <v>366</v>
      </c>
      <c r="D372" s="11" t="s">
        <v>367</v>
      </c>
      <c r="E372" s="48" t="s">
        <v>31</v>
      </c>
      <c r="F372" s="48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88</v>
      </c>
      <c r="M372" s="49" t="s">
        <v>95</v>
      </c>
      <c r="N372" s="48" t="s">
        <v>79</v>
      </c>
      <c r="O372" s="49" t="s">
        <v>35</v>
      </c>
      <c r="P372" s="11" t="s">
        <v>80</v>
      </c>
      <c r="Q372" s="11" t="s">
        <v>81</v>
      </c>
      <c r="R372" s="11" t="s">
        <v>225</v>
      </c>
      <c r="S372" s="11" t="s">
        <v>226</v>
      </c>
      <c r="T372" s="116" t="s">
        <v>1</v>
      </c>
      <c r="U372" s="88"/>
      <c r="V372" s="51">
        <v>45922</v>
      </c>
      <c r="W372" s="97" t="s">
        <v>1572</v>
      </c>
      <c r="X372" s="135" t="str">
        <f>VLOOKUP(Table1[[#This Row],[AMZ ID]],[1]Roster_1787503287932!$D$2:$AU$1370,25,0)</f>
        <v>Present</v>
      </c>
      <c r="Y372" s="135">
        <f>VLOOKUP(Table1[[#This Row],[AMZ ID]],[1]Roster_1787503287932!$D$2:$AM$1370,35,0)</f>
        <v>0</v>
      </c>
    </row>
    <row r="373" spans="1:25" ht="13" customHeight="1">
      <c r="A373" s="11">
        <v>367</v>
      </c>
      <c r="B373" s="47">
        <v>204246158</v>
      </c>
      <c r="C373" s="89" t="s">
        <v>368</v>
      </c>
      <c r="D373" s="11" t="s">
        <v>369</v>
      </c>
      <c r="E373" s="48" t="s">
        <v>31</v>
      </c>
      <c r="F373" s="48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84</v>
      </c>
      <c r="M373" s="49" t="s">
        <v>85</v>
      </c>
      <c r="N373" s="48" t="s">
        <v>86</v>
      </c>
      <c r="O373" s="49" t="s">
        <v>35</v>
      </c>
      <c r="P373" s="11" t="s">
        <v>80</v>
      </c>
      <c r="Q373" s="11" t="s">
        <v>87</v>
      </c>
      <c r="R373" s="11" t="s">
        <v>225</v>
      </c>
      <c r="S373" s="11" t="s">
        <v>226</v>
      </c>
      <c r="T373" s="116" t="s">
        <v>1</v>
      </c>
      <c r="U373" s="88"/>
      <c r="V373" s="51">
        <v>45579</v>
      </c>
      <c r="W373" s="97" t="s">
        <v>1572</v>
      </c>
      <c r="X373" s="135" t="str">
        <f>VLOOKUP(Table1[[#This Row],[AMZ ID]],[1]Roster_1787503287932!$D$2:$AU$1370,25,0)</f>
        <v>Present</v>
      </c>
      <c r="Y373" s="135">
        <f>VLOOKUP(Table1[[#This Row],[AMZ ID]],[1]Roster_1787503287932!$D$2:$AM$1370,35,0)</f>
        <v>0</v>
      </c>
    </row>
    <row r="374" spans="1:25" ht="13" customHeight="1">
      <c r="A374" s="11">
        <v>368</v>
      </c>
      <c r="B374" s="47">
        <v>205495359</v>
      </c>
      <c r="C374" s="89" t="s">
        <v>2535</v>
      </c>
      <c r="D374" s="11" t="s">
        <v>2536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88</v>
      </c>
      <c r="M374" s="49" t="s">
        <v>95</v>
      </c>
      <c r="N374" s="49" t="s">
        <v>89</v>
      </c>
      <c r="O374" s="49" t="s">
        <v>35</v>
      </c>
      <c r="P374" s="11" t="s">
        <v>80</v>
      </c>
      <c r="Q374" s="11" t="s">
        <v>96</v>
      </c>
      <c r="R374" s="11" t="s">
        <v>224</v>
      </c>
      <c r="S374" s="11" t="s">
        <v>2715</v>
      </c>
      <c r="T374" s="116" t="s">
        <v>1</v>
      </c>
      <c r="U374" s="88"/>
      <c r="V374" s="51">
        <v>45831</v>
      </c>
      <c r="W374" s="97" t="s">
        <v>1573</v>
      </c>
      <c r="X374" s="135" t="str">
        <f>VLOOKUP(Table1[[#This Row],[AMZ ID]],[1]Roster_1787503287932!$D$2:$AU$1370,25,0)</f>
        <v>Present</v>
      </c>
      <c r="Y374" s="135">
        <f>VLOOKUP(Table1[[#This Row],[AMZ ID]],[1]Roster_1787503287932!$D$2:$AM$1370,35,0)</f>
        <v>0</v>
      </c>
    </row>
    <row r="375" spans="1:25" ht="13" customHeight="1">
      <c r="A375" s="11">
        <v>369</v>
      </c>
      <c r="B375" s="11">
        <v>206873551</v>
      </c>
      <c r="C375" s="89" t="s">
        <v>1784</v>
      </c>
      <c r="D375" s="11" t="s">
        <v>1785</v>
      </c>
      <c r="E375" s="48" t="s">
        <v>31</v>
      </c>
      <c r="F375" s="48" t="s">
        <v>74</v>
      </c>
      <c r="G375" s="48" t="s">
        <v>64</v>
      </c>
      <c r="H375" s="48" t="s">
        <v>75</v>
      </c>
      <c r="I375" s="11">
        <v>1299</v>
      </c>
      <c r="J375" s="49" t="s">
        <v>39</v>
      </c>
      <c r="K375" s="49" t="s">
        <v>76</v>
      </c>
      <c r="L375" s="49" t="s">
        <v>78</v>
      </c>
      <c r="M375" s="49" t="s">
        <v>92</v>
      </c>
      <c r="N375" s="49" t="s">
        <v>89</v>
      </c>
      <c r="O375" s="48" t="s">
        <v>35</v>
      </c>
      <c r="P375" s="48" t="s">
        <v>80</v>
      </c>
      <c r="Q375" s="11" t="s">
        <v>81</v>
      </c>
      <c r="R375" s="11" t="s">
        <v>231</v>
      </c>
      <c r="S375" s="11" t="s">
        <v>1753</v>
      </c>
      <c r="T375" s="116" t="s">
        <v>10</v>
      </c>
      <c r="U375" s="88"/>
      <c r="V375" s="51">
        <v>46020</v>
      </c>
      <c r="W375" s="102" t="s">
        <v>1573</v>
      </c>
      <c r="X375" s="135" t="str">
        <f>VLOOKUP(Table1[[#This Row],[AMZ ID]],[1]Roster_1787503287932!$D$2:$AU$1370,25,0)</f>
        <v>Not Present</v>
      </c>
      <c r="Y375" s="135">
        <f>VLOOKUP(Table1[[#This Row],[AMZ ID]],[1]Roster_1787503287932!$D$2:$AM$1370,35,0)</f>
        <v>0</v>
      </c>
    </row>
    <row r="376" spans="1:25" ht="13" customHeight="1">
      <c r="A376" s="11">
        <v>370</v>
      </c>
      <c r="B376" s="47">
        <v>203468401</v>
      </c>
      <c r="C376" s="89" t="s">
        <v>370</v>
      </c>
      <c r="D376" s="11" t="s">
        <v>371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39</v>
      </c>
      <c r="K376" s="49" t="s">
        <v>76</v>
      </c>
      <c r="L376" s="49" t="s">
        <v>95</v>
      </c>
      <c r="M376" s="49" t="s">
        <v>77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224</v>
      </c>
      <c r="S376" s="11" t="s">
        <v>2715</v>
      </c>
      <c r="T376" s="116" t="s">
        <v>1</v>
      </c>
      <c r="U376" s="88"/>
      <c r="V376" s="51">
        <v>45456</v>
      </c>
      <c r="W376" s="97" t="s">
        <v>1573</v>
      </c>
      <c r="X376" s="135" t="str">
        <f>VLOOKUP(Table1[[#This Row],[AMZ ID]],[1]Roster_1787503287932!$D$2:$AU$1370,25,0)</f>
        <v>Present</v>
      </c>
      <c r="Y376" s="135">
        <f>VLOOKUP(Table1[[#This Row],[AMZ ID]],[1]Roster_1787503287932!$D$2:$AM$1370,35,0)</f>
        <v>0</v>
      </c>
    </row>
    <row r="377" spans="1:25" ht="13" customHeight="1">
      <c r="A377" s="11">
        <v>371</v>
      </c>
      <c r="B377" s="11">
        <v>206873639</v>
      </c>
      <c r="C377" s="89" t="s">
        <v>1788</v>
      </c>
      <c r="D377" s="11" t="s">
        <v>1789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231</v>
      </c>
      <c r="S377" s="11" t="s">
        <v>1753</v>
      </c>
      <c r="T377" s="116" t="s">
        <v>10</v>
      </c>
      <c r="U377" s="88"/>
      <c r="V377" s="51">
        <v>46020</v>
      </c>
      <c r="W377" s="102" t="s">
        <v>1573</v>
      </c>
      <c r="X377" s="135" t="str">
        <f>VLOOKUP(Table1[[#This Row],[AMZ ID]],[1]Roster_1787503287932!$D$2:$AU$1370,25,0)</f>
        <v>Not Present</v>
      </c>
      <c r="Y377" s="135">
        <f>VLOOKUP(Table1[[#This Row],[AMZ ID]],[1]Roster_1787503287932!$D$2:$AM$1370,35,0)</f>
        <v>0</v>
      </c>
    </row>
    <row r="378" spans="1:25" ht="13" customHeight="1">
      <c r="A378" s="11">
        <v>372</v>
      </c>
      <c r="B378" s="47">
        <v>206504141</v>
      </c>
      <c r="C378" s="89" t="s">
        <v>2537</v>
      </c>
      <c r="D378" s="11" t="s">
        <v>2538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8" t="s">
        <v>86</v>
      </c>
      <c r="O378" s="49" t="s">
        <v>35</v>
      </c>
      <c r="P378" s="11" t="s">
        <v>80</v>
      </c>
      <c r="Q378" s="11" t="s">
        <v>90</v>
      </c>
      <c r="R378" s="11" t="s">
        <v>231</v>
      </c>
      <c r="S378" s="11" t="s">
        <v>1753</v>
      </c>
      <c r="T378" s="116" t="s">
        <v>10</v>
      </c>
      <c r="U378" s="88"/>
      <c r="V378" s="51">
        <v>45971</v>
      </c>
      <c r="W378" s="97" t="s">
        <v>1573</v>
      </c>
      <c r="X378" s="135" t="str">
        <f>VLOOKUP(Table1[[#This Row],[AMZ ID]],[1]Roster_1787503287932!$D$2:$AU$1370,25,0)</f>
        <v>Not Present</v>
      </c>
      <c r="Y378" s="135">
        <f>VLOOKUP(Table1[[#This Row],[AMZ ID]],[1]Roster_1787503287932!$D$2:$AM$1370,35,0)</f>
        <v>0</v>
      </c>
    </row>
    <row r="379" spans="1:25" ht="13" customHeight="1">
      <c r="A379" s="11">
        <v>373</v>
      </c>
      <c r="B379" s="47">
        <v>203468395</v>
      </c>
      <c r="C379" s="89" t="s">
        <v>372</v>
      </c>
      <c r="D379" s="11" t="s">
        <v>373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78</v>
      </c>
      <c r="M379" s="49" t="s">
        <v>92</v>
      </c>
      <c r="N379" s="48" t="s">
        <v>79</v>
      </c>
      <c r="O379" s="49" t="s">
        <v>35</v>
      </c>
      <c r="P379" s="11" t="s">
        <v>80</v>
      </c>
      <c r="Q379" s="11" t="s">
        <v>81</v>
      </c>
      <c r="R379" s="11" t="s">
        <v>224</v>
      </c>
      <c r="S379" s="11" t="s">
        <v>2715</v>
      </c>
      <c r="T379" s="116" t="s">
        <v>10</v>
      </c>
      <c r="U379" s="88"/>
      <c r="V379" s="51">
        <v>45456</v>
      </c>
      <c r="W379" s="97" t="s">
        <v>1573</v>
      </c>
      <c r="X379" s="135" t="str">
        <f>VLOOKUP(Table1[[#This Row],[AMZ ID]],[1]Roster_1787503287932!$D$2:$AU$1370,25,0)</f>
        <v>Not Present</v>
      </c>
      <c r="Y379" s="135">
        <f>VLOOKUP(Table1[[#This Row],[AMZ ID]],[1]Roster_1787503287932!$D$2:$AM$1370,35,0)</f>
        <v>0</v>
      </c>
    </row>
    <row r="380" spans="1:25" ht="13" customHeight="1">
      <c r="A380" s="11">
        <v>374</v>
      </c>
      <c r="B380" s="47">
        <v>204406416</v>
      </c>
      <c r="C380" s="89" t="s">
        <v>374</v>
      </c>
      <c r="D380" s="11" t="s">
        <v>375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78</v>
      </c>
      <c r="M380" s="49" t="s">
        <v>92</v>
      </c>
      <c r="N380" s="48" t="s">
        <v>86</v>
      </c>
      <c r="O380" s="49" t="s">
        <v>35</v>
      </c>
      <c r="P380" s="11" t="s">
        <v>80</v>
      </c>
      <c r="Q380" s="11" t="s">
        <v>87</v>
      </c>
      <c r="R380" s="11" t="s">
        <v>224</v>
      </c>
      <c r="S380" s="11" t="s">
        <v>2715</v>
      </c>
      <c r="T380" s="116" t="s">
        <v>10</v>
      </c>
      <c r="U380" s="88"/>
      <c r="V380" s="51">
        <v>45596</v>
      </c>
      <c r="W380" s="97" t="s">
        <v>1574</v>
      </c>
      <c r="X380" s="135" t="str">
        <f>VLOOKUP(Table1[[#This Row],[AMZ ID]],[1]Roster_1787503287932!$D$2:$AU$1370,25,0)</f>
        <v>Not Present</v>
      </c>
      <c r="Y380" s="135">
        <f>VLOOKUP(Table1[[#This Row],[AMZ ID]],[1]Roster_1787503287932!$D$2:$AM$1370,35,0)</f>
        <v>0</v>
      </c>
    </row>
    <row r="381" spans="1:25" ht="13" customHeight="1">
      <c r="A381" s="11">
        <v>375</v>
      </c>
      <c r="B381" s="47">
        <v>203741324</v>
      </c>
      <c r="C381" s="89" t="s">
        <v>376</v>
      </c>
      <c r="D381" s="11" t="s">
        <v>377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32</v>
      </c>
      <c r="K381" s="49" t="s">
        <v>76</v>
      </c>
      <c r="L381" s="49" t="s">
        <v>85</v>
      </c>
      <c r="M381" s="49" t="s">
        <v>88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224</v>
      </c>
      <c r="S381" s="11" t="s">
        <v>2715</v>
      </c>
      <c r="T381" s="116" t="s">
        <v>1</v>
      </c>
      <c r="U381" s="88"/>
      <c r="V381" s="51">
        <v>45502</v>
      </c>
      <c r="W381" s="97" t="s">
        <v>1573</v>
      </c>
      <c r="X381" s="135" t="str">
        <f>VLOOKUP(Table1[[#This Row],[AMZ ID]],[1]Roster_1787503287932!$D$2:$AU$1370,25,0)</f>
        <v>Present</v>
      </c>
      <c r="Y381" s="135">
        <f>VLOOKUP(Table1[[#This Row],[AMZ ID]],[1]Roster_1787503287932!$D$2:$AM$1370,35,0)</f>
        <v>0</v>
      </c>
    </row>
    <row r="382" spans="1:25" ht="13" customHeight="1">
      <c r="A382" s="11">
        <v>376</v>
      </c>
      <c r="B382" s="47">
        <v>203816301</v>
      </c>
      <c r="C382" s="89" t="s">
        <v>2539</v>
      </c>
      <c r="D382" s="11" t="s">
        <v>2540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84</v>
      </c>
      <c r="M382" s="49" t="s">
        <v>85</v>
      </c>
      <c r="N382" s="48" t="s">
        <v>86</v>
      </c>
      <c r="O382" s="49" t="s">
        <v>35</v>
      </c>
      <c r="P382" s="11" t="s">
        <v>80</v>
      </c>
      <c r="Q382" s="11" t="s">
        <v>90</v>
      </c>
      <c r="R382" s="11" t="s">
        <v>225</v>
      </c>
      <c r="S382" s="11" t="s">
        <v>226</v>
      </c>
      <c r="T382" s="116" t="s">
        <v>1</v>
      </c>
      <c r="U382" s="88"/>
      <c r="V382" s="51">
        <v>45518</v>
      </c>
      <c r="W382" s="97" t="s">
        <v>1573</v>
      </c>
      <c r="X382" s="135" t="str">
        <f>VLOOKUP(Table1[[#This Row],[AMZ ID]],[1]Roster_1787503287932!$D$2:$AU$1370,25,0)</f>
        <v>Present</v>
      </c>
      <c r="Y382" s="135">
        <f>VLOOKUP(Table1[[#This Row],[AMZ ID]],[1]Roster_1787503287932!$D$2:$AM$1370,35,0)</f>
        <v>0</v>
      </c>
    </row>
    <row r="383" spans="1:25" ht="13" customHeight="1">
      <c r="A383" s="11">
        <v>377</v>
      </c>
      <c r="B383" s="47">
        <v>203800383</v>
      </c>
      <c r="C383" s="89" t="s">
        <v>2541</v>
      </c>
      <c r="D383" s="11" t="s">
        <v>2542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84</v>
      </c>
      <c r="M383" s="49" t="s">
        <v>85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224</v>
      </c>
      <c r="S383" s="11" t="s">
        <v>2715</v>
      </c>
      <c r="T383" s="116" t="s">
        <v>1</v>
      </c>
      <c r="U383" s="88"/>
      <c r="V383" s="51">
        <v>45516</v>
      </c>
      <c r="W383" s="97" t="s">
        <v>1574</v>
      </c>
      <c r="X383" s="135" t="str">
        <f>VLOOKUP(Table1[[#This Row],[AMZ ID]],[1]Roster_1787503287932!$D$2:$AU$1370,25,0)</f>
        <v>Present</v>
      </c>
      <c r="Y383" s="135">
        <f>VLOOKUP(Table1[[#This Row],[AMZ ID]],[1]Roster_1787503287932!$D$2:$AM$1370,35,0)</f>
        <v>0</v>
      </c>
    </row>
    <row r="384" spans="1:25" ht="13" customHeight="1">
      <c r="A384" s="11">
        <v>378</v>
      </c>
      <c r="B384" s="47">
        <v>203521427</v>
      </c>
      <c r="C384" s="89" t="s">
        <v>378</v>
      </c>
      <c r="D384" s="11" t="s">
        <v>379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95</v>
      </c>
      <c r="M384" s="49" t="s">
        <v>77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226</v>
      </c>
      <c r="T384" s="116" t="s">
        <v>1</v>
      </c>
      <c r="U384" s="88"/>
      <c r="V384" s="51">
        <v>45463</v>
      </c>
      <c r="W384" s="97" t="s">
        <v>1571</v>
      </c>
      <c r="X384" s="135" t="str">
        <f>VLOOKUP(Table1[[#This Row],[AMZ ID]],[1]Roster_1787503287932!$D$2:$AU$1370,25,0)</f>
        <v>Present</v>
      </c>
      <c r="Y384" s="135">
        <f>VLOOKUP(Table1[[#This Row],[AMZ ID]],[1]Roster_1787503287932!$D$2:$AM$1370,35,0)</f>
        <v>0</v>
      </c>
    </row>
    <row r="385" spans="1:25" ht="13" customHeight="1">
      <c r="A385" s="11">
        <v>379</v>
      </c>
      <c r="B385" s="47">
        <v>203965502</v>
      </c>
      <c r="C385" s="89" t="s">
        <v>381</v>
      </c>
      <c r="D385" s="11" t="s">
        <v>382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226</v>
      </c>
      <c r="T385" s="116" t="s">
        <v>10</v>
      </c>
      <c r="U385" s="88"/>
      <c r="V385" s="51">
        <v>45544</v>
      </c>
      <c r="W385" s="97" t="s">
        <v>1573</v>
      </c>
      <c r="X385" s="135" t="str">
        <f>VLOOKUP(Table1[[#This Row],[AMZ ID]],[1]Roster_1787503287932!$D$2:$AU$1370,25,0)</f>
        <v>Not Present</v>
      </c>
      <c r="Y385" s="135">
        <f>VLOOKUP(Table1[[#This Row],[AMZ ID]],[1]Roster_1787503287932!$D$2:$AM$1370,35,0)</f>
        <v>0</v>
      </c>
    </row>
    <row r="386" spans="1:25" ht="13" customHeight="1">
      <c r="A386" s="11">
        <v>380</v>
      </c>
      <c r="B386" s="11">
        <v>204768284</v>
      </c>
      <c r="C386" s="89" t="s">
        <v>1346</v>
      </c>
      <c r="D386" s="11" t="s">
        <v>1347</v>
      </c>
      <c r="E386" s="48" t="s">
        <v>31</v>
      </c>
      <c r="F386" s="48" t="s">
        <v>74</v>
      </c>
      <c r="G386" s="48" t="s">
        <v>65</v>
      </c>
      <c r="H386" s="48" t="s">
        <v>1332</v>
      </c>
      <c r="I386" s="11">
        <v>1181</v>
      </c>
      <c r="J386" s="49" t="s">
        <v>32</v>
      </c>
      <c r="K386" s="49" t="s">
        <v>76</v>
      </c>
      <c r="L386" s="49" t="s">
        <v>77</v>
      </c>
      <c r="M386" s="49" t="s">
        <v>78</v>
      </c>
      <c r="N386" s="49" t="s">
        <v>89</v>
      </c>
      <c r="O386" s="48" t="s">
        <v>68</v>
      </c>
      <c r="P386" s="48" t="s">
        <v>80</v>
      </c>
      <c r="Q386" s="11" t="s">
        <v>90</v>
      </c>
      <c r="R386" s="11" t="s">
        <v>1336</v>
      </c>
      <c r="S386" s="11" t="s">
        <v>1337</v>
      </c>
      <c r="T386" s="116" t="s">
        <v>10</v>
      </c>
      <c r="U386" s="88"/>
      <c r="V386" s="51">
        <v>45796</v>
      </c>
      <c r="W386" s="102" t="s">
        <v>68</v>
      </c>
      <c r="X386" s="135" t="str">
        <f>VLOOKUP(Table1[[#This Row],[AMZ ID]],[1]Roster_1787503287932!$D$2:$AU$1370,25,0)</f>
        <v>Not Present</v>
      </c>
      <c r="Y386" s="135">
        <f>VLOOKUP(Table1[[#This Row],[AMZ ID]],[1]Roster_1787503287932!$D$2:$AM$1370,35,0)</f>
        <v>0</v>
      </c>
    </row>
    <row r="387" spans="1:25" ht="13" customHeight="1">
      <c r="A387" s="11">
        <v>381</v>
      </c>
      <c r="B387" s="47">
        <v>206504132</v>
      </c>
      <c r="C387" s="89" t="s">
        <v>2543</v>
      </c>
      <c r="D387" s="11" t="s">
        <v>2544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78</v>
      </c>
      <c r="M387" s="49" t="s">
        <v>92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231</v>
      </c>
      <c r="S387" s="11" t="s">
        <v>1753</v>
      </c>
      <c r="T387" s="116" t="s">
        <v>10</v>
      </c>
      <c r="U387" s="88"/>
      <c r="V387" s="51">
        <v>45971</v>
      </c>
      <c r="W387" s="97" t="s">
        <v>1573</v>
      </c>
      <c r="X387" s="135" t="str">
        <f>VLOOKUP(Table1[[#This Row],[AMZ ID]],[1]Roster_1787503287932!$D$2:$AU$1370,25,0)</f>
        <v>Not Present</v>
      </c>
      <c r="Y387" s="135">
        <f>VLOOKUP(Table1[[#This Row],[AMZ ID]],[1]Roster_1787503287932!$D$2:$AM$1370,35,0)</f>
        <v>0</v>
      </c>
    </row>
    <row r="388" spans="1:25" ht="13" customHeight="1">
      <c r="A388" s="11">
        <v>382</v>
      </c>
      <c r="B388" s="47">
        <v>205608625</v>
      </c>
      <c r="C388" s="89" t="s">
        <v>385</v>
      </c>
      <c r="D388" s="11" t="s">
        <v>386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39</v>
      </c>
      <c r="K388" s="49" t="s">
        <v>76</v>
      </c>
      <c r="L388" s="49" t="s">
        <v>88</v>
      </c>
      <c r="M388" s="49" t="s">
        <v>95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224</v>
      </c>
      <c r="S388" s="11" t="s">
        <v>2715</v>
      </c>
      <c r="T388" s="116" t="s">
        <v>1</v>
      </c>
      <c r="U388" s="88"/>
      <c r="V388" s="51">
        <v>45845</v>
      </c>
      <c r="W388" s="97" t="s">
        <v>1573</v>
      </c>
      <c r="X388" s="135" t="str">
        <f>VLOOKUP(Table1[[#This Row],[AMZ ID]],[1]Roster_1787503287932!$D$2:$AU$1370,25,0)</f>
        <v>Present</v>
      </c>
      <c r="Y388" s="135">
        <f>VLOOKUP(Table1[[#This Row],[AMZ ID]],[1]Roster_1787503287932!$D$2:$AM$1370,35,0)</f>
        <v>0</v>
      </c>
    </row>
    <row r="389" spans="1:25" ht="13" customHeight="1">
      <c r="A389" s="11">
        <v>383</v>
      </c>
      <c r="B389" s="47">
        <v>206873552</v>
      </c>
      <c r="C389" s="89" t="s">
        <v>1782</v>
      </c>
      <c r="D389" s="11" t="s">
        <v>1783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78</v>
      </c>
      <c r="M389" s="49" t="s">
        <v>92</v>
      </c>
      <c r="N389" s="48" t="s">
        <v>89</v>
      </c>
      <c r="O389" s="49" t="s">
        <v>35</v>
      </c>
      <c r="P389" s="11" t="s">
        <v>80</v>
      </c>
      <c r="Q389" s="11" t="s">
        <v>81</v>
      </c>
      <c r="R389" s="11" t="s">
        <v>231</v>
      </c>
      <c r="S389" s="11" t="s">
        <v>1753</v>
      </c>
      <c r="T389" s="116" t="s">
        <v>10</v>
      </c>
      <c r="U389" s="88"/>
      <c r="V389" s="51">
        <v>46020</v>
      </c>
      <c r="W389" s="97" t="s">
        <v>1573</v>
      </c>
      <c r="X389" s="135" t="str">
        <f>VLOOKUP(Table1[[#This Row],[AMZ ID]],[1]Roster_1787503287932!$D$2:$AU$1370,25,0)</f>
        <v>Not Present</v>
      </c>
      <c r="Y389" s="135">
        <f>VLOOKUP(Table1[[#This Row],[AMZ ID]],[1]Roster_1787503287932!$D$2:$AM$1370,35,0)</f>
        <v>0</v>
      </c>
    </row>
    <row r="390" spans="1:25" ht="13" customHeight="1">
      <c r="A390" s="11">
        <v>384</v>
      </c>
      <c r="B390" s="47">
        <v>202218633</v>
      </c>
      <c r="C390" s="89" t="s">
        <v>387</v>
      </c>
      <c r="D390" s="11" t="s">
        <v>388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85</v>
      </c>
      <c r="M390" s="49" t="s">
        <v>88</v>
      </c>
      <c r="N390" s="48" t="s">
        <v>86</v>
      </c>
      <c r="O390" s="49" t="s">
        <v>35</v>
      </c>
      <c r="P390" s="11" t="s">
        <v>80</v>
      </c>
      <c r="Q390" s="11" t="s">
        <v>87</v>
      </c>
      <c r="R390" s="11" t="s">
        <v>224</v>
      </c>
      <c r="S390" s="11" t="s">
        <v>2715</v>
      </c>
      <c r="T390" s="116" t="s">
        <v>1</v>
      </c>
      <c r="U390" s="88"/>
      <c r="V390" s="51">
        <v>45586</v>
      </c>
      <c r="W390" s="97" t="s">
        <v>1573</v>
      </c>
      <c r="X390" s="135" t="str">
        <f>VLOOKUP(Table1[[#This Row],[AMZ ID]],[1]Roster_1787503287932!$D$2:$AU$1370,25,0)</f>
        <v>Present</v>
      </c>
      <c r="Y390" s="135">
        <f>VLOOKUP(Table1[[#This Row],[AMZ ID]],[1]Roster_1787503287932!$D$2:$AM$1370,35,0)</f>
        <v>0</v>
      </c>
    </row>
    <row r="391" spans="1:25" ht="13" customHeight="1">
      <c r="A391" s="11">
        <v>385</v>
      </c>
      <c r="B391" s="47">
        <v>205845555</v>
      </c>
      <c r="C391" s="89" t="s">
        <v>2426</v>
      </c>
      <c r="D391" s="11" t="s">
        <v>2427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92</v>
      </c>
      <c r="M391" s="49" t="s">
        <v>84</v>
      </c>
      <c r="N391" s="48" t="s">
        <v>89</v>
      </c>
      <c r="O391" s="49" t="s">
        <v>37</v>
      </c>
      <c r="P391" s="11" t="s">
        <v>80</v>
      </c>
      <c r="Q391" s="11" t="s">
        <v>90</v>
      </c>
      <c r="R391" s="11" t="s">
        <v>647</v>
      </c>
      <c r="S391" s="11" t="s">
        <v>1798</v>
      </c>
      <c r="T391" s="116" t="s">
        <v>7</v>
      </c>
      <c r="U391" s="88" t="s">
        <v>3015</v>
      </c>
      <c r="V391" s="51">
        <v>45894</v>
      </c>
      <c r="W391" s="97" t="s">
        <v>1577</v>
      </c>
      <c r="X391" s="135" t="str">
        <f>VLOOKUP(Table1[[#This Row],[AMZ ID]],[1]Roster_1787503287932!$D$2:$AU$1370,25,0)</f>
        <v>Not Present</v>
      </c>
      <c r="Y391" s="135" t="str">
        <f>VLOOKUP(Table1[[#This Row],[AMZ ID]],[1]Roster_1787503287932!$D$2:$AM$1370,35,0)</f>
        <v>Carry Forwarded Annual Leave</v>
      </c>
    </row>
    <row r="392" spans="1:25" ht="13" customHeight="1">
      <c r="A392" s="11">
        <v>386</v>
      </c>
      <c r="B392" s="47">
        <v>206874115</v>
      </c>
      <c r="C392" s="89" t="s">
        <v>2545</v>
      </c>
      <c r="D392" s="11" t="s">
        <v>2546</v>
      </c>
      <c r="E392" s="48" t="s">
        <v>31</v>
      </c>
      <c r="F392" s="48" t="s">
        <v>74</v>
      </c>
      <c r="G392" s="48" t="s">
        <v>64</v>
      </c>
      <c r="H392" s="48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9" t="s">
        <v>89</v>
      </c>
      <c r="O392" s="48" t="s">
        <v>35</v>
      </c>
      <c r="P392" s="48" t="s">
        <v>80</v>
      </c>
      <c r="Q392" s="11" t="s">
        <v>90</v>
      </c>
      <c r="R392" s="11" t="s">
        <v>231</v>
      </c>
      <c r="S392" s="11" t="s">
        <v>1753</v>
      </c>
      <c r="T392" s="116" t="s">
        <v>10</v>
      </c>
      <c r="U392" s="88"/>
      <c r="V392" s="51">
        <v>46020</v>
      </c>
      <c r="W392" s="97" t="s">
        <v>1573</v>
      </c>
      <c r="X392" s="135" t="str">
        <f>VLOOKUP(Table1[[#This Row],[AMZ ID]],[1]Roster_1787503287932!$D$2:$AU$1370,25,0)</f>
        <v>Not Present</v>
      </c>
      <c r="Y392" s="135">
        <f>VLOOKUP(Table1[[#This Row],[AMZ ID]],[1]Roster_1787503287932!$D$2:$AM$1370,35,0)</f>
        <v>0</v>
      </c>
    </row>
    <row r="393" spans="1:25" ht="13" customHeight="1">
      <c r="A393" s="11">
        <v>387</v>
      </c>
      <c r="B393" s="11">
        <v>206873567</v>
      </c>
      <c r="C393" s="89" t="s">
        <v>1776</v>
      </c>
      <c r="D393" s="11" t="s">
        <v>1777</v>
      </c>
      <c r="E393" s="48" t="s">
        <v>31</v>
      </c>
      <c r="F393" s="48" t="s">
        <v>74</v>
      </c>
      <c r="G393" s="48" t="s">
        <v>64</v>
      </c>
      <c r="H393" s="48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9" t="s">
        <v>89</v>
      </c>
      <c r="O393" s="48" t="s">
        <v>35</v>
      </c>
      <c r="P393" s="48" t="s">
        <v>80</v>
      </c>
      <c r="Q393" s="11" t="s">
        <v>81</v>
      </c>
      <c r="R393" s="11" t="s">
        <v>231</v>
      </c>
      <c r="S393" s="11" t="s">
        <v>1753</v>
      </c>
      <c r="T393" s="116" t="s">
        <v>10</v>
      </c>
      <c r="U393" s="88"/>
      <c r="V393" s="51">
        <v>46020</v>
      </c>
      <c r="W393" s="97" t="s">
        <v>1573</v>
      </c>
      <c r="X393" s="135" t="str">
        <f>VLOOKUP(Table1[[#This Row],[AMZ ID]],[1]Roster_1787503287932!$D$2:$AU$1370,25,0)</f>
        <v>Not Present</v>
      </c>
      <c r="Y393" s="135">
        <f>VLOOKUP(Table1[[#This Row],[AMZ ID]],[1]Roster_1787503287932!$D$2:$AM$1370,35,0)</f>
        <v>0</v>
      </c>
    </row>
    <row r="394" spans="1:25" ht="13" customHeight="1">
      <c r="A394" s="11">
        <v>388</v>
      </c>
      <c r="B394" s="47">
        <v>203737200</v>
      </c>
      <c r="C394" s="89" t="s">
        <v>2547</v>
      </c>
      <c r="D394" s="11" t="s">
        <v>2548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85</v>
      </c>
      <c r="M394" s="49" t="s">
        <v>88</v>
      </c>
      <c r="N394" s="48" t="s">
        <v>86</v>
      </c>
      <c r="O394" s="49" t="s">
        <v>35</v>
      </c>
      <c r="P394" s="11" t="s">
        <v>80</v>
      </c>
      <c r="Q394" s="11" t="s">
        <v>90</v>
      </c>
      <c r="R394" s="11" t="s">
        <v>231</v>
      </c>
      <c r="S394" s="11" t="s">
        <v>1753</v>
      </c>
      <c r="T394" s="116" t="s">
        <v>1</v>
      </c>
      <c r="U394" s="88"/>
      <c r="V394" s="51">
        <v>45502</v>
      </c>
      <c r="W394" s="97" t="s">
        <v>1573</v>
      </c>
      <c r="X394" s="135" t="str">
        <f>VLOOKUP(Table1[[#This Row],[AMZ ID]],[1]Roster_1787503287932!$D$2:$AU$1370,25,0)</f>
        <v>Present</v>
      </c>
      <c r="Y394" s="135">
        <f>VLOOKUP(Table1[[#This Row],[AMZ ID]],[1]Roster_1787503287932!$D$2:$AM$1370,35,0)</f>
        <v>0</v>
      </c>
    </row>
    <row r="395" spans="1:25" ht="13" customHeight="1">
      <c r="A395" s="11">
        <v>389</v>
      </c>
      <c r="B395" s="47">
        <v>206873643</v>
      </c>
      <c r="C395" s="89" t="s">
        <v>1762</v>
      </c>
      <c r="D395" s="11" t="s">
        <v>1763</v>
      </c>
      <c r="E395" s="48" t="s">
        <v>31</v>
      </c>
      <c r="F395" s="48" t="s">
        <v>74</v>
      </c>
      <c r="G395" s="48" t="s">
        <v>64</v>
      </c>
      <c r="H395" s="48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9" t="s">
        <v>89</v>
      </c>
      <c r="O395" s="48" t="s">
        <v>35</v>
      </c>
      <c r="P395" s="48" t="s">
        <v>80</v>
      </c>
      <c r="Q395" s="11" t="s">
        <v>81</v>
      </c>
      <c r="R395" s="11" t="s">
        <v>231</v>
      </c>
      <c r="S395" s="11" t="s">
        <v>1753</v>
      </c>
      <c r="T395" s="116" t="s">
        <v>10</v>
      </c>
      <c r="U395" s="88"/>
      <c r="V395" s="51">
        <v>46020</v>
      </c>
      <c r="W395" s="97" t="s">
        <v>1573</v>
      </c>
      <c r="X395" s="135" t="str">
        <f>VLOOKUP(Table1[[#This Row],[AMZ ID]],[1]Roster_1787503287932!$D$2:$AU$1370,25,0)</f>
        <v>Not Present</v>
      </c>
      <c r="Y395" s="135">
        <f>VLOOKUP(Table1[[#This Row],[AMZ ID]],[1]Roster_1787503287932!$D$2:$AM$1370,35,0)</f>
        <v>0</v>
      </c>
    </row>
    <row r="396" spans="1:25" ht="13" customHeight="1">
      <c r="A396" s="11">
        <v>390</v>
      </c>
      <c r="B396" s="47">
        <v>204246601</v>
      </c>
      <c r="C396" s="89" t="s">
        <v>391</v>
      </c>
      <c r="D396" s="11" t="s">
        <v>392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39</v>
      </c>
      <c r="K396" s="49" t="s">
        <v>76</v>
      </c>
      <c r="L396" s="49" t="s">
        <v>84</v>
      </c>
      <c r="M396" s="49" t="s">
        <v>85</v>
      </c>
      <c r="N396" s="48" t="s">
        <v>86</v>
      </c>
      <c r="O396" s="49" t="s">
        <v>35</v>
      </c>
      <c r="P396" s="11" t="s">
        <v>80</v>
      </c>
      <c r="Q396" s="11" t="s">
        <v>87</v>
      </c>
      <c r="R396" s="11" t="s">
        <v>224</v>
      </c>
      <c r="S396" s="11" t="s">
        <v>2715</v>
      </c>
      <c r="T396" s="116" t="s">
        <v>1</v>
      </c>
      <c r="U396" s="88"/>
      <c r="V396" s="51">
        <v>45579</v>
      </c>
      <c r="W396" s="97" t="s">
        <v>1573</v>
      </c>
      <c r="X396" s="135" t="str">
        <f>VLOOKUP(Table1[[#This Row],[AMZ ID]],[1]Roster_1787503287932!$D$2:$AU$1370,25,0)</f>
        <v>Present</v>
      </c>
      <c r="Y396" s="135">
        <f>VLOOKUP(Table1[[#This Row],[AMZ ID]],[1]Roster_1787503287932!$D$2:$AM$1370,35,0)</f>
        <v>0</v>
      </c>
    </row>
    <row r="397" spans="1:25" ht="13" customHeight="1">
      <c r="A397" s="11">
        <v>391</v>
      </c>
      <c r="B397" s="47">
        <v>206874042</v>
      </c>
      <c r="C397" s="89" t="s">
        <v>2549</v>
      </c>
      <c r="D397" s="11" t="s">
        <v>2550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231</v>
      </c>
      <c r="S397" s="11" t="s">
        <v>1753</v>
      </c>
      <c r="T397" s="116" t="s">
        <v>10</v>
      </c>
      <c r="U397" s="88"/>
      <c r="V397" s="51">
        <v>46020</v>
      </c>
      <c r="W397" s="97" t="s">
        <v>1573</v>
      </c>
      <c r="X397" s="135" t="str">
        <f>VLOOKUP(Table1[[#This Row],[AMZ ID]],[1]Roster_1787503287932!$D$2:$AU$1370,25,0)</f>
        <v>Not Present</v>
      </c>
      <c r="Y397" s="135">
        <f>VLOOKUP(Table1[[#This Row],[AMZ ID]],[1]Roster_1787503287932!$D$2:$AM$1370,35,0)</f>
        <v>0</v>
      </c>
    </row>
    <row r="398" spans="1:25" ht="13" customHeight="1">
      <c r="A398" s="11">
        <v>392</v>
      </c>
      <c r="B398" s="47">
        <v>206846115</v>
      </c>
      <c r="C398" s="89" t="s">
        <v>2551</v>
      </c>
      <c r="D398" s="47" t="s">
        <v>2552</v>
      </c>
      <c r="E398" s="47" t="s">
        <v>31</v>
      </c>
      <c r="F398" s="47" t="s">
        <v>74</v>
      </c>
      <c r="G398" s="47" t="s">
        <v>64</v>
      </c>
      <c r="H398" s="47" t="s">
        <v>75</v>
      </c>
      <c r="I398" s="47">
        <v>1299</v>
      </c>
      <c r="J398" s="49" t="s">
        <v>2471</v>
      </c>
      <c r="K398" s="49" t="s">
        <v>76</v>
      </c>
      <c r="L398" s="49" t="s">
        <v>88</v>
      </c>
      <c r="M398" s="49" t="s">
        <v>95</v>
      </c>
      <c r="N398" s="49" t="s">
        <v>89</v>
      </c>
      <c r="O398" s="47" t="s">
        <v>35</v>
      </c>
      <c r="P398" s="47" t="s">
        <v>80</v>
      </c>
      <c r="Q398" s="47" t="s">
        <v>90</v>
      </c>
      <c r="R398" s="11" t="s">
        <v>231</v>
      </c>
      <c r="S398" s="47" t="s">
        <v>1753</v>
      </c>
      <c r="T398" s="116" t="s">
        <v>1</v>
      </c>
      <c r="U398" s="88"/>
      <c r="V398" s="51">
        <v>46013</v>
      </c>
      <c r="W398" s="132" t="s">
        <v>1573</v>
      </c>
      <c r="X398" s="135" t="str">
        <f>VLOOKUP(Table1[[#This Row],[AMZ ID]],[1]Roster_1787503287932!$D$2:$AU$1370,25,0)</f>
        <v>Present</v>
      </c>
      <c r="Y398" s="135">
        <f>VLOOKUP(Table1[[#This Row],[AMZ ID]],[1]Roster_1787503287932!$D$2:$AM$1370,35,0)</f>
        <v>0</v>
      </c>
    </row>
    <row r="399" spans="1:25" ht="13" customHeight="1">
      <c r="A399" s="11">
        <v>393</v>
      </c>
      <c r="B399" s="47">
        <v>203816298</v>
      </c>
      <c r="C399" s="89" t="s">
        <v>2553</v>
      </c>
      <c r="D399" s="11" t="s">
        <v>2554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225</v>
      </c>
      <c r="S399" s="11" t="s">
        <v>226</v>
      </c>
      <c r="T399" s="116" t="s">
        <v>10</v>
      </c>
      <c r="U399" s="88"/>
      <c r="V399" s="51">
        <v>45826</v>
      </c>
      <c r="W399" s="97" t="s">
        <v>1573</v>
      </c>
      <c r="X399" s="135" t="str">
        <f>VLOOKUP(Table1[[#This Row],[AMZ ID]],[1]Roster_1787503287932!$D$2:$AU$1370,25,0)</f>
        <v>Not Present</v>
      </c>
      <c r="Y399" s="135">
        <f>VLOOKUP(Table1[[#This Row],[AMZ ID]],[1]Roster_1787503287932!$D$2:$AM$1370,35,0)</f>
        <v>0</v>
      </c>
    </row>
    <row r="400" spans="1:25" ht="13" customHeight="1">
      <c r="A400" s="11">
        <v>394</v>
      </c>
      <c r="B400" s="47">
        <v>205133783</v>
      </c>
      <c r="C400" s="89" t="s">
        <v>2098</v>
      </c>
      <c r="D400" s="11" t="s">
        <v>2099</v>
      </c>
      <c r="E400" s="11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32</v>
      </c>
      <c r="K400" s="49" t="s">
        <v>76</v>
      </c>
      <c r="L400" s="49" t="s">
        <v>92</v>
      </c>
      <c r="M400" s="49" t="s">
        <v>84</v>
      </c>
      <c r="N400" s="49" t="s">
        <v>89</v>
      </c>
      <c r="O400" s="49" t="s">
        <v>37</v>
      </c>
      <c r="P400" s="11" t="s">
        <v>80</v>
      </c>
      <c r="Q400" s="11" t="s">
        <v>96</v>
      </c>
      <c r="R400" s="11" t="s">
        <v>2719</v>
      </c>
      <c r="S400" s="11" t="s">
        <v>642</v>
      </c>
      <c r="T400" s="116" t="s">
        <v>1</v>
      </c>
      <c r="U400" s="88"/>
      <c r="V400" s="51">
        <v>46048</v>
      </c>
      <c r="W400" s="97" t="s">
        <v>1577</v>
      </c>
      <c r="X400" s="135" t="str">
        <f>VLOOKUP(Table1[[#This Row],[AMZ ID]],[1]Roster_1787503287932!$D$2:$AU$1370,25,0)</f>
        <v>Present</v>
      </c>
      <c r="Y400" s="135">
        <f>VLOOKUP(Table1[[#This Row],[AMZ ID]],[1]Roster_1787503287932!$D$2:$AM$1370,35,0)</f>
        <v>0</v>
      </c>
    </row>
    <row r="401" spans="1:25" ht="13" customHeight="1">
      <c r="A401" s="11">
        <v>395</v>
      </c>
      <c r="B401" s="47">
        <v>205977115</v>
      </c>
      <c r="C401" s="89" t="s">
        <v>395</v>
      </c>
      <c r="D401" s="11" t="s">
        <v>396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8" t="s">
        <v>86</v>
      </c>
      <c r="O401" s="49" t="s">
        <v>35</v>
      </c>
      <c r="P401" s="11" t="s">
        <v>80</v>
      </c>
      <c r="Q401" s="11" t="s">
        <v>90</v>
      </c>
      <c r="R401" s="11" t="s">
        <v>224</v>
      </c>
      <c r="S401" s="11" t="s">
        <v>2715</v>
      </c>
      <c r="T401" s="116" t="s">
        <v>10</v>
      </c>
      <c r="U401" s="88"/>
      <c r="V401" s="51">
        <v>45915</v>
      </c>
      <c r="W401" s="97" t="s">
        <v>1573</v>
      </c>
      <c r="X401" s="135" t="str">
        <f>VLOOKUP(Table1[[#This Row],[AMZ ID]],[1]Roster_1787503287932!$D$2:$AU$1370,25,0)</f>
        <v>Not Present</v>
      </c>
      <c r="Y401" s="135">
        <f>VLOOKUP(Table1[[#This Row],[AMZ ID]],[1]Roster_1787503287932!$D$2:$AM$1370,35,0)</f>
        <v>0</v>
      </c>
    </row>
    <row r="402" spans="1:25" ht="13" customHeight="1">
      <c r="A402" s="11">
        <v>396</v>
      </c>
      <c r="B402" s="47">
        <v>206504129</v>
      </c>
      <c r="C402" s="89" t="s">
        <v>2555</v>
      </c>
      <c r="D402" s="11" t="s">
        <v>2556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39</v>
      </c>
      <c r="K402" s="49" t="s">
        <v>76</v>
      </c>
      <c r="L402" s="49" t="s">
        <v>88</v>
      </c>
      <c r="M402" s="49" t="s">
        <v>95</v>
      </c>
      <c r="N402" s="48" t="s">
        <v>86</v>
      </c>
      <c r="O402" s="49" t="s">
        <v>35</v>
      </c>
      <c r="P402" s="11" t="s">
        <v>80</v>
      </c>
      <c r="Q402" s="11" t="s">
        <v>90</v>
      </c>
      <c r="R402" s="11" t="s">
        <v>224</v>
      </c>
      <c r="S402" s="11" t="s">
        <v>2715</v>
      </c>
      <c r="T402" s="116" t="s">
        <v>1</v>
      </c>
      <c r="U402" s="88"/>
      <c r="V402" s="51">
        <v>45971</v>
      </c>
      <c r="W402" s="97" t="s">
        <v>1573</v>
      </c>
      <c r="X402" s="135" t="str">
        <f>VLOOKUP(Table1[[#This Row],[AMZ ID]],[1]Roster_1787503287932!$D$2:$AU$1370,25,0)</f>
        <v>Present</v>
      </c>
      <c r="Y402" s="135">
        <f>VLOOKUP(Table1[[#This Row],[AMZ ID]],[1]Roster_1787503287932!$D$2:$AM$1370,35,0)</f>
        <v>0</v>
      </c>
    </row>
    <row r="403" spans="1:25" ht="13" customHeight="1">
      <c r="A403" s="11">
        <v>397</v>
      </c>
      <c r="B403" s="47">
        <v>203521425</v>
      </c>
      <c r="C403" s="89" t="s">
        <v>397</v>
      </c>
      <c r="D403" s="11" t="s">
        <v>398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32</v>
      </c>
      <c r="K403" s="49" t="s">
        <v>76</v>
      </c>
      <c r="L403" s="49" t="s">
        <v>95</v>
      </c>
      <c r="M403" s="49" t="s">
        <v>77</v>
      </c>
      <c r="N403" s="48" t="s">
        <v>79</v>
      </c>
      <c r="O403" s="49" t="s">
        <v>35</v>
      </c>
      <c r="P403" s="11" t="s">
        <v>80</v>
      </c>
      <c r="Q403" s="11" t="s">
        <v>81</v>
      </c>
      <c r="R403" s="11" t="s">
        <v>225</v>
      </c>
      <c r="S403" s="11" t="s">
        <v>226</v>
      </c>
      <c r="T403" s="116" t="s">
        <v>1</v>
      </c>
      <c r="U403" s="88"/>
      <c r="V403" s="51">
        <v>45463</v>
      </c>
      <c r="W403" s="97" t="s">
        <v>1572</v>
      </c>
      <c r="X403" s="135" t="str">
        <f>VLOOKUP(Table1[[#This Row],[AMZ ID]],[1]Roster_1787503287932!$D$2:$AU$1370,25,0)</f>
        <v>Present</v>
      </c>
      <c r="Y403" s="135">
        <f>VLOOKUP(Table1[[#This Row],[AMZ ID]],[1]Roster_1787503287932!$D$2:$AM$1370,35,0)</f>
        <v>0</v>
      </c>
    </row>
    <row r="404" spans="1:25" ht="13" customHeight="1">
      <c r="A404" s="11">
        <v>398</v>
      </c>
      <c r="B404" s="47">
        <v>203736254</v>
      </c>
      <c r="C404" s="89" t="s">
        <v>2557</v>
      </c>
      <c r="D404" s="11" t="s">
        <v>2558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39</v>
      </c>
      <c r="K404" s="49" t="s">
        <v>76</v>
      </c>
      <c r="L404" s="49" t="s">
        <v>84</v>
      </c>
      <c r="M404" s="49" t="s">
        <v>85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224</v>
      </c>
      <c r="S404" s="11" t="s">
        <v>2715</v>
      </c>
      <c r="T404" s="116" t="s">
        <v>1</v>
      </c>
      <c r="U404" s="88"/>
      <c r="V404" s="51">
        <v>45502</v>
      </c>
      <c r="W404" s="97" t="s">
        <v>1573</v>
      </c>
      <c r="X404" s="135" t="str">
        <f>VLOOKUP(Table1[[#This Row],[AMZ ID]],[1]Roster_1787503287932!$D$2:$AU$1370,25,0)</f>
        <v>Present</v>
      </c>
      <c r="Y404" s="135">
        <f>VLOOKUP(Table1[[#This Row],[AMZ ID]],[1]Roster_1787503287932!$D$2:$AM$1370,35,0)</f>
        <v>0</v>
      </c>
    </row>
    <row r="405" spans="1:25" ht="13" customHeight="1">
      <c r="A405" s="11">
        <v>399</v>
      </c>
      <c r="B405" s="47">
        <v>204951311</v>
      </c>
      <c r="C405" s="89" t="s">
        <v>2428</v>
      </c>
      <c r="D405" s="11" t="s">
        <v>2429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92</v>
      </c>
      <c r="M405" s="49" t="s">
        <v>84</v>
      </c>
      <c r="N405" s="49" t="s">
        <v>86</v>
      </c>
      <c r="O405" s="48" t="s">
        <v>37</v>
      </c>
      <c r="P405" s="48" t="s">
        <v>80</v>
      </c>
      <c r="Q405" s="11" t="s">
        <v>90</v>
      </c>
      <c r="R405" s="49" t="s">
        <v>647</v>
      </c>
      <c r="S405" s="11" t="s">
        <v>1798</v>
      </c>
      <c r="T405" s="116" t="s">
        <v>7</v>
      </c>
      <c r="U405" s="88" t="s">
        <v>3015</v>
      </c>
      <c r="V405" s="51">
        <v>45719</v>
      </c>
      <c r="W405" s="97" t="s">
        <v>1577</v>
      </c>
      <c r="X405" s="135" t="str">
        <f>VLOOKUP(Table1[[#This Row],[AMZ ID]],[1]Roster_1787503287932!$D$2:$AU$1370,25,0)</f>
        <v>Not Present</v>
      </c>
      <c r="Y405" s="135" t="str">
        <f>VLOOKUP(Table1[[#This Row],[AMZ ID]],[1]Roster_1787503287932!$D$2:$AM$1370,35,0)</f>
        <v>Carry Forwarded Annual Leave</v>
      </c>
    </row>
    <row r="406" spans="1:25" ht="13" customHeight="1">
      <c r="A406" s="11">
        <v>400</v>
      </c>
      <c r="B406" s="47">
        <v>205977117</v>
      </c>
      <c r="C406" s="89" t="s">
        <v>2559</v>
      </c>
      <c r="D406" s="11" t="s">
        <v>2560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231</v>
      </c>
      <c r="S406" s="11" t="s">
        <v>1753</v>
      </c>
      <c r="T406" s="116" t="s">
        <v>10</v>
      </c>
      <c r="U406" s="88"/>
      <c r="V406" s="51">
        <v>45915</v>
      </c>
      <c r="W406" s="97" t="s">
        <v>1573</v>
      </c>
      <c r="X406" s="135" t="str">
        <f>VLOOKUP(Table1[[#This Row],[AMZ ID]],[1]Roster_1787503287932!$D$2:$AU$1370,25,0)</f>
        <v>Not Present</v>
      </c>
      <c r="Y406" s="135">
        <f>VLOOKUP(Table1[[#This Row],[AMZ ID]],[1]Roster_1787503287932!$D$2:$AM$1370,35,0)</f>
        <v>0</v>
      </c>
    </row>
    <row r="407" spans="1:25" ht="13" customHeight="1">
      <c r="A407" s="11">
        <v>401</v>
      </c>
      <c r="B407" s="47">
        <v>206962049</v>
      </c>
      <c r="C407" s="89" t="s">
        <v>2102</v>
      </c>
      <c r="D407" s="11" t="s">
        <v>2025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9" t="s">
        <v>89</v>
      </c>
      <c r="O407" s="49" t="s">
        <v>35</v>
      </c>
      <c r="P407" s="11" t="s">
        <v>80</v>
      </c>
      <c r="Q407" s="11" t="s">
        <v>96</v>
      </c>
      <c r="R407" s="11" t="s">
        <v>224</v>
      </c>
      <c r="S407" s="11" t="s">
        <v>2715</v>
      </c>
      <c r="T407" s="116" t="s">
        <v>10</v>
      </c>
      <c r="U407" s="88"/>
      <c r="V407" s="51">
        <v>46048</v>
      </c>
      <c r="W407" s="97" t="s">
        <v>1573</v>
      </c>
      <c r="X407" s="135" t="str">
        <f>VLOOKUP(Table1[[#This Row],[AMZ ID]],[1]Roster_1787503287932!$D$2:$AU$1370,25,0)</f>
        <v>Not Present</v>
      </c>
      <c r="Y407" s="135">
        <f>VLOOKUP(Table1[[#This Row],[AMZ ID]],[1]Roster_1787503287932!$D$2:$AM$1370,35,0)</f>
        <v>0</v>
      </c>
    </row>
    <row r="408" spans="1:25" ht="13" customHeight="1">
      <c r="A408" s="11">
        <v>402</v>
      </c>
      <c r="B408" s="47">
        <v>206846689</v>
      </c>
      <c r="C408" s="89" t="s">
        <v>2563</v>
      </c>
      <c r="D408" s="47" t="s">
        <v>2564</v>
      </c>
      <c r="E408" s="47" t="s">
        <v>31</v>
      </c>
      <c r="F408" s="47" t="s">
        <v>74</v>
      </c>
      <c r="G408" s="47" t="s">
        <v>64</v>
      </c>
      <c r="H408" s="47" t="s">
        <v>75</v>
      </c>
      <c r="I408" s="47">
        <v>1299</v>
      </c>
      <c r="J408" s="49" t="s">
        <v>39</v>
      </c>
      <c r="K408" s="49" t="s">
        <v>76</v>
      </c>
      <c r="L408" s="49" t="s">
        <v>84</v>
      </c>
      <c r="M408" s="49" t="s">
        <v>85</v>
      </c>
      <c r="N408" s="49" t="s">
        <v>89</v>
      </c>
      <c r="O408" s="47" t="s">
        <v>35</v>
      </c>
      <c r="P408" s="47" t="s">
        <v>80</v>
      </c>
      <c r="Q408" s="47" t="s">
        <v>90</v>
      </c>
      <c r="R408" s="11" t="s">
        <v>231</v>
      </c>
      <c r="S408" s="47" t="s">
        <v>1753</v>
      </c>
      <c r="T408" s="116" t="s">
        <v>1</v>
      </c>
      <c r="U408" s="88"/>
      <c r="V408" s="51">
        <v>46013</v>
      </c>
      <c r="W408" s="132" t="s">
        <v>1573</v>
      </c>
      <c r="X408" s="135" t="str">
        <f>VLOOKUP(Table1[[#This Row],[AMZ ID]],[1]Roster_1787503287932!$D$2:$AU$1370,25,0)</f>
        <v>Present</v>
      </c>
      <c r="Y408" s="135">
        <f>VLOOKUP(Table1[[#This Row],[AMZ ID]],[1]Roster_1787503287932!$D$2:$AM$1370,35,0)</f>
        <v>0</v>
      </c>
    </row>
    <row r="409" spans="1:25" ht="13" customHeight="1">
      <c r="A409" s="11">
        <v>403</v>
      </c>
      <c r="B409" s="47">
        <v>206934195</v>
      </c>
      <c r="C409" s="89" t="s">
        <v>2565</v>
      </c>
      <c r="D409" s="11" t="s">
        <v>2566</v>
      </c>
      <c r="E409" s="48" t="s">
        <v>31</v>
      </c>
      <c r="F409" s="48" t="s">
        <v>74</v>
      </c>
      <c r="G409" s="48" t="s">
        <v>64</v>
      </c>
      <c r="H409" s="48" t="s">
        <v>75</v>
      </c>
      <c r="I409" s="11">
        <v>1299</v>
      </c>
      <c r="J409" s="49" t="s">
        <v>39</v>
      </c>
      <c r="K409" s="49" t="s">
        <v>76</v>
      </c>
      <c r="L409" s="49" t="s">
        <v>78</v>
      </c>
      <c r="M409" s="49" t="s">
        <v>92</v>
      </c>
      <c r="N409" s="49" t="s">
        <v>79</v>
      </c>
      <c r="O409" s="49" t="s">
        <v>35</v>
      </c>
      <c r="P409" s="49" t="s">
        <v>80</v>
      </c>
      <c r="Q409" s="11" t="s">
        <v>96</v>
      </c>
      <c r="R409" s="11" t="s">
        <v>224</v>
      </c>
      <c r="S409" s="11" t="s">
        <v>2715</v>
      </c>
      <c r="T409" s="116" t="s">
        <v>10</v>
      </c>
      <c r="U409" s="88"/>
      <c r="V409" s="51">
        <v>46041</v>
      </c>
      <c r="W409" s="97" t="s">
        <v>1573</v>
      </c>
      <c r="X409" s="135" t="str">
        <f>VLOOKUP(Table1[[#This Row],[AMZ ID]],[1]Roster_1787503287932!$D$2:$AU$1370,25,0)</f>
        <v>Not Present</v>
      </c>
      <c r="Y409" s="135">
        <f>VLOOKUP(Table1[[#This Row],[AMZ ID]],[1]Roster_1787503287932!$D$2:$AM$1370,35,0)</f>
        <v>0</v>
      </c>
    </row>
    <row r="410" spans="1:25" ht="13" customHeight="1">
      <c r="A410" s="11">
        <v>404</v>
      </c>
      <c r="B410" s="47">
        <v>206791755</v>
      </c>
      <c r="C410" s="89" t="s">
        <v>2567</v>
      </c>
      <c r="D410" s="11" t="s">
        <v>2568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39</v>
      </c>
      <c r="K410" s="49" t="s">
        <v>76</v>
      </c>
      <c r="L410" s="49" t="s">
        <v>78</v>
      </c>
      <c r="M410" s="49" t="s">
        <v>92</v>
      </c>
      <c r="N410" s="49" t="s">
        <v>89</v>
      </c>
      <c r="O410" s="49" t="s">
        <v>35</v>
      </c>
      <c r="P410" s="11" t="s">
        <v>80</v>
      </c>
      <c r="Q410" s="11" t="s">
        <v>90</v>
      </c>
      <c r="R410" s="11" t="s">
        <v>224</v>
      </c>
      <c r="S410" s="11" t="s">
        <v>2715</v>
      </c>
      <c r="T410" s="116" t="s">
        <v>10</v>
      </c>
      <c r="U410" s="88"/>
      <c r="V410" s="51">
        <v>45999</v>
      </c>
      <c r="W410" s="97" t="s">
        <v>1573</v>
      </c>
      <c r="X410" s="135" t="str">
        <f>VLOOKUP(Table1[[#This Row],[AMZ ID]],[1]Roster_1787503287932!$D$2:$AU$1370,25,0)</f>
        <v>Not Present</v>
      </c>
      <c r="Y410" s="135">
        <f>VLOOKUP(Table1[[#This Row],[AMZ ID]],[1]Roster_1787503287932!$D$2:$AM$1370,35,0)</f>
        <v>0</v>
      </c>
    </row>
    <row r="411" spans="1:25" ht="13" customHeight="1">
      <c r="A411" s="11">
        <v>405</v>
      </c>
      <c r="B411" s="47">
        <v>203736255</v>
      </c>
      <c r="C411" s="89" t="s">
        <v>2569</v>
      </c>
      <c r="D411" s="11" t="s">
        <v>2570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39</v>
      </c>
      <c r="K411" s="49" t="s">
        <v>76</v>
      </c>
      <c r="L411" s="49" t="s">
        <v>92</v>
      </c>
      <c r="M411" s="49" t="s">
        <v>84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224</v>
      </c>
      <c r="S411" s="11" t="s">
        <v>2715</v>
      </c>
      <c r="T411" s="116" t="s">
        <v>1</v>
      </c>
      <c r="U411" s="88"/>
      <c r="V411" s="51">
        <v>45502</v>
      </c>
      <c r="W411" s="97" t="s">
        <v>1573</v>
      </c>
      <c r="X411" s="135" t="str">
        <f>VLOOKUP(Table1[[#This Row],[AMZ ID]],[1]Roster_1787503287932!$D$2:$AU$1370,25,0)</f>
        <v>Present</v>
      </c>
      <c r="Y411" s="135">
        <f>VLOOKUP(Table1[[#This Row],[AMZ ID]],[1]Roster_1787503287932!$D$2:$AM$1370,35,0)</f>
        <v>0</v>
      </c>
    </row>
    <row r="412" spans="1:25" ht="13" customHeight="1">
      <c r="A412" s="11">
        <v>406</v>
      </c>
      <c r="B412" s="47">
        <v>204246163</v>
      </c>
      <c r="C412" s="89" t="s">
        <v>402</v>
      </c>
      <c r="D412" s="11" t="s">
        <v>403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39</v>
      </c>
      <c r="K412" s="49" t="s">
        <v>76</v>
      </c>
      <c r="L412" s="49" t="s">
        <v>77</v>
      </c>
      <c r="M412" s="49" t="s">
        <v>78</v>
      </c>
      <c r="N412" s="48" t="s">
        <v>86</v>
      </c>
      <c r="O412" s="49" t="s">
        <v>35</v>
      </c>
      <c r="P412" s="11" t="s">
        <v>80</v>
      </c>
      <c r="Q412" s="11" t="s">
        <v>87</v>
      </c>
      <c r="R412" s="11" t="s">
        <v>224</v>
      </c>
      <c r="S412" s="11" t="s">
        <v>2715</v>
      </c>
      <c r="T412" s="116" t="s">
        <v>10</v>
      </c>
      <c r="U412" s="88"/>
      <c r="V412" s="51">
        <v>45579</v>
      </c>
      <c r="W412" s="97" t="s">
        <v>1573</v>
      </c>
      <c r="X412" s="135" t="str">
        <f>VLOOKUP(Table1[[#This Row],[AMZ ID]],[1]Roster_1787503287932!$D$2:$AU$1370,25,0)</f>
        <v>Not Present</v>
      </c>
      <c r="Y412" s="135">
        <f>VLOOKUP(Table1[[#This Row],[AMZ ID]],[1]Roster_1787503287932!$D$2:$AM$1370,35,0)</f>
        <v>0</v>
      </c>
    </row>
    <row r="413" spans="1:25" ht="13" customHeight="1">
      <c r="A413" s="11">
        <v>407</v>
      </c>
      <c r="B413" s="47">
        <v>206846692</v>
      </c>
      <c r="C413" s="89" t="s">
        <v>2571</v>
      </c>
      <c r="D413" s="47" t="s">
        <v>2572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78</v>
      </c>
      <c r="M413" s="49" t="s">
        <v>92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231</v>
      </c>
      <c r="S413" s="47" t="s">
        <v>1753</v>
      </c>
      <c r="T413" s="116" t="s">
        <v>10</v>
      </c>
      <c r="U413" s="88"/>
      <c r="V413" s="51">
        <v>46013</v>
      </c>
      <c r="W413" s="132" t="s">
        <v>1573</v>
      </c>
      <c r="X413" s="135" t="str">
        <f>VLOOKUP(Table1[[#This Row],[AMZ ID]],[1]Roster_1787503287932!$D$2:$AU$1370,25,0)</f>
        <v>Not Present</v>
      </c>
      <c r="Y413" s="135">
        <f>VLOOKUP(Table1[[#This Row],[AMZ ID]],[1]Roster_1787503287932!$D$2:$AM$1370,35,0)</f>
        <v>0</v>
      </c>
    </row>
    <row r="414" spans="1:25" ht="13" customHeight="1">
      <c r="A414" s="11">
        <v>408</v>
      </c>
      <c r="B414" s="47">
        <v>203679325</v>
      </c>
      <c r="C414" s="89" t="s">
        <v>2483</v>
      </c>
      <c r="D414" s="11" t="s">
        <v>2484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32</v>
      </c>
      <c r="K414" s="49" t="s">
        <v>76</v>
      </c>
      <c r="L414" s="49" t="s">
        <v>92</v>
      </c>
      <c r="M414" s="49" t="s">
        <v>84</v>
      </c>
      <c r="N414" s="48" t="s">
        <v>79</v>
      </c>
      <c r="O414" s="49" t="s">
        <v>67</v>
      </c>
      <c r="P414" s="11" t="s">
        <v>80</v>
      </c>
      <c r="Q414" s="11" t="s">
        <v>81</v>
      </c>
      <c r="R414" s="11" t="s">
        <v>2711</v>
      </c>
      <c r="S414" s="11" t="s">
        <v>2712</v>
      </c>
      <c r="T414" s="116" t="s">
        <v>1</v>
      </c>
      <c r="U414" s="88"/>
      <c r="V414" s="51">
        <v>45488</v>
      </c>
      <c r="W414" s="102" t="s">
        <v>1568</v>
      </c>
      <c r="X414" s="135" t="str">
        <f>VLOOKUP(Table1[[#This Row],[AMZ ID]],[1]Roster_1787503287932!$D$2:$AU$1370,25,0)</f>
        <v>Present</v>
      </c>
      <c r="Y414" s="135">
        <f>VLOOKUP(Table1[[#This Row],[AMZ ID]],[1]Roster_1787503287932!$D$2:$AM$1370,35,0)</f>
        <v>0</v>
      </c>
    </row>
    <row r="415" spans="1:25" ht="13" customHeight="1">
      <c r="A415" s="11">
        <v>409</v>
      </c>
      <c r="B415" s="47">
        <v>203736329</v>
      </c>
      <c r="C415" s="89" t="s">
        <v>2573</v>
      </c>
      <c r="D415" s="11" t="s">
        <v>2574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32</v>
      </c>
      <c r="K415" s="49" t="s">
        <v>76</v>
      </c>
      <c r="L415" s="49" t="s">
        <v>78</v>
      </c>
      <c r="M415" s="49" t="s">
        <v>92</v>
      </c>
      <c r="N415" s="48" t="s">
        <v>86</v>
      </c>
      <c r="O415" s="49" t="s">
        <v>35</v>
      </c>
      <c r="P415" s="11" t="s">
        <v>80</v>
      </c>
      <c r="Q415" s="11" t="s">
        <v>90</v>
      </c>
      <c r="R415" s="11" t="s">
        <v>224</v>
      </c>
      <c r="S415" s="11" t="s">
        <v>2715</v>
      </c>
      <c r="T415" s="116" t="s">
        <v>10</v>
      </c>
      <c r="U415" s="88"/>
      <c r="V415" s="51">
        <v>45502</v>
      </c>
      <c r="W415" s="97" t="s">
        <v>1573</v>
      </c>
      <c r="X415" s="135" t="str">
        <f>VLOOKUP(Table1[[#This Row],[AMZ ID]],[1]Roster_1787503287932!$D$2:$AU$1370,25,0)</f>
        <v>Not Present</v>
      </c>
      <c r="Y415" s="135">
        <f>VLOOKUP(Table1[[#This Row],[AMZ ID]],[1]Roster_1787503287932!$D$2:$AM$1370,35,0)</f>
        <v>0</v>
      </c>
    </row>
    <row r="416" spans="1:25" ht="13" customHeight="1">
      <c r="A416" s="11">
        <v>410</v>
      </c>
      <c r="B416" s="47">
        <v>205477624</v>
      </c>
      <c r="C416" s="89" t="s">
        <v>406</v>
      </c>
      <c r="D416" s="11" t="s">
        <v>407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32</v>
      </c>
      <c r="K416" s="49" t="s">
        <v>76</v>
      </c>
      <c r="L416" s="49" t="s">
        <v>88</v>
      </c>
      <c r="M416" s="49" t="s">
        <v>95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226</v>
      </c>
      <c r="T416" s="116" t="s">
        <v>1</v>
      </c>
      <c r="U416" s="88"/>
      <c r="V416" s="51">
        <v>45831</v>
      </c>
      <c r="W416" s="97" t="s">
        <v>1574</v>
      </c>
      <c r="X416" s="135" t="str">
        <f>VLOOKUP(Table1[[#This Row],[AMZ ID]],[1]Roster_1787503287932!$D$2:$AU$1370,25,0)</f>
        <v>Present</v>
      </c>
      <c r="Y416" s="135">
        <f>VLOOKUP(Table1[[#This Row],[AMZ ID]],[1]Roster_1787503287932!$D$2:$AM$1370,35,0)</f>
        <v>0</v>
      </c>
    </row>
    <row r="417" spans="1:25" ht="13" customHeight="1">
      <c r="A417" s="11">
        <v>411</v>
      </c>
      <c r="B417" s="47">
        <v>203599606</v>
      </c>
      <c r="C417" s="89" t="s">
        <v>408</v>
      </c>
      <c r="D417" s="11" t="s">
        <v>409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32</v>
      </c>
      <c r="K417" s="49" t="s">
        <v>76</v>
      </c>
      <c r="L417" s="49" t="s">
        <v>88</v>
      </c>
      <c r="M417" s="49" t="s">
        <v>95</v>
      </c>
      <c r="N417" s="48" t="s">
        <v>79</v>
      </c>
      <c r="O417" s="49" t="s">
        <v>35</v>
      </c>
      <c r="P417" s="11" t="s">
        <v>80</v>
      </c>
      <c r="Q417" s="11" t="s">
        <v>81</v>
      </c>
      <c r="R417" s="11" t="s">
        <v>224</v>
      </c>
      <c r="S417" s="11" t="s">
        <v>2715</v>
      </c>
      <c r="T417" s="116" t="s">
        <v>1</v>
      </c>
      <c r="U417" s="88"/>
      <c r="V417" s="51">
        <v>45544</v>
      </c>
      <c r="W417" s="97" t="s">
        <v>1573</v>
      </c>
      <c r="X417" s="135" t="str">
        <f>VLOOKUP(Table1[[#This Row],[AMZ ID]],[1]Roster_1787503287932!$D$2:$AU$1370,25,0)</f>
        <v>Present</v>
      </c>
      <c r="Y417" s="135">
        <f>VLOOKUP(Table1[[#This Row],[AMZ ID]],[1]Roster_1787503287932!$D$2:$AM$1370,35,0)</f>
        <v>0</v>
      </c>
    </row>
    <row r="418" spans="1:25" ht="13" customHeight="1">
      <c r="A418" s="11">
        <v>412</v>
      </c>
      <c r="B418" s="47">
        <v>202334276</v>
      </c>
      <c r="C418" s="89" t="s">
        <v>410</v>
      </c>
      <c r="D418" s="11" t="s">
        <v>411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88</v>
      </c>
      <c r="M418" s="49" t="s">
        <v>95</v>
      </c>
      <c r="N418" s="48" t="s">
        <v>86</v>
      </c>
      <c r="O418" s="49" t="s">
        <v>35</v>
      </c>
      <c r="P418" s="11" t="s">
        <v>80</v>
      </c>
      <c r="Q418" s="11" t="s">
        <v>87</v>
      </c>
      <c r="R418" s="11" t="s">
        <v>231</v>
      </c>
      <c r="S418" s="11" t="s">
        <v>1753</v>
      </c>
      <c r="T418" s="116" t="s">
        <v>1</v>
      </c>
      <c r="U418" s="88"/>
      <c r="V418" s="51">
        <v>45581</v>
      </c>
      <c r="W418" s="97" t="s">
        <v>1573</v>
      </c>
      <c r="X418" s="135" t="str">
        <f>VLOOKUP(Table1[[#This Row],[AMZ ID]],[1]Roster_1787503287932!$D$2:$AU$1370,25,0)</f>
        <v>Present</v>
      </c>
      <c r="Y418" s="135">
        <f>VLOOKUP(Table1[[#This Row],[AMZ ID]],[1]Roster_1787503287932!$D$2:$AM$1370,35,0)</f>
        <v>0</v>
      </c>
    </row>
    <row r="419" spans="1:25" ht="13" customHeight="1">
      <c r="A419" s="11">
        <v>413</v>
      </c>
      <c r="B419" s="47">
        <v>203521525</v>
      </c>
      <c r="C419" s="89" t="s">
        <v>412</v>
      </c>
      <c r="D419" s="11" t="s">
        <v>413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88</v>
      </c>
      <c r="M419" s="49" t="s">
        <v>95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225</v>
      </c>
      <c r="S419" s="11" t="s">
        <v>226</v>
      </c>
      <c r="T419" s="116" t="s">
        <v>1</v>
      </c>
      <c r="U419" s="88"/>
      <c r="V419" s="51">
        <v>45463</v>
      </c>
      <c r="W419" s="97" t="s">
        <v>1571</v>
      </c>
      <c r="X419" s="135" t="str">
        <f>VLOOKUP(Table1[[#This Row],[AMZ ID]],[1]Roster_1787503287932!$D$2:$AU$1370,25,0)</f>
        <v>Present</v>
      </c>
      <c r="Y419" s="135">
        <f>VLOOKUP(Table1[[#This Row],[AMZ ID]],[1]Roster_1787503287932!$D$2:$AM$1370,35,0)</f>
        <v>0</v>
      </c>
    </row>
    <row r="420" spans="1:25" ht="13" customHeight="1">
      <c r="A420" s="11">
        <v>414</v>
      </c>
      <c r="B420" s="47">
        <v>203850938</v>
      </c>
      <c r="C420" s="89" t="s">
        <v>196</v>
      </c>
      <c r="D420" s="11" t="s">
        <v>197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84</v>
      </c>
      <c r="M420" s="49" t="s">
        <v>85</v>
      </c>
      <c r="N420" s="48" t="s">
        <v>79</v>
      </c>
      <c r="O420" s="49" t="s">
        <v>33</v>
      </c>
      <c r="P420" s="11" t="s">
        <v>80</v>
      </c>
      <c r="Q420" s="11" t="s">
        <v>81</v>
      </c>
      <c r="R420" s="11" t="s">
        <v>159</v>
      </c>
      <c r="S420" s="11" t="s">
        <v>2714</v>
      </c>
      <c r="T420" s="116" t="s">
        <v>1</v>
      </c>
      <c r="U420" s="88"/>
      <c r="V420" s="51">
        <v>45524</v>
      </c>
      <c r="W420" s="97" t="s">
        <v>1569</v>
      </c>
      <c r="X420" s="135" t="str">
        <f>VLOOKUP(Table1[[#This Row],[AMZ ID]],[1]Roster_1787503287932!$D$2:$AU$1370,25,0)</f>
        <v>Present</v>
      </c>
      <c r="Y420" s="135">
        <f>VLOOKUP(Table1[[#This Row],[AMZ ID]],[1]Roster_1787503287932!$D$2:$AM$1370,35,0)</f>
        <v>0</v>
      </c>
    </row>
    <row r="421" spans="1:25" ht="13" customHeight="1">
      <c r="A421" s="11">
        <v>415</v>
      </c>
      <c r="B421" s="47">
        <v>203851007</v>
      </c>
      <c r="C421" s="89" t="s">
        <v>416</v>
      </c>
      <c r="D421" s="11" t="s">
        <v>417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84</v>
      </c>
      <c r="M421" s="49" t="s">
        <v>85</v>
      </c>
      <c r="N421" s="48" t="s">
        <v>79</v>
      </c>
      <c r="O421" s="49" t="s">
        <v>35</v>
      </c>
      <c r="P421" s="11" t="s">
        <v>80</v>
      </c>
      <c r="Q421" s="11" t="s">
        <v>81</v>
      </c>
      <c r="R421" s="11" t="s">
        <v>225</v>
      </c>
      <c r="S421" s="11" t="s">
        <v>226</v>
      </c>
      <c r="T421" s="116" t="s">
        <v>4</v>
      </c>
      <c r="U421" s="88"/>
      <c r="V421" s="51">
        <v>45524</v>
      </c>
      <c r="W421" s="97" t="s">
        <v>1572</v>
      </c>
      <c r="X421" s="135" t="str">
        <f>VLOOKUP(Table1[[#This Row],[AMZ ID]],[1]Roster_1787503287932!$D$2:$AU$1370,25,0)</f>
        <v>Not Present</v>
      </c>
      <c r="Y421" s="135">
        <f>VLOOKUP(Table1[[#This Row],[AMZ ID]],[1]Roster_1787503287932!$D$2:$AM$1370,35,0)</f>
        <v>0</v>
      </c>
    </row>
    <row r="422" spans="1:25" ht="13" customHeight="1">
      <c r="A422" s="11">
        <v>416</v>
      </c>
      <c r="B422" s="47">
        <v>205608629</v>
      </c>
      <c r="C422" s="89" t="s">
        <v>2575</v>
      </c>
      <c r="D422" s="11" t="s">
        <v>2576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39</v>
      </c>
      <c r="K422" s="49" t="s">
        <v>76</v>
      </c>
      <c r="L422" s="49" t="s">
        <v>77</v>
      </c>
      <c r="M422" s="49" t="s">
        <v>78</v>
      </c>
      <c r="N422" s="48" t="s">
        <v>86</v>
      </c>
      <c r="O422" s="49" t="s">
        <v>35</v>
      </c>
      <c r="P422" s="11" t="s">
        <v>80</v>
      </c>
      <c r="Q422" s="11" t="s">
        <v>90</v>
      </c>
      <c r="R422" s="11" t="s">
        <v>224</v>
      </c>
      <c r="S422" s="11" t="s">
        <v>2715</v>
      </c>
      <c r="T422" s="116" t="s">
        <v>10</v>
      </c>
      <c r="U422" s="88"/>
      <c r="V422" s="51">
        <v>45845</v>
      </c>
      <c r="W422" s="97" t="s">
        <v>1573</v>
      </c>
      <c r="X422" s="135" t="str">
        <f>VLOOKUP(Table1[[#This Row],[AMZ ID]],[1]Roster_1787503287932!$D$2:$AU$1370,25,0)</f>
        <v>Not Present</v>
      </c>
      <c r="Y422" s="135">
        <f>VLOOKUP(Table1[[#This Row],[AMZ ID]],[1]Roster_1787503287932!$D$2:$AM$1370,35,0)</f>
        <v>0</v>
      </c>
    </row>
    <row r="423" spans="1:25" ht="13" customHeight="1">
      <c r="A423" s="11">
        <v>417</v>
      </c>
      <c r="B423" s="47">
        <v>205301874</v>
      </c>
      <c r="C423" s="89" t="s">
        <v>1657</v>
      </c>
      <c r="D423" s="11" t="s">
        <v>1968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77</v>
      </c>
      <c r="M423" s="49" t="s">
        <v>78</v>
      </c>
      <c r="N423" s="48" t="s">
        <v>89</v>
      </c>
      <c r="O423" s="49" t="s">
        <v>67</v>
      </c>
      <c r="P423" s="11" t="s">
        <v>80</v>
      </c>
      <c r="Q423" s="11" t="s">
        <v>96</v>
      </c>
      <c r="R423" s="11" t="s">
        <v>2711</v>
      </c>
      <c r="S423" s="11" t="s">
        <v>2712</v>
      </c>
      <c r="T423" s="116" t="s">
        <v>10</v>
      </c>
      <c r="U423" s="88"/>
      <c r="V423" s="51">
        <v>45950</v>
      </c>
      <c r="W423" s="102" t="s">
        <v>1568</v>
      </c>
      <c r="X423" s="135" t="str">
        <f>VLOOKUP(Table1[[#This Row],[AMZ ID]],[1]Roster_1787503287932!$D$2:$AU$1370,25,0)</f>
        <v>Not Present</v>
      </c>
      <c r="Y423" s="135">
        <f>VLOOKUP(Table1[[#This Row],[AMZ ID]],[1]Roster_1787503287932!$D$2:$AM$1370,35,0)</f>
        <v>0</v>
      </c>
    </row>
    <row r="424" spans="1:25" ht="13" customHeight="1">
      <c r="A424" s="11">
        <v>418</v>
      </c>
      <c r="B424" s="11">
        <v>206953801</v>
      </c>
      <c r="C424" s="89" t="s">
        <v>2191</v>
      </c>
      <c r="D424" s="11" t="s">
        <v>2192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78</v>
      </c>
      <c r="M424" s="49" t="s">
        <v>92</v>
      </c>
      <c r="N424" s="49" t="s">
        <v>86</v>
      </c>
      <c r="O424" s="86" t="s">
        <v>35</v>
      </c>
      <c r="P424" s="11" t="s">
        <v>80</v>
      </c>
      <c r="Q424" s="83" t="s">
        <v>90</v>
      </c>
      <c r="R424" s="11" t="s">
        <v>224</v>
      </c>
      <c r="S424" s="54" t="s">
        <v>2715</v>
      </c>
      <c r="T424" s="116" t="s">
        <v>10</v>
      </c>
      <c r="U424" s="88"/>
      <c r="V424" s="51">
        <v>46051</v>
      </c>
      <c r="W424" s="29" t="s">
        <v>1573</v>
      </c>
      <c r="X424" s="135" t="str">
        <f>VLOOKUP(Table1[[#This Row],[AMZ ID]],[1]Roster_1787503287932!$D$2:$AU$1370,25,0)</f>
        <v>Not Present</v>
      </c>
      <c r="Y424" s="135">
        <f>VLOOKUP(Table1[[#This Row],[AMZ ID]],[1]Roster_1787503287932!$D$2:$AM$1370,35,0)</f>
        <v>0</v>
      </c>
    </row>
    <row r="425" spans="1:25" ht="13" customHeight="1">
      <c r="A425" s="11">
        <v>419</v>
      </c>
      <c r="B425" s="47">
        <v>204246608</v>
      </c>
      <c r="C425" s="89" t="s">
        <v>420</v>
      </c>
      <c r="D425" s="11" t="s">
        <v>421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39</v>
      </c>
      <c r="K425" s="49" t="s">
        <v>76</v>
      </c>
      <c r="L425" s="49" t="s">
        <v>78</v>
      </c>
      <c r="M425" s="49" t="s">
        <v>92</v>
      </c>
      <c r="N425" s="48" t="s">
        <v>86</v>
      </c>
      <c r="O425" s="49" t="s">
        <v>35</v>
      </c>
      <c r="P425" s="11" t="s">
        <v>80</v>
      </c>
      <c r="Q425" s="11" t="s">
        <v>87</v>
      </c>
      <c r="R425" s="11" t="s">
        <v>225</v>
      </c>
      <c r="S425" s="11" t="s">
        <v>226</v>
      </c>
      <c r="T425" s="116" t="s">
        <v>10</v>
      </c>
      <c r="U425" s="88"/>
      <c r="V425" s="51">
        <v>45579</v>
      </c>
      <c r="W425" s="97" t="s">
        <v>1572</v>
      </c>
      <c r="X425" s="135" t="str">
        <f>VLOOKUP(Table1[[#This Row],[AMZ ID]],[1]Roster_1787503287932!$D$2:$AU$1370,25,0)</f>
        <v>Not Present</v>
      </c>
      <c r="Y425" s="135">
        <f>VLOOKUP(Table1[[#This Row],[AMZ ID]],[1]Roster_1787503287932!$D$2:$AM$1370,35,0)</f>
        <v>0</v>
      </c>
    </row>
    <row r="426" spans="1:25" ht="13" customHeight="1">
      <c r="A426" s="11">
        <v>420</v>
      </c>
      <c r="B426" s="47">
        <v>102206142</v>
      </c>
      <c r="C426" s="89" t="s">
        <v>1374</v>
      </c>
      <c r="D426" s="11" t="s">
        <v>1375</v>
      </c>
      <c r="E426" s="48" t="s">
        <v>34</v>
      </c>
      <c r="F426" s="48" t="s">
        <v>74</v>
      </c>
      <c r="G426" s="11" t="s">
        <v>65</v>
      </c>
      <c r="H426" s="11" t="s">
        <v>1332</v>
      </c>
      <c r="I426" s="11">
        <v>1182</v>
      </c>
      <c r="J426" s="49" t="s">
        <v>32</v>
      </c>
      <c r="K426" s="49" t="s">
        <v>76</v>
      </c>
      <c r="L426" s="49" t="s">
        <v>78</v>
      </c>
      <c r="M426" s="49" t="s">
        <v>92</v>
      </c>
      <c r="N426" s="49" t="s">
        <v>108</v>
      </c>
      <c r="O426" s="49" t="s">
        <v>68</v>
      </c>
      <c r="P426" s="11" t="s">
        <v>80</v>
      </c>
      <c r="Q426" s="11" t="s">
        <v>98</v>
      </c>
      <c r="R426" s="11" t="s">
        <v>1336</v>
      </c>
      <c r="S426" s="11" t="s">
        <v>1337</v>
      </c>
      <c r="T426" s="116" t="s">
        <v>10</v>
      </c>
      <c r="U426" s="88"/>
      <c r="V426" s="51">
        <v>42868</v>
      </c>
      <c r="W426" s="97" t="s">
        <v>68</v>
      </c>
      <c r="X426" s="135" t="str">
        <f>VLOOKUP(Table1[[#This Row],[AMZ ID]],[1]Roster_1787503287932!$D$2:$AU$1370,25,0)</f>
        <v>Not Present</v>
      </c>
      <c r="Y426" s="135">
        <f>VLOOKUP(Table1[[#This Row],[AMZ ID]],[1]Roster_1787503287932!$D$2:$AM$1370,35,0)</f>
        <v>0</v>
      </c>
    </row>
    <row r="427" spans="1:25" ht="13" customHeight="1">
      <c r="A427" s="11">
        <v>421</v>
      </c>
      <c r="B427" s="47">
        <v>205647828</v>
      </c>
      <c r="C427" s="89" t="s">
        <v>2309</v>
      </c>
      <c r="D427" s="11" t="s">
        <v>2310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92</v>
      </c>
      <c r="M427" s="49" t="s">
        <v>84</v>
      </c>
      <c r="N427" s="49" t="s">
        <v>89</v>
      </c>
      <c r="O427" s="49" t="s">
        <v>67</v>
      </c>
      <c r="P427" s="11" t="s">
        <v>80</v>
      </c>
      <c r="Q427" s="11" t="s">
        <v>96</v>
      </c>
      <c r="R427" s="11" t="s">
        <v>2711</v>
      </c>
      <c r="S427" s="11" t="s">
        <v>2712</v>
      </c>
      <c r="T427" s="116" t="s">
        <v>1</v>
      </c>
      <c r="U427" s="88"/>
      <c r="V427" s="51">
        <v>45852</v>
      </c>
      <c r="W427" s="102" t="s">
        <v>1568</v>
      </c>
      <c r="X427" s="135" t="str">
        <f>VLOOKUP(Table1[[#This Row],[AMZ ID]],[1]Roster_1787503287932!$D$2:$AU$1370,25,0)</f>
        <v>Present</v>
      </c>
      <c r="Y427" s="135">
        <f>VLOOKUP(Table1[[#This Row],[AMZ ID]],[1]Roster_1787503287932!$D$2:$AM$1370,35,0)</f>
        <v>0</v>
      </c>
    </row>
    <row r="428" spans="1:25" ht="13" customHeight="1">
      <c r="A428" s="11">
        <v>422</v>
      </c>
      <c r="B428" s="47">
        <v>204246616</v>
      </c>
      <c r="C428" s="89" t="s">
        <v>426</v>
      </c>
      <c r="D428" s="11" t="s">
        <v>427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39</v>
      </c>
      <c r="K428" s="49" t="s">
        <v>76</v>
      </c>
      <c r="L428" s="49" t="s">
        <v>78</v>
      </c>
      <c r="M428" s="49" t="s">
        <v>92</v>
      </c>
      <c r="N428" s="48" t="s">
        <v>86</v>
      </c>
      <c r="O428" s="49" t="s">
        <v>35</v>
      </c>
      <c r="P428" s="11" t="s">
        <v>80</v>
      </c>
      <c r="Q428" s="11" t="s">
        <v>87</v>
      </c>
      <c r="R428" s="11" t="s">
        <v>224</v>
      </c>
      <c r="S428" s="11" t="s">
        <v>2715</v>
      </c>
      <c r="T428" s="116" t="s">
        <v>10</v>
      </c>
      <c r="U428" s="88"/>
      <c r="V428" s="51">
        <v>45579</v>
      </c>
      <c r="W428" s="97" t="s">
        <v>1573</v>
      </c>
      <c r="X428" s="135" t="str">
        <f>VLOOKUP(Table1[[#This Row],[AMZ ID]],[1]Roster_1787503287932!$D$2:$AU$1370,25,0)</f>
        <v>Not Present</v>
      </c>
      <c r="Y428" s="135">
        <f>VLOOKUP(Table1[[#This Row],[AMZ ID]],[1]Roster_1787503287932!$D$2:$AM$1370,35,0)</f>
        <v>0</v>
      </c>
    </row>
    <row r="429" spans="1:25" ht="13" customHeight="1">
      <c r="A429" s="11">
        <v>423</v>
      </c>
      <c r="B429" s="47">
        <v>206883746</v>
      </c>
      <c r="C429" s="89" t="s">
        <v>1790</v>
      </c>
      <c r="D429" s="11" t="s">
        <v>1791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8" t="s">
        <v>89</v>
      </c>
      <c r="O429" s="49" t="s">
        <v>35</v>
      </c>
      <c r="P429" s="11" t="s">
        <v>80</v>
      </c>
      <c r="Q429" s="11" t="s">
        <v>96</v>
      </c>
      <c r="R429" s="11" t="s">
        <v>231</v>
      </c>
      <c r="S429" s="11" t="s">
        <v>1753</v>
      </c>
      <c r="T429" s="116" t="s">
        <v>10</v>
      </c>
      <c r="U429" s="88"/>
      <c r="V429" s="51">
        <v>46027</v>
      </c>
      <c r="W429" s="97" t="s">
        <v>1573</v>
      </c>
      <c r="X429" s="135" t="str">
        <f>VLOOKUP(Table1[[#This Row],[AMZ ID]],[1]Roster_1787503287932!$D$2:$AU$1370,25,0)</f>
        <v>Not Present</v>
      </c>
      <c r="Y429" s="135">
        <f>VLOOKUP(Table1[[#This Row],[AMZ ID]],[1]Roster_1787503287932!$D$2:$AM$1370,35,0)</f>
        <v>0</v>
      </c>
    </row>
    <row r="430" spans="1:25" ht="13" customHeight="1">
      <c r="A430" s="11">
        <v>424</v>
      </c>
      <c r="B430" s="47">
        <v>206004604</v>
      </c>
      <c r="C430" s="89" t="s">
        <v>430</v>
      </c>
      <c r="D430" s="11" t="s">
        <v>431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8" t="s">
        <v>79</v>
      </c>
      <c r="O430" s="49" t="s">
        <v>35</v>
      </c>
      <c r="P430" s="11" t="s">
        <v>80</v>
      </c>
      <c r="Q430" s="11" t="s">
        <v>81</v>
      </c>
      <c r="R430" s="11" t="s">
        <v>225</v>
      </c>
      <c r="S430" s="11" t="s">
        <v>226</v>
      </c>
      <c r="T430" s="116" t="s">
        <v>10</v>
      </c>
      <c r="U430" s="88"/>
      <c r="V430" s="51">
        <v>45915</v>
      </c>
      <c r="W430" s="97" t="s">
        <v>1574</v>
      </c>
      <c r="X430" s="135" t="str">
        <f>VLOOKUP(Table1[[#This Row],[AMZ ID]],[1]Roster_1787503287932!$D$2:$AU$1370,25,0)</f>
        <v>Not Present</v>
      </c>
      <c r="Y430" s="135">
        <f>VLOOKUP(Table1[[#This Row],[AMZ ID]],[1]Roster_1787503287932!$D$2:$AM$1370,35,0)</f>
        <v>0</v>
      </c>
    </row>
    <row r="431" spans="1:25" ht="13" customHeight="1">
      <c r="A431" s="11">
        <v>425</v>
      </c>
      <c r="B431" s="47">
        <v>206846703</v>
      </c>
      <c r="C431" s="89" t="s">
        <v>2577</v>
      </c>
      <c r="D431" s="11" t="s">
        <v>2578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39</v>
      </c>
      <c r="K431" s="49" t="s">
        <v>76</v>
      </c>
      <c r="L431" s="49" t="s">
        <v>88</v>
      </c>
      <c r="M431" s="49" t="s">
        <v>95</v>
      </c>
      <c r="N431" s="48" t="s">
        <v>89</v>
      </c>
      <c r="O431" s="49" t="s">
        <v>35</v>
      </c>
      <c r="P431" s="11" t="s">
        <v>80</v>
      </c>
      <c r="Q431" s="11" t="s">
        <v>90</v>
      </c>
      <c r="R431" s="11" t="s">
        <v>231</v>
      </c>
      <c r="S431" s="11" t="s">
        <v>1753</v>
      </c>
      <c r="T431" s="116" t="s">
        <v>1</v>
      </c>
      <c r="U431" s="88"/>
      <c r="V431" s="51">
        <v>46013</v>
      </c>
      <c r="W431" s="97" t="s">
        <v>1573</v>
      </c>
      <c r="X431" s="135" t="str">
        <f>VLOOKUP(Table1[[#This Row],[AMZ ID]],[1]Roster_1787503287932!$D$2:$AU$1370,25,0)</f>
        <v>Present</v>
      </c>
      <c r="Y431" s="135">
        <f>VLOOKUP(Table1[[#This Row],[AMZ ID]],[1]Roster_1787503287932!$D$2:$AM$1370,35,0)</f>
        <v>0</v>
      </c>
    </row>
    <row r="432" spans="1:25" ht="13" customHeight="1">
      <c r="A432" s="11">
        <v>426</v>
      </c>
      <c r="B432" s="47">
        <v>204882795</v>
      </c>
      <c r="C432" s="89" t="s">
        <v>432</v>
      </c>
      <c r="D432" s="11" t="s">
        <v>433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77</v>
      </c>
      <c r="M432" s="49" t="s">
        <v>78</v>
      </c>
      <c r="N432" s="48" t="s">
        <v>86</v>
      </c>
      <c r="O432" s="49" t="s">
        <v>35</v>
      </c>
      <c r="P432" s="11" t="s">
        <v>80</v>
      </c>
      <c r="Q432" s="11" t="s">
        <v>90</v>
      </c>
      <c r="R432" s="11" t="s">
        <v>224</v>
      </c>
      <c r="S432" s="11" t="s">
        <v>2715</v>
      </c>
      <c r="T432" s="116" t="s">
        <v>10</v>
      </c>
      <c r="U432" s="88"/>
      <c r="V432" s="51">
        <v>45826</v>
      </c>
      <c r="W432" s="97" t="s">
        <v>1573</v>
      </c>
      <c r="X432" s="135" t="str">
        <f>VLOOKUP(Table1[[#This Row],[AMZ ID]],[1]Roster_1787503287932!$D$2:$AU$1370,25,0)</f>
        <v>Not Present</v>
      </c>
      <c r="Y432" s="135">
        <f>VLOOKUP(Table1[[#This Row],[AMZ ID]],[1]Roster_1787503287932!$D$2:$AM$1370,35,0)</f>
        <v>0</v>
      </c>
    </row>
    <row r="433" spans="1:25" ht="13" customHeight="1">
      <c r="A433" s="11">
        <v>427</v>
      </c>
      <c r="B433" s="47">
        <v>203737144</v>
      </c>
      <c r="C433" s="89" t="s">
        <v>435</v>
      </c>
      <c r="D433" s="11" t="s">
        <v>436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85</v>
      </c>
      <c r="M433" s="49" t="s">
        <v>88</v>
      </c>
      <c r="N433" s="48" t="s">
        <v>79</v>
      </c>
      <c r="O433" s="49" t="s">
        <v>35</v>
      </c>
      <c r="P433" s="11" t="s">
        <v>80</v>
      </c>
      <c r="Q433" s="11" t="s">
        <v>81</v>
      </c>
      <c r="R433" s="11" t="s">
        <v>224</v>
      </c>
      <c r="S433" s="11" t="s">
        <v>2715</v>
      </c>
      <c r="T433" s="116" t="s">
        <v>1</v>
      </c>
      <c r="U433" s="88"/>
      <c r="V433" s="51">
        <v>45502</v>
      </c>
      <c r="W433" s="97" t="s">
        <v>1573</v>
      </c>
      <c r="X433" s="135" t="str">
        <f>VLOOKUP(Table1[[#This Row],[AMZ ID]],[1]Roster_1787503287932!$D$2:$AU$1370,25,0)</f>
        <v>Present</v>
      </c>
      <c r="Y433" s="135">
        <f>VLOOKUP(Table1[[#This Row],[AMZ ID]],[1]Roster_1787503287932!$D$2:$AM$1370,35,0)</f>
        <v>0</v>
      </c>
    </row>
    <row r="434" spans="1:25" ht="13" customHeight="1">
      <c r="A434" s="11">
        <v>428</v>
      </c>
      <c r="B434" s="47">
        <v>102434104</v>
      </c>
      <c r="C434" s="89" t="s">
        <v>2461</v>
      </c>
      <c r="D434" s="11" t="s">
        <v>2462</v>
      </c>
      <c r="E434" s="48" t="s">
        <v>34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88</v>
      </c>
      <c r="M434" s="49" t="s">
        <v>95</v>
      </c>
      <c r="N434" s="48" t="s">
        <v>97</v>
      </c>
      <c r="O434" s="49" t="s">
        <v>35</v>
      </c>
      <c r="P434" s="11" t="s">
        <v>80</v>
      </c>
      <c r="Q434" s="11" t="s">
        <v>98</v>
      </c>
      <c r="R434" s="11" t="s">
        <v>231</v>
      </c>
      <c r="S434" s="11" t="s">
        <v>1753</v>
      </c>
      <c r="T434" s="116" t="s">
        <v>1</v>
      </c>
      <c r="U434" s="88"/>
      <c r="V434" s="51">
        <v>42883</v>
      </c>
      <c r="W434" s="97" t="s">
        <v>1575</v>
      </c>
      <c r="X434" s="135" t="str">
        <f>VLOOKUP(Table1[[#This Row],[AMZ ID]],[1]Roster_1787503287932!$D$2:$AU$1370,25,0)</f>
        <v>Present</v>
      </c>
      <c r="Y434" s="135">
        <f>VLOOKUP(Table1[[#This Row],[AMZ ID]],[1]Roster_1787503287932!$D$2:$AM$1370,35,0)</f>
        <v>0</v>
      </c>
    </row>
    <row r="435" spans="1:25" ht="13" customHeight="1">
      <c r="A435" s="11">
        <v>429</v>
      </c>
      <c r="B435" s="47">
        <v>204967153</v>
      </c>
      <c r="C435" s="89" t="s">
        <v>2579</v>
      </c>
      <c r="D435" s="11" t="s">
        <v>2580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39</v>
      </c>
      <c r="K435" s="49" t="s">
        <v>76</v>
      </c>
      <c r="L435" s="49" t="s">
        <v>92</v>
      </c>
      <c r="M435" s="49" t="s">
        <v>84</v>
      </c>
      <c r="N435" s="48" t="s">
        <v>86</v>
      </c>
      <c r="O435" s="49" t="s">
        <v>35</v>
      </c>
      <c r="P435" s="11" t="s">
        <v>80</v>
      </c>
      <c r="Q435" s="11" t="s">
        <v>90</v>
      </c>
      <c r="R435" s="11" t="s">
        <v>224</v>
      </c>
      <c r="S435" s="11" t="s">
        <v>2715</v>
      </c>
      <c r="T435" s="116" t="s">
        <v>1</v>
      </c>
      <c r="U435" s="88"/>
      <c r="V435" s="51">
        <v>45826</v>
      </c>
      <c r="W435" s="97" t="s">
        <v>1573</v>
      </c>
      <c r="X435" s="135" t="str">
        <f>VLOOKUP(Table1[[#This Row],[AMZ ID]],[1]Roster_1787503287932!$D$2:$AU$1370,25,0)</f>
        <v>Present</v>
      </c>
      <c r="Y435" s="135">
        <f>VLOOKUP(Table1[[#This Row],[AMZ ID]],[1]Roster_1787503287932!$D$2:$AM$1370,35,0)</f>
        <v>0</v>
      </c>
    </row>
    <row r="436" spans="1:25" ht="13" customHeight="1">
      <c r="A436" s="11">
        <v>430</v>
      </c>
      <c r="B436" s="47">
        <v>206015634</v>
      </c>
      <c r="C436" s="89" t="s">
        <v>437</v>
      </c>
      <c r="D436" s="11" t="s">
        <v>438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88</v>
      </c>
      <c r="M436" s="49" t="s">
        <v>95</v>
      </c>
      <c r="N436" s="48" t="s">
        <v>79</v>
      </c>
      <c r="O436" s="49" t="s">
        <v>35</v>
      </c>
      <c r="P436" s="11" t="s">
        <v>80</v>
      </c>
      <c r="Q436" s="11" t="s">
        <v>81</v>
      </c>
      <c r="R436" s="11" t="s">
        <v>231</v>
      </c>
      <c r="S436" s="11" t="s">
        <v>1753</v>
      </c>
      <c r="T436" s="116" t="s">
        <v>1</v>
      </c>
      <c r="U436" s="88"/>
      <c r="V436" s="51">
        <v>45915</v>
      </c>
      <c r="W436" s="97" t="s">
        <v>1571</v>
      </c>
      <c r="X436" s="135" t="str">
        <f>VLOOKUP(Table1[[#This Row],[AMZ ID]],[1]Roster_1787503287932!$D$2:$AU$1370,25,0)</f>
        <v>Present</v>
      </c>
      <c r="Y436" s="135">
        <f>VLOOKUP(Table1[[#This Row],[AMZ ID]],[1]Roster_1787503287932!$D$2:$AM$1370,35,0)</f>
        <v>0</v>
      </c>
    </row>
    <row r="437" spans="1:25" ht="13" customHeight="1">
      <c r="A437" s="11">
        <v>431</v>
      </c>
      <c r="B437" s="47">
        <v>203736757</v>
      </c>
      <c r="C437" s="89" t="s">
        <v>440</v>
      </c>
      <c r="D437" s="11" t="s">
        <v>441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88</v>
      </c>
      <c r="M437" s="49" t="s">
        <v>95</v>
      </c>
      <c r="N437" s="48" t="s">
        <v>86</v>
      </c>
      <c r="O437" s="49" t="s">
        <v>35</v>
      </c>
      <c r="P437" s="11" t="s">
        <v>80</v>
      </c>
      <c r="Q437" s="11" t="s">
        <v>99</v>
      </c>
      <c r="R437" s="11" t="s">
        <v>231</v>
      </c>
      <c r="S437" s="11" t="s">
        <v>1753</v>
      </c>
      <c r="T437" s="116" t="s">
        <v>1</v>
      </c>
      <c r="U437" s="88"/>
      <c r="V437" s="51">
        <v>45502</v>
      </c>
      <c r="W437" s="97" t="s">
        <v>1573</v>
      </c>
      <c r="X437" s="135" t="str">
        <f>VLOOKUP(Table1[[#This Row],[AMZ ID]],[1]Roster_1787503287932!$D$2:$AU$1370,25,0)</f>
        <v>Present</v>
      </c>
      <c r="Y437" s="135">
        <f>VLOOKUP(Table1[[#This Row],[AMZ ID]],[1]Roster_1787503287932!$D$2:$AM$1370,35,0)</f>
        <v>0</v>
      </c>
    </row>
    <row r="438" spans="1:25" ht="13" customHeight="1">
      <c r="A438" s="11">
        <v>432</v>
      </c>
      <c r="B438" s="47">
        <v>206874057</v>
      </c>
      <c r="C438" s="89" t="s">
        <v>2581</v>
      </c>
      <c r="D438" s="11" t="s">
        <v>2582</v>
      </c>
      <c r="E438" s="48" t="s">
        <v>31</v>
      </c>
      <c r="F438" s="48" t="s">
        <v>74</v>
      </c>
      <c r="G438" s="48" t="s">
        <v>64</v>
      </c>
      <c r="H438" s="48" t="s">
        <v>75</v>
      </c>
      <c r="I438" s="11">
        <v>1299</v>
      </c>
      <c r="J438" s="49" t="s">
        <v>39</v>
      </c>
      <c r="K438" s="49" t="s">
        <v>76</v>
      </c>
      <c r="L438" s="49" t="s">
        <v>85</v>
      </c>
      <c r="M438" s="49" t="s">
        <v>88</v>
      </c>
      <c r="N438" s="49" t="s">
        <v>89</v>
      </c>
      <c r="O438" s="48" t="s">
        <v>35</v>
      </c>
      <c r="P438" s="48" t="s">
        <v>80</v>
      </c>
      <c r="Q438" s="11" t="s">
        <v>90</v>
      </c>
      <c r="R438" s="11" t="s">
        <v>231</v>
      </c>
      <c r="S438" s="11" t="s">
        <v>1753</v>
      </c>
      <c r="T438" s="116" t="s">
        <v>1</v>
      </c>
      <c r="U438" s="88"/>
      <c r="V438" s="51">
        <v>46020</v>
      </c>
      <c r="W438" s="97" t="s">
        <v>1573</v>
      </c>
      <c r="X438" s="135" t="str">
        <f>VLOOKUP(Table1[[#This Row],[AMZ ID]],[1]Roster_1787503287932!$D$2:$AU$1370,25,0)</f>
        <v>Present</v>
      </c>
      <c r="Y438" s="135">
        <f>VLOOKUP(Table1[[#This Row],[AMZ ID]],[1]Roster_1787503287932!$D$2:$AM$1370,35,0)</f>
        <v>0</v>
      </c>
    </row>
    <row r="439" spans="1:25" ht="13" customHeight="1">
      <c r="A439" s="11">
        <v>433</v>
      </c>
      <c r="B439" s="47">
        <v>102207635</v>
      </c>
      <c r="C439" s="89" t="s">
        <v>1410</v>
      </c>
      <c r="D439" s="11" t="s">
        <v>1411</v>
      </c>
      <c r="E439" s="48" t="s">
        <v>34</v>
      </c>
      <c r="F439" s="48" t="s">
        <v>74</v>
      </c>
      <c r="G439" s="11" t="s">
        <v>65</v>
      </c>
      <c r="H439" s="11" t="s">
        <v>1332</v>
      </c>
      <c r="I439" s="11">
        <v>1181</v>
      </c>
      <c r="J439" s="49" t="s">
        <v>32</v>
      </c>
      <c r="K439" s="49" t="s">
        <v>76</v>
      </c>
      <c r="L439" s="49" t="s">
        <v>92</v>
      </c>
      <c r="M439" s="49" t="s">
        <v>84</v>
      </c>
      <c r="N439" s="48" t="s">
        <v>1333</v>
      </c>
      <c r="O439" s="49" t="s">
        <v>68</v>
      </c>
      <c r="P439" s="11" t="s">
        <v>80</v>
      </c>
      <c r="Q439" s="11" t="s">
        <v>98</v>
      </c>
      <c r="R439" s="11" t="s">
        <v>1336</v>
      </c>
      <c r="S439" s="11" t="s">
        <v>1337</v>
      </c>
      <c r="T439" s="116" t="s">
        <v>1</v>
      </c>
      <c r="U439" s="88"/>
      <c r="V439" s="51">
        <v>42868</v>
      </c>
      <c r="W439" s="97" t="s">
        <v>68</v>
      </c>
      <c r="X439" s="135" t="str">
        <f>VLOOKUP(Table1[[#This Row],[AMZ ID]],[1]Roster_1787503287932!$D$2:$AU$1370,25,0)</f>
        <v>Present</v>
      </c>
      <c r="Y439" s="135">
        <f>VLOOKUP(Table1[[#This Row],[AMZ ID]],[1]Roster_1787503287932!$D$2:$AM$1370,35,0)</f>
        <v>0</v>
      </c>
    </row>
    <row r="440" spans="1:25" ht="13" customHeight="1">
      <c r="A440" s="11">
        <v>434</v>
      </c>
      <c r="B440" s="47">
        <v>203736776</v>
      </c>
      <c r="C440" s="89" t="s">
        <v>442</v>
      </c>
      <c r="D440" s="11" t="s">
        <v>443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39</v>
      </c>
      <c r="K440" s="49" t="s">
        <v>76</v>
      </c>
      <c r="L440" s="49" t="s">
        <v>88</v>
      </c>
      <c r="M440" s="49" t="s">
        <v>95</v>
      </c>
      <c r="N440" s="48" t="s">
        <v>86</v>
      </c>
      <c r="O440" s="49" t="s">
        <v>35</v>
      </c>
      <c r="P440" s="11" t="s">
        <v>80</v>
      </c>
      <c r="Q440" s="11" t="s">
        <v>99</v>
      </c>
      <c r="R440" s="11" t="s">
        <v>224</v>
      </c>
      <c r="S440" s="11" t="s">
        <v>2715</v>
      </c>
      <c r="T440" s="116" t="s">
        <v>1</v>
      </c>
      <c r="U440" s="88"/>
      <c r="V440" s="51">
        <v>45502</v>
      </c>
      <c r="W440" s="97" t="s">
        <v>1573</v>
      </c>
      <c r="X440" s="135" t="str">
        <f>VLOOKUP(Table1[[#This Row],[AMZ ID]],[1]Roster_1787503287932!$D$2:$AU$1370,25,0)</f>
        <v>Present</v>
      </c>
      <c r="Y440" s="135">
        <f>VLOOKUP(Table1[[#This Row],[AMZ ID]],[1]Roster_1787503287932!$D$2:$AM$1370,35,0)</f>
        <v>0</v>
      </c>
    </row>
    <row r="441" spans="1:25" ht="13" customHeight="1">
      <c r="A441" s="11">
        <v>435</v>
      </c>
      <c r="B441" s="47">
        <v>204868850</v>
      </c>
      <c r="C441" s="89" t="s">
        <v>444</v>
      </c>
      <c r="D441" s="11" t="s">
        <v>445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85</v>
      </c>
      <c r="M441" s="49" t="s">
        <v>88</v>
      </c>
      <c r="N441" s="48" t="s">
        <v>86</v>
      </c>
      <c r="O441" s="49" t="s">
        <v>35</v>
      </c>
      <c r="P441" s="11" t="s">
        <v>80</v>
      </c>
      <c r="Q441" s="11" t="s">
        <v>87</v>
      </c>
      <c r="R441" s="11" t="s">
        <v>225</v>
      </c>
      <c r="S441" s="11" t="s">
        <v>226</v>
      </c>
      <c r="T441" s="116" t="s">
        <v>1</v>
      </c>
      <c r="U441" s="88"/>
      <c r="V441" s="51">
        <v>45691</v>
      </c>
      <c r="W441" s="97" t="s">
        <v>1572</v>
      </c>
      <c r="X441" s="135" t="str">
        <f>VLOOKUP(Table1[[#This Row],[AMZ ID]],[1]Roster_1787503287932!$D$2:$AU$1370,25,0)</f>
        <v>Present</v>
      </c>
      <c r="Y441" s="135">
        <f>VLOOKUP(Table1[[#This Row],[AMZ ID]],[1]Roster_1787503287932!$D$2:$AM$1370,35,0)</f>
        <v>0</v>
      </c>
    </row>
    <row r="442" spans="1:25" ht="13" customHeight="1">
      <c r="A442" s="11">
        <v>436</v>
      </c>
      <c r="B442" s="47">
        <v>204246610</v>
      </c>
      <c r="C442" s="89" t="s">
        <v>446</v>
      </c>
      <c r="D442" s="11" t="s">
        <v>447</v>
      </c>
      <c r="E442" s="48" t="s">
        <v>31</v>
      </c>
      <c r="F442" s="48" t="s">
        <v>74</v>
      </c>
      <c r="G442" s="11" t="s">
        <v>65</v>
      </c>
      <c r="H442" s="11" t="s">
        <v>75</v>
      </c>
      <c r="I442" s="11">
        <v>1299</v>
      </c>
      <c r="J442" s="49" t="s">
        <v>39</v>
      </c>
      <c r="K442" s="49" t="s">
        <v>76</v>
      </c>
      <c r="L442" s="49" t="s">
        <v>78</v>
      </c>
      <c r="M442" s="49" t="s">
        <v>92</v>
      </c>
      <c r="N442" s="48" t="s">
        <v>86</v>
      </c>
      <c r="O442" s="49" t="s">
        <v>68</v>
      </c>
      <c r="P442" s="11" t="s">
        <v>80</v>
      </c>
      <c r="Q442" s="11" t="s">
        <v>87</v>
      </c>
      <c r="R442" s="11" t="s">
        <v>2720</v>
      </c>
      <c r="S442" s="11" t="s">
        <v>2721</v>
      </c>
      <c r="T442" s="116" t="s">
        <v>10</v>
      </c>
      <c r="U442" s="88"/>
      <c r="V442" s="51">
        <v>45579</v>
      </c>
      <c r="W442" s="97" t="s">
        <v>68</v>
      </c>
      <c r="X442" s="135" t="str">
        <f>VLOOKUP(Table1[[#This Row],[AMZ ID]],[1]Roster_1787503287932!$D$2:$AU$1370,25,0)</f>
        <v>Not Present</v>
      </c>
      <c r="Y442" s="135">
        <f>VLOOKUP(Table1[[#This Row],[AMZ ID]],[1]Roster_1787503287932!$D$2:$AM$1370,35,0)</f>
        <v>0</v>
      </c>
    </row>
    <row r="443" spans="1:25" ht="13" customHeight="1">
      <c r="A443" s="11">
        <v>437</v>
      </c>
      <c r="B443" s="47">
        <v>109468376</v>
      </c>
      <c r="C443" s="89" t="s">
        <v>2201</v>
      </c>
      <c r="D443" s="11" t="s">
        <v>2202</v>
      </c>
      <c r="E443" s="48" t="s">
        <v>34</v>
      </c>
      <c r="F443" s="48" t="s">
        <v>74</v>
      </c>
      <c r="G443" s="11" t="s">
        <v>64</v>
      </c>
      <c r="H443" s="11" t="s">
        <v>75</v>
      </c>
      <c r="I443" s="11">
        <v>1299</v>
      </c>
      <c r="J443" s="87" t="s">
        <v>32</v>
      </c>
      <c r="K443" s="49" t="s">
        <v>76</v>
      </c>
      <c r="L443" s="49" t="s">
        <v>78</v>
      </c>
      <c r="M443" s="49" t="s">
        <v>92</v>
      </c>
      <c r="N443" s="48" t="s">
        <v>97</v>
      </c>
      <c r="O443" s="49" t="s">
        <v>35</v>
      </c>
      <c r="P443" s="11" t="s">
        <v>80</v>
      </c>
      <c r="Q443" s="11" t="s">
        <v>98</v>
      </c>
      <c r="R443" s="11" t="s">
        <v>224</v>
      </c>
      <c r="S443" s="11" t="s">
        <v>2715</v>
      </c>
      <c r="T443" s="116" t="s">
        <v>10</v>
      </c>
      <c r="U443" s="88"/>
      <c r="V443" s="51">
        <v>44812</v>
      </c>
      <c r="W443" s="97" t="s">
        <v>1575</v>
      </c>
      <c r="X443" s="135" t="str">
        <f>VLOOKUP(Table1[[#This Row],[AMZ ID]],[1]Roster_1787503287932!$D$2:$AU$1370,25,0)</f>
        <v>Not Present</v>
      </c>
      <c r="Y443" s="135">
        <f>VLOOKUP(Table1[[#This Row],[AMZ ID]],[1]Roster_1787503287932!$D$2:$AM$1370,35,0)</f>
        <v>0</v>
      </c>
    </row>
    <row r="444" spans="1:25" ht="13" customHeight="1">
      <c r="A444" s="11">
        <v>438</v>
      </c>
      <c r="B444" s="47">
        <v>205986151</v>
      </c>
      <c r="C444" s="89" t="s">
        <v>2585</v>
      </c>
      <c r="D444" s="11" t="s">
        <v>2586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39</v>
      </c>
      <c r="K444" s="49" t="s">
        <v>76</v>
      </c>
      <c r="L444" s="49" t="s">
        <v>88</v>
      </c>
      <c r="M444" s="49" t="s">
        <v>95</v>
      </c>
      <c r="N444" s="48" t="s">
        <v>86</v>
      </c>
      <c r="O444" s="49" t="s">
        <v>35</v>
      </c>
      <c r="P444" s="11" t="s">
        <v>80</v>
      </c>
      <c r="Q444" s="11" t="s">
        <v>90</v>
      </c>
      <c r="R444" s="11" t="s">
        <v>231</v>
      </c>
      <c r="S444" s="11" t="s">
        <v>1753</v>
      </c>
      <c r="T444" s="116" t="s">
        <v>1</v>
      </c>
      <c r="U444" s="88"/>
      <c r="V444" s="51">
        <v>45915</v>
      </c>
      <c r="W444" s="97" t="s">
        <v>1573</v>
      </c>
      <c r="X444" s="135" t="str">
        <f>VLOOKUP(Table1[[#This Row],[AMZ ID]],[1]Roster_1787503287932!$D$2:$AU$1370,25,0)</f>
        <v>Present</v>
      </c>
      <c r="Y444" s="135">
        <f>VLOOKUP(Table1[[#This Row],[AMZ ID]],[1]Roster_1787503287932!$D$2:$AM$1370,35,0)</f>
        <v>0</v>
      </c>
    </row>
    <row r="445" spans="1:25" ht="13" customHeight="1">
      <c r="A445" s="11">
        <v>439</v>
      </c>
      <c r="B445" s="47">
        <v>204246607</v>
      </c>
      <c r="C445" s="89" t="s">
        <v>448</v>
      </c>
      <c r="D445" s="11" t="s">
        <v>449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85</v>
      </c>
      <c r="M445" s="49" t="s">
        <v>88</v>
      </c>
      <c r="N445" s="48" t="s">
        <v>86</v>
      </c>
      <c r="O445" s="49" t="s">
        <v>35</v>
      </c>
      <c r="P445" s="11" t="s">
        <v>80</v>
      </c>
      <c r="Q445" s="11" t="s">
        <v>87</v>
      </c>
      <c r="R445" s="11" t="s">
        <v>224</v>
      </c>
      <c r="S445" s="11" t="s">
        <v>2715</v>
      </c>
      <c r="T445" s="116" t="s">
        <v>1</v>
      </c>
      <c r="U445" s="88"/>
      <c r="V445" s="51">
        <v>45579</v>
      </c>
      <c r="W445" s="97" t="s">
        <v>1573</v>
      </c>
      <c r="X445" s="135" t="str">
        <f>VLOOKUP(Table1[[#This Row],[AMZ ID]],[1]Roster_1787503287932!$D$2:$AU$1370,25,0)</f>
        <v>Present</v>
      </c>
      <c r="Y445" s="135">
        <f>VLOOKUP(Table1[[#This Row],[AMZ ID]],[1]Roster_1787503287932!$D$2:$AM$1370,35,0)</f>
        <v>0</v>
      </c>
    </row>
    <row r="446" spans="1:25" ht="13" customHeight="1">
      <c r="A446" s="11">
        <v>440</v>
      </c>
      <c r="B446" s="47">
        <v>104042345</v>
      </c>
      <c r="C446" s="89" t="s">
        <v>1437</v>
      </c>
      <c r="D446" s="11" t="s">
        <v>1438</v>
      </c>
      <c r="E446" s="48" t="s">
        <v>34</v>
      </c>
      <c r="F446" s="48" t="s">
        <v>74</v>
      </c>
      <c r="G446" s="11" t="s">
        <v>65</v>
      </c>
      <c r="H446" s="11" t="s">
        <v>1332</v>
      </c>
      <c r="I446" s="11">
        <v>1182</v>
      </c>
      <c r="J446" s="49" t="s">
        <v>32</v>
      </c>
      <c r="K446" s="49" t="s">
        <v>76</v>
      </c>
      <c r="L446" s="49" t="s">
        <v>85</v>
      </c>
      <c r="M446" s="49" t="s">
        <v>88</v>
      </c>
      <c r="N446" s="48" t="s">
        <v>1333</v>
      </c>
      <c r="O446" s="49" t="s">
        <v>68</v>
      </c>
      <c r="P446" s="11" t="s">
        <v>80</v>
      </c>
      <c r="Q446" s="11" t="s">
        <v>98</v>
      </c>
      <c r="R446" s="11" t="s">
        <v>1336</v>
      </c>
      <c r="S446" s="11" t="s">
        <v>1337</v>
      </c>
      <c r="T446" s="116" t="s">
        <v>1</v>
      </c>
      <c r="U446" s="88"/>
      <c r="V446" s="51">
        <v>44724</v>
      </c>
      <c r="W446" s="97" t="s">
        <v>68</v>
      </c>
      <c r="X446" s="135" t="str">
        <f>VLOOKUP(Table1[[#This Row],[AMZ ID]],[1]Roster_1787503287932!$D$2:$AU$1370,25,0)</f>
        <v>Present</v>
      </c>
      <c r="Y446" s="135">
        <f>VLOOKUP(Table1[[#This Row],[AMZ ID]],[1]Roster_1787503287932!$D$2:$AM$1370,35,0)</f>
        <v>0</v>
      </c>
    </row>
    <row r="447" spans="1:25" ht="13" customHeight="1">
      <c r="A447" s="11">
        <v>441</v>
      </c>
      <c r="B447" s="47">
        <v>205506107</v>
      </c>
      <c r="C447" s="89" t="s">
        <v>2589</v>
      </c>
      <c r="D447" s="11" t="s">
        <v>2590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32</v>
      </c>
      <c r="K447" s="49" t="s">
        <v>76</v>
      </c>
      <c r="L447" s="49" t="s">
        <v>78</v>
      </c>
      <c r="M447" s="49" t="s">
        <v>92</v>
      </c>
      <c r="N447" s="49" t="s">
        <v>89</v>
      </c>
      <c r="O447" s="49" t="s">
        <v>35</v>
      </c>
      <c r="P447" s="11" t="s">
        <v>80</v>
      </c>
      <c r="Q447" s="11" t="s">
        <v>96</v>
      </c>
      <c r="R447" s="11" t="s">
        <v>224</v>
      </c>
      <c r="S447" s="11" t="s">
        <v>2715</v>
      </c>
      <c r="T447" s="116" t="s">
        <v>10</v>
      </c>
      <c r="U447" s="88"/>
      <c r="V447" s="51">
        <v>45831</v>
      </c>
      <c r="W447" s="97" t="s">
        <v>1573</v>
      </c>
      <c r="X447" s="135" t="str">
        <f>VLOOKUP(Table1[[#This Row],[AMZ ID]],[1]Roster_1787503287932!$D$2:$AU$1370,25,0)</f>
        <v>Not Present</v>
      </c>
      <c r="Y447" s="135">
        <f>VLOOKUP(Table1[[#This Row],[AMZ ID]],[1]Roster_1787503287932!$D$2:$AM$1370,35,0)</f>
        <v>0</v>
      </c>
    </row>
    <row r="448" spans="1:25" ht="13" customHeight="1">
      <c r="A448" s="11">
        <v>442</v>
      </c>
      <c r="B448" s="47">
        <v>203881600</v>
      </c>
      <c r="C448" s="89" t="s">
        <v>451</v>
      </c>
      <c r="D448" s="11" t="s">
        <v>452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39</v>
      </c>
      <c r="K448" s="49" t="s">
        <v>76</v>
      </c>
      <c r="L448" s="49" t="s">
        <v>84</v>
      </c>
      <c r="M448" s="49" t="s">
        <v>85</v>
      </c>
      <c r="N448" s="48" t="s">
        <v>79</v>
      </c>
      <c r="O448" s="49" t="s">
        <v>35</v>
      </c>
      <c r="P448" s="11" t="s">
        <v>80</v>
      </c>
      <c r="Q448" s="11" t="s">
        <v>81</v>
      </c>
      <c r="R448" s="11" t="s">
        <v>224</v>
      </c>
      <c r="S448" s="11" t="s">
        <v>2715</v>
      </c>
      <c r="T448" s="116" t="s">
        <v>1</v>
      </c>
      <c r="U448" s="88"/>
      <c r="V448" s="51">
        <v>45530</v>
      </c>
      <c r="W448" s="97" t="s">
        <v>1573</v>
      </c>
      <c r="X448" s="135" t="str">
        <f>VLOOKUP(Table1[[#This Row],[AMZ ID]],[1]Roster_1787503287932!$D$2:$AU$1370,25,0)</f>
        <v>Present</v>
      </c>
      <c r="Y448" s="135">
        <f>VLOOKUP(Table1[[#This Row],[AMZ ID]],[1]Roster_1787503287932!$D$2:$AM$1370,35,0)</f>
        <v>0</v>
      </c>
    </row>
    <row r="449" spans="1:25" ht="13" customHeight="1">
      <c r="A449" s="11">
        <v>443</v>
      </c>
      <c r="B449" s="47">
        <v>206073365</v>
      </c>
      <c r="C449" s="89" t="s">
        <v>453</v>
      </c>
      <c r="D449" s="11" t="s">
        <v>454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32</v>
      </c>
      <c r="K449" s="49" t="s">
        <v>76</v>
      </c>
      <c r="L449" s="49" t="s">
        <v>84</v>
      </c>
      <c r="M449" s="49" t="s">
        <v>85</v>
      </c>
      <c r="N449" s="48" t="s">
        <v>79</v>
      </c>
      <c r="O449" s="49" t="s">
        <v>35</v>
      </c>
      <c r="P449" s="11" t="s">
        <v>80</v>
      </c>
      <c r="Q449" s="11" t="s">
        <v>81</v>
      </c>
      <c r="R449" s="11" t="s">
        <v>225</v>
      </c>
      <c r="S449" s="11" t="s">
        <v>226</v>
      </c>
      <c r="T449" s="116" t="s">
        <v>1</v>
      </c>
      <c r="U449" s="88"/>
      <c r="V449" s="51">
        <v>45922</v>
      </c>
      <c r="W449" s="97" t="s">
        <v>1572</v>
      </c>
      <c r="X449" s="135" t="str">
        <f>VLOOKUP(Table1[[#This Row],[AMZ ID]],[1]Roster_1787503287932!$D$2:$AU$1370,25,0)</f>
        <v>Present</v>
      </c>
      <c r="Y449" s="135">
        <f>VLOOKUP(Table1[[#This Row],[AMZ ID]],[1]Roster_1787503287932!$D$2:$AM$1370,35,0)</f>
        <v>0</v>
      </c>
    </row>
    <row r="450" spans="1:25" ht="13" customHeight="1">
      <c r="A450" s="11">
        <v>444</v>
      </c>
      <c r="B450" s="47">
        <v>206934198</v>
      </c>
      <c r="C450" s="89" t="s">
        <v>2021</v>
      </c>
      <c r="D450" s="11" t="s">
        <v>2001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32</v>
      </c>
      <c r="K450" s="49" t="s">
        <v>76</v>
      </c>
      <c r="L450" s="49" t="s">
        <v>78</v>
      </c>
      <c r="M450" s="49" t="s">
        <v>92</v>
      </c>
      <c r="N450" s="49" t="s">
        <v>89</v>
      </c>
      <c r="O450" s="49" t="s">
        <v>35</v>
      </c>
      <c r="P450" s="11" t="s">
        <v>80</v>
      </c>
      <c r="Q450" s="11" t="s">
        <v>96</v>
      </c>
      <c r="R450" s="11" t="s">
        <v>225</v>
      </c>
      <c r="S450" s="11" t="s">
        <v>226</v>
      </c>
      <c r="T450" s="116" t="s">
        <v>10</v>
      </c>
      <c r="U450" s="88"/>
      <c r="V450" s="51">
        <v>46041</v>
      </c>
      <c r="W450" s="102" t="s">
        <v>1574</v>
      </c>
      <c r="X450" s="135" t="str">
        <f>VLOOKUP(Table1[[#This Row],[AMZ ID]],[1]Roster_1787503287932!$D$2:$AU$1370,25,0)</f>
        <v>Not Present</v>
      </c>
      <c r="Y450" s="135">
        <f>VLOOKUP(Table1[[#This Row],[AMZ ID]],[1]Roster_1787503287932!$D$2:$AM$1370,35,0)</f>
        <v>0</v>
      </c>
    </row>
    <row r="451" spans="1:25" ht="13" customHeight="1">
      <c r="A451" s="11">
        <v>445</v>
      </c>
      <c r="B451" s="47">
        <v>206874046</v>
      </c>
      <c r="C451" s="89" t="s">
        <v>2591</v>
      </c>
      <c r="D451" s="11" t="s">
        <v>2592</v>
      </c>
      <c r="E451" s="48" t="s">
        <v>31</v>
      </c>
      <c r="F451" s="48" t="s">
        <v>74</v>
      </c>
      <c r="G451" s="48" t="s">
        <v>64</v>
      </c>
      <c r="H451" s="48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8" t="s">
        <v>35</v>
      </c>
      <c r="P451" s="48" t="s">
        <v>80</v>
      </c>
      <c r="Q451" s="11" t="s">
        <v>90</v>
      </c>
      <c r="R451" s="11" t="s">
        <v>231</v>
      </c>
      <c r="S451" s="11" t="s">
        <v>1753</v>
      </c>
      <c r="T451" s="116" t="s">
        <v>10</v>
      </c>
      <c r="U451" s="88"/>
      <c r="V451" s="51">
        <v>46020</v>
      </c>
      <c r="W451" s="97" t="s">
        <v>1573</v>
      </c>
      <c r="X451" s="135" t="str">
        <f>VLOOKUP(Table1[[#This Row],[AMZ ID]],[1]Roster_1787503287932!$D$2:$AU$1370,25,0)</f>
        <v>Not Present</v>
      </c>
      <c r="Y451" s="135">
        <f>VLOOKUP(Table1[[#This Row],[AMZ ID]],[1]Roster_1787503287932!$D$2:$AM$1370,35,0)</f>
        <v>0</v>
      </c>
    </row>
    <row r="452" spans="1:25" ht="13" customHeight="1">
      <c r="A452" s="11">
        <v>446</v>
      </c>
      <c r="B452" s="47">
        <v>206873657</v>
      </c>
      <c r="C452" s="89" t="s">
        <v>1758</v>
      </c>
      <c r="D452" s="11" t="s">
        <v>1759</v>
      </c>
      <c r="E452" s="48" t="s">
        <v>31</v>
      </c>
      <c r="F452" s="48" t="s">
        <v>74</v>
      </c>
      <c r="G452" s="48" t="s">
        <v>64</v>
      </c>
      <c r="H452" s="48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8" t="s">
        <v>35</v>
      </c>
      <c r="P452" s="48" t="s">
        <v>80</v>
      </c>
      <c r="Q452" s="11" t="s">
        <v>81</v>
      </c>
      <c r="R452" s="11" t="s">
        <v>225</v>
      </c>
      <c r="S452" s="11" t="s">
        <v>226</v>
      </c>
      <c r="T452" s="116" t="s">
        <v>10</v>
      </c>
      <c r="U452" s="88"/>
      <c r="V452" s="51">
        <v>46020</v>
      </c>
      <c r="W452" s="97" t="s">
        <v>1572</v>
      </c>
      <c r="X452" s="135" t="str">
        <f>VLOOKUP(Table1[[#This Row],[AMZ ID]],[1]Roster_1787503287932!$D$2:$AU$1370,25,0)</f>
        <v>Not Present</v>
      </c>
      <c r="Y452" s="135">
        <f>VLOOKUP(Table1[[#This Row],[AMZ ID]],[1]Roster_1787503287932!$D$2:$AM$1370,35,0)</f>
        <v>0</v>
      </c>
    </row>
    <row r="453" spans="1:25" ht="13" customHeight="1">
      <c r="A453" s="11">
        <v>447</v>
      </c>
      <c r="B453" s="47">
        <v>206873651</v>
      </c>
      <c r="C453" s="89" t="s">
        <v>1754</v>
      </c>
      <c r="D453" s="11" t="s">
        <v>1755</v>
      </c>
      <c r="E453" s="48" t="s">
        <v>31</v>
      </c>
      <c r="F453" s="48" t="s">
        <v>74</v>
      </c>
      <c r="G453" s="48" t="s">
        <v>64</v>
      </c>
      <c r="H453" s="48" t="s">
        <v>75</v>
      </c>
      <c r="I453" s="11">
        <v>1299</v>
      </c>
      <c r="J453" s="49" t="s">
        <v>32</v>
      </c>
      <c r="K453" s="49" t="s">
        <v>76</v>
      </c>
      <c r="L453" s="49" t="s">
        <v>78</v>
      </c>
      <c r="M453" s="49" t="s">
        <v>92</v>
      </c>
      <c r="N453" s="49" t="s">
        <v>89</v>
      </c>
      <c r="O453" s="48" t="s">
        <v>35</v>
      </c>
      <c r="P453" s="48" t="s">
        <v>80</v>
      </c>
      <c r="Q453" s="11" t="s">
        <v>81</v>
      </c>
      <c r="R453" s="11" t="s">
        <v>225</v>
      </c>
      <c r="S453" s="11" t="s">
        <v>226</v>
      </c>
      <c r="T453" s="116" t="s">
        <v>10</v>
      </c>
      <c r="U453" s="88"/>
      <c r="V453" s="51">
        <v>46020</v>
      </c>
      <c r="W453" s="97" t="s">
        <v>1572</v>
      </c>
      <c r="X453" s="135" t="str">
        <f>VLOOKUP(Table1[[#This Row],[AMZ ID]],[1]Roster_1787503287932!$D$2:$AU$1370,25,0)</f>
        <v>Not Present</v>
      </c>
      <c r="Y453" s="135">
        <f>VLOOKUP(Table1[[#This Row],[AMZ ID]],[1]Roster_1787503287932!$D$2:$AM$1370,35,0)</f>
        <v>0</v>
      </c>
    </row>
    <row r="454" spans="1:25" ht="13" customHeight="1">
      <c r="A454" s="11">
        <v>448</v>
      </c>
      <c r="B454" s="47">
        <v>205608623</v>
      </c>
      <c r="C454" s="89" t="s">
        <v>2593</v>
      </c>
      <c r="D454" s="11" t="s">
        <v>2594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39</v>
      </c>
      <c r="K454" s="49" t="s">
        <v>76</v>
      </c>
      <c r="L454" s="49" t="s">
        <v>78</v>
      </c>
      <c r="M454" s="49" t="s">
        <v>92</v>
      </c>
      <c r="N454" s="48" t="s">
        <v>86</v>
      </c>
      <c r="O454" s="49" t="s">
        <v>35</v>
      </c>
      <c r="P454" s="11" t="s">
        <v>80</v>
      </c>
      <c r="Q454" s="11" t="s">
        <v>90</v>
      </c>
      <c r="R454" s="11" t="s">
        <v>231</v>
      </c>
      <c r="S454" s="11" t="s">
        <v>1753</v>
      </c>
      <c r="T454" s="116" t="s">
        <v>10</v>
      </c>
      <c r="U454" s="88"/>
      <c r="V454" s="51">
        <v>45845</v>
      </c>
      <c r="W454" s="97" t="s">
        <v>1573</v>
      </c>
      <c r="X454" s="135" t="str">
        <f>VLOOKUP(Table1[[#This Row],[AMZ ID]],[1]Roster_1787503287932!$D$2:$AU$1370,25,0)</f>
        <v>Not Present</v>
      </c>
      <c r="Y454" s="135" t="str">
        <f>VLOOKUP(Table1[[#This Row],[AMZ ID]],[1]Roster_1787503287932!$D$2:$AM$1370,35,0)</f>
        <v>Carry Forwarded Annual Leave</v>
      </c>
    </row>
    <row r="455" spans="1:25" ht="13" customHeight="1">
      <c r="A455" s="11">
        <v>449</v>
      </c>
      <c r="B455" s="47">
        <v>204883236</v>
      </c>
      <c r="C455" s="89" t="s">
        <v>456</v>
      </c>
      <c r="D455" s="11" t="s">
        <v>457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39</v>
      </c>
      <c r="K455" s="49" t="s">
        <v>76</v>
      </c>
      <c r="L455" s="49" t="s">
        <v>95</v>
      </c>
      <c r="M455" s="49" t="s">
        <v>77</v>
      </c>
      <c r="N455" s="49" t="s">
        <v>89</v>
      </c>
      <c r="O455" s="49" t="s">
        <v>35</v>
      </c>
      <c r="P455" s="11" t="s">
        <v>80</v>
      </c>
      <c r="Q455" s="11" t="s">
        <v>87</v>
      </c>
      <c r="R455" s="11" t="s">
        <v>225</v>
      </c>
      <c r="S455" s="11" t="s">
        <v>226</v>
      </c>
      <c r="T455" s="116" t="s">
        <v>1</v>
      </c>
      <c r="U455" s="88"/>
      <c r="V455" s="51">
        <v>45691</v>
      </c>
      <c r="W455" s="97" t="s">
        <v>1572</v>
      </c>
      <c r="X455" s="135" t="str">
        <f>VLOOKUP(Table1[[#This Row],[AMZ ID]],[1]Roster_1787503287932!$D$2:$AU$1370,25,0)</f>
        <v>Present</v>
      </c>
      <c r="Y455" s="135">
        <f>VLOOKUP(Table1[[#This Row],[AMZ ID]],[1]Roster_1787503287932!$D$2:$AM$1370,35,0)</f>
        <v>0</v>
      </c>
    </row>
    <row r="456" spans="1:25" ht="13" customHeight="1">
      <c r="A456" s="11">
        <v>450</v>
      </c>
      <c r="B456" s="47">
        <v>206915008</v>
      </c>
      <c r="C456" s="89" t="s">
        <v>2595</v>
      </c>
      <c r="D456" s="11" t="s">
        <v>2596</v>
      </c>
      <c r="E456" s="11" t="s">
        <v>31</v>
      </c>
      <c r="F456" s="11" t="s">
        <v>74</v>
      </c>
      <c r="G456" s="11" t="s">
        <v>64</v>
      </c>
      <c r="H456" s="11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11" t="s">
        <v>35</v>
      </c>
      <c r="P456" s="11" t="s">
        <v>80</v>
      </c>
      <c r="Q456" s="11" t="s">
        <v>90</v>
      </c>
      <c r="R456" s="11" t="s">
        <v>225</v>
      </c>
      <c r="S456" s="11" t="s">
        <v>226</v>
      </c>
      <c r="T456" s="116" t="s">
        <v>10</v>
      </c>
      <c r="U456" s="88"/>
      <c r="V456" s="51">
        <v>46034</v>
      </c>
      <c r="W456" s="102" t="s">
        <v>1572</v>
      </c>
      <c r="X456" s="135" t="str">
        <f>VLOOKUP(Table1[[#This Row],[AMZ ID]],[1]Roster_1787503287932!$D$2:$AU$1370,25,0)</f>
        <v>Not Present</v>
      </c>
      <c r="Y456" s="135">
        <f>VLOOKUP(Table1[[#This Row],[AMZ ID]],[1]Roster_1787503287932!$D$2:$AM$1370,35,0)</f>
        <v>0</v>
      </c>
    </row>
    <row r="457" spans="1:25" ht="13" customHeight="1">
      <c r="A457" s="11">
        <v>451</v>
      </c>
      <c r="B457" s="47">
        <v>109749061</v>
      </c>
      <c r="C457" s="89" t="s">
        <v>458</v>
      </c>
      <c r="D457" s="11" t="s">
        <v>459</v>
      </c>
      <c r="E457" s="48" t="s">
        <v>34</v>
      </c>
      <c r="F457" s="48" t="s">
        <v>74</v>
      </c>
      <c r="G457" s="11" t="s">
        <v>64</v>
      </c>
      <c r="H457" s="11" t="s">
        <v>75</v>
      </c>
      <c r="I457" s="11">
        <v>1299</v>
      </c>
      <c r="J457" s="49" t="s">
        <v>32</v>
      </c>
      <c r="K457" s="49" t="s">
        <v>76</v>
      </c>
      <c r="L457" s="49" t="s">
        <v>95</v>
      </c>
      <c r="M457" s="49" t="s">
        <v>77</v>
      </c>
      <c r="N457" s="48" t="s">
        <v>108</v>
      </c>
      <c r="O457" s="49" t="s">
        <v>35</v>
      </c>
      <c r="P457" s="11" t="s">
        <v>80</v>
      </c>
      <c r="Q457" s="11" t="s">
        <v>98</v>
      </c>
      <c r="R457" s="11" t="s">
        <v>225</v>
      </c>
      <c r="S457" s="11" t="s">
        <v>226</v>
      </c>
      <c r="T457" s="116" t="s">
        <v>1</v>
      </c>
      <c r="U457" s="88"/>
      <c r="V457" s="51">
        <v>44831</v>
      </c>
      <c r="W457" s="97" t="s">
        <v>1574</v>
      </c>
      <c r="X457" s="135" t="str">
        <f>VLOOKUP(Table1[[#This Row],[AMZ ID]],[1]Roster_1787503287932!$D$2:$AU$1370,25,0)</f>
        <v>Present</v>
      </c>
      <c r="Y457" s="135">
        <f>VLOOKUP(Table1[[#This Row],[AMZ ID]],[1]Roster_1787503287932!$D$2:$AM$1370,35,0)</f>
        <v>0</v>
      </c>
    </row>
    <row r="458" spans="1:25" ht="13" customHeight="1">
      <c r="A458" s="11">
        <v>452</v>
      </c>
      <c r="B458" s="47">
        <v>204883085</v>
      </c>
      <c r="C458" s="89" t="s">
        <v>460</v>
      </c>
      <c r="D458" s="11" t="s">
        <v>461</v>
      </c>
      <c r="E458" s="48" t="s">
        <v>31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32</v>
      </c>
      <c r="K458" s="49" t="s">
        <v>76</v>
      </c>
      <c r="L458" s="49" t="s">
        <v>77</v>
      </c>
      <c r="M458" s="49" t="s">
        <v>78</v>
      </c>
      <c r="N458" s="48" t="s">
        <v>86</v>
      </c>
      <c r="O458" s="49" t="s">
        <v>35</v>
      </c>
      <c r="P458" s="11" t="s">
        <v>80</v>
      </c>
      <c r="Q458" s="11" t="s">
        <v>87</v>
      </c>
      <c r="R458" s="11" t="s">
        <v>231</v>
      </c>
      <c r="S458" s="11" t="s">
        <v>1753</v>
      </c>
      <c r="T458" s="116" t="s">
        <v>10</v>
      </c>
      <c r="U458" s="88"/>
      <c r="V458" s="51">
        <v>45691</v>
      </c>
      <c r="W458" s="97" t="s">
        <v>1573</v>
      </c>
      <c r="X458" s="135" t="str">
        <f>VLOOKUP(Table1[[#This Row],[AMZ ID]],[1]Roster_1787503287932!$D$2:$AU$1370,25,0)</f>
        <v>Not Present</v>
      </c>
      <c r="Y458" s="135">
        <f>VLOOKUP(Table1[[#This Row],[AMZ ID]],[1]Roster_1787503287932!$D$2:$AM$1370,35,0)</f>
        <v>0</v>
      </c>
    </row>
    <row r="459" spans="1:25" ht="13" customHeight="1">
      <c r="A459" s="11">
        <v>453</v>
      </c>
      <c r="B459" s="114">
        <v>102207617</v>
      </c>
      <c r="C459" s="115" t="s">
        <v>463</v>
      </c>
      <c r="D459" s="11" t="s">
        <v>464</v>
      </c>
      <c r="E459" s="109" t="s">
        <v>34</v>
      </c>
      <c r="F459" s="109" t="s">
        <v>74</v>
      </c>
      <c r="G459" s="99" t="s">
        <v>64</v>
      </c>
      <c r="H459" s="99" t="s">
        <v>75</v>
      </c>
      <c r="I459" s="11">
        <v>1299</v>
      </c>
      <c r="J459" s="49" t="s">
        <v>32</v>
      </c>
      <c r="K459" s="49" t="s">
        <v>76</v>
      </c>
      <c r="L459" s="110" t="s">
        <v>78</v>
      </c>
      <c r="M459" s="110" t="s">
        <v>92</v>
      </c>
      <c r="N459" s="48" t="s">
        <v>97</v>
      </c>
      <c r="O459" s="49" t="s">
        <v>35</v>
      </c>
      <c r="P459" s="11" t="s">
        <v>80</v>
      </c>
      <c r="Q459" s="11" t="s">
        <v>98</v>
      </c>
      <c r="R459" s="11" t="s">
        <v>225</v>
      </c>
      <c r="S459" s="11" t="s">
        <v>226</v>
      </c>
      <c r="T459" s="116" t="s">
        <v>10</v>
      </c>
      <c r="U459" s="88"/>
      <c r="V459" s="111">
        <v>42868</v>
      </c>
      <c r="W459" s="97" t="s">
        <v>1575</v>
      </c>
      <c r="X459" s="135" t="str">
        <f>VLOOKUP(Table1[[#This Row],[AMZ ID]],[1]Roster_1787503287932!$D$2:$AU$1370,25,0)</f>
        <v>Not Present</v>
      </c>
      <c r="Y459" s="135">
        <f>VLOOKUP(Table1[[#This Row],[AMZ ID]],[1]Roster_1787503287932!$D$2:$AM$1370,35,0)</f>
        <v>0</v>
      </c>
    </row>
    <row r="460" spans="1:25" ht="13" customHeight="1">
      <c r="A460" s="11">
        <v>454</v>
      </c>
      <c r="B460" s="47">
        <v>204967049</v>
      </c>
      <c r="C460" s="89" t="s">
        <v>465</v>
      </c>
      <c r="D460" s="11" t="s">
        <v>466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32</v>
      </c>
      <c r="K460" s="49" t="s">
        <v>76</v>
      </c>
      <c r="L460" s="49" t="s">
        <v>88</v>
      </c>
      <c r="M460" s="49" t="s">
        <v>95</v>
      </c>
      <c r="N460" s="48" t="s">
        <v>86</v>
      </c>
      <c r="O460" s="49" t="s">
        <v>35</v>
      </c>
      <c r="P460" s="11" t="s">
        <v>80</v>
      </c>
      <c r="Q460" s="11" t="s">
        <v>90</v>
      </c>
      <c r="R460" s="11" t="s">
        <v>231</v>
      </c>
      <c r="S460" s="11" t="s">
        <v>1753</v>
      </c>
      <c r="T460" s="116" t="s">
        <v>1</v>
      </c>
      <c r="U460" s="88"/>
      <c r="V460" s="51">
        <v>45826</v>
      </c>
      <c r="W460" s="97" t="s">
        <v>1573</v>
      </c>
      <c r="X460" s="135" t="str">
        <f>VLOOKUP(Table1[[#This Row],[AMZ ID]],[1]Roster_1787503287932!$D$2:$AU$1370,25,0)</f>
        <v>Present</v>
      </c>
      <c r="Y460" s="135">
        <f>VLOOKUP(Table1[[#This Row],[AMZ ID]],[1]Roster_1787503287932!$D$2:$AM$1370,35,0)</f>
        <v>0</v>
      </c>
    </row>
    <row r="461" spans="1:25" ht="13" customHeight="1">
      <c r="A461" s="11">
        <v>455</v>
      </c>
      <c r="B461" s="47">
        <v>203881597</v>
      </c>
      <c r="C461" s="89" t="s">
        <v>467</v>
      </c>
      <c r="D461" s="11" t="s">
        <v>468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39</v>
      </c>
      <c r="K461" s="49" t="s">
        <v>76</v>
      </c>
      <c r="L461" s="49" t="s">
        <v>84</v>
      </c>
      <c r="M461" s="49" t="s">
        <v>85</v>
      </c>
      <c r="N461" s="48" t="s">
        <v>79</v>
      </c>
      <c r="O461" s="49" t="s">
        <v>35</v>
      </c>
      <c r="P461" s="11" t="s">
        <v>80</v>
      </c>
      <c r="Q461" s="11" t="s">
        <v>81</v>
      </c>
      <c r="R461" s="11" t="s">
        <v>231</v>
      </c>
      <c r="S461" s="11" t="s">
        <v>1753</v>
      </c>
      <c r="T461" s="116" t="s">
        <v>1</v>
      </c>
      <c r="U461" s="88"/>
      <c r="V461" s="51">
        <v>45530</v>
      </c>
      <c r="W461" s="97" t="s">
        <v>1573</v>
      </c>
      <c r="X461" s="135" t="str">
        <f>VLOOKUP(Table1[[#This Row],[AMZ ID]],[1]Roster_1787503287932!$D$2:$AU$1370,25,0)</f>
        <v>Present</v>
      </c>
      <c r="Y461" s="135">
        <f>VLOOKUP(Table1[[#This Row],[AMZ ID]],[1]Roster_1787503287932!$D$2:$AM$1370,35,0)</f>
        <v>0</v>
      </c>
    </row>
    <row r="462" spans="1:25" ht="13" customHeight="1">
      <c r="A462" s="11">
        <v>456</v>
      </c>
      <c r="B462" s="47">
        <v>203881599</v>
      </c>
      <c r="C462" s="89" t="s">
        <v>469</v>
      </c>
      <c r="D462" s="11" t="s">
        <v>470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39</v>
      </c>
      <c r="K462" s="49" t="s">
        <v>76</v>
      </c>
      <c r="L462" s="49" t="s">
        <v>95</v>
      </c>
      <c r="M462" s="49" t="s">
        <v>77</v>
      </c>
      <c r="N462" s="48" t="s">
        <v>79</v>
      </c>
      <c r="O462" s="49" t="s">
        <v>35</v>
      </c>
      <c r="P462" s="11" t="s">
        <v>80</v>
      </c>
      <c r="Q462" s="11" t="s">
        <v>81</v>
      </c>
      <c r="R462" s="11" t="s">
        <v>231</v>
      </c>
      <c r="S462" s="11" t="s">
        <v>1753</v>
      </c>
      <c r="T462" s="116" t="s">
        <v>1</v>
      </c>
      <c r="U462" s="88"/>
      <c r="V462" s="51">
        <v>45530</v>
      </c>
      <c r="W462" s="97" t="s">
        <v>1573</v>
      </c>
      <c r="X462" s="135" t="str">
        <f>VLOOKUP(Table1[[#This Row],[AMZ ID]],[1]Roster_1787503287932!$D$2:$AU$1370,25,0)</f>
        <v>Present</v>
      </c>
      <c r="Y462" s="135">
        <f>VLOOKUP(Table1[[#This Row],[AMZ ID]],[1]Roster_1787503287932!$D$2:$AM$1370,35,0)</f>
        <v>0</v>
      </c>
    </row>
    <row r="463" spans="1:25" ht="13" customHeight="1">
      <c r="A463" s="11">
        <v>457</v>
      </c>
      <c r="B463" s="47">
        <v>204869096</v>
      </c>
      <c r="C463" s="89" t="s">
        <v>471</v>
      </c>
      <c r="D463" s="11" t="s">
        <v>472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77</v>
      </c>
      <c r="M463" s="49" t="s">
        <v>78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231</v>
      </c>
      <c r="S463" s="11" t="s">
        <v>1753</v>
      </c>
      <c r="T463" s="116" t="s">
        <v>10</v>
      </c>
      <c r="U463" s="88"/>
      <c r="V463" s="51">
        <v>45691</v>
      </c>
      <c r="W463" s="97" t="s">
        <v>1573</v>
      </c>
      <c r="X463" s="135" t="str">
        <f>VLOOKUP(Table1[[#This Row],[AMZ ID]],[1]Roster_1787503287932!$D$2:$AU$1370,25,0)</f>
        <v>Not Present</v>
      </c>
      <c r="Y463" s="135">
        <f>VLOOKUP(Table1[[#This Row],[AMZ ID]],[1]Roster_1787503287932!$D$2:$AM$1370,35,0)</f>
        <v>0</v>
      </c>
    </row>
    <row r="464" spans="1:25" ht="13" customHeight="1">
      <c r="A464" s="11">
        <v>458</v>
      </c>
      <c r="B464" s="47">
        <v>204869088</v>
      </c>
      <c r="C464" s="89" t="s">
        <v>473</v>
      </c>
      <c r="D464" s="11" t="s">
        <v>474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88</v>
      </c>
      <c r="M464" s="49" t="s">
        <v>95</v>
      </c>
      <c r="N464" s="48" t="s">
        <v>86</v>
      </c>
      <c r="O464" s="49" t="s">
        <v>35</v>
      </c>
      <c r="P464" s="11" t="s">
        <v>80</v>
      </c>
      <c r="Q464" s="11" t="s">
        <v>87</v>
      </c>
      <c r="R464" s="11" t="s">
        <v>225</v>
      </c>
      <c r="S464" s="11" t="s">
        <v>226</v>
      </c>
      <c r="T464" s="116" t="s">
        <v>1</v>
      </c>
      <c r="U464" s="88"/>
      <c r="V464" s="51">
        <v>45691</v>
      </c>
      <c r="W464" s="97" t="s">
        <v>1572</v>
      </c>
      <c r="X464" s="135" t="str">
        <f>VLOOKUP(Table1[[#This Row],[AMZ ID]],[1]Roster_1787503287932!$D$2:$AU$1370,25,0)</f>
        <v>Present</v>
      </c>
      <c r="Y464" s="135">
        <f>VLOOKUP(Table1[[#This Row],[AMZ ID]],[1]Roster_1787503287932!$D$2:$AM$1370,35,0)</f>
        <v>0</v>
      </c>
    </row>
    <row r="465" spans="1:25" ht="13" customHeight="1">
      <c r="A465" s="11">
        <v>459</v>
      </c>
      <c r="B465" s="47">
        <v>203521523</v>
      </c>
      <c r="C465" s="89" t="s">
        <v>475</v>
      </c>
      <c r="D465" s="11" t="s">
        <v>476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79</v>
      </c>
      <c r="O465" s="49" t="s">
        <v>35</v>
      </c>
      <c r="P465" s="11" t="s">
        <v>80</v>
      </c>
      <c r="Q465" s="11" t="s">
        <v>81</v>
      </c>
      <c r="R465" s="11" t="s">
        <v>225</v>
      </c>
      <c r="S465" s="11" t="s">
        <v>226</v>
      </c>
      <c r="T465" s="116" t="s">
        <v>10</v>
      </c>
      <c r="U465" s="88"/>
      <c r="V465" s="51">
        <v>45463</v>
      </c>
      <c r="W465" s="97" t="s">
        <v>1570</v>
      </c>
      <c r="X465" s="135" t="str">
        <f>VLOOKUP(Table1[[#This Row],[AMZ ID]],[1]Roster_1787503287932!$D$2:$AU$1370,25,0)</f>
        <v>Not Present</v>
      </c>
      <c r="Y465" s="135">
        <f>VLOOKUP(Table1[[#This Row],[AMZ ID]],[1]Roster_1787503287932!$D$2:$AM$1370,35,0)</f>
        <v>0</v>
      </c>
    </row>
    <row r="466" spans="1:25" ht="13" customHeight="1">
      <c r="A466" s="11">
        <v>460</v>
      </c>
      <c r="B466" s="47">
        <v>206874059</v>
      </c>
      <c r="C466" s="89" t="s">
        <v>2597</v>
      </c>
      <c r="D466" s="11" t="s">
        <v>2598</v>
      </c>
      <c r="E466" s="48" t="s">
        <v>31</v>
      </c>
      <c r="F466" s="48" t="s">
        <v>74</v>
      </c>
      <c r="G466" s="48" t="s">
        <v>64</v>
      </c>
      <c r="H466" s="48" t="s">
        <v>75</v>
      </c>
      <c r="I466" s="11">
        <v>1299</v>
      </c>
      <c r="J466" s="49" t="s">
        <v>32</v>
      </c>
      <c r="K466" s="49" t="s">
        <v>76</v>
      </c>
      <c r="L466" s="49" t="s">
        <v>78</v>
      </c>
      <c r="M466" s="49" t="s">
        <v>92</v>
      </c>
      <c r="N466" s="49" t="s">
        <v>89</v>
      </c>
      <c r="O466" s="48" t="s">
        <v>35</v>
      </c>
      <c r="P466" s="48" t="s">
        <v>80</v>
      </c>
      <c r="Q466" s="11" t="s">
        <v>90</v>
      </c>
      <c r="R466" s="11" t="s">
        <v>231</v>
      </c>
      <c r="S466" s="11" t="s">
        <v>1753</v>
      </c>
      <c r="T466" s="116" t="s">
        <v>10</v>
      </c>
      <c r="U466" s="88"/>
      <c r="V466" s="51">
        <v>46020</v>
      </c>
      <c r="W466" s="97" t="s">
        <v>1573</v>
      </c>
      <c r="X466" s="135" t="str">
        <f>VLOOKUP(Table1[[#This Row],[AMZ ID]],[1]Roster_1787503287932!$D$2:$AU$1370,25,0)</f>
        <v>Not Present</v>
      </c>
      <c r="Y466" s="135">
        <f>VLOOKUP(Table1[[#This Row],[AMZ ID]],[1]Roster_1787503287932!$D$2:$AM$1370,35,0)</f>
        <v>0</v>
      </c>
    </row>
    <row r="467" spans="1:25" ht="13" customHeight="1">
      <c r="A467" s="11">
        <v>461</v>
      </c>
      <c r="B467" s="47">
        <v>204252239</v>
      </c>
      <c r="C467" s="89" t="s">
        <v>477</v>
      </c>
      <c r="D467" s="11" t="s">
        <v>478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32</v>
      </c>
      <c r="K467" s="49" t="s">
        <v>76</v>
      </c>
      <c r="L467" s="49" t="s">
        <v>85</v>
      </c>
      <c r="M467" s="49" t="s">
        <v>88</v>
      </c>
      <c r="N467" s="48" t="s">
        <v>86</v>
      </c>
      <c r="O467" s="49" t="s">
        <v>35</v>
      </c>
      <c r="P467" s="11" t="s">
        <v>80</v>
      </c>
      <c r="Q467" s="11" t="s">
        <v>87</v>
      </c>
      <c r="R467" s="11" t="s">
        <v>225</v>
      </c>
      <c r="S467" s="11" t="s">
        <v>226</v>
      </c>
      <c r="T467" s="116" t="s">
        <v>1</v>
      </c>
      <c r="U467" s="88"/>
      <c r="V467" s="51">
        <v>45579</v>
      </c>
      <c r="W467" s="97" t="s">
        <v>1573</v>
      </c>
      <c r="X467" s="135" t="str">
        <f>VLOOKUP(Table1[[#This Row],[AMZ ID]],[1]Roster_1787503287932!$D$2:$AU$1370,25,0)</f>
        <v>Present</v>
      </c>
      <c r="Y467" s="135">
        <f>VLOOKUP(Table1[[#This Row],[AMZ ID]],[1]Roster_1787503287932!$D$2:$AM$1370,35,0)</f>
        <v>0</v>
      </c>
    </row>
    <row r="468" spans="1:25" ht="13" customHeight="1">
      <c r="A468" s="11">
        <v>462</v>
      </c>
      <c r="B468" s="47">
        <v>206934437</v>
      </c>
      <c r="C468" s="89" t="s">
        <v>2022</v>
      </c>
      <c r="D468" s="11" t="s">
        <v>2002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78</v>
      </c>
      <c r="M468" s="49" t="s">
        <v>92</v>
      </c>
      <c r="N468" s="49" t="s">
        <v>89</v>
      </c>
      <c r="O468" s="49" t="s">
        <v>35</v>
      </c>
      <c r="P468" s="11" t="s">
        <v>80</v>
      </c>
      <c r="Q468" s="11" t="s">
        <v>96</v>
      </c>
      <c r="R468" s="11" t="s">
        <v>224</v>
      </c>
      <c r="S468" s="11" t="s">
        <v>2715</v>
      </c>
      <c r="T468" s="116" t="s">
        <v>10</v>
      </c>
      <c r="U468" s="88"/>
      <c r="V468" s="51">
        <v>46041</v>
      </c>
      <c r="W468" s="97" t="s">
        <v>1573</v>
      </c>
      <c r="X468" s="135" t="str">
        <f>VLOOKUP(Table1[[#This Row],[AMZ ID]],[1]Roster_1787503287932!$D$2:$AU$1370,25,0)</f>
        <v>Not Present</v>
      </c>
      <c r="Y468" s="135">
        <f>VLOOKUP(Table1[[#This Row],[AMZ ID]],[1]Roster_1787503287932!$D$2:$AM$1370,35,0)</f>
        <v>0</v>
      </c>
    </row>
    <row r="469" spans="1:25" ht="13" customHeight="1">
      <c r="A469" s="11">
        <v>463</v>
      </c>
      <c r="B469" s="47">
        <v>203881596</v>
      </c>
      <c r="C469" s="89" t="s">
        <v>479</v>
      </c>
      <c r="D469" s="11" t="s">
        <v>480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77</v>
      </c>
      <c r="M469" s="49" t="s">
        <v>78</v>
      </c>
      <c r="N469" s="48" t="s">
        <v>79</v>
      </c>
      <c r="O469" s="49" t="s">
        <v>35</v>
      </c>
      <c r="P469" s="11" t="s">
        <v>80</v>
      </c>
      <c r="Q469" s="11" t="s">
        <v>81</v>
      </c>
      <c r="R469" s="11" t="s">
        <v>231</v>
      </c>
      <c r="S469" s="11" t="s">
        <v>1753</v>
      </c>
      <c r="T469" s="116" t="s">
        <v>10</v>
      </c>
      <c r="U469" s="88"/>
      <c r="V469" s="51">
        <v>45530</v>
      </c>
      <c r="W469" s="97" t="s">
        <v>1573</v>
      </c>
      <c r="X469" s="135" t="str">
        <f>VLOOKUP(Table1[[#This Row],[AMZ ID]],[1]Roster_1787503287932!$D$2:$AU$1370,25,0)</f>
        <v>Not Present</v>
      </c>
      <c r="Y469" s="135">
        <f>VLOOKUP(Table1[[#This Row],[AMZ ID]],[1]Roster_1787503287932!$D$2:$AM$1370,35,0)</f>
        <v>0</v>
      </c>
    </row>
    <row r="470" spans="1:25" ht="13" customHeight="1">
      <c r="A470" s="11">
        <v>464</v>
      </c>
      <c r="B470" s="47">
        <v>204869092</v>
      </c>
      <c r="C470" s="89" t="s">
        <v>481</v>
      </c>
      <c r="D470" s="11" t="s">
        <v>482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88</v>
      </c>
      <c r="M470" s="49" t="s">
        <v>95</v>
      </c>
      <c r="N470" s="48" t="s">
        <v>86</v>
      </c>
      <c r="O470" s="49" t="s">
        <v>35</v>
      </c>
      <c r="P470" s="11" t="s">
        <v>80</v>
      </c>
      <c r="Q470" s="11" t="s">
        <v>87</v>
      </c>
      <c r="R470" s="11" t="s">
        <v>225</v>
      </c>
      <c r="S470" s="11" t="s">
        <v>226</v>
      </c>
      <c r="T470" s="116" t="s">
        <v>1</v>
      </c>
      <c r="U470" s="88"/>
      <c r="V470" s="51">
        <v>45691</v>
      </c>
      <c r="W470" s="97" t="s">
        <v>1572</v>
      </c>
      <c r="X470" s="135" t="str">
        <f>VLOOKUP(Table1[[#This Row],[AMZ ID]],[1]Roster_1787503287932!$D$2:$AU$1370,25,0)</f>
        <v>Present</v>
      </c>
      <c r="Y470" s="135">
        <f>VLOOKUP(Table1[[#This Row],[AMZ ID]],[1]Roster_1787503287932!$D$2:$AM$1370,35,0)</f>
        <v>0</v>
      </c>
    </row>
    <row r="471" spans="1:25" ht="13" customHeight="1">
      <c r="A471" s="11">
        <v>465</v>
      </c>
      <c r="B471" s="47">
        <v>204883247</v>
      </c>
      <c r="C471" s="89" t="s">
        <v>483</v>
      </c>
      <c r="D471" s="11" t="s">
        <v>484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225</v>
      </c>
      <c r="S471" s="11" t="s">
        <v>226</v>
      </c>
      <c r="T471" s="116" t="s">
        <v>10</v>
      </c>
      <c r="U471" s="88"/>
      <c r="V471" s="51">
        <v>45691</v>
      </c>
      <c r="W471" s="97" t="s">
        <v>1572</v>
      </c>
      <c r="X471" s="135" t="str">
        <f>VLOOKUP(Table1[[#This Row],[AMZ ID]],[1]Roster_1787503287932!$D$2:$AU$1370,25,0)</f>
        <v>Not Present</v>
      </c>
      <c r="Y471" s="135">
        <f>VLOOKUP(Table1[[#This Row],[AMZ ID]],[1]Roster_1787503287932!$D$2:$AM$1370,35,0)</f>
        <v>0</v>
      </c>
    </row>
    <row r="472" spans="1:25" ht="13" customHeight="1">
      <c r="A472" s="11">
        <v>466</v>
      </c>
      <c r="B472" s="47">
        <v>204868854</v>
      </c>
      <c r="C472" s="89" t="s">
        <v>485</v>
      </c>
      <c r="D472" s="11" t="s">
        <v>486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231</v>
      </c>
      <c r="S472" s="11" t="s">
        <v>1753</v>
      </c>
      <c r="T472" s="116" t="s">
        <v>10</v>
      </c>
      <c r="U472" s="88"/>
      <c r="V472" s="51">
        <v>45691</v>
      </c>
      <c r="W472" s="97" t="s">
        <v>1573</v>
      </c>
      <c r="X472" s="135" t="str">
        <f>VLOOKUP(Table1[[#This Row],[AMZ ID]],[1]Roster_1787503287932!$D$2:$AU$1370,25,0)</f>
        <v>Not Present</v>
      </c>
      <c r="Y472" s="135">
        <f>VLOOKUP(Table1[[#This Row],[AMZ ID]],[1]Roster_1787503287932!$D$2:$AM$1370,35,0)</f>
        <v>0</v>
      </c>
    </row>
    <row r="473" spans="1:25" ht="13" customHeight="1">
      <c r="A473" s="11">
        <v>467</v>
      </c>
      <c r="B473" s="47">
        <v>203521526</v>
      </c>
      <c r="C473" s="89" t="s">
        <v>487</v>
      </c>
      <c r="D473" s="11" t="s">
        <v>488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8" t="s">
        <v>79</v>
      </c>
      <c r="O473" s="49" t="s">
        <v>35</v>
      </c>
      <c r="P473" s="11" t="s">
        <v>80</v>
      </c>
      <c r="Q473" s="11" t="s">
        <v>81</v>
      </c>
      <c r="R473" s="11" t="s">
        <v>225</v>
      </c>
      <c r="S473" s="11" t="s">
        <v>226</v>
      </c>
      <c r="T473" s="116" t="s">
        <v>10</v>
      </c>
      <c r="U473" s="88"/>
      <c r="V473" s="51">
        <v>45463</v>
      </c>
      <c r="W473" s="97" t="s">
        <v>1570</v>
      </c>
      <c r="X473" s="135" t="str">
        <f>VLOOKUP(Table1[[#This Row],[AMZ ID]],[1]Roster_1787503287932!$D$2:$AU$1370,25,0)</f>
        <v>Not Present</v>
      </c>
      <c r="Y473" s="135">
        <f>VLOOKUP(Table1[[#This Row],[AMZ ID]],[1]Roster_1787503287932!$D$2:$AM$1370,35,0)</f>
        <v>0</v>
      </c>
    </row>
    <row r="474" spans="1:25" ht="13" customHeight="1">
      <c r="A474" s="11">
        <v>468</v>
      </c>
      <c r="B474" s="47">
        <v>203521132</v>
      </c>
      <c r="C474" s="89" t="s">
        <v>489</v>
      </c>
      <c r="D474" s="11" t="s">
        <v>490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78</v>
      </c>
      <c r="M474" s="49" t="s">
        <v>92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225</v>
      </c>
      <c r="S474" s="11" t="s">
        <v>226</v>
      </c>
      <c r="T474" s="116" t="s">
        <v>10</v>
      </c>
      <c r="U474" s="88"/>
      <c r="V474" s="51">
        <v>45463</v>
      </c>
      <c r="W474" s="97" t="s">
        <v>1573</v>
      </c>
      <c r="X474" s="135" t="str">
        <f>VLOOKUP(Table1[[#This Row],[AMZ ID]],[1]Roster_1787503287932!$D$2:$AU$1370,25,0)</f>
        <v>Not Present</v>
      </c>
      <c r="Y474" s="135">
        <f>VLOOKUP(Table1[[#This Row],[AMZ ID]],[1]Roster_1787503287932!$D$2:$AM$1370,35,0)</f>
        <v>0</v>
      </c>
    </row>
    <row r="475" spans="1:25" ht="13" customHeight="1">
      <c r="A475" s="11">
        <v>469</v>
      </c>
      <c r="B475" s="47">
        <v>203800381</v>
      </c>
      <c r="C475" s="89" t="s">
        <v>2599</v>
      </c>
      <c r="D475" s="11" t="s">
        <v>2600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86</v>
      </c>
      <c r="O475" s="49" t="s">
        <v>35</v>
      </c>
      <c r="P475" s="11" t="s">
        <v>80</v>
      </c>
      <c r="Q475" s="11" t="s">
        <v>90</v>
      </c>
      <c r="R475" s="11" t="s">
        <v>225</v>
      </c>
      <c r="S475" s="11" t="s">
        <v>226</v>
      </c>
      <c r="T475" s="116" t="s">
        <v>10</v>
      </c>
      <c r="U475" s="88"/>
      <c r="V475" s="51">
        <v>45516</v>
      </c>
      <c r="W475" s="97" t="s">
        <v>1574</v>
      </c>
      <c r="X475" s="135" t="str">
        <f>VLOOKUP(Table1[[#This Row],[AMZ ID]],[1]Roster_1787503287932!$D$2:$AU$1370,25,0)</f>
        <v>Not Present</v>
      </c>
      <c r="Y475" s="135">
        <f>VLOOKUP(Table1[[#This Row],[AMZ ID]],[1]Roster_1787503287932!$D$2:$AM$1370,35,0)</f>
        <v>0</v>
      </c>
    </row>
    <row r="476" spans="1:25" ht="13" customHeight="1">
      <c r="A476" s="11">
        <v>470</v>
      </c>
      <c r="B476" s="47">
        <v>203736777</v>
      </c>
      <c r="C476" s="89" t="s">
        <v>491</v>
      </c>
      <c r="D476" s="11" t="s">
        <v>492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39</v>
      </c>
      <c r="K476" s="49" t="s">
        <v>76</v>
      </c>
      <c r="L476" s="49" t="s">
        <v>92</v>
      </c>
      <c r="M476" s="49" t="s">
        <v>84</v>
      </c>
      <c r="N476" s="48" t="s">
        <v>86</v>
      </c>
      <c r="O476" s="49" t="s">
        <v>35</v>
      </c>
      <c r="P476" s="11" t="s">
        <v>80</v>
      </c>
      <c r="Q476" s="11" t="s">
        <v>99</v>
      </c>
      <c r="R476" s="11" t="s">
        <v>224</v>
      </c>
      <c r="S476" s="11" t="s">
        <v>2715</v>
      </c>
      <c r="T476" s="116" t="s">
        <v>1</v>
      </c>
      <c r="U476" s="88"/>
      <c r="V476" s="51">
        <v>45502</v>
      </c>
      <c r="W476" s="97" t="s">
        <v>1573</v>
      </c>
      <c r="X476" s="135" t="str">
        <f>VLOOKUP(Table1[[#This Row],[AMZ ID]],[1]Roster_1787503287932!$D$2:$AU$1370,25,0)</f>
        <v>Present</v>
      </c>
      <c r="Y476" s="135">
        <f>VLOOKUP(Table1[[#This Row],[AMZ ID]],[1]Roster_1787503287932!$D$2:$AM$1370,35,0)</f>
        <v>0</v>
      </c>
    </row>
    <row r="477" spans="1:25" ht="13" customHeight="1">
      <c r="A477" s="11">
        <v>471</v>
      </c>
      <c r="B477" s="11">
        <v>206953970</v>
      </c>
      <c r="C477" s="89" t="s">
        <v>2601</v>
      </c>
      <c r="D477" s="11" t="s">
        <v>2602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39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86" t="s">
        <v>35</v>
      </c>
      <c r="P477" s="11" t="s">
        <v>80</v>
      </c>
      <c r="Q477" s="82" t="s">
        <v>90</v>
      </c>
      <c r="R477" s="11" t="s">
        <v>224</v>
      </c>
      <c r="S477" s="54" t="s">
        <v>2715</v>
      </c>
      <c r="T477" s="116" t="s">
        <v>10</v>
      </c>
      <c r="U477" s="88"/>
      <c r="V477" s="51">
        <v>46051</v>
      </c>
      <c r="W477" s="29" t="s">
        <v>1573</v>
      </c>
      <c r="X477" s="135" t="str">
        <f>VLOOKUP(Table1[[#This Row],[AMZ ID]],[1]Roster_1787503287932!$D$2:$AU$1370,25,0)</f>
        <v>Not Present</v>
      </c>
      <c r="Y477" s="135">
        <f>VLOOKUP(Table1[[#This Row],[AMZ ID]],[1]Roster_1787503287932!$D$2:$AM$1370,35,0)</f>
        <v>0</v>
      </c>
    </row>
    <row r="478" spans="1:25" ht="13" customHeight="1">
      <c r="A478" s="11">
        <v>472</v>
      </c>
      <c r="B478" s="47">
        <v>206873867</v>
      </c>
      <c r="C478" s="89" t="s">
        <v>2603</v>
      </c>
      <c r="D478" s="11" t="s">
        <v>2604</v>
      </c>
      <c r="E478" s="48" t="s">
        <v>31</v>
      </c>
      <c r="F478" s="48" t="s">
        <v>74</v>
      </c>
      <c r="G478" s="48" t="s">
        <v>64</v>
      </c>
      <c r="H478" s="48" t="s">
        <v>75</v>
      </c>
      <c r="I478" s="11">
        <v>1299</v>
      </c>
      <c r="J478" s="49" t="s">
        <v>39</v>
      </c>
      <c r="K478" s="49" t="s">
        <v>76</v>
      </c>
      <c r="L478" s="49" t="s">
        <v>77</v>
      </c>
      <c r="M478" s="49" t="s">
        <v>78</v>
      </c>
      <c r="N478" s="49" t="s">
        <v>89</v>
      </c>
      <c r="O478" s="48" t="s">
        <v>35</v>
      </c>
      <c r="P478" s="48" t="s">
        <v>80</v>
      </c>
      <c r="Q478" s="11" t="s">
        <v>90</v>
      </c>
      <c r="R478" s="11" t="s">
        <v>231</v>
      </c>
      <c r="S478" s="11" t="s">
        <v>1753</v>
      </c>
      <c r="T478" s="116" t="s">
        <v>10</v>
      </c>
      <c r="U478" s="88"/>
      <c r="V478" s="51">
        <v>46020</v>
      </c>
      <c r="W478" s="97" t="s">
        <v>1573</v>
      </c>
      <c r="X478" s="135" t="str">
        <f>VLOOKUP(Table1[[#This Row],[AMZ ID]],[1]Roster_1787503287932!$D$2:$AU$1370,25,0)</f>
        <v>Not Present</v>
      </c>
      <c r="Y478" s="135">
        <f>VLOOKUP(Table1[[#This Row],[AMZ ID]],[1]Roster_1787503287932!$D$2:$AM$1370,35,0)</f>
        <v>0</v>
      </c>
    </row>
    <row r="479" spans="1:25" ht="13" customHeight="1">
      <c r="A479" s="11">
        <v>473</v>
      </c>
      <c r="B479" s="47">
        <v>203468399</v>
      </c>
      <c r="C479" s="89" t="s">
        <v>493</v>
      </c>
      <c r="D479" s="11" t="s">
        <v>494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224</v>
      </c>
      <c r="S479" s="11" t="s">
        <v>2715</v>
      </c>
      <c r="T479" s="116" t="s">
        <v>10</v>
      </c>
      <c r="U479" s="88"/>
      <c r="V479" s="51">
        <v>45456</v>
      </c>
      <c r="W479" s="97" t="s">
        <v>1570</v>
      </c>
      <c r="X479" s="135" t="str">
        <f>VLOOKUP(Table1[[#This Row],[AMZ ID]],[1]Roster_1787503287932!$D$2:$AU$1370,25,0)</f>
        <v>Not Present</v>
      </c>
      <c r="Y479" s="135">
        <f>VLOOKUP(Table1[[#This Row],[AMZ ID]],[1]Roster_1787503287932!$D$2:$AM$1370,35,0)</f>
        <v>0</v>
      </c>
    </row>
    <row r="480" spans="1:25" ht="13" customHeight="1">
      <c r="A480" s="11">
        <v>474</v>
      </c>
      <c r="B480" s="47">
        <v>203736772</v>
      </c>
      <c r="C480" s="89" t="s">
        <v>495</v>
      </c>
      <c r="D480" s="11" t="s">
        <v>496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88</v>
      </c>
      <c r="M480" s="49" t="s">
        <v>95</v>
      </c>
      <c r="N480" s="48" t="s">
        <v>86</v>
      </c>
      <c r="O480" s="49" t="s">
        <v>35</v>
      </c>
      <c r="P480" s="11" t="s">
        <v>80</v>
      </c>
      <c r="Q480" s="11" t="s">
        <v>99</v>
      </c>
      <c r="R480" s="11" t="s">
        <v>231</v>
      </c>
      <c r="S480" s="11" t="s">
        <v>1753</v>
      </c>
      <c r="T480" s="116" t="s">
        <v>1</v>
      </c>
      <c r="U480" s="88"/>
      <c r="V480" s="51">
        <v>45502</v>
      </c>
      <c r="W480" s="97" t="s">
        <v>1573</v>
      </c>
      <c r="X480" s="135" t="str">
        <f>VLOOKUP(Table1[[#This Row],[AMZ ID]],[1]Roster_1787503287932!$D$2:$AU$1370,25,0)</f>
        <v>Present</v>
      </c>
      <c r="Y480" s="135">
        <f>VLOOKUP(Table1[[#This Row],[AMZ ID]],[1]Roster_1787503287932!$D$2:$AM$1370,35,0)</f>
        <v>0</v>
      </c>
    </row>
    <row r="481" spans="1:25" ht="13" customHeight="1">
      <c r="A481" s="11">
        <v>475</v>
      </c>
      <c r="B481" s="47">
        <v>204246604</v>
      </c>
      <c r="C481" s="89" t="s">
        <v>497</v>
      </c>
      <c r="D481" s="11" t="s">
        <v>498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32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49" t="s">
        <v>35</v>
      </c>
      <c r="P481" s="11" t="s">
        <v>80</v>
      </c>
      <c r="Q481" s="11" t="s">
        <v>87</v>
      </c>
      <c r="R481" s="11" t="s">
        <v>231</v>
      </c>
      <c r="S481" s="11" t="s">
        <v>1753</v>
      </c>
      <c r="T481" s="116" t="s">
        <v>10</v>
      </c>
      <c r="U481" s="88"/>
      <c r="V481" s="51">
        <v>45579</v>
      </c>
      <c r="W481" s="97" t="s">
        <v>1573</v>
      </c>
      <c r="X481" s="135" t="str">
        <f>VLOOKUP(Table1[[#This Row],[AMZ ID]],[1]Roster_1787503287932!$D$2:$AU$1370,25,0)</f>
        <v>Not Present</v>
      </c>
      <c r="Y481" s="135">
        <f>VLOOKUP(Table1[[#This Row],[AMZ ID]],[1]Roster_1787503287932!$D$2:$AM$1370,35,0)</f>
        <v>0</v>
      </c>
    </row>
    <row r="482" spans="1:25" ht="13" customHeight="1">
      <c r="A482" s="11">
        <v>476</v>
      </c>
      <c r="B482" s="47">
        <v>203709595</v>
      </c>
      <c r="C482" s="89" t="s">
        <v>499</v>
      </c>
      <c r="D482" s="11" t="s">
        <v>500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49" t="s">
        <v>35</v>
      </c>
      <c r="P482" s="11" t="s">
        <v>80</v>
      </c>
      <c r="Q482" s="11" t="s">
        <v>99</v>
      </c>
      <c r="R482" s="11" t="s">
        <v>231</v>
      </c>
      <c r="S482" s="11" t="s">
        <v>1753</v>
      </c>
      <c r="T482" s="116" t="s">
        <v>10</v>
      </c>
      <c r="U482" s="88"/>
      <c r="V482" s="51">
        <v>45495</v>
      </c>
      <c r="W482" s="97" t="s">
        <v>1573</v>
      </c>
      <c r="X482" s="135" t="str">
        <f>VLOOKUP(Table1[[#This Row],[AMZ ID]],[1]Roster_1787503287932!$D$2:$AU$1370,25,0)</f>
        <v>Not Present</v>
      </c>
      <c r="Y482" s="135">
        <f>VLOOKUP(Table1[[#This Row],[AMZ ID]],[1]Roster_1787503287932!$D$2:$AM$1370,35,0)</f>
        <v>0</v>
      </c>
    </row>
    <row r="483" spans="1:25" ht="13" customHeight="1">
      <c r="A483" s="11">
        <v>477</v>
      </c>
      <c r="B483" s="47">
        <v>204882806</v>
      </c>
      <c r="C483" s="89" t="s">
        <v>2605</v>
      </c>
      <c r="D483" s="11" t="s">
        <v>2606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32</v>
      </c>
      <c r="K483" s="49" t="s">
        <v>76</v>
      </c>
      <c r="L483" s="49" t="s">
        <v>77</v>
      </c>
      <c r="M483" s="49" t="s">
        <v>78</v>
      </c>
      <c r="N483" s="48" t="s">
        <v>86</v>
      </c>
      <c r="O483" s="49" t="s">
        <v>35</v>
      </c>
      <c r="P483" s="11" t="s">
        <v>80</v>
      </c>
      <c r="Q483" s="11" t="s">
        <v>90</v>
      </c>
      <c r="R483" s="11" t="s">
        <v>231</v>
      </c>
      <c r="S483" s="11" t="s">
        <v>1753</v>
      </c>
      <c r="T483" s="116" t="s">
        <v>10</v>
      </c>
      <c r="U483" s="88"/>
      <c r="V483" s="51">
        <v>45691</v>
      </c>
      <c r="W483" s="97" t="s">
        <v>1573</v>
      </c>
      <c r="X483" s="135" t="str">
        <f>VLOOKUP(Table1[[#This Row],[AMZ ID]],[1]Roster_1787503287932!$D$2:$AU$1370,25,0)</f>
        <v>Not Present</v>
      </c>
      <c r="Y483" s="135">
        <f>VLOOKUP(Table1[[#This Row],[AMZ ID]],[1]Roster_1787503287932!$D$2:$AM$1370,35,0)</f>
        <v>0</v>
      </c>
    </row>
    <row r="484" spans="1:25" ht="13" customHeight="1">
      <c r="A484" s="11">
        <v>478</v>
      </c>
      <c r="B484" s="47">
        <v>204967150</v>
      </c>
      <c r="C484" s="89" t="s">
        <v>2607</v>
      </c>
      <c r="D484" s="11" t="s">
        <v>2608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78</v>
      </c>
      <c r="M484" s="49" t="s">
        <v>92</v>
      </c>
      <c r="N484" s="48" t="s">
        <v>86</v>
      </c>
      <c r="O484" s="49" t="s">
        <v>35</v>
      </c>
      <c r="P484" s="11" t="s">
        <v>80</v>
      </c>
      <c r="Q484" s="11" t="s">
        <v>90</v>
      </c>
      <c r="R484" s="11" t="s">
        <v>231</v>
      </c>
      <c r="S484" s="11" t="s">
        <v>1753</v>
      </c>
      <c r="T484" s="116" t="s">
        <v>10</v>
      </c>
      <c r="U484" s="88"/>
      <c r="V484" s="51">
        <v>45826</v>
      </c>
      <c r="W484" s="97" t="s">
        <v>1573</v>
      </c>
      <c r="X484" s="135" t="str">
        <f>VLOOKUP(Table1[[#This Row],[AMZ ID]],[1]Roster_1787503287932!$D$2:$AU$1370,25,0)</f>
        <v>Not Present</v>
      </c>
      <c r="Y484" s="135">
        <f>VLOOKUP(Table1[[#This Row],[AMZ ID]],[1]Roster_1787503287932!$D$2:$AM$1370,35,0)</f>
        <v>0</v>
      </c>
    </row>
    <row r="485" spans="1:25" ht="13" customHeight="1">
      <c r="A485" s="11">
        <v>479</v>
      </c>
      <c r="B485" s="47">
        <v>203816300</v>
      </c>
      <c r="C485" s="89" t="s">
        <v>2609</v>
      </c>
      <c r="D485" s="11" t="s">
        <v>2610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39</v>
      </c>
      <c r="K485" s="49" t="s">
        <v>76</v>
      </c>
      <c r="L485" s="49" t="s">
        <v>78</v>
      </c>
      <c r="M485" s="49" t="s">
        <v>92</v>
      </c>
      <c r="N485" s="49" t="s">
        <v>89</v>
      </c>
      <c r="O485" s="49" t="s">
        <v>35</v>
      </c>
      <c r="P485" s="11" t="s">
        <v>80</v>
      </c>
      <c r="Q485" s="11" t="s">
        <v>90</v>
      </c>
      <c r="R485" s="11" t="s">
        <v>225</v>
      </c>
      <c r="S485" s="11" t="s">
        <v>226</v>
      </c>
      <c r="T485" s="116" t="s">
        <v>10</v>
      </c>
      <c r="U485" s="88"/>
      <c r="V485" s="51">
        <v>45524</v>
      </c>
      <c r="W485" s="97" t="s">
        <v>1572</v>
      </c>
      <c r="X485" s="135" t="str">
        <f>VLOOKUP(Table1[[#This Row],[AMZ ID]],[1]Roster_1787503287932!$D$2:$AU$1370,25,0)</f>
        <v>Not Present</v>
      </c>
      <c r="Y485" s="135">
        <f>VLOOKUP(Table1[[#This Row],[AMZ ID]],[1]Roster_1787503287932!$D$2:$AM$1370,35,0)</f>
        <v>0</v>
      </c>
    </row>
    <row r="486" spans="1:25" ht="13" customHeight="1">
      <c r="A486" s="11">
        <v>480</v>
      </c>
      <c r="B486" s="47">
        <v>203735944</v>
      </c>
      <c r="C486" s="89" t="s">
        <v>2611</v>
      </c>
      <c r="D486" s="11" t="s">
        <v>2612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95</v>
      </c>
      <c r="M486" s="49" t="s">
        <v>77</v>
      </c>
      <c r="N486" s="48" t="s">
        <v>86</v>
      </c>
      <c r="O486" s="49" t="s">
        <v>35</v>
      </c>
      <c r="P486" s="11" t="s">
        <v>80</v>
      </c>
      <c r="Q486" s="11" t="s">
        <v>90</v>
      </c>
      <c r="R486" s="11" t="s">
        <v>231</v>
      </c>
      <c r="S486" s="11" t="s">
        <v>1753</v>
      </c>
      <c r="T486" s="116" t="s">
        <v>1</v>
      </c>
      <c r="U486" s="88"/>
      <c r="V486" s="51">
        <v>45502</v>
      </c>
      <c r="W486" s="97" t="s">
        <v>1573</v>
      </c>
      <c r="X486" s="135" t="str">
        <f>VLOOKUP(Table1[[#This Row],[AMZ ID]],[1]Roster_1787503287932!$D$2:$AU$1370,25,0)</f>
        <v>Present</v>
      </c>
      <c r="Y486" s="135">
        <f>VLOOKUP(Table1[[#This Row],[AMZ ID]],[1]Roster_1787503287932!$D$2:$AM$1370,35,0)</f>
        <v>0</v>
      </c>
    </row>
    <row r="487" spans="1:25" ht="13" customHeight="1">
      <c r="A487" s="11">
        <v>481</v>
      </c>
      <c r="B487" s="47">
        <v>203736755</v>
      </c>
      <c r="C487" s="89" t="s">
        <v>501</v>
      </c>
      <c r="D487" s="11" t="s">
        <v>502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77</v>
      </c>
      <c r="M487" s="49" t="s">
        <v>78</v>
      </c>
      <c r="N487" s="48" t="s">
        <v>86</v>
      </c>
      <c r="O487" s="49" t="s">
        <v>35</v>
      </c>
      <c r="P487" s="11" t="s">
        <v>80</v>
      </c>
      <c r="Q487" s="11" t="s">
        <v>99</v>
      </c>
      <c r="R487" s="11" t="s">
        <v>231</v>
      </c>
      <c r="S487" s="11" t="s">
        <v>1753</v>
      </c>
      <c r="T487" s="116" t="s">
        <v>10</v>
      </c>
      <c r="U487" s="88"/>
      <c r="V487" s="51">
        <v>45502</v>
      </c>
      <c r="W487" s="97" t="s">
        <v>1573</v>
      </c>
      <c r="X487" s="135" t="str">
        <f>VLOOKUP(Table1[[#This Row],[AMZ ID]],[1]Roster_1787503287932!$D$2:$AU$1370,25,0)</f>
        <v>Not Present</v>
      </c>
      <c r="Y487" s="135">
        <f>VLOOKUP(Table1[[#This Row],[AMZ ID]],[1]Roster_1787503287932!$D$2:$AM$1370,35,0)</f>
        <v>0</v>
      </c>
    </row>
    <row r="488" spans="1:25" ht="13" customHeight="1">
      <c r="A488" s="11">
        <v>482</v>
      </c>
      <c r="B488" s="47">
        <v>206873871</v>
      </c>
      <c r="C488" s="89" t="s">
        <v>1770</v>
      </c>
      <c r="D488" s="11" t="s">
        <v>1771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78</v>
      </c>
      <c r="M488" s="49" t="s">
        <v>92</v>
      </c>
      <c r="N488" s="48" t="s">
        <v>89</v>
      </c>
      <c r="O488" s="49" t="s">
        <v>35</v>
      </c>
      <c r="P488" s="11" t="s">
        <v>80</v>
      </c>
      <c r="Q488" s="11" t="s">
        <v>90</v>
      </c>
      <c r="R488" s="11" t="s">
        <v>231</v>
      </c>
      <c r="S488" s="11" t="s">
        <v>1753</v>
      </c>
      <c r="T488" s="116" t="s">
        <v>10</v>
      </c>
      <c r="U488" s="88"/>
      <c r="V488" s="51">
        <v>46020</v>
      </c>
      <c r="W488" s="97" t="s">
        <v>1573</v>
      </c>
      <c r="X488" s="135" t="str">
        <f>VLOOKUP(Table1[[#This Row],[AMZ ID]],[1]Roster_1787503287932!$D$2:$AU$1370,25,0)</f>
        <v>Not Present</v>
      </c>
      <c r="Y488" s="135">
        <f>VLOOKUP(Table1[[#This Row],[AMZ ID]],[1]Roster_1787503287932!$D$2:$AM$1370,35,0)</f>
        <v>0</v>
      </c>
    </row>
    <row r="489" spans="1:25" ht="13" customHeight="1">
      <c r="A489" s="11">
        <v>483</v>
      </c>
      <c r="B489" s="47">
        <v>204890367</v>
      </c>
      <c r="C489" s="89" t="s">
        <v>503</v>
      </c>
      <c r="D489" s="11" t="s">
        <v>504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85</v>
      </c>
      <c r="M489" s="49" t="s">
        <v>88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231</v>
      </c>
      <c r="S489" s="11" t="s">
        <v>1753</v>
      </c>
      <c r="T489" s="116" t="s">
        <v>1</v>
      </c>
      <c r="U489" s="88"/>
      <c r="V489" s="51">
        <v>45826</v>
      </c>
      <c r="W489" s="97" t="s">
        <v>1573</v>
      </c>
      <c r="X489" s="135" t="str">
        <f>VLOOKUP(Table1[[#This Row],[AMZ ID]],[1]Roster_1787503287932!$D$2:$AU$1370,25,0)</f>
        <v>Present</v>
      </c>
      <c r="Y489" s="135">
        <f>VLOOKUP(Table1[[#This Row],[AMZ ID]],[1]Roster_1787503287932!$D$2:$AM$1370,35,0)</f>
        <v>0</v>
      </c>
    </row>
    <row r="490" spans="1:25" ht="13" customHeight="1">
      <c r="A490" s="11">
        <v>484</v>
      </c>
      <c r="B490" s="47">
        <v>203908841</v>
      </c>
      <c r="C490" s="89" t="s">
        <v>776</v>
      </c>
      <c r="D490" s="11" t="s">
        <v>777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78</v>
      </c>
      <c r="M490" s="49" t="s">
        <v>92</v>
      </c>
      <c r="N490" s="48" t="s">
        <v>79</v>
      </c>
      <c r="O490" s="49" t="s">
        <v>37</v>
      </c>
      <c r="P490" s="11" t="s">
        <v>80</v>
      </c>
      <c r="Q490" s="11" t="s">
        <v>81</v>
      </c>
      <c r="R490" s="49" t="s">
        <v>647</v>
      </c>
      <c r="S490" s="11" t="s">
        <v>1798</v>
      </c>
      <c r="T490" s="116" t="s">
        <v>10</v>
      </c>
      <c r="U490" s="88"/>
      <c r="V490" s="51">
        <v>45537</v>
      </c>
      <c r="W490" s="97" t="s">
        <v>1577</v>
      </c>
      <c r="X490" s="135" t="str">
        <f>VLOOKUP(Table1[[#This Row],[AMZ ID]],[1]Roster_1787503287932!$D$2:$AU$1370,25,0)</f>
        <v>Not Present</v>
      </c>
      <c r="Y490" s="135">
        <f>VLOOKUP(Table1[[#This Row],[AMZ ID]],[1]Roster_1787503287932!$D$2:$AM$1370,35,0)</f>
        <v>0</v>
      </c>
    </row>
    <row r="491" spans="1:25" ht="13" customHeight="1">
      <c r="A491" s="11">
        <v>485</v>
      </c>
      <c r="B491" s="47">
        <v>103986189</v>
      </c>
      <c r="C491" s="89" t="s">
        <v>507</v>
      </c>
      <c r="D491" s="11" t="s">
        <v>508</v>
      </c>
      <c r="E491" s="48" t="s">
        <v>34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39</v>
      </c>
      <c r="K491" s="49" t="s">
        <v>76</v>
      </c>
      <c r="L491" s="49" t="s">
        <v>95</v>
      </c>
      <c r="M491" s="49" t="s">
        <v>77</v>
      </c>
      <c r="N491" s="48" t="s">
        <v>97</v>
      </c>
      <c r="O491" s="49" t="s">
        <v>35</v>
      </c>
      <c r="P491" s="11" t="s">
        <v>80</v>
      </c>
      <c r="Q491" s="11" t="s">
        <v>98</v>
      </c>
      <c r="R491" s="11" t="s">
        <v>231</v>
      </c>
      <c r="S491" s="11" t="s">
        <v>1753</v>
      </c>
      <c r="T491" s="116" t="s">
        <v>1</v>
      </c>
      <c r="U491" s="88"/>
      <c r="V491" s="51">
        <v>44782</v>
      </c>
      <c r="W491" s="97" t="s">
        <v>1570</v>
      </c>
      <c r="X491" s="135" t="str">
        <f>VLOOKUP(Table1[[#This Row],[AMZ ID]],[1]Roster_1787503287932!$D$2:$AU$1370,25,0)</f>
        <v>Present</v>
      </c>
      <c r="Y491" s="135">
        <f>VLOOKUP(Table1[[#This Row],[AMZ ID]],[1]Roster_1787503287932!$D$2:$AM$1370,35,0)</f>
        <v>0</v>
      </c>
    </row>
    <row r="492" spans="1:25" ht="13" customHeight="1">
      <c r="A492" s="11">
        <v>486</v>
      </c>
      <c r="B492" s="47">
        <v>204403653</v>
      </c>
      <c r="C492" s="89" t="s">
        <v>509</v>
      </c>
      <c r="D492" s="11" t="s">
        <v>510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77</v>
      </c>
      <c r="M492" s="49" t="s">
        <v>78</v>
      </c>
      <c r="N492" s="48" t="s">
        <v>86</v>
      </c>
      <c r="O492" s="49" t="s">
        <v>35</v>
      </c>
      <c r="P492" s="11" t="s">
        <v>80</v>
      </c>
      <c r="Q492" s="11" t="s">
        <v>99</v>
      </c>
      <c r="R492" s="11" t="s">
        <v>231</v>
      </c>
      <c r="S492" s="11" t="s">
        <v>1753</v>
      </c>
      <c r="T492" s="116" t="s">
        <v>10</v>
      </c>
      <c r="U492" s="88"/>
      <c r="V492" s="51">
        <v>45596</v>
      </c>
      <c r="W492" s="97" t="s">
        <v>1573</v>
      </c>
      <c r="X492" s="135" t="str">
        <f>VLOOKUP(Table1[[#This Row],[AMZ ID]],[1]Roster_1787503287932!$D$2:$AU$1370,25,0)</f>
        <v>Not Present</v>
      </c>
      <c r="Y492" s="135">
        <f>VLOOKUP(Table1[[#This Row],[AMZ ID]],[1]Roster_1787503287932!$D$2:$AM$1370,35,0)</f>
        <v>0</v>
      </c>
    </row>
    <row r="493" spans="1:25" ht="13" customHeight="1">
      <c r="A493" s="11">
        <v>487</v>
      </c>
      <c r="B493" s="47">
        <v>204967148</v>
      </c>
      <c r="C493" s="89" t="s">
        <v>2613</v>
      </c>
      <c r="D493" s="11" t="s">
        <v>2614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39</v>
      </c>
      <c r="K493" s="49" t="s">
        <v>76</v>
      </c>
      <c r="L493" s="49" t="s">
        <v>92</v>
      </c>
      <c r="M493" s="49" t="s">
        <v>84</v>
      </c>
      <c r="N493" s="49" t="s">
        <v>89</v>
      </c>
      <c r="O493" s="49" t="s">
        <v>35</v>
      </c>
      <c r="P493" s="11" t="s">
        <v>80</v>
      </c>
      <c r="Q493" s="11" t="s">
        <v>90</v>
      </c>
      <c r="R493" s="11" t="s">
        <v>231</v>
      </c>
      <c r="S493" s="11" t="s">
        <v>1753</v>
      </c>
      <c r="T493" s="116" t="s">
        <v>1</v>
      </c>
      <c r="U493" s="88"/>
      <c r="V493" s="51">
        <v>45826</v>
      </c>
      <c r="W493" s="97" t="s">
        <v>1573</v>
      </c>
      <c r="X493" s="135" t="str">
        <f>VLOOKUP(Table1[[#This Row],[AMZ ID]],[1]Roster_1787503287932!$D$2:$AU$1370,25,0)</f>
        <v>Present</v>
      </c>
      <c r="Y493" s="135">
        <f>VLOOKUP(Table1[[#This Row],[AMZ ID]],[1]Roster_1787503287932!$D$2:$AM$1370,35,0)</f>
        <v>0</v>
      </c>
    </row>
    <row r="494" spans="1:25" ht="13" customHeight="1">
      <c r="A494" s="11">
        <v>488</v>
      </c>
      <c r="B494" s="47">
        <v>203813080</v>
      </c>
      <c r="C494" s="89" t="s">
        <v>511</v>
      </c>
      <c r="D494" s="11" t="s">
        <v>512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39</v>
      </c>
      <c r="K494" s="49" t="s">
        <v>76</v>
      </c>
      <c r="L494" s="49" t="s">
        <v>78</v>
      </c>
      <c r="M494" s="49" t="s">
        <v>92</v>
      </c>
      <c r="N494" s="48" t="s">
        <v>86</v>
      </c>
      <c r="O494" s="49" t="s">
        <v>35</v>
      </c>
      <c r="P494" s="11" t="s">
        <v>80</v>
      </c>
      <c r="Q494" s="11" t="s">
        <v>99</v>
      </c>
      <c r="R494" s="11" t="s">
        <v>231</v>
      </c>
      <c r="S494" s="11" t="s">
        <v>1753</v>
      </c>
      <c r="T494" s="116" t="s">
        <v>10</v>
      </c>
      <c r="U494" s="88"/>
      <c r="V494" s="51">
        <v>45517</v>
      </c>
      <c r="W494" s="97" t="s">
        <v>1573</v>
      </c>
      <c r="X494" s="135" t="str">
        <f>VLOOKUP(Table1[[#This Row],[AMZ ID]],[1]Roster_1787503287932!$D$2:$AU$1370,25,0)</f>
        <v>Not Present</v>
      </c>
      <c r="Y494" s="135">
        <f>VLOOKUP(Table1[[#This Row],[AMZ ID]],[1]Roster_1787503287932!$D$2:$AM$1370,35,0)</f>
        <v>0</v>
      </c>
    </row>
    <row r="495" spans="1:25" ht="13" customHeight="1">
      <c r="A495" s="11">
        <v>489</v>
      </c>
      <c r="B495" s="47">
        <v>206846697</v>
      </c>
      <c r="C495" s="89" t="s">
        <v>2615</v>
      </c>
      <c r="D495" s="47" t="s">
        <v>2616</v>
      </c>
      <c r="E495" s="47" t="s">
        <v>31</v>
      </c>
      <c r="F495" s="47" t="s">
        <v>74</v>
      </c>
      <c r="G495" s="47" t="s">
        <v>64</v>
      </c>
      <c r="H495" s="47" t="s">
        <v>75</v>
      </c>
      <c r="I495" s="47">
        <v>1299</v>
      </c>
      <c r="J495" s="49" t="s">
        <v>32</v>
      </c>
      <c r="K495" s="49" t="s">
        <v>76</v>
      </c>
      <c r="L495" s="49" t="s">
        <v>78</v>
      </c>
      <c r="M495" s="49" t="s">
        <v>92</v>
      </c>
      <c r="N495" s="49" t="s">
        <v>89</v>
      </c>
      <c r="O495" s="47" t="s">
        <v>35</v>
      </c>
      <c r="P495" s="47" t="s">
        <v>80</v>
      </c>
      <c r="Q495" s="47" t="s">
        <v>90</v>
      </c>
      <c r="R495" s="11" t="s">
        <v>231</v>
      </c>
      <c r="S495" s="47" t="s">
        <v>1753</v>
      </c>
      <c r="T495" s="116" t="s">
        <v>10</v>
      </c>
      <c r="U495" s="88"/>
      <c r="V495" s="51">
        <v>46013</v>
      </c>
      <c r="W495" s="132" t="s">
        <v>1573</v>
      </c>
      <c r="X495" s="135" t="str">
        <f>VLOOKUP(Table1[[#This Row],[AMZ ID]],[1]Roster_1787503287932!$D$2:$AU$1370,25,0)</f>
        <v>Not Present</v>
      </c>
      <c r="Y495" s="135">
        <f>VLOOKUP(Table1[[#This Row],[AMZ ID]],[1]Roster_1787503287932!$D$2:$AM$1370,35,0)</f>
        <v>0</v>
      </c>
    </row>
    <row r="496" spans="1:25" ht="13" customHeight="1">
      <c r="A496" s="11">
        <v>490</v>
      </c>
      <c r="B496" s="47">
        <v>204883234</v>
      </c>
      <c r="C496" s="89" t="s">
        <v>513</v>
      </c>
      <c r="D496" s="11" t="s">
        <v>514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78</v>
      </c>
      <c r="M496" s="49" t="s">
        <v>92</v>
      </c>
      <c r="N496" s="48" t="s">
        <v>86</v>
      </c>
      <c r="O496" s="49" t="s">
        <v>35</v>
      </c>
      <c r="P496" s="11" t="s">
        <v>80</v>
      </c>
      <c r="Q496" s="11" t="s">
        <v>87</v>
      </c>
      <c r="R496" s="11" t="s">
        <v>225</v>
      </c>
      <c r="S496" s="11" t="s">
        <v>226</v>
      </c>
      <c r="T496" s="116" t="s">
        <v>10</v>
      </c>
      <c r="U496" s="88"/>
      <c r="V496" s="51">
        <v>45691</v>
      </c>
      <c r="W496" s="97" t="s">
        <v>1572</v>
      </c>
      <c r="X496" s="135" t="str">
        <f>VLOOKUP(Table1[[#This Row],[AMZ ID]],[1]Roster_1787503287932!$D$2:$AU$1370,25,0)</f>
        <v>Not Present</v>
      </c>
      <c r="Y496" s="135">
        <f>VLOOKUP(Table1[[#This Row],[AMZ ID]],[1]Roster_1787503287932!$D$2:$AM$1370,35,0)</f>
        <v>0</v>
      </c>
    </row>
    <row r="497" spans="1:25" ht="13" customHeight="1">
      <c r="A497" s="11">
        <v>491</v>
      </c>
      <c r="B497" s="47">
        <v>203851274</v>
      </c>
      <c r="C497" s="89" t="s">
        <v>515</v>
      </c>
      <c r="D497" s="11" t="s">
        <v>516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78</v>
      </c>
      <c r="M497" s="49" t="s">
        <v>92</v>
      </c>
      <c r="N497" s="48" t="s">
        <v>517</v>
      </c>
      <c r="O497" s="49" t="s">
        <v>35</v>
      </c>
      <c r="P497" s="11" t="s">
        <v>80</v>
      </c>
      <c r="Q497" s="11" t="s">
        <v>99</v>
      </c>
      <c r="R497" s="11" t="s">
        <v>225</v>
      </c>
      <c r="S497" s="11" t="s">
        <v>226</v>
      </c>
      <c r="T497" s="116" t="s">
        <v>10</v>
      </c>
      <c r="U497" s="88"/>
      <c r="V497" s="51">
        <v>45524</v>
      </c>
      <c r="W497" s="97" t="s">
        <v>1573</v>
      </c>
      <c r="X497" s="135" t="str">
        <f>VLOOKUP(Table1[[#This Row],[AMZ ID]],[1]Roster_1787503287932!$D$2:$AU$1370,25,0)</f>
        <v>Not Present</v>
      </c>
      <c r="Y497" s="135">
        <f>VLOOKUP(Table1[[#This Row],[AMZ ID]],[1]Roster_1787503287932!$D$2:$AM$1370,35,0)</f>
        <v>0</v>
      </c>
    </row>
    <row r="498" spans="1:25" ht="13" customHeight="1">
      <c r="A498" s="11">
        <v>492</v>
      </c>
      <c r="B498" s="47">
        <v>205495599</v>
      </c>
      <c r="C498" s="89" t="s">
        <v>518</v>
      </c>
      <c r="D498" s="11" t="s">
        <v>519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78</v>
      </c>
      <c r="M498" s="49" t="s">
        <v>92</v>
      </c>
      <c r="N498" s="49" t="s">
        <v>89</v>
      </c>
      <c r="O498" s="49" t="s">
        <v>35</v>
      </c>
      <c r="P498" s="11" t="s">
        <v>80</v>
      </c>
      <c r="Q498" s="11" t="s">
        <v>96</v>
      </c>
      <c r="R498" s="11" t="s">
        <v>225</v>
      </c>
      <c r="S498" s="11" t="s">
        <v>226</v>
      </c>
      <c r="T498" s="116" t="s">
        <v>10</v>
      </c>
      <c r="U498" s="88"/>
      <c r="V498" s="51">
        <v>45831</v>
      </c>
      <c r="W498" s="97" t="s">
        <v>1574</v>
      </c>
      <c r="X498" s="135" t="str">
        <f>VLOOKUP(Table1[[#This Row],[AMZ ID]],[1]Roster_1787503287932!$D$2:$AU$1370,25,0)</f>
        <v>Not Present</v>
      </c>
      <c r="Y498" s="135">
        <f>VLOOKUP(Table1[[#This Row],[AMZ ID]],[1]Roster_1787503287932!$D$2:$AM$1370,35,0)</f>
        <v>0</v>
      </c>
    </row>
    <row r="499" spans="1:25" ht="13" customHeight="1">
      <c r="A499" s="11">
        <v>493</v>
      </c>
      <c r="B499" s="47">
        <v>203737250</v>
      </c>
      <c r="C499" s="89" t="s">
        <v>2617</v>
      </c>
      <c r="D499" s="11" t="s">
        <v>2618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84</v>
      </c>
      <c r="M499" s="49" t="s">
        <v>85</v>
      </c>
      <c r="N499" s="48" t="s">
        <v>86</v>
      </c>
      <c r="O499" s="49" t="s">
        <v>35</v>
      </c>
      <c r="P499" s="11" t="s">
        <v>80</v>
      </c>
      <c r="Q499" s="11" t="s">
        <v>90</v>
      </c>
      <c r="R499" s="11" t="s">
        <v>231</v>
      </c>
      <c r="S499" s="11" t="s">
        <v>1753</v>
      </c>
      <c r="T499" s="116" t="s">
        <v>1</v>
      </c>
      <c r="U499" s="88"/>
      <c r="V499" s="51">
        <v>45502</v>
      </c>
      <c r="W499" s="97" t="s">
        <v>1573</v>
      </c>
      <c r="X499" s="135" t="str">
        <f>VLOOKUP(Table1[[#This Row],[AMZ ID]],[1]Roster_1787503287932!$D$2:$AU$1370,25,0)</f>
        <v>Present</v>
      </c>
      <c r="Y499" s="135">
        <f>VLOOKUP(Table1[[#This Row],[AMZ ID]],[1]Roster_1787503287932!$D$2:$AM$1370,35,0)</f>
        <v>0</v>
      </c>
    </row>
    <row r="500" spans="1:25" ht="13" customHeight="1">
      <c r="A500" s="11">
        <v>494</v>
      </c>
      <c r="B500" s="47">
        <v>204967146</v>
      </c>
      <c r="C500" s="89" t="s">
        <v>2619</v>
      </c>
      <c r="D500" s="11" t="s">
        <v>2620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95</v>
      </c>
      <c r="M500" s="49" t="s">
        <v>77</v>
      </c>
      <c r="N500" s="49" t="s">
        <v>89</v>
      </c>
      <c r="O500" s="49" t="s">
        <v>35</v>
      </c>
      <c r="P500" s="11" t="s">
        <v>80</v>
      </c>
      <c r="Q500" s="11" t="s">
        <v>90</v>
      </c>
      <c r="R500" s="11" t="s">
        <v>231</v>
      </c>
      <c r="S500" s="11" t="s">
        <v>1753</v>
      </c>
      <c r="T500" s="116" t="s">
        <v>1</v>
      </c>
      <c r="U500" s="88"/>
      <c r="V500" s="51">
        <v>45826</v>
      </c>
      <c r="W500" s="97" t="s">
        <v>1573</v>
      </c>
      <c r="X500" s="135" t="str">
        <f>VLOOKUP(Table1[[#This Row],[AMZ ID]],[1]Roster_1787503287932!$D$2:$AU$1370,25,0)</f>
        <v>Present</v>
      </c>
      <c r="Y500" s="135">
        <f>VLOOKUP(Table1[[#This Row],[AMZ ID]],[1]Roster_1787503287932!$D$2:$AM$1370,35,0)</f>
        <v>0</v>
      </c>
    </row>
    <row r="501" spans="1:25" ht="13" customHeight="1">
      <c r="A501" s="11">
        <v>495</v>
      </c>
      <c r="B501" s="47">
        <v>206791444</v>
      </c>
      <c r="C501" s="89" t="s">
        <v>2621</v>
      </c>
      <c r="D501" s="11" t="s">
        <v>2622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9" t="s">
        <v>89</v>
      </c>
      <c r="O501" s="49" t="s">
        <v>35</v>
      </c>
      <c r="P501" s="11" t="s">
        <v>80</v>
      </c>
      <c r="Q501" s="11" t="s">
        <v>90</v>
      </c>
      <c r="R501" s="11" t="s">
        <v>224</v>
      </c>
      <c r="S501" s="11" t="s">
        <v>2715</v>
      </c>
      <c r="T501" s="116" t="s">
        <v>10</v>
      </c>
      <c r="U501" s="88"/>
      <c r="V501" s="51">
        <v>45999</v>
      </c>
      <c r="W501" s="97" t="s">
        <v>1573</v>
      </c>
      <c r="X501" s="135" t="str">
        <f>VLOOKUP(Table1[[#This Row],[AMZ ID]],[1]Roster_1787503287932!$D$2:$AU$1370,25,0)</f>
        <v>Not Present</v>
      </c>
      <c r="Y501" s="135">
        <f>VLOOKUP(Table1[[#This Row],[AMZ ID]],[1]Roster_1787503287932!$D$2:$AM$1370,35,0)</f>
        <v>0</v>
      </c>
    </row>
    <row r="502" spans="1:25" ht="13" customHeight="1">
      <c r="A502" s="11">
        <v>496</v>
      </c>
      <c r="B502" s="11">
        <v>206953813</v>
      </c>
      <c r="C502" s="89" t="s">
        <v>2623</v>
      </c>
      <c r="D502" s="11" t="s">
        <v>2624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39</v>
      </c>
      <c r="K502" s="49" t="s">
        <v>76</v>
      </c>
      <c r="L502" s="49" t="s">
        <v>78</v>
      </c>
      <c r="M502" s="49" t="s">
        <v>92</v>
      </c>
      <c r="N502" s="48" t="s">
        <v>86</v>
      </c>
      <c r="O502" s="86" t="s">
        <v>35</v>
      </c>
      <c r="P502" s="11" t="s">
        <v>80</v>
      </c>
      <c r="Q502" s="82" t="s">
        <v>90</v>
      </c>
      <c r="R502" s="11" t="s">
        <v>224</v>
      </c>
      <c r="S502" s="54" t="s">
        <v>2715</v>
      </c>
      <c r="T502" s="116" t="s">
        <v>10</v>
      </c>
      <c r="U502" s="88"/>
      <c r="V502" s="51">
        <v>46051</v>
      </c>
      <c r="W502" s="29" t="s">
        <v>1573</v>
      </c>
      <c r="X502" s="135" t="str">
        <f>VLOOKUP(Table1[[#This Row],[AMZ ID]],[1]Roster_1787503287932!$D$2:$AU$1370,25,0)</f>
        <v>Not Present</v>
      </c>
      <c r="Y502" s="135">
        <f>VLOOKUP(Table1[[#This Row],[AMZ ID]],[1]Roster_1787503287932!$D$2:$AM$1370,35,0)</f>
        <v>0</v>
      </c>
    </row>
    <row r="503" spans="1:25" ht="13" customHeight="1">
      <c r="A503" s="11">
        <v>497</v>
      </c>
      <c r="B503" s="47">
        <v>206873780</v>
      </c>
      <c r="C503" s="89" t="s">
        <v>2625</v>
      </c>
      <c r="D503" s="11" t="s">
        <v>2626</v>
      </c>
      <c r="E503" s="48" t="s">
        <v>31</v>
      </c>
      <c r="F503" s="48" t="s">
        <v>74</v>
      </c>
      <c r="G503" s="48" t="s">
        <v>64</v>
      </c>
      <c r="H503" s="48" t="s">
        <v>75</v>
      </c>
      <c r="I503" s="11">
        <v>1299</v>
      </c>
      <c r="J503" s="49" t="s">
        <v>39</v>
      </c>
      <c r="K503" s="49" t="s">
        <v>76</v>
      </c>
      <c r="L503" s="49" t="s">
        <v>78</v>
      </c>
      <c r="M503" s="49" t="s">
        <v>92</v>
      </c>
      <c r="N503" s="49" t="s">
        <v>89</v>
      </c>
      <c r="O503" s="48" t="s">
        <v>35</v>
      </c>
      <c r="P503" s="48" t="s">
        <v>80</v>
      </c>
      <c r="Q503" s="11" t="s">
        <v>90</v>
      </c>
      <c r="R503" s="11" t="s">
        <v>231</v>
      </c>
      <c r="S503" s="11" t="s">
        <v>1753</v>
      </c>
      <c r="T503" s="116" t="s">
        <v>10</v>
      </c>
      <c r="U503" s="88"/>
      <c r="V503" s="51">
        <v>46020</v>
      </c>
      <c r="W503" s="97" t="s">
        <v>1573</v>
      </c>
      <c r="X503" s="135" t="str">
        <f>VLOOKUP(Table1[[#This Row],[AMZ ID]],[1]Roster_1787503287932!$D$2:$AU$1370,25,0)</f>
        <v>Not Present</v>
      </c>
      <c r="Y503" s="135">
        <f>VLOOKUP(Table1[[#This Row],[AMZ ID]],[1]Roster_1787503287932!$D$2:$AM$1370,35,0)</f>
        <v>0</v>
      </c>
    </row>
    <row r="504" spans="1:25" ht="13" customHeight="1">
      <c r="A504" s="11">
        <v>498</v>
      </c>
      <c r="B504" s="47">
        <v>203800374</v>
      </c>
      <c r="C504" s="89" t="s">
        <v>2627</v>
      </c>
      <c r="D504" s="11" t="s">
        <v>2628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32</v>
      </c>
      <c r="K504" s="49" t="s">
        <v>76</v>
      </c>
      <c r="L504" s="49" t="s">
        <v>95</v>
      </c>
      <c r="M504" s="49" t="s">
        <v>77</v>
      </c>
      <c r="N504" s="49" t="s">
        <v>89</v>
      </c>
      <c r="O504" s="49" t="s">
        <v>35</v>
      </c>
      <c r="P504" s="11" t="s">
        <v>80</v>
      </c>
      <c r="Q504" s="11" t="s">
        <v>90</v>
      </c>
      <c r="R504" s="11" t="s">
        <v>231</v>
      </c>
      <c r="S504" s="11" t="s">
        <v>1753</v>
      </c>
      <c r="T504" s="116" t="s">
        <v>1</v>
      </c>
      <c r="U504" s="88"/>
      <c r="V504" s="51">
        <v>45516</v>
      </c>
      <c r="W504" s="97" t="s">
        <v>1573</v>
      </c>
      <c r="X504" s="135" t="str">
        <f>VLOOKUP(Table1[[#This Row],[AMZ ID]],[1]Roster_1787503287932!$D$2:$AU$1370,25,0)</f>
        <v>Present</v>
      </c>
      <c r="Y504" s="135">
        <f>VLOOKUP(Table1[[#This Row],[AMZ ID]],[1]Roster_1787503287932!$D$2:$AM$1370,35,0)</f>
        <v>0</v>
      </c>
    </row>
    <row r="505" spans="1:25" ht="13" customHeight="1">
      <c r="A505" s="11">
        <v>499</v>
      </c>
      <c r="B505" s="47">
        <v>204883245</v>
      </c>
      <c r="C505" s="89" t="s">
        <v>520</v>
      </c>
      <c r="D505" s="11" t="s">
        <v>521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84</v>
      </c>
      <c r="M505" s="49" t="s">
        <v>85</v>
      </c>
      <c r="N505" s="48" t="s">
        <v>86</v>
      </c>
      <c r="O505" s="49" t="s">
        <v>35</v>
      </c>
      <c r="P505" s="11" t="s">
        <v>80</v>
      </c>
      <c r="Q505" s="11" t="s">
        <v>87</v>
      </c>
      <c r="R505" s="11" t="s">
        <v>225</v>
      </c>
      <c r="S505" s="11" t="s">
        <v>226</v>
      </c>
      <c r="T505" s="116" t="s">
        <v>1</v>
      </c>
      <c r="U505" s="88"/>
      <c r="V505" s="51">
        <v>45691</v>
      </c>
      <c r="W505" s="97" t="s">
        <v>1572</v>
      </c>
      <c r="X505" s="135" t="str">
        <f>VLOOKUP(Table1[[#This Row],[AMZ ID]],[1]Roster_1787503287932!$D$2:$AU$1370,25,0)</f>
        <v>Present</v>
      </c>
      <c r="Y505" s="135">
        <f>VLOOKUP(Table1[[#This Row],[AMZ ID]],[1]Roster_1787503287932!$D$2:$AM$1370,35,0)</f>
        <v>0</v>
      </c>
    </row>
    <row r="506" spans="1:25" ht="13" customHeight="1">
      <c r="A506" s="11">
        <v>500</v>
      </c>
      <c r="B506" s="47">
        <v>205506476</v>
      </c>
      <c r="C506" s="89" t="s">
        <v>2629</v>
      </c>
      <c r="D506" s="11" t="s">
        <v>2630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78</v>
      </c>
      <c r="M506" s="49" t="s">
        <v>92</v>
      </c>
      <c r="N506" s="49" t="s">
        <v>89</v>
      </c>
      <c r="O506" s="49" t="s">
        <v>35</v>
      </c>
      <c r="P506" s="11" t="s">
        <v>80</v>
      </c>
      <c r="Q506" s="11" t="s">
        <v>96</v>
      </c>
      <c r="R506" s="11" t="s">
        <v>231</v>
      </c>
      <c r="S506" s="11" t="s">
        <v>1753</v>
      </c>
      <c r="T506" s="116" t="s">
        <v>10</v>
      </c>
      <c r="U506" s="88"/>
      <c r="V506" s="51">
        <v>45831</v>
      </c>
      <c r="W506" s="97" t="s">
        <v>1573</v>
      </c>
      <c r="X506" s="135" t="str">
        <f>VLOOKUP(Table1[[#This Row],[AMZ ID]],[1]Roster_1787503287932!$D$2:$AU$1370,25,0)</f>
        <v>Not Present</v>
      </c>
      <c r="Y506" s="135">
        <f>VLOOKUP(Table1[[#This Row],[AMZ ID]],[1]Roster_1787503287932!$D$2:$AM$1370,35,0)</f>
        <v>0</v>
      </c>
    </row>
    <row r="507" spans="1:25" ht="13" customHeight="1">
      <c r="A507" s="11">
        <v>501</v>
      </c>
      <c r="B507" s="47">
        <v>204405779</v>
      </c>
      <c r="C507" s="89" t="s">
        <v>522</v>
      </c>
      <c r="D507" s="11" t="s">
        <v>523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95</v>
      </c>
      <c r="M507" s="49" t="s">
        <v>77</v>
      </c>
      <c r="N507" s="48" t="s">
        <v>86</v>
      </c>
      <c r="O507" s="49" t="s">
        <v>35</v>
      </c>
      <c r="P507" s="11" t="s">
        <v>80</v>
      </c>
      <c r="Q507" s="11" t="s">
        <v>87</v>
      </c>
      <c r="R507" s="11" t="s">
        <v>225</v>
      </c>
      <c r="S507" s="11" t="s">
        <v>226</v>
      </c>
      <c r="T507" s="116" t="s">
        <v>1</v>
      </c>
      <c r="U507" s="88"/>
      <c r="V507" s="51">
        <v>45596</v>
      </c>
      <c r="W507" s="97" t="s">
        <v>1574</v>
      </c>
      <c r="X507" s="135" t="str">
        <f>VLOOKUP(Table1[[#This Row],[AMZ ID]],[1]Roster_1787503287932!$D$2:$AU$1370,25,0)</f>
        <v>Present</v>
      </c>
      <c r="Y507" s="135">
        <f>VLOOKUP(Table1[[#This Row],[AMZ ID]],[1]Roster_1787503287932!$D$2:$AM$1370,35,0)</f>
        <v>0</v>
      </c>
    </row>
    <row r="508" spans="1:25" ht="13" customHeight="1">
      <c r="A508" s="11">
        <v>502</v>
      </c>
      <c r="B508" s="47">
        <v>205495595</v>
      </c>
      <c r="C508" s="89" t="s">
        <v>524</v>
      </c>
      <c r="D508" s="11" t="s">
        <v>525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78</v>
      </c>
      <c r="M508" s="49" t="s">
        <v>92</v>
      </c>
      <c r="N508" s="49" t="s">
        <v>89</v>
      </c>
      <c r="O508" s="49" t="s">
        <v>35</v>
      </c>
      <c r="P508" s="11" t="s">
        <v>80</v>
      </c>
      <c r="Q508" s="11" t="s">
        <v>96</v>
      </c>
      <c r="R508" s="11" t="s">
        <v>231</v>
      </c>
      <c r="S508" s="11" t="s">
        <v>1753</v>
      </c>
      <c r="T508" s="116" t="s">
        <v>10</v>
      </c>
      <c r="U508" s="88"/>
      <c r="V508" s="51">
        <v>45831</v>
      </c>
      <c r="W508" s="97" t="s">
        <v>1573</v>
      </c>
      <c r="X508" s="135" t="str">
        <f>VLOOKUP(Table1[[#This Row],[AMZ ID]],[1]Roster_1787503287932!$D$2:$AU$1370,25,0)</f>
        <v>Not Present</v>
      </c>
      <c r="Y508" s="135">
        <f>VLOOKUP(Table1[[#This Row],[AMZ ID]],[1]Roster_1787503287932!$D$2:$AM$1370,35,0)</f>
        <v>0</v>
      </c>
    </row>
    <row r="509" spans="1:25" ht="13" customHeight="1">
      <c r="A509" s="11">
        <v>503</v>
      </c>
      <c r="B509" s="47">
        <v>203850937</v>
      </c>
      <c r="C509" s="89" t="s">
        <v>527</v>
      </c>
      <c r="D509" s="11" t="s">
        <v>528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8" t="s">
        <v>79</v>
      </c>
      <c r="O509" s="49" t="s">
        <v>35</v>
      </c>
      <c r="P509" s="11" t="s">
        <v>80</v>
      </c>
      <c r="Q509" s="11" t="s">
        <v>81</v>
      </c>
      <c r="R509" s="11" t="s">
        <v>225</v>
      </c>
      <c r="S509" s="11" t="s">
        <v>226</v>
      </c>
      <c r="T509" s="116" t="s">
        <v>10</v>
      </c>
      <c r="U509" s="88"/>
      <c r="V509" s="51">
        <v>45524</v>
      </c>
      <c r="W509" s="97" t="s">
        <v>1572</v>
      </c>
      <c r="X509" s="135" t="str">
        <f>VLOOKUP(Table1[[#This Row],[AMZ ID]],[1]Roster_1787503287932!$D$2:$AU$1370,25,0)</f>
        <v>Not Present</v>
      </c>
      <c r="Y509" s="135">
        <f>VLOOKUP(Table1[[#This Row],[AMZ ID]],[1]Roster_1787503287932!$D$2:$AM$1370,35,0)</f>
        <v>0</v>
      </c>
    </row>
    <row r="510" spans="1:25" ht="13" customHeight="1">
      <c r="A510" s="11">
        <v>504</v>
      </c>
      <c r="B510" s="47">
        <v>206129262</v>
      </c>
      <c r="C510" s="89" t="s">
        <v>1111</v>
      </c>
      <c r="D510" s="11" t="s">
        <v>1112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92</v>
      </c>
      <c r="M510" s="49" t="s">
        <v>84</v>
      </c>
      <c r="N510" s="48" t="s">
        <v>89</v>
      </c>
      <c r="O510" s="49" t="s">
        <v>37</v>
      </c>
      <c r="P510" s="11" t="s">
        <v>80</v>
      </c>
      <c r="Q510" s="11" t="s">
        <v>81</v>
      </c>
      <c r="R510" s="49" t="s">
        <v>647</v>
      </c>
      <c r="S510" s="11" t="s">
        <v>1798</v>
      </c>
      <c r="T510" s="116" t="s">
        <v>1</v>
      </c>
      <c r="U510" s="88"/>
      <c r="V510" s="51">
        <v>45929</v>
      </c>
      <c r="W510" s="97" t="s">
        <v>1577</v>
      </c>
      <c r="X510" s="135" t="str">
        <f>VLOOKUP(Table1[[#This Row],[AMZ ID]],[1]Roster_1787503287932!$D$2:$AU$1370,25,0)</f>
        <v>Present</v>
      </c>
      <c r="Y510" s="135">
        <f>VLOOKUP(Table1[[#This Row],[AMZ ID]],[1]Roster_1787503287932!$D$2:$AM$1370,35,0)</f>
        <v>0</v>
      </c>
    </row>
    <row r="511" spans="1:25" ht="13" customHeight="1">
      <c r="A511" s="11">
        <v>505</v>
      </c>
      <c r="B511" s="47">
        <v>204869089</v>
      </c>
      <c r="C511" s="89" t="s">
        <v>531</v>
      </c>
      <c r="D511" s="11" t="s">
        <v>532</v>
      </c>
      <c r="E511" s="48" t="s">
        <v>31</v>
      </c>
      <c r="F511" s="48" t="s">
        <v>74</v>
      </c>
      <c r="G511" s="48" t="s">
        <v>64</v>
      </c>
      <c r="H511" s="48" t="s">
        <v>75</v>
      </c>
      <c r="I511" s="11">
        <v>1299</v>
      </c>
      <c r="J511" s="49" t="s">
        <v>32</v>
      </c>
      <c r="K511" s="49" t="s">
        <v>76</v>
      </c>
      <c r="L511" s="49" t="s">
        <v>85</v>
      </c>
      <c r="M511" s="49" t="s">
        <v>88</v>
      </c>
      <c r="N511" s="49" t="s">
        <v>86</v>
      </c>
      <c r="O511" s="48" t="s">
        <v>35</v>
      </c>
      <c r="P511" s="48" t="s">
        <v>80</v>
      </c>
      <c r="Q511" s="11" t="s">
        <v>87</v>
      </c>
      <c r="R511" s="11" t="s">
        <v>231</v>
      </c>
      <c r="S511" s="11" t="s">
        <v>1753</v>
      </c>
      <c r="T511" s="116" t="s">
        <v>1</v>
      </c>
      <c r="U511" s="88"/>
      <c r="V511" s="51">
        <v>45691</v>
      </c>
      <c r="W511" s="97" t="s">
        <v>1573</v>
      </c>
      <c r="X511" s="135" t="str">
        <f>VLOOKUP(Table1[[#This Row],[AMZ ID]],[1]Roster_1787503287932!$D$2:$AU$1370,25,0)</f>
        <v>Present</v>
      </c>
      <c r="Y511" s="135">
        <f>VLOOKUP(Table1[[#This Row],[AMZ ID]],[1]Roster_1787503287932!$D$2:$AM$1370,35,0)</f>
        <v>0</v>
      </c>
    </row>
    <row r="512" spans="1:25" ht="13" customHeight="1">
      <c r="A512" s="11">
        <v>506</v>
      </c>
      <c r="B512" s="47">
        <v>206873793</v>
      </c>
      <c r="C512" s="89" t="s">
        <v>2631</v>
      </c>
      <c r="D512" s="11" t="s">
        <v>2632</v>
      </c>
      <c r="E512" s="48" t="s">
        <v>31</v>
      </c>
      <c r="F512" s="48" t="s">
        <v>74</v>
      </c>
      <c r="G512" s="48" t="s">
        <v>64</v>
      </c>
      <c r="H512" s="48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9" t="s">
        <v>89</v>
      </c>
      <c r="O512" s="48" t="s">
        <v>35</v>
      </c>
      <c r="P512" s="48" t="s">
        <v>80</v>
      </c>
      <c r="Q512" s="11" t="s">
        <v>90</v>
      </c>
      <c r="R512" s="11" t="s">
        <v>231</v>
      </c>
      <c r="S512" s="11" t="s">
        <v>1753</v>
      </c>
      <c r="T512" s="116" t="s">
        <v>10</v>
      </c>
      <c r="U512" s="88"/>
      <c r="V512" s="51">
        <v>46020</v>
      </c>
      <c r="W512" s="97" t="s">
        <v>1573</v>
      </c>
      <c r="X512" s="135" t="str">
        <f>VLOOKUP(Table1[[#This Row],[AMZ ID]],[1]Roster_1787503287932!$D$2:$AU$1370,25,0)</f>
        <v>Not Present</v>
      </c>
      <c r="Y512" s="135">
        <f>VLOOKUP(Table1[[#This Row],[AMZ ID]],[1]Roster_1787503287932!$D$2:$AM$1370,35,0)</f>
        <v>0</v>
      </c>
    </row>
    <row r="513" spans="1:25" ht="13" customHeight="1">
      <c r="A513" s="11">
        <v>507</v>
      </c>
      <c r="B513" s="47">
        <v>204883081</v>
      </c>
      <c r="C513" s="89" t="s">
        <v>533</v>
      </c>
      <c r="D513" s="11" t="s">
        <v>534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84</v>
      </c>
      <c r="M513" s="49" t="s">
        <v>85</v>
      </c>
      <c r="N513" s="48" t="s">
        <v>86</v>
      </c>
      <c r="O513" s="49" t="s">
        <v>35</v>
      </c>
      <c r="P513" s="11" t="s">
        <v>80</v>
      </c>
      <c r="Q513" s="11" t="s">
        <v>87</v>
      </c>
      <c r="R513" s="11" t="s">
        <v>225</v>
      </c>
      <c r="S513" s="11" t="s">
        <v>226</v>
      </c>
      <c r="T513" s="116" t="s">
        <v>1</v>
      </c>
      <c r="U513" s="88"/>
      <c r="V513" s="51">
        <v>45691</v>
      </c>
      <c r="W513" s="97" t="s">
        <v>1572</v>
      </c>
      <c r="X513" s="135" t="str">
        <f>VLOOKUP(Table1[[#This Row],[AMZ ID]],[1]Roster_1787503287932!$D$2:$AU$1370,25,0)</f>
        <v>Present</v>
      </c>
      <c r="Y513" s="135">
        <f>VLOOKUP(Table1[[#This Row],[AMZ ID]],[1]Roster_1787503287932!$D$2:$AM$1370,35,0)</f>
        <v>0</v>
      </c>
    </row>
    <row r="514" spans="1:25" ht="13" customHeight="1">
      <c r="A514" s="11">
        <v>508</v>
      </c>
      <c r="B514" s="47">
        <v>102718052</v>
      </c>
      <c r="C514" s="89" t="s">
        <v>535</v>
      </c>
      <c r="D514" s="11" t="s">
        <v>536</v>
      </c>
      <c r="E514" s="48" t="s">
        <v>34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39</v>
      </c>
      <c r="K514" s="49" t="s">
        <v>76</v>
      </c>
      <c r="L514" s="49" t="s">
        <v>95</v>
      </c>
      <c r="M514" s="49" t="s">
        <v>77</v>
      </c>
      <c r="N514" s="48" t="s">
        <v>108</v>
      </c>
      <c r="O514" s="49" t="s">
        <v>35</v>
      </c>
      <c r="P514" s="11" t="s">
        <v>80</v>
      </c>
      <c r="Q514" s="11" t="s">
        <v>98</v>
      </c>
      <c r="R514" s="11" t="s">
        <v>225</v>
      </c>
      <c r="S514" s="11" t="s">
        <v>226</v>
      </c>
      <c r="T514" s="116" t="s">
        <v>1</v>
      </c>
      <c r="U514" s="88"/>
      <c r="V514" s="51">
        <v>42990</v>
      </c>
      <c r="W514" s="97" t="s">
        <v>1574</v>
      </c>
      <c r="X514" s="135" t="str">
        <f>VLOOKUP(Table1[[#This Row],[AMZ ID]],[1]Roster_1787503287932!$D$2:$AU$1370,25,0)</f>
        <v>Present</v>
      </c>
      <c r="Y514" s="135">
        <f>VLOOKUP(Table1[[#This Row],[AMZ ID]],[1]Roster_1787503287932!$D$2:$AM$1370,35,0)</f>
        <v>0</v>
      </c>
    </row>
    <row r="515" spans="1:25" ht="13" customHeight="1">
      <c r="A515" s="11">
        <v>509</v>
      </c>
      <c r="B515" s="47">
        <v>204882798</v>
      </c>
      <c r="C515" s="89" t="s">
        <v>537</v>
      </c>
      <c r="D515" s="11" t="s">
        <v>538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39</v>
      </c>
      <c r="K515" s="49" t="s">
        <v>76</v>
      </c>
      <c r="L515" s="49" t="s">
        <v>95</v>
      </c>
      <c r="M515" s="49" t="s">
        <v>77</v>
      </c>
      <c r="N515" s="48" t="s">
        <v>86</v>
      </c>
      <c r="O515" s="49" t="s">
        <v>35</v>
      </c>
      <c r="P515" s="11" t="s">
        <v>80</v>
      </c>
      <c r="Q515" s="11" t="s">
        <v>90</v>
      </c>
      <c r="R515" s="11" t="s">
        <v>231</v>
      </c>
      <c r="S515" s="11" t="s">
        <v>1753</v>
      </c>
      <c r="T515" s="116" t="s">
        <v>7</v>
      </c>
      <c r="U515" s="88"/>
      <c r="V515" s="51">
        <v>45691</v>
      </c>
      <c r="W515" s="97" t="s">
        <v>1573</v>
      </c>
      <c r="X515" s="135" t="str">
        <f>VLOOKUP(Table1[[#This Row],[AMZ ID]],[1]Roster_1787503287932!$D$2:$AU$1370,25,0)</f>
        <v>Not Present</v>
      </c>
      <c r="Y515" s="135" t="str">
        <f>VLOOKUP(Table1[[#This Row],[AMZ ID]],[1]Roster_1787503287932!$D$2:$AM$1370,35,0)</f>
        <v>Carry Forwarded Annual Leave</v>
      </c>
    </row>
    <row r="516" spans="1:25" ht="13" customHeight="1">
      <c r="A516" s="11">
        <v>510</v>
      </c>
      <c r="B516" s="47">
        <v>204883239</v>
      </c>
      <c r="C516" s="89" t="s">
        <v>539</v>
      </c>
      <c r="D516" s="11" t="s">
        <v>540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77</v>
      </c>
      <c r="M516" s="49" t="s">
        <v>78</v>
      </c>
      <c r="N516" s="48" t="s">
        <v>86</v>
      </c>
      <c r="O516" s="49" t="s">
        <v>35</v>
      </c>
      <c r="P516" s="11" t="s">
        <v>80</v>
      </c>
      <c r="Q516" s="11" t="s">
        <v>87</v>
      </c>
      <c r="R516" s="11" t="s">
        <v>225</v>
      </c>
      <c r="S516" s="11" t="s">
        <v>226</v>
      </c>
      <c r="T516" s="116" t="s">
        <v>10</v>
      </c>
      <c r="U516" s="88"/>
      <c r="V516" s="51">
        <v>45691</v>
      </c>
      <c r="W516" s="97" t="s">
        <v>1572</v>
      </c>
      <c r="X516" s="135" t="str">
        <f>VLOOKUP(Table1[[#This Row],[AMZ ID]],[1]Roster_1787503287932!$D$2:$AU$1370,25,0)</f>
        <v>Not Present</v>
      </c>
      <c r="Y516" s="135">
        <f>VLOOKUP(Table1[[#This Row],[AMZ ID]],[1]Roster_1787503287932!$D$2:$AM$1370,35,0)</f>
        <v>0</v>
      </c>
    </row>
    <row r="517" spans="1:25" ht="13" customHeight="1">
      <c r="A517" s="11">
        <v>511</v>
      </c>
      <c r="B517" s="47">
        <v>206851159</v>
      </c>
      <c r="C517" s="89" t="s">
        <v>1799</v>
      </c>
      <c r="D517" s="11" t="s">
        <v>1800</v>
      </c>
      <c r="E517" s="48" t="s">
        <v>31</v>
      </c>
      <c r="F517" s="48" t="s">
        <v>74</v>
      </c>
      <c r="G517" s="48" t="s">
        <v>64</v>
      </c>
      <c r="H517" s="48" t="s">
        <v>75</v>
      </c>
      <c r="I517" s="11">
        <v>1299</v>
      </c>
      <c r="J517" s="49" t="s">
        <v>32</v>
      </c>
      <c r="K517" s="49" t="s">
        <v>76</v>
      </c>
      <c r="L517" s="49" t="s">
        <v>88</v>
      </c>
      <c r="M517" s="49" t="s">
        <v>95</v>
      </c>
      <c r="N517" s="49" t="s">
        <v>89</v>
      </c>
      <c r="O517" s="49" t="s">
        <v>37</v>
      </c>
      <c r="P517" s="49" t="s">
        <v>80</v>
      </c>
      <c r="Q517" s="49" t="s">
        <v>90</v>
      </c>
      <c r="R517" s="49" t="s">
        <v>1066</v>
      </c>
      <c r="S517" s="49" t="s">
        <v>2717</v>
      </c>
      <c r="T517" s="116" t="s">
        <v>7</v>
      </c>
      <c r="U517" s="88" t="s">
        <v>3015</v>
      </c>
      <c r="V517" s="51">
        <v>46013</v>
      </c>
      <c r="W517" s="97" t="s">
        <v>1577</v>
      </c>
      <c r="X517" s="135" t="str">
        <f>VLOOKUP(Table1[[#This Row],[AMZ ID]],[1]Roster_1787503287932!$D$2:$AU$1370,25,0)</f>
        <v>Not Present</v>
      </c>
      <c r="Y517" s="135" t="str">
        <f>VLOOKUP(Table1[[#This Row],[AMZ ID]],[1]Roster_1787503287932!$D$2:$AM$1370,35,0)</f>
        <v>Annual Leave</v>
      </c>
    </row>
    <row r="518" spans="1:25" ht="13" customHeight="1">
      <c r="A518" s="11">
        <v>512</v>
      </c>
      <c r="B518" s="47">
        <v>204882810</v>
      </c>
      <c r="C518" s="89" t="s">
        <v>543</v>
      </c>
      <c r="D518" s="11" t="s">
        <v>544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8" t="s">
        <v>86</v>
      </c>
      <c r="O518" s="49" t="s">
        <v>35</v>
      </c>
      <c r="P518" s="11" t="s">
        <v>80</v>
      </c>
      <c r="Q518" s="11" t="s">
        <v>90</v>
      </c>
      <c r="R518" s="11" t="s">
        <v>224</v>
      </c>
      <c r="S518" s="11" t="s">
        <v>2715</v>
      </c>
      <c r="T518" s="116" t="s">
        <v>10</v>
      </c>
      <c r="U518" s="88"/>
      <c r="V518" s="51">
        <v>45691</v>
      </c>
      <c r="W518" s="97" t="s">
        <v>1573</v>
      </c>
      <c r="X518" s="135" t="str">
        <f>VLOOKUP(Table1[[#This Row],[AMZ ID]],[1]Roster_1787503287932!$D$2:$AU$1370,25,0)</f>
        <v>Not Present</v>
      </c>
      <c r="Y518" s="135">
        <f>VLOOKUP(Table1[[#This Row],[AMZ ID]],[1]Roster_1787503287932!$D$2:$AM$1370,35,0)</f>
        <v>0</v>
      </c>
    </row>
    <row r="519" spans="1:25" ht="13" customHeight="1">
      <c r="A519" s="11">
        <v>513</v>
      </c>
      <c r="B519" s="11">
        <v>206873650</v>
      </c>
      <c r="C519" s="89" t="s">
        <v>1780</v>
      </c>
      <c r="D519" s="11" t="s">
        <v>1781</v>
      </c>
      <c r="E519" s="48" t="s">
        <v>31</v>
      </c>
      <c r="F519" s="48" t="s">
        <v>74</v>
      </c>
      <c r="G519" s="48" t="s">
        <v>64</v>
      </c>
      <c r="H519" s="48" t="s">
        <v>75</v>
      </c>
      <c r="I519" s="11">
        <v>1299</v>
      </c>
      <c r="J519" s="49" t="s">
        <v>32</v>
      </c>
      <c r="K519" s="49" t="s">
        <v>76</v>
      </c>
      <c r="L519" s="49" t="s">
        <v>78</v>
      </c>
      <c r="M519" s="49" t="s">
        <v>92</v>
      </c>
      <c r="N519" s="49" t="s">
        <v>89</v>
      </c>
      <c r="O519" s="48" t="s">
        <v>35</v>
      </c>
      <c r="P519" s="48" t="s">
        <v>80</v>
      </c>
      <c r="Q519" s="11" t="s">
        <v>81</v>
      </c>
      <c r="R519" s="11" t="s">
        <v>231</v>
      </c>
      <c r="S519" s="11" t="s">
        <v>1753</v>
      </c>
      <c r="T519" s="116" t="s">
        <v>10</v>
      </c>
      <c r="U519" s="88"/>
      <c r="V519" s="51">
        <v>46020</v>
      </c>
      <c r="W519" s="102" t="s">
        <v>1573</v>
      </c>
      <c r="X519" s="135" t="str">
        <f>VLOOKUP(Table1[[#This Row],[AMZ ID]],[1]Roster_1787503287932!$D$2:$AU$1370,25,0)</f>
        <v>Not Present</v>
      </c>
      <c r="Y519" s="135">
        <f>VLOOKUP(Table1[[#This Row],[AMZ ID]],[1]Roster_1787503287932!$D$2:$AM$1370,35,0)</f>
        <v>0</v>
      </c>
    </row>
    <row r="520" spans="1:25" ht="13" customHeight="1">
      <c r="A520" s="11">
        <v>514</v>
      </c>
      <c r="B520" s="47">
        <v>203800486</v>
      </c>
      <c r="C520" s="89" t="s">
        <v>2633</v>
      </c>
      <c r="D520" s="11" t="s">
        <v>2634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32</v>
      </c>
      <c r="K520" s="49" t="s">
        <v>76</v>
      </c>
      <c r="L520" s="49" t="s">
        <v>77</v>
      </c>
      <c r="M520" s="49" t="s">
        <v>78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231</v>
      </c>
      <c r="S520" s="11" t="s">
        <v>1753</v>
      </c>
      <c r="T520" s="116" t="s">
        <v>10</v>
      </c>
      <c r="U520" s="88"/>
      <c r="V520" s="51">
        <v>45516</v>
      </c>
      <c r="W520" s="97" t="s">
        <v>1573</v>
      </c>
      <c r="X520" s="135" t="str">
        <f>VLOOKUP(Table1[[#This Row],[AMZ ID]],[1]Roster_1787503287932!$D$2:$AU$1370,25,0)</f>
        <v>Not Present</v>
      </c>
      <c r="Y520" s="135">
        <f>VLOOKUP(Table1[[#This Row],[AMZ ID]],[1]Roster_1787503287932!$D$2:$AM$1370,35,0)</f>
        <v>0</v>
      </c>
    </row>
    <row r="521" spans="1:25" ht="13" customHeight="1">
      <c r="A521" s="11">
        <v>515</v>
      </c>
      <c r="B521" s="47">
        <v>206958286</v>
      </c>
      <c r="C521" s="89" t="s">
        <v>2120</v>
      </c>
      <c r="D521" s="11" t="s">
        <v>2043</v>
      </c>
      <c r="E521" s="48" t="s">
        <v>31</v>
      </c>
      <c r="F521" s="48" t="s">
        <v>74</v>
      </c>
      <c r="G521" s="11" t="s">
        <v>65</v>
      </c>
      <c r="H521" s="11" t="s">
        <v>1332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9" t="s">
        <v>89</v>
      </c>
      <c r="O521" s="49" t="s">
        <v>68</v>
      </c>
      <c r="P521" s="11" t="s">
        <v>80</v>
      </c>
      <c r="Q521" s="11" t="s">
        <v>96</v>
      </c>
      <c r="R521" s="11" t="s">
        <v>1336</v>
      </c>
      <c r="S521" s="11" t="s">
        <v>1337</v>
      </c>
      <c r="T521" s="116" t="s">
        <v>10</v>
      </c>
      <c r="U521" s="88"/>
      <c r="V521" s="51">
        <v>46048</v>
      </c>
      <c r="W521" s="97" t="s">
        <v>68</v>
      </c>
      <c r="X521" s="135" t="str">
        <f>VLOOKUP(Table1[[#This Row],[AMZ ID]],[1]Roster_1787503287932!$D$2:$AU$1370,25,0)</f>
        <v>Not Present</v>
      </c>
      <c r="Y521" s="135">
        <f>VLOOKUP(Table1[[#This Row],[AMZ ID]],[1]Roster_1787503287932!$D$2:$AM$1370,35,0)</f>
        <v>0</v>
      </c>
    </row>
    <row r="522" spans="1:25" ht="13" customHeight="1">
      <c r="A522" s="11">
        <v>516</v>
      </c>
      <c r="B522" s="47">
        <v>203816295</v>
      </c>
      <c r="C522" s="89" t="s">
        <v>2637</v>
      </c>
      <c r="D522" s="11" t="s">
        <v>2638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95</v>
      </c>
      <c r="M522" s="49" t="s">
        <v>77</v>
      </c>
      <c r="N522" s="48" t="s">
        <v>86</v>
      </c>
      <c r="O522" s="49" t="s">
        <v>35</v>
      </c>
      <c r="P522" s="11" t="s">
        <v>80</v>
      </c>
      <c r="Q522" s="11" t="s">
        <v>90</v>
      </c>
      <c r="R522" s="11" t="s">
        <v>225</v>
      </c>
      <c r="S522" s="11" t="s">
        <v>226</v>
      </c>
      <c r="T522" s="116" t="s">
        <v>1</v>
      </c>
      <c r="U522" s="88"/>
      <c r="V522" s="51">
        <v>45524</v>
      </c>
      <c r="W522" s="97" t="s">
        <v>1572</v>
      </c>
      <c r="X522" s="135" t="str">
        <f>VLOOKUP(Table1[[#This Row],[AMZ ID]],[1]Roster_1787503287932!$D$2:$AU$1370,25,0)</f>
        <v>Present</v>
      </c>
      <c r="Y522" s="135">
        <f>VLOOKUP(Table1[[#This Row],[AMZ ID]],[1]Roster_1787503287932!$D$2:$AM$1370,35,0)</f>
        <v>0</v>
      </c>
    </row>
    <row r="523" spans="1:25" ht="13" customHeight="1">
      <c r="A523" s="11">
        <v>517</v>
      </c>
      <c r="B523" s="47">
        <v>205608627</v>
      </c>
      <c r="C523" s="89" t="s">
        <v>2639</v>
      </c>
      <c r="D523" s="11" t="s">
        <v>2640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88</v>
      </c>
      <c r="M523" s="49" t="s">
        <v>95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231</v>
      </c>
      <c r="S523" s="11" t="s">
        <v>1753</v>
      </c>
      <c r="T523" s="116" t="s">
        <v>1</v>
      </c>
      <c r="U523" s="88"/>
      <c r="V523" s="51">
        <v>45845</v>
      </c>
      <c r="W523" s="97" t="s">
        <v>1573</v>
      </c>
      <c r="X523" s="135" t="str">
        <f>VLOOKUP(Table1[[#This Row],[AMZ ID]],[1]Roster_1787503287932!$D$2:$AU$1370,25,0)</f>
        <v>Present</v>
      </c>
      <c r="Y523" s="135">
        <f>VLOOKUP(Table1[[#This Row],[AMZ ID]],[1]Roster_1787503287932!$D$2:$AM$1370,35,0)</f>
        <v>0</v>
      </c>
    </row>
    <row r="524" spans="1:25" ht="13" customHeight="1">
      <c r="A524" s="11">
        <v>518</v>
      </c>
      <c r="B524" s="47">
        <v>203813082</v>
      </c>
      <c r="C524" s="89" t="s">
        <v>546</v>
      </c>
      <c r="D524" s="11" t="s">
        <v>547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39</v>
      </c>
      <c r="K524" s="49" t="s">
        <v>76</v>
      </c>
      <c r="L524" s="49" t="s">
        <v>77</v>
      </c>
      <c r="M524" s="49" t="s">
        <v>78</v>
      </c>
      <c r="N524" s="48" t="s">
        <v>86</v>
      </c>
      <c r="O524" s="49" t="s">
        <v>35</v>
      </c>
      <c r="P524" s="11" t="s">
        <v>80</v>
      </c>
      <c r="Q524" s="11" t="s">
        <v>99</v>
      </c>
      <c r="R524" s="11" t="s">
        <v>231</v>
      </c>
      <c r="S524" s="11" t="s">
        <v>1753</v>
      </c>
      <c r="T524" s="116" t="s">
        <v>10</v>
      </c>
      <c r="U524" s="88"/>
      <c r="V524" s="51">
        <v>45517</v>
      </c>
      <c r="W524" s="97" t="s">
        <v>1573</v>
      </c>
      <c r="X524" s="135" t="str">
        <f>VLOOKUP(Table1[[#This Row],[AMZ ID]],[1]Roster_1787503287932!$D$2:$AU$1370,25,0)</f>
        <v>Not Present</v>
      </c>
      <c r="Y524" s="135">
        <f>VLOOKUP(Table1[[#This Row],[AMZ ID]],[1]Roster_1787503287932!$D$2:$AM$1370,35,0)</f>
        <v>0</v>
      </c>
    </row>
    <row r="525" spans="1:25" ht="13" customHeight="1">
      <c r="A525" s="11">
        <v>519</v>
      </c>
      <c r="B525" s="11">
        <v>206873561</v>
      </c>
      <c r="C525" s="89" t="s">
        <v>1774</v>
      </c>
      <c r="D525" s="11" t="s">
        <v>1775</v>
      </c>
      <c r="E525" s="48" t="s">
        <v>31</v>
      </c>
      <c r="F525" s="48" t="s">
        <v>74</v>
      </c>
      <c r="G525" s="48" t="s">
        <v>64</v>
      </c>
      <c r="H525" s="48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9" t="s">
        <v>89</v>
      </c>
      <c r="O525" s="48" t="s">
        <v>35</v>
      </c>
      <c r="P525" s="48" t="s">
        <v>80</v>
      </c>
      <c r="Q525" s="11" t="s">
        <v>81</v>
      </c>
      <c r="R525" s="11" t="s">
        <v>225</v>
      </c>
      <c r="S525" s="11" t="s">
        <v>226</v>
      </c>
      <c r="T525" s="116" t="s">
        <v>10</v>
      </c>
      <c r="U525" s="88"/>
      <c r="V525" s="51">
        <v>46020</v>
      </c>
      <c r="W525" s="97" t="s">
        <v>1572</v>
      </c>
      <c r="X525" s="135" t="str">
        <f>VLOOKUP(Table1[[#This Row],[AMZ ID]],[1]Roster_1787503287932!$D$2:$AU$1370,25,0)</f>
        <v>Not Present</v>
      </c>
      <c r="Y525" s="135">
        <f>VLOOKUP(Table1[[#This Row],[AMZ ID]],[1]Roster_1787503287932!$D$2:$AM$1370,35,0)</f>
        <v>0</v>
      </c>
    </row>
    <row r="526" spans="1:25" ht="13" customHeight="1">
      <c r="A526" s="11">
        <v>520</v>
      </c>
      <c r="B526" s="47">
        <v>204246169</v>
      </c>
      <c r="C526" s="89" t="s">
        <v>548</v>
      </c>
      <c r="D526" s="11" t="s">
        <v>549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85</v>
      </c>
      <c r="M526" s="49" t="s">
        <v>88</v>
      </c>
      <c r="N526" s="48" t="s">
        <v>86</v>
      </c>
      <c r="O526" s="49" t="s">
        <v>35</v>
      </c>
      <c r="P526" s="11" t="s">
        <v>80</v>
      </c>
      <c r="Q526" s="11" t="s">
        <v>87</v>
      </c>
      <c r="R526" s="11" t="s">
        <v>231</v>
      </c>
      <c r="S526" s="11" t="s">
        <v>1753</v>
      </c>
      <c r="T526" s="116" t="s">
        <v>1</v>
      </c>
      <c r="U526" s="88"/>
      <c r="V526" s="51">
        <v>45579</v>
      </c>
      <c r="W526" s="97" t="s">
        <v>1573</v>
      </c>
      <c r="X526" s="135" t="str">
        <f>VLOOKUP(Table1[[#This Row],[AMZ ID]],[1]Roster_1787503287932!$D$2:$AU$1370,25,0)</f>
        <v>Present</v>
      </c>
      <c r="Y526" s="135">
        <f>VLOOKUP(Table1[[#This Row],[AMZ ID]],[1]Roster_1787503287932!$D$2:$AM$1370,35,0)</f>
        <v>0</v>
      </c>
    </row>
    <row r="527" spans="1:25" ht="13" customHeight="1">
      <c r="A527" s="11">
        <v>521</v>
      </c>
      <c r="B527" s="47">
        <v>204967046</v>
      </c>
      <c r="C527" s="89" t="s">
        <v>550</v>
      </c>
      <c r="D527" s="11" t="s">
        <v>551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78</v>
      </c>
      <c r="M527" s="49" t="s">
        <v>92</v>
      </c>
      <c r="N527" s="49" t="s">
        <v>89</v>
      </c>
      <c r="O527" s="49" t="s">
        <v>35</v>
      </c>
      <c r="P527" s="11" t="s">
        <v>80</v>
      </c>
      <c r="Q527" s="11" t="s">
        <v>90</v>
      </c>
      <c r="R527" s="11" t="s">
        <v>231</v>
      </c>
      <c r="S527" s="11" t="s">
        <v>1753</v>
      </c>
      <c r="T527" s="116" t="s">
        <v>10</v>
      </c>
      <c r="U527" s="88"/>
      <c r="V527" s="51">
        <v>45826</v>
      </c>
      <c r="W527" s="97" t="s">
        <v>1573</v>
      </c>
      <c r="X527" s="135" t="str">
        <f>VLOOKUP(Table1[[#This Row],[AMZ ID]],[1]Roster_1787503287932!$D$2:$AU$1370,25,0)</f>
        <v>Not Present</v>
      </c>
      <c r="Y527" s="135">
        <f>VLOOKUP(Table1[[#This Row],[AMZ ID]],[1]Roster_1787503287932!$D$2:$AM$1370,35,0)</f>
        <v>0</v>
      </c>
    </row>
    <row r="528" spans="1:25" ht="13" customHeight="1">
      <c r="A528" s="11">
        <v>522</v>
      </c>
      <c r="B528" s="47">
        <v>204246605</v>
      </c>
      <c r="C528" s="89" t="s">
        <v>552</v>
      </c>
      <c r="D528" s="11" t="s">
        <v>553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92</v>
      </c>
      <c r="M528" s="49" t="s">
        <v>84</v>
      </c>
      <c r="N528" s="48" t="s">
        <v>86</v>
      </c>
      <c r="O528" s="49" t="s">
        <v>35</v>
      </c>
      <c r="P528" s="11" t="s">
        <v>80</v>
      </c>
      <c r="Q528" s="11" t="s">
        <v>87</v>
      </c>
      <c r="R528" s="11" t="s">
        <v>231</v>
      </c>
      <c r="S528" s="11" t="s">
        <v>1753</v>
      </c>
      <c r="T528" s="116" t="s">
        <v>4</v>
      </c>
      <c r="U528" s="88"/>
      <c r="V528" s="51">
        <v>45579</v>
      </c>
      <c r="W528" s="97" t="s">
        <v>1573</v>
      </c>
      <c r="X528" s="135" t="str">
        <f>VLOOKUP(Table1[[#This Row],[AMZ ID]],[1]Roster_1787503287932!$D$2:$AU$1370,25,0)</f>
        <v>Not Present</v>
      </c>
      <c r="Y528" s="135">
        <f>VLOOKUP(Table1[[#This Row],[AMZ ID]],[1]Roster_1787503287932!$D$2:$AM$1370,35,0)</f>
        <v>0</v>
      </c>
    </row>
    <row r="529" spans="1:25" ht="13" customHeight="1">
      <c r="A529" s="11">
        <v>523</v>
      </c>
      <c r="B529" s="47">
        <v>203965523</v>
      </c>
      <c r="C529" s="89" t="s">
        <v>554</v>
      </c>
      <c r="D529" s="11" t="s">
        <v>555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77</v>
      </c>
      <c r="M529" s="49" t="s">
        <v>78</v>
      </c>
      <c r="N529" s="48" t="s">
        <v>79</v>
      </c>
      <c r="O529" s="49" t="s">
        <v>35</v>
      </c>
      <c r="P529" s="11" t="s">
        <v>80</v>
      </c>
      <c r="Q529" s="11" t="s">
        <v>81</v>
      </c>
      <c r="R529" s="11" t="s">
        <v>231</v>
      </c>
      <c r="S529" s="11" t="s">
        <v>1753</v>
      </c>
      <c r="T529" s="116" t="s">
        <v>10</v>
      </c>
      <c r="U529" s="88"/>
      <c r="V529" s="51">
        <v>45544</v>
      </c>
      <c r="W529" s="97" t="s">
        <v>1573</v>
      </c>
      <c r="X529" s="135" t="str">
        <f>VLOOKUP(Table1[[#This Row],[AMZ ID]],[1]Roster_1787503287932!$D$2:$AU$1370,25,0)</f>
        <v>Not Present</v>
      </c>
      <c r="Y529" s="135">
        <f>VLOOKUP(Table1[[#This Row],[AMZ ID]],[1]Roster_1787503287932!$D$2:$AM$1370,35,0)</f>
        <v>0</v>
      </c>
    </row>
    <row r="530" spans="1:25" ht="13" customHeight="1">
      <c r="A530" s="11">
        <v>524</v>
      </c>
      <c r="B530" s="47">
        <v>206513281</v>
      </c>
      <c r="C530" s="89" t="s">
        <v>2641</v>
      </c>
      <c r="D530" s="11" t="s">
        <v>2642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9" t="s">
        <v>89</v>
      </c>
      <c r="O530" s="49" t="s">
        <v>35</v>
      </c>
      <c r="P530" s="11" t="s">
        <v>80</v>
      </c>
      <c r="Q530" s="11" t="s">
        <v>90</v>
      </c>
      <c r="R530" s="11" t="s">
        <v>231</v>
      </c>
      <c r="S530" s="11" t="s">
        <v>1753</v>
      </c>
      <c r="T530" s="116" t="s">
        <v>10</v>
      </c>
      <c r="U530" s="88"/>
      <c r="V530" s="51">
        <v>45971</v>
      </c>
      <c r="W530" s="97" t="s">
        <v>1573</v>
      </c>
      <c r="X530" s="135" t="str">
        <f>VLOOKUP(Table1[[#This Row],[AMZ ID]],[1]Roster_1787503287932!$D$2:$AU$1370,25,0)</f>
        <v>Not Present</v>
      </c>
      <c r="Y530" s="135">
        <f>VLOOKUP(Table1[[#This Row],[AMZ ID]],[1]Roster_1787503287932!$D$2:$AM$1370,35,0)</f>
        <v>0</v>
      </c>
    </row>
    <row r="531" spans="1:25" ht="13" customHeight="1">
      <c r="A531" s="11">
        <v>525</v>
      </c>
      <c r="B531" s="47">
        <v>203796750</v>
      </c>
      <c r="C531" s="89" t="s">
        <v>556</v>
      </c>
      <c r="D531" s="11" t="s">
        <v>557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95</v>
      </c>
      <c r="M531" s="49" t="s">
        <v>77</v>
      </c>
      <c r="N531" s="48" t="s">
        <v>79</v>
      </c>
      <c r="O531" s="49" t="s">
        <v>35</v>
      </c>
      <c r="P531" s="11" t="s">
        <v>80</v>
      </c>
      <c r="Q531" s="11" t="s">
        <v>81</v>
      </c>
      <c r="R531" s="11" t="s">
        <v>231</v>
      </c>
      <c r="S531" s="11" t="s">
        <v>1753</v>
      </c>
      <c r="T531" s="116" t="s">
        <v>1</v>
      </c>
      <c r="U531" s="88"/>
      <c r="V531" s="51">
        <v>45516</v>
      </c>
      <c r="W531" s="97" t="s">
        <v>1573</v>
      </c>
      <c r="X531" s="135" t="str">
        <f>VLOOKUP(Table1[[#This Row],[AMZ ID]],[1]Roster_1787503287932!$D$2:$AU$1370,25,0)</f>
        <v>Present</v>
      </c>
      <c r="Y531" s="135">
        <f>VLOOKUP(Table1[[#This Row],[AMZ ID]],[1]Roster_1787503287932!$D$2:$AM$1370,35,0)</f>
        <v>0</v>
      </c>
    </row>
    <row r="532" spans="1:25" ht="13" customHeight="1">
      <c r="A532" s="11">
        <v>526</v>
      </c>
      <c r="B532" s="47">
        <v>206073367</v>
      </c>
      <c r="C532" s="89" t="s">
        <v>558</v>
      </c>
      <c r="D532" s="11" t="s">
        <v>559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8" t="s">
        <v>79</v>
      </c>
      <c r="O532" s="49" t="s">
        <v>35</v>
      </c>
      <c r="P532" s="11" t="s">
        <v>80</v>
      </c>
      <c r="Q532" s="11" t="s">
        <v>81</v>
      </c>
      <c r="R532" s="11" t="s">
        <v>231</v>
      </c>
      <c r="S532" s="11" t="s">
        <v>1753</v>
      </c>
      <c r="T532" s="116" t="s">
        <v>10</v>
      </c>
      <c r="U532" s="88"/>
      <c r="V532" s="51">
        <v>45922</v>
      </c>
      <c r="W532" s="97" t="s">
        <v>1573</v>
      </c>
      <c r="X532" s="135" t="str">
        <f>VLOOKUP(Table1[[#This Row],[AMZ ID]],[1]Roster_1787503287932!$D$2:$AU$1370,25,0)</f>
        <v>Not Present</v>
      </c>
      <c r="Y532" s="135">
        <f>VLOOKUP(Table1[[#This Row],[AMZ ID]],[1]Roster_1787503287932!$D$2:$AM$1370,35,0)</f>
        <v>0</v>
      </c>
    </row>
    <row r="533" spans="1:25" ht="13" customHeight="1">
      <c r="A533" s="11">
        <v>527</v>
      </c>
      <c r="B533" s="47">
        <v>203816757</v>
      </c>
      <c r="C533" s="89" t="s">
        <v>2643</v>
      </c>
      <c r="D533" s="11" t="s">
        <v>2644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8" t="s">
        <v>86</v>
      </c>
      <c r="O533" s="49" t="s">
        <v>35</v>
      </c>
      <c r="P533" s="11" t="s">
        <v>80</v>
      </c>
      <c r="Q533" s="11" t="s">
        <v>90</v>
      </c>
      <c r="R533" s="11" t="s">
        <v>225</v>
      </c>
      <c r="S533" s="11" t="s">
        <v>226</v>
      </c>
      <c r="T533" s="116" t="s">
        <v>10</v>
      </c>
      <c r="U533" s="88"/>
      <c r="V533" s="51">
        <v>45518</v>
      </c>
      <c r="W533" s="97" t="s">
        <v>1572</v>
      </c>
      <c r="X533" s="135" t="str">
        <f>VLOOKUP(Table1[[#This Row],[AMZ ID]],[1]Roster_1787503287932!$D$2:$AU$1370,25,0)</f>
        <v>Not Present</v>
      </c>
      <c r="Y533" s="135">
        <f>VLOOKUP(Table1[[#This Row],[AMZ ID]],[1]Roster_1787503287932!$D$2:$AM$1370,35,0)</f>
        <v>0</v>
      </c>
    </row>
    <row r="534" spans="1:25" ht="13" customHeight="1">
      <c r="A534" s="11">
        <v>528</v>
      </c>
      <c r="B534" s="47">
        <v>205496019</v>
      </c>
      <c r="C534" s="89" t="s">
        <v>560</v>
      </c>
      <c r="D534" s="11" t="s">
        <v>561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9" t="s">
        <v>89</v>
      </c>
      <c r="O534" s="49" t="s">
        <v>35</v>
      </c>
      <c r="P534" s="11" t="s">
        <v>80</v>
      </c>
      <c r="Q534" s="11" t="s">
        <v>96</v>
      </c>
      <c r="R534" s="11" t="s">
        <v>231</v>
      </c>
      <c r="S534" s="11" t="s">
        <v>1753</v>
      </c>
      <c r="T534" s="116" t="s">
        <v>10</v>
      </c>
      <c r="U534" s="88"/>
      <c r="V534" s="51">
        <v>45831</v>
      </c>
      <c r="W534" s="97" t="s">
        <v>1573</v>
      </c>
      <c r="X534" s="135" t="str">
        <f>VLOOKUP(Table1[[#This Row],[AMZ ID]],[1]Roster_1787503287932!$D$2:$AU$1370,25,0)</f>
        <v>Not Present</v>
      </c>
      <c r="Y534" s="135">
        <f>VLOOKUP(Table1[[#This Row],[AMZ ID]],[1]Roster_1787503287932!$D$2:$AM$1370,35,0)</f>
        <v>0</v>
      </c>
    </row>
    <row r="535" spans="1:25" ht="13" customHeight="1">
      <c r="A535" s="11">
        <v>529</v>
      </c>
      <c r="B535" s="47">
        <v>206513285</v>
      </c>
      <c r="C535" s="89" t="s">
        <v>2645</v>
      </c>
      <c r="D535" s="11" t="s">
        <v>2646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39</v>
      </c>
      <c r="K535" s="49" t="s">
        <v>76</v>
      </c>
      <c r="L535" s="49" t="s">
        <v>84</v>
      </c>
      <c r="M535" s="49" t="s">
        <v>85</v>
      </c>
      <c r="N535" s="49" t="s">
        <v>89</v>
      </c>
      <c r="O535" s="49" t="s">
        <v>35</v>
      </c>
      <c r="P535" s="11" t="s">
        <v>80</v>
      </c>
      <c r="Q535" s="11" t="s">
        <v>90</v>
      </c>
      <c r="R535" s="11" t="s">
        <v>224</v>
      </c>
      <c r="S535" s="11" t="s">
        <v>2715</v>
      </c>
      <c r="T535" s="116" t="s">
        <v>1</v>
      </c>
      <c r="U535" s="88"/>
      <c r="V535" s="51">
        <v>45971</v>
      </c>
      <c r="W535" s="97" t="s">
        <v>1573</v>
      </c>
      <c r="X535" s="135" t="str">
        <f>VLOOKUP(Table1[[#This Row],[AMZ ID]],[1]Roster_1787503287932!$D$2:$AU$1370,25,0)</f>
        <v>Present</v>
      </c>
      <c r="Y535" s="135">
        <f>VLOOKUP(Table1[[#This Row],[AMZ ID]],[1]Roster_1787503287932!$D$2:$AM$1370,35,0)</f>
        <v>0</v>
      </c>
    </row>
    <row r="536" spans="1:25" ht="13" customHeight="1">
      <c r="A536" s="11">
        <v>530</v>
      </c>
      <c r="B536" s="47">
        <v>206004608</v>
      </c>
      <c r="C536" s="89" t="s">
        <v>562</v>
      </c>
      <c r="D536" s="11" t="s">
        <v>563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9" t="s">
        <v>89</v>
      </c>
      <c r="O536" s="49" t="s">
        <v>35</v>
      </c>
      <c r="P536" s="11" t="s">
        <v>80</v>
      </c>
      <c r="Q536" s="11" t="s">
        <v>81</v>
      </c>
      <c r="R536" s="11" t="s">
        <v>225</v>
      </c>
      <c r="S536" s="11" t="s">
        <v>226</v>
      </c>
      <c r="T536" s="116" t="s">
        <v>10</v>
      </c>
      <c r="U536" s="88"/>
      <c r="V536" s="51">
        <v>45915</v>
      </c>
      <c r="W536" s="97" t="s">
        <v>1574</v>
      </c>
      <c r="X536" s="135" t="str">
        <f>VLOOKUP(Table1[[#This Row],[AMZ ID]],[1]Roster_1787503287932!$D$2:$AU$1370,25,0)</f>
        <v>Not Present</v>
      </c>
      <c r="Y536" s="135">
        <f>VLOOKUP(Table1[[#This Row],[AMZ ID]],[1]Roster_1787503287932!$D$2:$AM$1370,35,0)</f>
        <v>0</v>
      </c>
    </row>
    <row r="537" spans="1:25" ht="13" customHeight="1">
      <c r="A537" s="11">
        <v>531</v>
      </c>
      <c r="B537" s="47">
        <v>206873879</v>
      </c>
      <c r="C537" s="89" t="s">
        <v>1768</v>
      </c>
      <c r="D537" s="11" t="s">
        <v>1769</v>
      </c>
      <c r="E537" s="48" t="s">
        <v>31</v>
      </c>
      <c r="F537" s="48" t="s">
        <v>74</v>
      </c>
      <c r="G537" s="48" t="s">
        <v>64</v>
      </c>
      <c r="H537" s="48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9" t="s">
        <v>89</v>
      </c>
      <c r="O537" s="48" t="s">
        <v>35</v>
      </c>
      <c r="P537" s="48" t="s">
        <v>80</v>
      </c>
      <c r="Q537" s="11" t="s">
        <v>90</v>
      </c>
      <c r="R537" s="11" t="s">
        <v>231</v>
      </c>
      <c r="S537" s="11" t="s">
        <v>1753</v>
      </c>
      <c r="T537" s="116" t="s">
        <v>10</v>
      </c>
      <c r="U537" s="88"/>
      <c r="V537" s="51">
        <v>46020</v>
      </c>
      <c r="W537" s="97" t="s">
        <v>1573</v>
      </c>
      <c r="X537" s="135" t="str">
        <f>VLOOKUP(Table1[[#This Row],[AMZ ID]],[1]Roster_1787503287932!$D$2:$AU$1370,25,0)</f>
        <v>Not Present</v>
      </c>
      <c r="Y537" s="135">
        <f>VLOOKUP(Table1[[#This Row],[AMZ ID]],[1]Roster_1787503287932!$D$2:$AM$1370,35,0)</f>
        <v>0</v>
      </c>
    </row>
    <row r="538" spans="1:25" ht="13" customHeight="1">
      <c r="A538" s="11">
        <v>532</v>
      </c>
      <c r="B538" s="47">
        <v>203736258</v>
      </c>
      <c r="C538" s="89" t="s">
        <v>2647</v>
      </c>
      <c r="D538" s="11" t="s">
        <v>2648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39</v>
      </c>
      <c r="K538" s="49" t="s">
        <v>76</v>
      </c>
      <c r="L538" s="49" t="s">
        <v>77</v>
      </c>
      <c r="M538" s="49" t="s">
        <v>78</v>
      </c>
      <c r="N538" s="48" t="s">
        <v>86</v>
      </c>
      <c r="O538" s="49" t="s">
        <v>35</v>
      </c>
      <c r="P538" s="11" t="s">
        <v>80</v>
      </c>
      <c r="Q538" s="11" t="s">
        <v>90</v>
      </c>
      <c r="R538" s="11" t="s">
        <v>231</v>
      </c>
      <c r="S538" s="11" t="s">
        <v>1753</v>
      </c>
      <c r="T538" s="116" t="s">
        <v>10</v>
      </c>
      <c r="U538" s="88"/>
      <c r="V538" s="51">
        <v>45502</v>
      </c>
      <c r="W538" s="97" t="s">
        <v>1573</v>
      </c>
      <c r="X538" s="135" t="str">
        <f>VLOOKUP(Table1[[#This Row],[AMZ ID]],[1]Roster_1787503287932!$D$2:$AU$1370,25,0)</f>
        <v>Not Present</v>
      </c>
      <c r="Y538" s="135" t="str">
        <f>VLOOKUP(Table1[[#This Row],[AMZ ID]],[1]Roster_1787503287932!$D$2:$AM$1370,35,0)</f>
        <v>Carry Forwarded Annual Leave</v>
      </c>
    </row>
    <row r="539" spans="1:25" ht="13" customHeight="1">
      <c r="A539" s="11">
        <v>533</v>
      </c>
      <c r="B539" s="47">
        <v>203468402</v>
      </c>
      <c r="C539" s="89" t="s">
        <v>564</v>
      </c>
      <c r="D539" s="11" t="s">
        <v>565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88</v>
      </c>
      <c r="M539" s="49" t="s">
        <v>95</v>
      </c>
      <c r="N539" s="48" t="s">
        <v>79</v>
      </c>
      <c r="O539" s="49" t="s">
        <v>35</v>
      </c>
      <c r="P539" s="11" t="s">
        <v>80</v>
      </c>
      <c r="Q539" s="11" t="s">
        <v>81</v>
      </c>
      <c r="R539" s="11" t="s">
        <v>231</v>
      </c>
      <c r="S539" s="11" t="s">
        <v>1753</v>
      </c>
      <c r="T539" s="116" t="s">
        <v>1</v>
      </c>
      <c r="U539" s="88"/>
      <c r="V539" s="51">
        <v>45456</v>
      </c>
      <c r="W539" s="97" t="s">
        <v>1570</v>
      </c>
      <c r="X539" s="135" t="str">
        <f>VLOOKUP(Table1[[#This Row],[AMZ ID]],[1]Roster_1787503287932!$D$2:$AU$1370,25,0)</f>
        <v>Present</v>
      </c>
      <c r="Y539" s="135">
        <f>VLOOKUP(Table1[[#This Row],[AMZ ID]],[1]Roster_1787503287932!$D$2:$AM$1370,35,0)</f>
        <v>0</v>
      </c>
    </row>
    <row r="540" spans="1:25" ht="13" customHeight="1">
      <c r="A540" s="11">
        <v>534</v>
      </c>
      <c r="B540" s="47">
        <v>203635601</v>
      </c>
      <c r="C540" s="89" t="s">
        <v>1362</v>
      </c>
      <c r="D540" s="11" t="s">
        <v>2697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1181</v>
      </c>
      <c r="J540" s="49" t="s">
        <v>32</v>
      </c>
      <c r="K540" s="49" t="s">
        <v>76</v>
      </c>
      <c r="L540" s="49" t="s">
        <v>84</v>
      </c>
      <c r="M540" s="49" t="s">
        <v>85</v>
      </c>
      <c r="N540" s="48" t="s">
        <v>79</v>
      </c>
      <c r="O540" s="49" t="s">
        <v>67</v>
      </c>
      <c r="P540" s="11" t="s">
        <v>80</v>
      </c>
      <c r="Q540" s="11" t="s">
        <v>81</v>
      </c>
      <c r="R540" s="11" t="s">
        <v>82</v>
      </c>
      <c r="S540" s="11" t="s">
        <v>2713</v>
      </c>
      <c r="T540" s="116" t="s">
        <v>1</v>
      </c>
      <c r="U540" s="88"/>
      <c r="V540" s="51">
        <v>45481</v>
      </c>
      <c r="W540" s="102" t="s">
        <v>1568</v>
      </c>
      <c r="X540" s="135" t="str">
        <f>VLOOKUP(Table1[[#This Row],[AMZ ID]],[1]Roster_1787503287932!$D$2:$AU$1370,25,0)</f>
        <v>Present</v>
      </c>
      <c r="Y540" s="135">
        <f>VLOOKUP(Table1[[#This Row],[AMZ ID]],[1]Roster_1787503287932!$D$2:$AM$1370,35,0)</f>
        <v>0</v>
      </c>
    </row>
    <row r="541" spans="1:25" ht="13" customHeight="1">
      <c r="A541" s="11">
        <v>535</v>
      </c>
      <c r="B541" s="47">
        <v>202444409</v>
      </c>
      <c r="C541" s="89" t="s">
        <v>568</v>
      </c>
      <c r="D541" s="11" t="s">
        <v>569</v>
      </c>
      <c r="E541" s="48" t="s">
        <v>31</v>
      </c>
      <c r="F541" s="48" t="s">
        <v>74</v>
      </c>
      <c r="G541" s="11" t="s">
        <v>65</v>
      </c>
      <c r="H541" s="11" t="s">
        <v>75</v>
      </c>
      <c r="I541" s="11">
        <v>1299</v>
      </c>
      <c r="J541" s="49" t="s">
        <v>39</v>
      </c>
      <c r="K541" s="49" t="s">
        <v>76</v>
      </c>
      <c r="L541" s="49" t="s">
        <v>78</v>
      </c>
      <c r="M541" s="49" t="s">
        <v>92</v>
      </c>
      <c r="N541" s="48" t="s">
        <v>86</v>
      </c>
      <c r="O541" s="49" t="s">
        <v>68</v>
      </c>
      <c r="P541" s="11" t="s">
        <v>80</v>
      </c>
      <c r="Q541" s="11" t="s">
        <v>87</v>
      </c>
      <c r="R541" s="11" t="s">
        <v>2720</v>
      </c>
      <c r="S541" s="11" t="s">
        <v>2721</v>
      </c>
      <c r="T541" s="116" t="s">
        <v>10</v>
      </c>
      <c r="U541" s="88"/>
      <c r="V541" s="51">
        <v>45579</v>
      </c>
      <c r="W541" s="97" t="s">
        <v>68</v>
      </c>
      <c r="X541" s="135" t="str">
        <f>VLOOKUP(Table1[[#This Row],[AMZ ID]],[1]Roster_1787503287932!$D$2:$AU$1370,25,0)</f>
        <v>Not Present</v>
      </c>
      <c r="Y541" s="135">
        <f>VLOOKUP(Table1[[#This Row],[AMZ ID]],[1]Roster_1787503287932!$D$2:$AM$1370,35,0)</f>
        <v>0</v>
      </c>
    </row>
    <row r="542" spans="1:25" ht="13" customHeight="1">
      <c r="A542" s="11">
        <v>536</v>
      </c>
      <c r="B542" s="47">
        <v>204246606</v>
      </c>
      <c r="C542" s="89" t="s">
        <v>570</v>
      </c>
      <c r="D542" s="11" t="s">
        <v>571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32</v>
      </c>
      <c r="K542" s="49" t="s">
        <v>76</v>
      </c>
      <c r="L542" s="49" t="s">
        <v>77</v>
      </c>
      <c r="M542" s="49" t="s">
        <v>78</v>
      </c>
      <c r="N542" s="48" t="s">
        <v>86</v>
      </c>
      <c r="O542" s="49" t="s">
        <v>35</v>
      </c>
      <c r="P542" s="11" t="s">
        <v>80</v>
      </c>
      <c r="Q542" s="11" t="s">
        <v>87</v>
      </c>
      <c r="R542" s="11" t="s">
        <v>231</v>
      </c>
      <c r="S542" s="11" t="s">
        <v>1753</v>
      </c>
      <c r="T542" s="116" t="s">
        <v>10</v>
      </c>
      <c r="U542" s="88"/>
      <c r="V542" s="51">
        <v>45579</v>
      </c>
      <c r="W542" s="97" t="s">
        <v>1572</v>
      </c>
      <c r="X542" s="135" t="str">
        <f>VLOOKUP(Table1[[#This Row],[AMZ ID]],[1]Roster_1787503287932!$D$2:$AU$1370,25,0)</f>
        <v>Not Present</v>
      </c>
      <c r="Y542" s="135">
        <f>VLOOKUP(Table1[[#This Row],[AMZ ID]],[1]Roster_1787503287932!$D$2:$AM$1370,35,0)</f>
        <v>0</v>
      </c>
    </row>
    <row r="543" spans="1:25" ht="13" customHeight="1">
      <c r="A543" s="11">
        <v>537</v>
      </c>
      <c r="B543" s="47">
        <v>203521426</v>
      </c>
      <c r="C543" s="89" t="s">
        <v>572</v>
      </c>
      <c r="D543" s="11" t="s">
        <v>573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78</v>
      </c>
      <c r="M543" s="49" t="s">
        <v>92</v>
      </c>
      <c r="N543" s="48" t="s">
        <v>79</v>
      </c>
      <c r="O543" s="49" t="s">
        <v>35</v>
      </c>
      <c r="P543" s="11" t="s">
        <v>80</v>
      </c>
      <c r="Q543" s="11" t="s">
        <v>81</v>
      </c>
      <c r="R543" s="11" t="s">
        <v>225</v>
      </c>
      <c r="S543" s="11" t="s">
        <v>226</v>
      </c>
      <c r="T543" s="116" t="s">
        <v>10</v>
      </c>
      <c r="U543" s="88"/>
      <c r="V543" s="51">
        <v>45463</v>
      </c>
      <c r="W543" s="97" t="s">
        <v>1574</v>
      </c>
      <c r="X543" s="135" t="str">
        <f>VLOOKUP(Table1[[#This Row],[AMZ ID]],[1]Roster_1787503287932!$D$2:$AU$1370,25,0)</f>
        <v>Not Present</v>
      </c>
      <c r="Y543" s="135">
        <f>VLOOKUP(Table1[[#This Row],[AMZ ID]],[1]Roster_1787503287932!$D$2:$AM$1370,35,0)</f>
        <v>0</v>
      </c>
    </row>
    <row r="544" spans="1:25" ht="13" customHeight="1">
      <c r="A544" s="11">
        <v>538</v>
      </c>
      <c r="B544" s="47">
        <v>203736781</v>
      </c>
      <c r="C544" s="89" t="s">
        <v>574</v>
      </c>
      <c r="D544" s="11" t="s">
        <v>575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39</v>
      </c>
      <c r="K544" s="49" t="s">
        <v>76</v>
      </c>
      <c r="L544" s="49" t="s">
        <v>92</v>
      </c>
      <c r="M544" s="49" t="s">
        <v>84</v>
      </c>
      <c r="N544" s="48" t="s">
        <v>86</v>
      </c>
      <c r="O544" s="49" t="s">
        <v>35</v>
      </c>
      <c r="P544" s="11" t="s">
        <v>80</v>
      </c>
      <c r="Q544" s="11" t="s">
        <v>99</v>
      </c>
      <c r="R544" s="11" t="s">
        <v>231</v>
      </c>
      <c r="S544" s="11" t="s">
        <v>1753</v>
      </c>
      <c r="T544" s="116" t="s">
        <v>1</v>
      </c>
      <c r="U544" s="88"/>
      <c r="V544" s="51">
        <v>45502</v>
      </c>
      <c r="W544" s="97" t="s">
        <v>1573</v>
      </c>
      <c r="X544" s="135" t="str">
        <f>VLOOKUP(Table1[[#This Row],[AMZ ID]],[1]Roster_1787503287932!$D$2:$AU$1370,25,0)</f>
        <v>Not Present</v>
      </c>
      <c r="Y544" s="135">
        <f>VLOOKUP(Table1[[#This Row],[AMZ ID]],[1]Roster_1787503287932!$D$2:$AM$1370,35,0)</f>
        <v>0</v>
      </c>
    </row>
    <row r="545" spans="1:25" ht="13" customHeight="1">
      <c r="A545" s="11">
        <v>539</v>
      </c>
      <c r="B545" s="47">
        <v>203965521</v>
      </c>
      <c r="C545" s="89" t="s">
        <v>576</v>
      </c>
      <c r="D545" s="11" t="s">
        <v>577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231</v>
      </c>
      <c r="S545" s="11" t="s">
        <v>1753</v>
      </c>
      <c r="T545" s="116" t="s">
        <v>10</v>
      </c>
      <c r="U545" s="88"/>
      <c r="V545" s="51">
        <v>45544</v>
      </c>
      <c r="W545" s="97" t="s">
        <v>1573</v>
      </c>
      <c r="X545" s="135" t="str">
        <f>VLOOKUP(Table1[[#This Row],[AMZ ID]],[1]Roster_1787503287932!$D$2:$AU$1370,25,0)</f>
        <v>Not Present</v>
      </c>
      <c r="Y545" s="135">
        <f>VLOOKUP(Table1[[#This Row],[AMZ ID]],[1]Roster_1787503287932!$D$2:$AM$1370,35,0)</f>
        <v>0</v>
      </c>
    </row>
    <row r="546" spans="1:25" ht="13" customHeight="1">
      <c r="A546" s="11">
        <v>540</v>
      </c>
      <c r="B546" s="47">
        <v>204864420</v>
      </c>
      <c r="C546" s="89" t="s">
        <v>2649</v>
      </c>
      <c r="D546" s="11" t="s">
        <v>2650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39</v>
      </c>
      <c r="K546" s="49" t="s">
        <v>76</v>
      </c>
      <c r="L546" s="49" t="s">
        <v>77</v>
      </c>
      <c r="M546" s="49" t="s">
        <v>78</v>
      </c>
      <c r="N546" s="49" t="s">
        <v>89</v>
      </c>
      <c r="O546" s="49" t="s">
        <v>35</v>
      </c>
      <c r="P546" s="11" t="s">
        <v>80</v>
      </c>
      <c r="Q546" s="11" t="s">
        <v>90</v>
      </c>
      <c r="R546" s="11" t="s">
        <v>231</v>
      </c>
      <c r="S546" s="11" t="s">
        <v>1753</v>
      </c>
      <c r="T546" s="116" t="s">
        <v>10</v>
      </c>
      <c r="U546" s="88"/>
      <c r="V546" s="51">
        <v>45684</v>
      </c>
      <c r="W546" s="97" t="s">
        <v>1573</v>
      </c>
      <c r="X546" s="135" t="str">
        <f>VLOOKUP(Table1[[#This Row],[AMZ ID]],[1]Roster_1787503287932!$D$2:$AU$1370,25,0)</f>
        <v>Not Present</v>
      </c>
      <c r="Y546" s="135">
        <f>VLOOKUP(Table1[[#This Row],[AMZ ID]],[1]Roster_1787503287932!$D$2:$AM$1370,35,0)</f>
        <v>0</v>
      </c>
    </row>
    <row r="547" spans="1:25" ht="13" customHeight="1">
      <c r="A547" s="11">
        <v>541</v>
      </c>
      <c r="B547" s="47">
        <v>206873658</v>
      </c>
      <c r="C547" s="89" t="s">
        <v>1764</v>
      </c>
      <c r="D547" s="11" t="s">
        <v>1765</v>
      </c>
      <c r="E547" s="48" t="s">
        <v>31</v>
      </c>
      <c r="F547" s="48" t="s">
        <v>74</v>
      </c>
      <c r="G547" s="48" t="s">
        <v>64</v>
      </c>
      <c r="H547" s="48" t="s">
        <v>75</v>
      </c>
      <c r="I547" s="11">
        <v>1299</v>
      </c>
      <c r="J547" s="49" t="s">
        <v>32</v>
      </c>
      <c r="K547" s="49" t="s">
        <v>76</v>
      </c>
      <c r="L547" s="49" t="s">
        <v>95</v>
      </c>
      <c r="M547" s="49" t="s">
        <v>77</v>
      </c>
      <c r="N547" s="49" t="s">
        <v>89</v>
      </c>
      <c r="O547" s="48" t="s">
        <v>35</v>
      </c>
      <c r="P547" s="48" t="s">
        <v>80</v>
      </c>
      <c r="Q547" s="11" t="s">
        <v>81</v>
      </c>
      <c r="R547" s="11" t="s">
        <v>231</v>
      </c>
      <c r="S547" s="11" t="s">
        <v>1753</v>
      </c>
      <c r="T547" s="116" t="s">
        <v>1</v>
      </c>
      <c r="U547" s="88"/>
      <c r="V547" s="51">
        <v>46020</v>
      </c>
      <c r="W547" s="97" t="s">
        <v>1573</v>
      </c>
      <c r="X547" s="135" t="str">
        <f>VLOOKUP(Table1[[#This Row],[AMZ ID]],[1]Roster_1787503287932!$D$2:$AU$1370,25,0)</f>
        <v>Present</v>
      </c>
      <c r="Y547" s="135">
        <f>VLOOKUP(Table1[[#This Row],[AMZ ID]],[1]Roster_1787503287932!$D$2:$AM$1370,35,0)</f>
        <v>0</v>
      </c>
    </row>
    <row r="548" spans="1:25" ht="13" customHeight="1">
      <c r="A548" s="11">
        <v>542</v>
      </c>
      <c r="B548" s="47">
        <v>203736780</v>
      </c>
      <c r="C548" s="89" t="s">
        <v>578</v>
      </c>
      <c r="D548" s="11" t="s">
        <v>579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39</v>
      </c>
      <c r="K548" s="49" t="s">
        <v>76</v>
      </c>
      <c r="L548" s="49" t="s">
        <v>85</v>
      </c>
      <c r="M548" s="49" t="s">
        <v>88</v>
      </c>
      <c r="N548" s="48" t="s">
        <v>86</v>
      </c>
      <c r="O548" s="49" t="s">
        <v>35</v>
      </c>
      <c r="P548" s="11" t="s">
        <v>80</v>
      </c>
      <c r="Q548" s="11" t="s">
        <v>99</v>
      </c>
      <c r="R548" s="11" t="s">
        <v>231</v>
      </c>
      <c r="S548" s="11" t="s">
        <v>1753</v>
      </c>
      <c r="T548" s="116" t="s">
        <v>1</v>
      </c>
      <c r="U548" s="88"/>
      <c r="V548" s="51">
        <v>45502</v>
      </c>
      <c r="W548" s="97" t="s">
        <v>1573</v>
      </c>
      <c r="X548" s="135" t="str">
        <f>VLOOKUP(Table1[[#This Row],[AMZ ID]],[1]Roster_1787503287932!$D$2:$AU$1370,25,0)</f>
        <v>Present</v>
      </c>
      <c r="Y548" s="135">
        <f>VLOOKUP(Table1[[#This Row],[AMZ ID]],[1]Roster_1787503287932!$D$2:$AM$1370,35,0)</f>
        <v>0</v>
      </c>
    </row>
    <row r="549" spans="1:25" ht="13" customHeight="1">
      <c r="A549" s="11">
        <v>543</v>
      </c>
      <c r="B549" s="47">
        <v>206873654</v>
      </c>
      <c r="C549" s="89" t="s">
        <v>1756</v>
      </c>
      <c r="D549" s="11" t="s">
        <v>1757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78</v>
      </c>
      <c r="M549" s="49" t="s">
        <v>92</v>
      </c>
      <c r="N549" s="48" t="s">
        <v>89</v>
      </c>
      <c r="O549" s="49" t="s">
        <v>35</v>
      </c>
      <c r="P549" s="11" t="s">
        <v>80</v>
      </c>
      <c r="Q549" s="11" t="s">
        <v>81</v>
      </c>
      <c r="R549" s="11" t="s">
        <v>225</v>
      </c>
      <c r="S549" s="11" t="s">
        <v>226</v>
      </c>
      <c r="T549" s="116" t="s">
        <v>10</v>
      </c>
      <c r="U549" s="88"/>
      <c r="V549" s="51">
        <v>46020</v>
      </c>
      <c r="W549" s="97" t="s">
        <v>1572</v>
      </c>
      <c r="X549" s="135" t="str">
        <f>VLOOKUP(Table1[[#This Row],[AMZ ID]],[1]Roster_1787503287932!$D$2:$AU$1370,25,0)</f>
        <v>Not Present</v>
      </c>
      <c r="Y549" s="135">
        <f>VLOOKUP(Table1[[#This Row],[AMZ ID]],[1]Roster_1787503287932!$D$2:$AM$1370,35,0)</f>
        <v>0</v>
      </c>
    </row>
    <row r="550" spans="1:25" ht="13" customHeight="1">
      <c r="A550" s="11">
        <v>544</v>
      </c>
      <c r="B550" s="47">
        <v>206016554</v>
      </c>
      <c r="C550" s="89" t="s">
        <v>580</v>
      </c>
      <c r="D550" s="11" t="s">
        <v>581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77</v>
      </c>
      <c r="M550" s="49" t="s">
        <v>78</v>
      </c>
      <c r="N550" s="48" t="s">
        <v>79</v>
      </c>
      <c r="O550" s="49" t="s">
        <v>35</v>
      </c>
      <c r="P550" s="11" t="s">
        <v>80</v>
      </c>
      <c r="Q550" s="11" t="s">
        <v>81</v>
      </c>
      <c r="R550" s="11" t="s">
        <v>225</v>
      </c>
      <c r="S550" s="11" t="s">
        <v>226</v>
      </c>
      <c r="T550" s="116" t="s">
        <v>10</v>
      </c>
      <c r="U550" s="88"/>
      <c r="V550" s="51">
        <v>45915</v>
      </c>
      <c r="W550" s="97" t="s">
        <v>1574</v>
      </c>
      <c r="X550" s="135" t="str">
        <f>VLOOKUP(Table1[[#This Row],[AMZ ID]],[1]Roster_1787503287932!$D$2:$AU$1370,25,0)</f>
        <v>Not Present</v>
      </c>
      <c r="Y550" s="135">
        <f>VLOOKUP(Table1[[#This Row],[AMZ ID]],[1]Roster_1787503287932!$D$2:$AM$1370,35,0)</f>
        <v>0</v>
      </c>
    </row>
    <row r="551" spans="1:25" ht="13" customHeight="1">
      <c r="A551" s="11">
        <v>545</v>
      </c>
      <c r="B551" s="47">
        <v>206348020</v>
      </c>
      <c r="C551" s="89" t="s">
        <v>1668</v>
      </c>
      <c r="D551" s="11" t="s">
        <v>1669</v>
      </c>
      <c r="E551" s="48" t="s">
        <v>31</v>
      </c>
      <c r="F551" s="48" t="s">
        <v>74</v>
      </c>
      <c r="G551" s="11" t="s">
        <v>65</v>
      </c>
      <c r="H551" s="11" t="s">
        <v>1332</v>
      </c>
      <c r="I551" s="11">
        <v>1181</v>
      </c>
      <c r="J551" s="49" t="s">
        <v>32</v>
      </c>
      <c r="K551" s="49" t="s">
        <v>76</v>
      </c>
      <c r="L551" s="49" t="s">
        <v>78</v>
      </c>
      <c r="M551" s="49" t="s">
        <v>92</v>
      </c>
      <c r="N551" s="48" t="s">
        <v>89</v>
      </c>
      <c r="O551" s="49" t="s">
        <v>68</v>
      </c>
      <c r="P551" s="11" t="s">
        <v>80</v>
      </c>
      <c r="Q551" s="11" t="s">
        <v>90</v>
      </c>
      <c r="R551" s="11" t="s">
        <v>1336</v>
      </c>
      <c r="S551" s="11" t="s">
        <v>1337</v>
      </c>
      <c r="T551" s="116" t="s">
        <v>10</v>
      </c>
      <c r="U551" s="88"/>
      <c r="V551" s="51">
        <v>45957</v>
      </c>
      <c r="W551" s="97" t="s">
        <v>68</v>
      </c>
      <c r="X551" s="135" t="str">
        <f>VLOOKUP(Table1[[#This Row],[AMZ ID]],[1]Roster_1787503287932!$D$2:$AU$1370,25,0)</f>
        <v>Not Present</v>
      </c>
      <c r="Y551" s="135">
        <f>VLOOKUP(Table1[[#This Row],[AMZ ID]],[1]Roster_1787503287932!$D$2:$AM$1370,35,0)</f>
        <v>0</v>
      </c>
    </row>
    <row r="552" spans="1:25" ht="13" customHeight="1">
      <c r="A552" s="11">
        <v>546</v>
      </c>
      <c r="B552" s="47">
        <v>206008709</v>
      </c>
      <c r="C552" s="89" t="s">
        <v>584</v>
      </c>
      <c r="D552" s="11" t="s">
        <v>585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32</v>
      </c>
      <c r="K552" s="49" t="s">
        <v>76</v>
      </c>
      <c r="L552" s="49" t="s">
        <v>78</v>
      </c>
      <c r="M552" s="49" t="s">
        <v>92</v>
      </c>
      <c r="N552" s="48" t="s">
        <v>79</v>
      </c>
      <c r="O552" s="49" t="s">
        <v>35</v>
      </c>
      <c r="P552" s="11" t="s">
        <v>80</v>
      </c>
      <c r="Q552" s="11" t="s">
        <v>81</v>
      </c>
      <c r="R552" s="11" t="s">
        <v>231</v>
      </c>
      <c r="S552" s="11" t="s">
        <v>1753</v>
      </c>
      <c r="T552" s="116" t="s">
        <v>10</v>
      </c>
      <c r="U552" s="88"/>
      <c r="V552" s="51">
        <v>45915</v>
      </c>
      <c r="W552" s="97" t="s">
        <v>1573</v>
      </c>
      <c r="X552" s="135" t="str">
        <f>VLOOKUP(Table1[[#This Row],[AMZ ID]],[1]Roster_1787503287932!$D$2:$AU$1370,25,0)</f>
        <v>Not Present</v>
      </c>
      <c r="Y552" s="135">
        <f>VLOOKUP(Table1[[#This Row],[AMZ ID]],[1]Roster_1787503287932!$D$2:$AM$1370,35,0)</f>
        <v>0</v>
      </c>
    </row>
    <row r="553" spans="1:25" ht="13" customHeight="1">
      <c r="A553" s="11">
        <v>547</v>
      </c>
      <c r="B553" s="47">
        <v>203850776</v>
      </c>
      <c r="C553" s="89" t="s">
        <v>2489</v>
      </c>
      <c r="D553" s="11" t="s">
        <v>2490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77</v>
      </c>
      <c r="M553" s="49" t="s">
        <v>78</v>
      </c>
      <c r="N553" s="49" t="s">
        <v>79</v>
      </c>
      <c r="O553" s="49" t="s">
        <v>67</v>
      </c>
      <c r="P553" s="11" t="s">
        <v>80</v>
      </c>
      <c r="Q553" s="11" t="s">
        <v>81</v>
      </c>
      <c r="R553" s="11" t="s">
        <v>2711</v>
      </c>
      <c r="S553" s="11" t="s">
        <v>2712</v>
      </c>
      <c r="T553" s="116" t="s">
        <v>10</v>
      </c>
      <c r="U553" s="88"/>
      <c r="V553" s="51">
        <v>45524</v>
      </c>
      <c r="W553" s="102" t="s">
        <v>1568</v>
      </c>
      <c r="X553" s="135" t="str">
        <f>VLOOKUP(Table1[[#This Row],[AMZ ID]],[1]Roster_1787503287932!$D$2:$AU$1370,25,0)</f>
        <v>Not Present</v>
      </c>
      <c r="Y553" s="135">
        <f>VLOOKUP(Table1[[#This Row],[AMZ ID]],[1]Roster_1787503287932!$D$2:$AM$1370,35,0)</f>
        <v>0</v>
      </c>
    </row>
    <row r="554" spans="1:25" ht="13" customHeight="1">
      <c r="A554" s="11">
        <v>548</v>
      </c>
      <c r="B554" s="47">
        <v>206348033</v>
      </c>
      <c r="C554" s="89" t="s">
        <v>1662</v>
      </c>
      <c r="D554" s="11" t="s">
        <v>1663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32</v>
      </c>
      <c r="K554" s="49" t="s">
        <v>76</v>
      </c>
      <c r="L554" s="49" t="s">
        <v>77</v>
      </c>
      <c r="M554" s="49" t="s">
        <v>78</v>
      </c>
      <c r="N554" s="49" t="s">
        <v>79</v>
      </c>
      <c r="O554" s="49" t="s">
        <v>33</v>
      </c>
      <c r="P554" s="11" t="s">
        <v>80</v>
      </c>
      <c r="Q554" s="11" t="s">
        <v>81</v>
      </c>
      <c r="R554" s="11" t="s">
        <v>159</v>
      </c>
      <c r="S554" s="11" t="s">
        <v>2714</v>
      </c>
      <c r="T554" s="116" t="s">
        <v>10</v>
      </c>
      <c r="U554" s="88"/>
      <c r="V554" s="51">
        <v>45957</v>
      </c>
      <c r="W554" s="97" t="s">
        <v>1569</v>
      </c>
      <c r="X554" s="135" t="str">
        <f>VLOOKUP(Table1[[#This Row],[AMZ ID]],[1]Roster_1787503287932!$D$2:$AU$1370,25,0)</f>
        <v>Not Present</v>
      </c>
      <c r="Y554" s="135">
        <f>VLOOKUP(Table1[[#This Row],[AMZ ID]],[1]Roster_1787503287932!$D$2:$AM$1370,35,0)</f>
        <v>0</v>
      </c>
    </row>
    <row r="555" spans="1:25" ht="13" customHeight="1">
      <c r="A555" s="11">
        <v>549</v>
      </c>
      <c r="B555" s="47">
        <v>204967051</v>
      </c>
      <c r="C555" s="89" t="s">
        <v>2651</v>
      </c>
      <c r="D555" s="11" t="s">
        <v>2652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39</v>
      </c>
      <c r="K555" s="49" t="s">
        <v>76</v>
      </c>
      <c r="L555" s="49" t="s">
        <v>78</v>
      </c>
      <c r="M555" s="49" t="s">
        <v>92</v>
      </c>
      <c r="N555" s="49" t="s">
        <v>89</v>
      </c>
      <c r="O555" s="49" t="s">
        <v>35</v>
      </c>
      <c r="P555" s="11" t="s">
        <v>80</v>
      </c>
      <c r="Q555" s="11" t="s">
        <v>90</v>
      </c>
      <c r="R555" s="11" t="s">
        <v>231</v>
      </c>
      <c r="S555" s="11" t="s">
        <v>1753</v>
      </c>
      <c r="T555" s="116" t="s">
        <v>10</v>
      </c>
      <c r="U555" s="88"/>
      <c r="V555" s="51">
        <v>45826</v>
      </c>
      <c r="W555" s="97" t="s">
        <v>1573</v>
      </c>
      <c r="X555" s="135" t="str">
        <f>VLOOKUP(Table1[[#This Row],[AMZ ID]],[1]Roster_1787503287932!$D$2:$AU$1370,25,0)</f>
        <v>Not Present</v>
      </c>
      <c r="Y555" s="135">
        <f>VLOOKUP(Table1[[#This Row],[AMZ ID]],[1]Roster_1787503287932!$D$2:$AM$1370,35,0)</f>
        <v>0</v>
      </c>
    </row>
    <row r="556" spans="1:25" ht="13" customHeight="1">
      <c r="A556" s="11">
        <v>550</v>
      </c>
      <c r="B556" s="47">
        <v>203737252</v>
      </c>
      <c r="C556" s="89" t="s">
        <v>2653</v>
      </c>
      <c r="D556" s="11" t="s">
        <v>2654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88</v>
      </c>
      <c r="M556" s="49" t="s">
        <v>95</v>
      </c>
      <c r="N556" s="48" t="s">
        <v>86</v>
      </c>
      <c r="O556" s="49" t="s">
        <v>35</v>
      </c>
      <c r="P556" s="11" t="s">
        <v>80</v>
      </c>
      <c r="Q556" s="11" t="s">
        <v>90</v>
      </c>
      <c r="R556" s="11" t="s">
        <v>231</v>
      </c>
      <c r="S556" s="11" t="s">
        <v>1753</v>
      </c>
      <c r="T556" s="116" t="s">
        <v>1</v>
      </c>
      <c r="U556" s="88"/>
      <c r="V556" s="51">
        <v>45502</v>
      </c>
      <c r="W556" s="97" t="s">
        <v>1573</v>
      </c>
      <c r="X556" s="135" t="str">
        <f>VLOOKUP(Table1[[#This Row],[AMZ ID]],[1]Roster_1787503287932!$D$2:$AU$1370,25,0)</f>
        <v>Present</v>
      </c>
      <c r="Y556" s="135">
        <f>VLOOKUP(Table1[[#This Row],[AMZ ID]],[1]Roster_1787503287932!$D$2:$AM$1370,35,0)</f>
        <v>0</v>
      </c>
    </row>
    <row r="557" spans="1:25" ht="13" customHeight="1">
      <c r="A557" s="11">
        <v>551</v>
      </c>
      <c r="B557" s="47">
        <v>203737015</v>
      </c>
      <c r="C557" s="89" t="s">
        <v>590</v>
      </c>
      <c r="D557" s="11" t="s">
        <v>591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92</v>
      </c>
      <c r="M557" s="49" t="s">
        <v>84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231</v>
      </c>
      <c r="S557" s="11" t="s">
        <v>1753</v>
      </c>
      <c r="T557" s="116" t="s">
        <v>1</v>
      </c>
      <c r="U557" s="88"/>
      <c r="V557" s="51">
        <v>45502</v>
      </c>
      <c r="W557" s="97" t="s">
        <v>1573</v>
      </c>
      <c r="X557" s="135" t="str">
        <f>VLOOKUP(Table1[[#This Row],[AMZ ID]],[1]Roster_1787503287932!$D$2:$AU$1370,25,0)</f>
        <v>Present</v>
      </c>
      <c r="Y557" s="135">
        <f>VLOOKUP(Table1[[#This Row],[AMZ ID]],[1]Roster_1787503287932!$D$2:$AM$1370,35,0)</f>
        <v>0</v>
      </c>
    </row>
    <row r="558" spans="1:25" ht="13" customHeight="1">
      <c r="A558" s="11">
        <v>552</v>
      </c>
      <c r="B558" s="47">
        <v>204883095</v>
      </c>
      <c r="C558" s="89" t="s">
        <v>2655</v>
      </c>
      <c r="D558" s="11" t="s">
        <v>2656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9" t="s">
        <v>89</v>
      </c>
      <c r="O558" s="49" t="s">
        <v>35</v>
      </c>
      <c r="P558" s="11" t="s">
        <v>80</v>
      </c>
      <c r="Q558" s="11" t="s">
        <v>90</v>
      </c>
      <c r="R558" s="11" t="s">
        <v>231</v>
      </c>
      <c r="S558" s="11" t="s">
        <v>1753</v>
      </c>
      <c r="T558" s="116" t="s">
        <v>10</v>
      </c>
      <c r="U558" s="88"/>
      <c r="V558" s="51">
        <v>45826</v>
      </c>
      <c r="W558" s="97" t="s">
        <v>1573</v>
      </c>
      <c r="X558" s="135" t="str">
        <f>VLOOKUP(Table1[[#This Row],[AMZ ID]],[1]Roster_1787503287932!$D$2:$AU$1370,25,0)</f>
        <v>Not Present</v>
      </c>
      <c r="Y558" s="135">
        <f>VLOOKUP(Table1[[#This Row],[AMZ ID]],[1]Roster_1787503287932!$D$2:$AM$1370,35,0)</f>
        <v>0</v>
      </c>
    </row>
    <row r="559" spans="1:25" ht="13" customHeight="1">
      <c r="A559" s="11">
        <v>553</v>
      </c>
      <c r="B559" s="47">
        <v>204967558</v>
      </c>
      <c r="C559" s="89" t="s">
        <v>2657</v>
      </c>
      <c r="D559" s="11" t="s">
        <v>2658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39</v>
      </c>
      <c r="K559" s="49" t="s">
        <v>76</v>
      </c>
      <c r="L559" s="49" t="s">
        <v>78</v>
      </c>
      <c r="M559" s="49" t="s">
        <v>92</v>
      </c>
      <c r="N559" s="48" t="s">
        <v>86</v>
      </c>
      <c r="O559" s="49" t="s">
        <v>35</v>
      </c>
      <c r="P559" s="11" t="s">
        <v>80</v>
      </c>
      <c r="Q559" s="11" t="s">
        <v>90</v>
      </c>
      <c r="R559" s="11" t="s">
        <v>231</v>
      </c>
      <c r="S559" s="11" t="s">
        <v>1753</v>
      </c>
      <c r="T559" s="116" t="s">
        <v>10</v>
      </c>
      <c r="U559" s="88"/>
      <c r="V559" s="51">
        <v>45826</v>
      </c>
      <c r="W559" s="97" t="s">
        <v>1573</v>
      </c>
      <c r="X559" s="135" t="str">
        <f>VLOOKUP(Table1[[#This Row],[AMZ ID]],[1]Roster_1787503287932!$D$2:$AU$1370,25,0)</f>
        <v>Not Present</v>
      </c>
      <c r="Y559" s="135">
        <f>VLOOKUP(Table1[[#This Row],[AMZ ID]],[1]Roster_1787503287932!$D$2:$AM$1370,35,0)</f>
        <v>0</v>
      </c>
    </row>
    <row r="560" spans="1:25" ht="13" customHeight="1">
      <c r="A560" s="11">
        <v>554</v>
      </c>
      <c r="B560" s="47">
        <v>112648320</v>
      </c>
      <c r="C560" s="89" t="s">
        <v>2206</v>
      </c>
      <c r="D560" s="11" t="s">
        <v>2359</v>
      </c>
      <c r="E560" s="48" t="s">
        <v>34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95</v>
      </c>
      <c r="M560" s="49" t="s">
        <v>77</v>
      </c>
      <c r="N560" s="48" t="s">
        <v>97</v>
      </c>
      <c r="O560" s="49" t="s">
        <v>35</v>
      </c>
      <c r="P560" s="11" t="s">
        <v>80</v>
      </c>
      <c r="Q560" s="11" t="s">
        <v>98</v>
      </c>
      <c r="R560" s="11" t="s">
        <v>225</v>
      </c>
      <c r="S560" s="11" t="s">
        <v>226</v>
      </c>
      <c r="T560" s="116" t="s">
        <v>1</v>
      </c>
      <c r="U560" s="88"/>
      <c r="V560" s="51">
        <v>46132</v>
      </c>
      <c r="W560" s="97" t="s">
        <v>1575</v>
      </c>
      <c r="X560" s="135" t="str">
        <f>VLOOKUP(Table1[[#This Row],[AMZ ID]],[1]Roster_1787503287932!$D$2:$AU$1370,25,0)</f>
        <v>Present</v>
      </c>
      <c r="Y560" s="135">
        <f>VLOOKUP(Table1[[#This Row],[AMZ ID]],[1]Roster_1787503287932!$D$2:$AM$1370,35,0)</f>
        <v>0</v>
      </c>
    </row>
    <row r="561" spans="1:25" ht="13" customHeight="1">
      <c r="A561" s="11">
        <v>555</v>
      </c>
      <c r="B561" s="47">
        <v>203813083</v>
      </c>
      <c r="C561" s="89" t="s">
        <v>592</v>
      </c>
      <c r="D561" s="11" t="s">
        <v>593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39</v>
      </c>
      <c r="K561" s="49" t="s">
        <v>76</v>
      </c>
      <c r="L561" s="49" t="s">
        <v>78</v>
      </c>
      <c r="M561" s="49" t="s">
        <v>92</v>
      </c>
      <c r="N561" s="48" t="s">
        <v>86</v>
      </c>
      <c r="O561" s="49" t="s">
        <v>35</v>
      </c>
      <c r="P561" s="11" t="s">
        <v>80</v>
      </c>
      <c r="Q561" s="11" t="s">
        <v>99</v>
      </c>
      <c r="R561" s="11" t="s">
        <v>231</v>
      </c>
      <c r="S561" s="11" t="s">
        <v>1753</v>
      </c>
      <c r="T561" s="116" t="s">
        <v>10</v>
      </c>
      <c r="U561" s="88"/>
      <c r="V561" s="51">
        <v>45517</v>
      </c>
      <c r="W561" s="97" t="s">
        <v>1573</v>
      </c>
      <c r="X561" s="135" t="str">
        <f>VLOOKUP(Table1[[#This Row],[AMZ ID]],[1]Roster_1787503287932!$D$2:$AU$1370,25,0)</f>
        <v>Not Present</v>
      </c>
      <c r="Y561" s="135">
        <f>VLOOKUP(Table1[[#This Row],[AMZ ID]],[1]Roster_1787503287932!$D$2:$AM$1370,35,0)</f>
        <v>0</v>
      </c>
    </row>
    <row r="562" spans="1:25" ht="13" customHeight="1">
      <c r="A562" s="11">
        <v>556</v>
      </c>
      <c r="B562" s="47">
        <v>206791445</v>
      </c>
      <c r="C562" s="89" t="s">
        <v>2659</v>
      </c>
      <c r="D562" s="11" t="s">
        <v>2660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78</v>
      </c>
      <c r="M562" s="49" t="s">
        <v>92</v>
      </c>
      <c r="N562" s="49" t="s">
        <v>89</v>
      </c>
      <c r="O562" s="49" t="s">
        <v>35</v>
      </c>
      <c r="P562" s="11" t="s">
        <v>80</v>
      </c>
      <c r="Q562" s="11" t="s">
        <v>90</v>
      </c>
      <c r="R562" s="11" t="s">
        <v>231</v>
      </c>
      <c r="S562" s="11" t="s">
        <v>1753</v>
      </c>
      <c r="T562" s="116" t="s">
        <v>10</v>
      </c>
      <c r="U562" s="88"/>
      <c r="V562" s="51">
        <v>45999</v>
      </c>
      <c r="W562" s="97" t="s">
        <v>1573</v>
      </c>
      <c r="X562" s="135" t="str">
        <f>VLOOKUP(Table1[[#This Row],[AMZ ID]],[1]Roster_1787503287932!$D$2:$AU$1370,25,0)</f>
        <v>Not Present</v>
      </c>
      <c r="Y562" s="135">
        <f>VLOOKUP(Table1[[#This Row],[AMZ ID]],[1]Roster_1787503287932!$D$2:$AM$1370,35,0)</f>
        <v>0</v>
      </c>
    </row>
    <row r="563" spans="1:25" ht="13" customHeight="1">
      <c r="A563" s="11">
        <v>557</v>
      </c>
      <c r="B563" s="47">
        <v>206072878</v>
      </c>
      <c r="C563" s="89" t="s">
        <v>595</v>
      </c>
      <c r="D563" s="11" t="s">
        <v>596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8" t="s">
        <v>79</v>
      </c>
      <c r="O563" s="49" t="s">
        <v>35</v>
      </c>
      <c r="P563" s="11" t="s">
        <v>80</v>
      </c>
      <c r="Q563" s="11" t="s">
        <v>81</v>
      </c>
      <c r="R563" s="11" t="s">
        <v>231</v>
      </c>
      <c r="S563" s="11" t="s">
        <v>1753</v>
      </c>
      <c r="T563" s="116" t="s">
        <v>10</v>
      </c>
      <c r="U563" s="88"/>
      <c r="V563" s="51">
        <v>45922</v>
      </c>
      <c r="W563" s="97" t="s">
        <v>1573</v>
      </c>
      <c r="X563" s="135" t="str">
        <f>VLOOKUP(Table1[[#This Row],[AMZ ID]],[1]Roster_1787503287932!$D$2:$AU$1370,25,0)</f>
        <v>Not Present</v>
      </c>
      <c r="Y563" s="135">
        <f>VLOOKUP(Table1[[#This Row],[AMZ ID]],[1]Roster_1787503287932!$D$2:$AM$1370,35,0)</f>
        <v>0</v>
      </c>
    </row>
    <row r="564" spans="1:25" ht="13" customHeight="1">
      <c r="A564" s="11">
        <v>558</v>
      </c>
      <c r="B564" s="47">
        <v>206915156</v>
      </c>
      <c r="C564" s="89" t="s">
        <v>1908</v>
      </c>
      <c r="D564" s="11" t="s">
        <v>1914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39</v>
      </c>
      <c r="K564" s="49" t="s">
        <v>76</v>
      </c>
      <c r="L564" s="49" t="s">
        <v>77</v>
      </c>
      <c r="M564" s="49" t="s">
        <v>78</v>
      </c>
      <c r="N564" s="49" t="s">
        <v>89</v>
      </c>
      <c r="O564" s="49" t="s">
        <v>35</v>
      </c>
      <c r="P564" s="49" t="s">
        <v>80</v>
      </c>
      <c r="Q564" s="49" t="s">
        <v>90</v>
      </c>
      <c r="R564" s="11" t="s">
        <v>225</v>
      </c>
      <c r="S564" s="49" t="s">
        <v>226</v>
      </c>
      <c r="T564" s="116" t="s">
        <v>10</v>
      </c>
      <c r="U564" s="88"/>
      <c r="V564" s="51">
        <v>46034</v>
      </c>
      <c r="W564" s="97" t="s">
        <v>1573</v>
      </c>
      <c r="X564" s="135" t="str">
        <f>VLOOKUP(Table1[[#This Row],[AMZ ID]],[1]Roster_1787503287932!$D$2:$AU$1370,25,0)</f>
        <v>Not Present</v>
      </c>
      <c r="Y564" s="135">
        <f>VLOOKUP(Table1[[#This Row],[AMZ ID]],[1]Roster_1787503287932!$D$2:$AM$1370,35,0)</f>
        <v>0</v>
      </c>
    </row>
    <row r="565" spans="1:25" ht="13" customHeight="1">
      <c r="A565" s="11">
        <v>559</v>
      </c>
      <c r="B565" s="47">
        <v>206348019</v>
      </c>
      <c r="C565" s="89" t="s">
        <v>2438</v>
      </c>
      <c r="D565" s="11" t="s">
        <v>2439</v>
      </c>
      <c r="E565" s="48" t="s">
        <v>31</v>
      </c>
      <c r="F565" s="48" t="s">
        <v>74</v>
      </c>
      <c r="G565" s="11" t="s">
        <v>65</v>
      </c>
      <c r="H565" s="11" t="s">
        <v>1332</v>
      </c>
      <c r="I565" s="11">
        <v>1181</v>
      </c>
      <c r="J565" s="49" t="s">
        <v>32</v>
      </c>
      <c r="K565" s="49" t="s">
        <v>76</v>
      </c>
      <c r="L565" s="49" t="s">
        <v>92</v>
      </c>
      <c r="M565" s="49" t="s">
        <v>84</v>
      </c>
      <c r="N565" s="48" t="s">
        <v>89</v>
      </c>
      <c r="O565" s="49" t="s">
        <v>68</v>
      </c>
      <c r="P565" s="11" t="s">
        <v>80</v>
      </c>
      <c r="Q565" s="11" t="s">
        <v>90</v>
      </c>
      <c r="R565" s="11" t="s">
        <v>1336</v>
      </c>
      <c r="S565" s="11" t="s">
        <v>1337</v>
      </c>
      <c r="T565" s="116" t="s">
        <v>1</v>
      </c>
      <c r="U565" s="88"/>
      <c r="V565" s="51">
        <v>45957</v>
      </c>
      <c r="W565" s="97" t="s">
        <v>68</v>
      </c>
      <c r="X565" s="135" t="str">
        <f>VLOOKUP(Table1[[#This Row],[AMZ ID]],[1]Roster_1787503287932!$D$2:$AU$1370,25,0)</f>
        <v>Present</v>
      </c>
      <c r="Y565" s="135">
        <f>VLOOKUP(Table1[[#This Row],[AMZ ID]],[1]Roster_1787503287932!$D$2:$AM$1370,35,0)</f>
        <v>0</v>
      </c>
    </row>
    <row r="566" spans="1:25" ht="13" customHeight="1">
      <c r="A566" s="11">
        <v>560</v>
      </c>
      <c r="B566" s="47">
        <v>206873878</v>
      </c>
      <c r="C566" s="89" t="s">
        <v>2663</v>
      </c>
      <c r="D566" s="11" t="s">
        <v>2664</v>
      </c>
      <c r="E566" s="48" t="s">
        <v>31</v>
      </c>
      <c r="F566" s="48" t="s">
        <v>74</v>
      </c>
      <c r="G566" s="48" t="s">
        <v>64</v>
      </c>
      <c r="H566" s="48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9" t="s">
        <v>89</v>
      </c>
      <c r="O566" s="48" t="s">
        <v>35</v>
      </c>
      <c r="P566" s="48" t="s">
        <v>80</v>
      </c>
      <c r="Q566" s="11" t="s">
        <v>90</v>
      </c>
      <c r="R566" s="11" t="s">
        <v>231</v>
      </c>
      <c r="S566" s="11" t="s">
        <v>1753</v>
      </c>
      <c r="T566" s="116" t="s">
        <v>10</v>
      </c>
      <c r="U566" s="88"/>
      <c r="V566" s="51">
        <v>46020</v>
      </c>
      <c r="W566" s="97" t="s">
        <v>1573</v>
      </c>
      <c r="X566" s="135" t="str">
        <f>VLOOKUP(Table1[[#This Row],[AMZ ID]],[1]Roster_1787503287932!$D$2:$AU$1370,25,0)</f>
        <v>Not Present</v>
      </c>
      <c r="Y566" s="135">
        <f>VLOOKUP(Table1[[#This Row],[AMZ ID]],[1]Roster_1787503287932!$D$2:$AM$1370,35,0)</f>
        <v>0</v>
      </c>
    </row>
    <row r="567" spans="1:25" ht="13" customHeight="1">
      <c r="A567" s="11">
        <v>561</v>
      </c>
      <c r="B567" s="47">
        <v>203800482</v>
      </c>
      <c r="C567" s="89" t="s">
        <v>597</v>
      </c>
      <c r="D567" s="11" t="s">
        <v>598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39</v>
      </c>
      <c r="K567" s="49" t="s">
        <v>76</v>
      </c>
      <c r="L567" s="49" t="s">
        <v>85</v>
      </c>
      <c r="M567" s="49" t="s">
        <v>88</v>
      </c>
      <c r="N567" s="48" t="s">
        <v>86</v>
      </c>
      <c r="O567" s="48" t="s">
        <v>35</v>
      </c>
      <c r="P567" s="11" t="s">
        <v>80</v>
      </c>
      <c r="Q567" s="11" t="s">
        <v>90</v>
      </c>
      <c r="R567" s="11" t="s">
        <v>231</v>
      </c>
      <c r="S567" s="11" t="s">
        <v>1753</v>
      </c>
      <c r="T567" s="116" t="s">
        <v>1</v>
      </c>
      <c r="U567" s="88"/>
      <c r="V567" s="51">
        <v>45516</v>
      </c>
      <c r="W567" s="97" t="s">
        <v>1573</v>
      </c>
      <c r="X567" s="135" t="str">
        <f>VLOOKUP(Table1[[#This Row],[AMZ ID]],[1]Roster_1787503287932!$D$2:$AU$1370,25,0)</f>
        <v>Present</v>
      </c>
      <c r="Y567" s="135">
        <f>VLOOKUP(Table1[[#This Row],[AMZ ID]],[1]Roster_1787503287932!$D$2:$AM$1370,35,0)</f>
        <v>0</v>
      </c>
    </row>
    <row r="568" spans="1:25" ht="13" customHeight="1">
      <c r="A568" s="11">
        <v>562</v>
      </c>
      <c r="B568" s="11">
        <v>206953817</v>
      </c>
      <c r="C568" s="89" t="s">
        <v>2665</v>
      </c>
      <c r="D568" s="11" t="s">
        <v>2666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9" t="s">
        <v>86</v>
      </c>
      <c r="O568" s="48" t="s">
        <v>35</v>
      </c>
      <c r="P568" s="11" t="s">
        <v>80</v>
      </c>
      <c r="Q568" s="83" t="s">
        <v>90</v>
      </c>
      <c r="R568" s="11" t="s">
        <v>224</v>
      </c>
      <c r="S568" s="54" t="s">
        <v>2715</v>
      </c>
      <c r="T568" s="116" t="s">
        <v>10</v>
      </c>
      <c r="U568" s="88"/>
      <c r="V568" s="51">
        <v>46051</v>
      </c>
      <c r="W568" s="29" t="s">
        <v>1573</v>
      </c>
      <c r="X568" s="135" t="str">
        <f>VLOOKUP(Table1[[#This Row],[AMZ ID]],[1]Roster_1787503287932!$D$2:$AU$1370,25,0)</f>
        <v>Not Present</v>
      </c>
      <c r="Y568" s="135">
        <f>VLOOKUP(Table1[[#This Row],[AMZ ID]],[1]Roster_1787503287932!$D$2:$AM$1370,35,0)</f>
        <v>0</v>
      </c>
    </row>
    <row r="569" spans="1:25" ht="13" customHeight="1">
      <c r="A569" s="11">
        <v>563</v>
      </c>
      <c r="B569" s="47">
        <v>106262694</v>
      </c>
      <c r="C569" s="89" t="s">
        <v>2364</v>
      </c>
      <c r="D569" s="11" t="s">
        <v>2365</v>
      </c>
      <c r="E569" s="48" t="s">
        <v>34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84</v>
      </c>
      <c r="M569" s="49" t="s">
        <v>85</v>
      </c>
      <c r="N569" s="48" t="s">
        <v>108</v>
      </c>
      <c r="O569" s="48" t="s">
        <v>35</v>
      </c>
      <c r="P569" s="11" t="s">
        <v>80</v>
      </c>
      <c r="Q569" s="11" t="s">
        <v>98</v>
      </c>
      <c r="R569" s="11" t="s">
        <v>231</v>
      </c>
      <c r="S569" s="11" t="s">
        <v>1753</v>
      </c>
      <c r="T569" s="116" t="s">
        <v>1</v>
      </c>
      <c r="U569" s="88"/>
      <c r="V569" s="51">
        <v>44757</v>
      </c>
      <c r="W569" s="97" t="s">
        <v>1570</v>
      </c>
      <c r="X569" s="135" t="str">
        <f>VLOOKUP(Table1[[#This Row],[AMZ ID]],[1]Roster_1787503287932!$D$2:$AU$1370,25,0)</f>
        <v>Present</v>
      </c>
      <c r="Y569" s="135">
        <f>VLOOKUP(Table1[[#This Row],[AMZ ID]],[1]Roster_1787503287932!$D$2:$AM$1370,35,0)</f>
        <v>0</v>
      </c>
    </row>
    <row r="570" spans="1:25" ht="13" customHeight="1">
      <c r="A570" s="11">
        <v>564</v>
      </c>
      <c r="B570" s="47">
        <v>205506109</v>
      </c>
      <c r="C570" s="89" t="s">
        <v>599</v>
      </c>
      <c r="D570" s="11" t="s">
        <v>600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77</v>
      </c>
      <c r="M570" s="49" t="s">
        <v>78</v>
      </c>
      <c r="N570" s="49" t="s">
        <v>89</v>
      </c>
      <c r="O570" s="49" t="s">
        <v>35</v>
      </c>
      <c r="P570" s="11" t="s">
        <v>80</v>
      </c>
      <c r="Q570" s="11" t="s">
        <v>96</v>
      </c>
      <c r="R570" s="11" t="s">
        <v>231</v>
      </c>
      <c r="S570" s="11" t="s">
        <v>1753</v>
      </c>
      <c r="T570" s="116" t="s">
        <v>10</v>
      </c>
      <c r="U570" s="88"/>
      <c r="V570" s="51">
        <v>45831</v>
      </c>
      <c r="W570" s="97" t="s">
        <v>1573</v>
      </c>
      <c r="X570" s="135" t="str">
        <f>VLOOKUP(Table1[[#This Row],[AMZ ID]],[1]Roster_1787503287932!$D$2:$AU$1370,25,0)</f>
        <v>Not Present</v>
      </c>
      <c r="Y570" s="135">
        <f>VLOOKUP(Table1[[#This Row],[AMZ ID]],[1]Roster_1787503287932!$D$2:$AM$1370,35,0)</f>
        <v>0</v>
      </c>
    </row>
    <row r="571" spans="1:25" ht="13" customHeight="1">
      <c r="A571" s="11">
        <v>565</v>
      </c>
      <c r="B571" s="47">
        <v>204967149</v>
      </c>
      <c r="C571" s="89" t="s">
        <v>2667</v>
      </c>
      <c r="D571" s="11" t="s">
        <v>2668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39</v>
      </c>
      <c r="K571" s="49" t="s">
        <v>76</v>
      </c>
      <c r="L571" s="49" t="s">
        <v>78</v>
      </c>
      <c r="M571" s="49" t="s">
        <v>92</v>
      </c>
      <c r="N571" s="48" t="s">
        <v>86</v>
      </c>
      <c r="O571" s="49" t="s">
        <v>35</v>
      </c>
      <c r="P571" s="11" t="s">
        <v>80</v>
      </c>
      <c r="Q571" s="11" t="s">
        <v>90</v>
      </c>
      <c r="R571" s="11" t="s">
        <v>231</v>
      </c>
      <c r="S571" s="11" t="s">
        <v>1753</v>
      </c>
      <c r="T571" s="116" t="s">
        <v>10</v>
      </c>
      <c r="U571" s="88"/>
      <c r="V571" s="51">
        <v>45826</v>
      </c>
      <c r="W571" s="97" t="s">
        <v>1573</v>
      </c>
      <c r="X571" s="135" t="str">
        <f>VLOOKUP(Table1[[#This Row],[AMZ ID]],[1]Roster_1787503287932!$D$2:$AU$1370,25,0)</f>
        <v>Not Present</v>
      </c>
      <c r="Y571" s="135">
        <f>VLOOKUP(Table1[[#This Row],[AMZ ID]],[1]Roster_1787503287932!$D$2:$AM$1370,35,0)</f>
        <v>0</v>
      </c>
    </row>
    <row r="572" spans="1:25" ht="13" customHeight="1">
      <c r="A572" s="11">
        <v>566</v>
      </c>
      <c r="B572" s="47">
        <v>205496022</v>
      </c>
      <c r="C572" s="89" t="s">
        <v>601</v>
      </c>
      <c r="D572" s="11" t="s">
        <v>602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89</v>
      </c>
      <c r="O572" s="49" t="s">
        <v>35</v>
      </c>
      <c r="P572" s="11" t="s">
        <v>80</v>
      </c>
      <c r="Q572" s="11" t="s">
        <v>96</v>
      </c>
      <c r="R572" s="11" t="s">
        <v>231</v>
      </c>
      <c r="S572" s="11" t="s">
        <v>1753</v>
      </c>
      <c r="T572" s="116" t="s">
        <v>10</v>
      </c>
      <c r="U572" s="88"/>
      <c r="V572" s="51">
        <v>45831</v>
      </c>
      <c r="W572" s="97" t="s">
        <v>1573</v>
      </c>
      <c r="X572" s="135" t="str">
        <f>VLOOKUP(Table1[[#This Row],[AMZ ID]],[1]Roster_1787503287932!$D$2:$AU$1370,25,0)</f>
        <v>Not Present</v>
      </c>
      <c r="Y572" s="135">
        <f>VLOOKUP(Table1[[#This Row],[AMZ ID]],[1]Roster_1787503287932!$D$2:$AM$1370,35,0)</f>
        <v>0</v>
      </c>
    </row>
    <row r="573" spans="1:25" ht="13" customHeight="1">
      <c r="A573" s="11">
        <v>567</v>
      </c>
      <c r="B573" s="47">
        <v>206504596</v>
      </c>
      <c r="C573" s="89" t="s">
        <v>2669</v>
      </c>
      <c r="D573" s="11" t="s">
        <v>2670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89</v>
      </c>
      <c r="O573" s="49" t="s">
        <v>35</v>
      </c>
      <c r="P573" s="11" t="s">
        <v>80</v>
      </c>
      <c r="Q573" s="11" t="s">
        <v>90</v>
      </c>
      <c r="R573" s="11" t="s">
        <v>231</v>
      </c>
      <c r="S573" s="11" t="s">
        <v>1753</v>
      </c>
      <c r="T573" s="116" t="s">
        <v>10</v>
      </c>
      <c r="U573" s="88"/>
      <c r="V573" s="51">
        <v>45971</v>
      </c>
      <c r="W573" s="97" t="s">
        <v>1573</v>
      </c>
      <c r="X573" s="135" t="str">
        <f>VLOOKUP(Table1[[#This Row],[AMZ ID]],[1]Roster_1787503287932!$D$2:$AU$1370,25,0)</f>
        <v>Not Present</v>
      </c>
      <c r="Y573" s="135">
        <f>VLOOKUP(Table1[[#This Row],[AMZ ID]],[1]Roster_1787503287932!$D$2:$AM$1370,35,0)</f>
        <v>0</v>
      </c>
    </row>
    <row r="574" spans="1:25" ht="13" customHeight="1">
      <c r="A574" s="11">
        <v>568</v>
      </c>
      <c r="B574" s="47">
        <v>205275768</v>
      </c>
      <c r="C574" s="89" t="s">
        <v>1354</v>
      </c>
      <c r="D574" s="11" t="s">
        <v>1355</v>
      </c>
      <c r="E574" s="48" t="s">
        <v>31</v>
      </c>
      <c r="F574" s="48" t="s">
        <v>74</v>
      </c>
      <c r="G574" s="11" t="s">
        <v>65</v>
      </c>
      <c r="H574" s="11" t="s">
        <v>1332</v>
      </c>
      <c r="I574" s="11">
        <v>1181</v>
      </c>
      <c r="J574" s="49" t="s">
        <v>32</v>
      </c>
      <c r="K574" s="49" t="s">
        <v>76</v>
      </c>
      <c r="L574" s="49" t="s">
        <v>84</v>
      </c>
      <c r="M574" s="49" t="s">
        <v>85</v>
      </c>
      <c r="N574" s="48" t="s">
        <v>89</v>
      </c>
      <c r="O574" s="49" t="s">
        <v>68</v>
      </c>
      <c r="P574" s="11" t="s">
        <v>80</v>
      </c>
      <c r="Q574" s="11" t="s">
        <v>90</v>
      </c>
      <c r="R574" s="11" t="s">
        <v>1336</v>
      </c>
      <c r="S574" s="11" t="s">
        <v>1337</v>
      </c>
      <c r="T574" s="116" t="s">
        <v>1</v>
      </c>
      <c r="U574" s="88"/>
      <c r="V574" s="51">
        <v>45796</v>
      </c>
      <c r="W574" s="97" t="s">
        <v>68</v>
      </c>
      <c r="X574" s="135" t="str">
        <f>VLOOKUP(Table1[[#This Row],[AMZ ID]],[1]Roster_1787503287932!$D$2:$AU$1370,25,0)</f>
        <v>Present</v>
      </c>
      <c r="Y574" s="135">
        <f>VLOOKUP(Table1[[#This Row],[AMZ ID]],[1]Roster_1787503287932!$D$2:$AM$1370,35,0)</f>
        <v>0</v>
      </c>
    </row>
    <row r="575" spans="1:25" ht="13" customHeight="1">
      <c r="A575" s="11">
        <v>569</v>
      </c>
      <c r="B575" s="47">
        <v>206015633</v>
      </c>
      <c r="C575" s="89" t="s">
        <v>605</v>
      </c>
      <c r="D575" s="11" t="s">
        <v>606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78</v>
      </c>
      <c r="M575" s="49" t="s">
        <v>92</v>
      </c>
      <c r="N575" s="48" t="s">
        <v>79</v>
      </c>
      <c r="O575" s="49" t="s">
        <v>35</v>
      </c>
      <c r="P575" s="11" t="s">
        <v>80</v>
      </c>
      <c r="Q575" s="11" t="s">
        <v>81</v>
      </c>
      <c r="R575" s="11" t="s">
        <v>225</v>
      </c>
      <c r="S575" s="11" t="s">
        <v>226</v>
      </c>
      <c r="T575" s="116" t="s">
        <v>10</v>
      </c>
      <c r="U575" s="88"/>
      <c r="V575" s="51">
        <v>45915</v>
      </c>
      <c r="W575" s="97" t="s">
        <v>1574</v>
      </c>
      <c r="X575" s="135" t="str">
        <f>VLOOKUP(Table1[[#This Row],[AMZ ID]],[1]Roster_1787503287932!$D$2:$AU$1370,25,0)</f>
        <v>Not Present</v>
      </c>
      <c r="Y575" s="135">
        <f>VLOOKUP(Table1[[#This Row],[AMZ ID]],[1]Roster_1787503287932!$D$2:$AM$1370,35,0)</f>
        <v>0</v>
      </c>
    </row>
    <row r="576" spans="1:25" ht="13" customHeight="1">
      <c r="A576" s="11">
        <v>570</v>
      </c>
      <c r="B576" s="11">
        <v>206875751</v>
      </c>
      <c r="C576" s="89" t="s">
        <v>1786</v>
      </c>
      <c r="D576" s="11" t="s">
        <v>1787</v>
      </c>
      <c r="E576" s="48" t="s">
        <v>31</v>
      </c>
      <c r="F576" s="48" t="s">
        <v>74</v>
      </c>
      <c r="G576" s="48" t="s">
        <v>64</v>
      </c>
      <c r="H576" s="48" t="s">
        <v>75</v>
      </c>
      <c r="I576" s="11">
        <v>1299</v>
      </c>
      <c r="J576" s="49" t="s">
        <v>32</v>
      </c>
      <c r="K576" s="49" t="s">
        <v>76</v>
      </c>
      <c r="L576" s="49" t="s">
        <v>78</v>
      </c>
      <c r="M576" s="49" t="s">
        <v>92</v>
      </c>
      <c r="N576" s="49" t="s">
        <v>89</v>
      </c>
      <c r="O576" s="48" t="s">
        <v>35</v>
      </c>
      <c r="P576" s="48" t="s">
        <v>80</v>
      </c>
      <c r="Q576" s="11" t="s">
        <v>81</v>
      </c>
      <c r="R576" s="11" t="s">
        <v>231</v>
      </c>
      <c r="S576" s="11" t="s">
        <v>1753</v>
      </c>
      <c r="T576" s="116" t="s">
        <v>10</v>
      </c>
      <c r="U576" s="88"/>
      <c r="V576" s="51">
        <v>46020</v>
      </c>
      <c r="W576" s="102" t="s">
        <v>1573</v>
      </c>
      <c r="X576" s="135" t="str">
        <f>VLOOKUP(Table1[[#This Row],[AMZ ID]],[1]Roster_1787503287932!$D$2:$AU$1370,25,0)</f>
        <v>Not Present</v>
      </c>
      <c r="Y576" s="135">
        <f>VLOOKUP(Table1[[#This Row],[AMZ ID]],[1]Roster_1787503287932!$D$2:$AM$1370,35,0)</f>
        <v>0</v>
      </c>
    </row>
    <row r="577" spans="1:25" ht="13" customHeight="1">
      <c r="A577" s="11">
        <v>571</v>
      </c>
      <c r="B577" s="47">
        <v>204246612</v>
      </c>
      <c r="C577" s="89" t="s">
        <v>607</v>
      </c>
      <c r="D577" s="11" t="s">
        <v>608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95</v>
      </c>
      <c r="M577" s="49" t="s">
        <v>77</v>
      </c>
      <c r="N577" s="48" t="s">
        <v>86</v>
      </c>
      <c r="O577" s="49" t="s">
        <v>35</v>
      </c>
      <c r="P577" s="11" t="s">
        <v>80</v>
      </c>
      <c r="Q577" s="11" t="s">
        <v>87</v>
      </c>
      <c r="R577" s="11" t="s">
        <v>231</v>
      </c>
      <c r="S577" s="11" t="s">
        <v>1753</v>
      </c>
      <c r="T577" s="116" t="s">
        <v>1</v>
      </c>
      <c r="U577" s="88"/>
      <c r="V577" s="51">
        <v>45579</v>
      </c>
      <c r="W577" s="97" t="s">
        <v>1573</v>
      </c>
      <c r="X577" s="135" t="str">
        <f>VLOOKUP(Table1[[#This Row],[AMZ ID]],[1]Roster_1787503287932!$D$2:$AU$1370,25,0)</f>
        <v>Present</v>
      </c>
      <c r="Y577" s="135">
        <f>VLOOKUP(Table1[[#This Row],[AMZ ID]],[1]Roster_1787503287932!$D$2:$AM$1370,35,0)</f>
        <v>0</v>
      </c>
    </row>
    <row r="578" spans="1:25" ht="13" customHeight="1">
      <c r="A578" s="11">
        <v>572</v>
      </c>
      <c r="B578" s="47">
        <v>206933423</v>
      </c>
      <c r="C578" s="89" t="s">
        <v>2023</v>
      </c>
      <c r="D578" s="11" t="s">
        <v>2003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79</v>
      </c>
      <c r="O578" s="49" t="s">
        <v>35</v>
      </c>
      <c r="P578" s="11" t="s">
        <v>80</v>
      </c>
      <c r="Q578" s="11" t="s">
        <v>96</v>
      </c>
      <c r="R578" s="11" t="s">
        <v>224</v>
      </c>
      <c r="S578" s="11" t="s">
        <v>2715</v>
      </c>
      <c r="T578" s="116" t="s">
        <v>10</v>
      </c>
      <c r="U578" s="88"/>
      <c r="V578" s="51">
        <v>46041</v>
      </c>
      <c r="W578" s="97" t="s">
        <v>1573</v>
      </c>
      <c r="X578" s="135" t="str">
        <f>VLOOKUP(Table1[[#This Row],[AMZ ID]],[1]Roster_1787503287932!$D$2:$AU$1370,25,0)</f>
        <v>Not Present</v>
      </c>
      <c r="Y578" s="135">
        <f>VLOOKUP(Table1[[#This Row],[AMZ ID]],[1]Roster_1787503287932!$D$2:$AM$1370,35,0)</f>
        <v>0</v>
      </c>
    </row>
    <row r="579" spans="1:25" ht="13" customHeight="1">
      <c r="A579" s="11">
        <v>573</v>
      </c>
      <c r="B579" s="47">
        <v>206513292</v>
      </c>
      <c r="C579" s="89" t="s">
        <v>2671</v>
      </c>
      <c r="D579" s="11" t="s">
        <v>2672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86</v>
      </c>
      <c r="O579" s="49" t="s">
        <v>35</v>
      </c>
      <c r="P579" s="11" t="s">
        <v>80</v>
      </c>
      <c r="Q579" s="11" t="s">
        <v>90</v>
      </c>
      <c r="R579" s="11" t="s">
        <v>231</v>
      </c>
      <c r="S579" s="11" t="s">
        <v>1753</v>
      </c>
      <c r="T579" s="116" t="s">
        <v>10</v>
      </c>
      <c r="U579" s="88"/>
      <c r="V579" s="51">
        <v>45971</v>
      </c>
      <c r="W579" s="97" t="s">
        <v>1573</v>
      </c>
      <c r="X579" s="135" t="str">
        <f>VLOOKUP(Table1[[#This Row],[AMZ ID]],[1]Roster_1787503287932!$D$2:$AU$1370,25,0)</f>
        <v>Not Present</v>
      </c>
      <c r="Y579" s="135">
        <f>VLOOKUP(Table1[[#This Row],[AMZ ID]],[1]Roster_1787503287932!$D$2:$AM$1370,35,0)</f>
        <v>0</v>
      </c>
    </row>
    <row r="580" spans="1:25" ht="13" customHeight="1">
      <c r="A580" s="11">
        <v>574</v>
      </c>
      <c r="B580" s="47">
        <v>206791438</v>
      </c>
      <c r="C580" s="89" t="s">
        <v>2673</v>
      </c>
      <c r="D580" s="11" t="s">
        <v>2674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89</v>
      </c>
      <c r="O580" s="49" t="s">
        <v>35</v>
      </c>
      <c r="P580" s="11" t="s">
        <v>80</v>
      </c>
      <c r="Q580" s="11" t="s">
        <v>90</v>
      </c>
      <c r="R580" s="11" t="s">
        <v>231</v>
      </c>
      <c r="S580" s="11" t="s">
        <v>1753</v>
      </c>
      <c r="T580" s="116" t="s">
        <v>10</v>
      </c>
      <c r="U580" s="88"/>
      <c r="V580" s="51">
        <v>45999</v>
      </c>
      <c r="W580" s="97" t="s">
        <v>1573</v>
      </c>
      <c r="X580" s="135" t="str">
        <f>VLOOKUP(Table1[[#This Row],[AMZ ID]],[1]Roster_1787503287932!$D$2:$AU$1370,25,0)</f>
        <v>Not Present</v>
      </c>
      <c r="Y580" s="135">
        <f>VLOOKUP(Table1[[#This Row],[AMZ ID]],[1]Roster_1787503287932!$D$2:$AM$1370,35,0)</f>
        <v>0</v>
      </c>
    </row>
    <row r="581" spans="1:25" ht="13" customHeight="1">
      <c r="A581" s="11">
        <v>575</v>
      </c>
      <c r="B581" s="47">
        <v>203736259</v>
      </c>
      <c r="C581" s="89" t="s">
        <v>2675</v>
      </c>
      <c r="D581" s="11" t="s">
        <v>2676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39</v>
      </c>
      <c r="K581" s="49" t="s">
        <v>76</v>
      </c>
      <c r="L581" s="49" t="s">
        <v>78</v>
      </c>
      <c r="M581" s="49" t="s">
        <v>92</v>
      </c>
      <c r="N581" s="48" t="s">
        <v>86</v>
      </c>
      <c r="O581" s="49" t="s">
        <v>35</v>
      </c>
      <c r="P581" s="11" t="s">
        <v>80</v>
      </c>
      <c r="Q581" s="11" t="s">
        <v>90</v>
      </c>
      <c r="R581" s="11" t="s">
        <v>231</v>
      </c>
      <c r="S581" s="11" t="s">
        <v>1753</v>
      </c>
      <c r="T581" s="116" t="s">
        <v>10</v>
      </c>
      <c r="U581" s="88"/>
      <c r="V581" s="51">
        <v>45502</v>
      </c>
      <c r="W581" s="97" t="s">
        <v>1573</v>
      </c>
      <c r="X581" s="135" t="str">
        <f>VLOOKUP(Table1[[#This Row],[AMZ ID]],[1]Roster_1787503287932!$D$2:$AU$1370,25,0)</f>
        <v>Not Present</v>
      </c>
      <c r="Y581" s="135">
        <f>VLOOKUP(Table1[[#This Row],[AMZ ID]],[1]Roster_1787503287932!$D$2:$AM$1370,35,0)</f>
        <v>0</v>
      </c>
    </row>
    <row r="582" spans="1:25" ht="13" customHeight="1">
      <c r="A582" s="11">
        <v>576</v>
      </c>
      <c r="B582" s="11">
        <v>206873645</v>
      </c>
      <c r="C582" s="89" t="s">
        <v>1778</v>
      </c>
      <c r="D582" s="11" t="s">
        <v>1779</v>
      </c>
      <c r="E582" s="48" t="s">
        <v>31</v>
      </c>
      <c r="F582" s="48" t="s">
        <v>74</v>
      </c>
      <c r="G582" s="48" t="s">
        <v>64</v>
      </c>
      <c r="H582" s="48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9" t="s">
        <v>89</v>
      </c>
      <c r="O582" s="48" t="s">
        <v>35</v>
      </c>
      <c r="P582" s="48" t="s">
        <v>80</v>
      </c>
      <c r="Q582" s="11" t="s">
        <v>81</v>
      </c>
      <c r="R582" s="11" t="s">
        <v>231</v>
      </c>
      <c r="S582" s="11" t="s">
        <v>1753</v>
      </c>
      <c r="T582" s="116" t="s">
        <v>10</v>
      </c>
      <c r="U582" s="88"/>
      <c r="V582" s="51">
        <v>46020</v>
      </c>
      <c r="W582" s="102" t="s">
        <v>1573</v>
      </c>
      <c r="X582" s="135" t="str">
        <f>VLOOKUP(Table1[[#This Row],[AMZ ID]],[1]Roster_1787503287932!$D$2:$AU$1370,25,0)</f>
        <v>Not Present</v>
      </c>
      <c r="Y582" s="135">
        <f>VLOOKUP(Table1[[#This Row],[AMZ ID]],[1]Roster_1787503287932!$D$2:$AM$1370,35,0)</f>
        <v>0</v>
      </c>
    </row>
    <row r="583" spans="1:25" ht="13" customHeight="1">
      <c r="A583" s="11">
        <v>577</v>
      </c>
      <c r="B583" s="47">
        <v>203813134</v>
      </c>
      <c r="C583" s="89" t="s">
        <v>611</v>
      </c>
      <c r="D583" s="11" t="s">
        <v>612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39</v>
      </c>
      <c r="K583" s="49" t="s">
        <v>76</v>
      </c>
      <c r="L583" s="49" t="s">
        <v>78</v>
      </c>
      <c r="M583" s="49" t="s">
        <v>92</v>
      </c>
      <c r="N583" s="48" t="s">
        <v>86</v>
      </c>
      <c r="O583" s="49" t="s">
        <v>35</v>
      </c>
      <c r="P583" s="11" t="s">
        <v>80</v>
      </c>
      <c r="Q583" s="11" t="s">
        <v>99</v>
      </c>
      <c r="R583" s="11" t="s">
        <v>231</v>
      </c>
      <c r="S583" s="11" t="s">
        <v>1753</v>
      </c>
      <c r="T583" s="116" t="s">
        <v>10</v>
      </c>
      <c r="U583" s="88"/>
      <c r="V583" s="51">
        <v>45517</v>
      </c>
      <c r="W583" s="97" t="s">
        <v>1573</v>
      </c>
      <c r="X583" s="135" t="str">
        <f>VLOOKUP(Table1[[#This Row],[AMZ ID]],[1]Roster_1787503287932!$D$2:$AU$1370,25,0)</f>
        <v>Not Present</v>
      </c>
      <c r="Y583" s="135">
        <f>VLOOKUP(Table1[[#This Row],[AMZ ID]],[1]Roster_1787503287932!$D$2:$AM$1370,35,0)</f>
        <v>0</v>
      </c>
    </row>
    <row r="584" spans="1:25" ht="13" customHeight="1">
      <c r="A584" s="11">
        <v>578</v>
      </c>
      <c r="B584" s="47">
        <v>112911448</v>
      </c>
      <c r="C584" s="89" t="s">
        <v>1704</v>
      </c>
      <c r="D584" s="11" t="s">
        <v>1705</v>
      </c>
      <c r="E584" s="48" t="s">
        <v>34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97</v>
      </c>
      <c r="O584" s="49" t="s">
        <v>35</v>
      </c>
      <c r="P584" s="11" t="s">
        <v>80</v>
      </c>
      <c r="Q584" s="11" t="s">
        <v>98</v>
      </c>
      <c r="R584" s="11" t="s">
        <v>224</v>
      </c>
      <c r="S584" s="11" t="s">
        <v>2715</v>
      </c>
      <c r="T584" s="116" t="s">
        <v>10</v>
      </c>
      <c r="U584" s="88"/>
      <c r="V584" s="51">
        <v>46013</v>
      </c>
      <c r="W584" s="97" t="s">
        <v>1575</v>
      </c>
      <c r="X584" s="135" t="str">
        <f>VLOOKUP(Table1[[#This Row],[AMZ ID]],[1]Roster_1787503287932!$D$2:$AU$1370,25,0)</f>
        <v>Not Present</v>
      </c>
      <c r="Y584" s="135">
        <f>VLOOKUP(Table1[[#This Row],[AMZ ID]],[1]Roster_1787503287932!$D$2:$AM$1370,35,0)</f>
        <v>0</v>
      </c>
    </row>
    <row r="585" spans="1:25" ht="13" customHeight="1">
      <c r="A585" s="11">
        <v>579</v>
      </c>
      <c r="B585" s="47">
        <v>104147044</v>
      </c>
      <c r="C585" s="89" t="s">
        <v>613</v>
      </c>
      <c r="D585" s="11" t="s">
        <v>614</v>
      </c>
      <c r="E585" s="48" t="s">
        <v>34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39</v>
      </c>
      <c r="K585" s="49" t="s">
        <v>76</v>
      </c>
      <c r="L585" s="49" t="s">
        <v>95</v>
      </c>
      <c r="M585" s="49" t="s">
        <v>77</v>
      </c>
      <c r="N585" s="48" t="s">
        <v>108</v>
      </c>
      <c r="O585" s="49" t="s">
        <v>35</v>
      </c>
      <c r="P585" s="11" t="s">
        <v>80</v>
      </c>
      <c r="Q585" s="11" t="s">
        <v>98</v>
      </c>
      <c r="R585" s="11" t="s">
        <v>231</v>
      </c>
      <c r="S585" s="11" t="s">
        <v>1753</v>
      </c>
      <c r="T585" s="116" t="s">
        <v>1</v>
      </c>
      <c r="U585" s="88"/>
      <c r="V585" s="51">
        <v>44861</v>
      </c>
      <c r="W585" s="97" t="s">
        <v>1573</v>
      </c>
      <c r="X585" s="135" t="str">
        <f>VLOOKUP(Table1[[#This Row],[AMZ ID]],[1]Roster_1787503287932!$D$2:$AU$1370,25,0)</f>
        <v>Present</v>
      </c>
      <c r="Y585" s="135">
        <f>VLOOKUP(Table1[[#This Row],[AMZ ID]],[1]Roster_1787503287932!$D$2:$AM$1370,35,0)</f>
        <v>0</v>
      </c>
    </row>
    <row r="586" spans="1:25" ht="13" customHeight="1">
      <c r="A586" s="11">
        <v>580</v>
      </c>
      <c r="B586" s="47">
        <v>203687852</v>
      </c>
      <c r="C586" s="89" t="s">
        <v>615</v>
      </c>
      <c r="D586" s="11" t="s">
        <v>616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84</v>
      </c>
      <c r="M586" s="49" t="s">
        <v>85</v>
      </c>
      <c r="N586" s="48" t="s">
        <v>86</v>
      </c>
      <c r="O586" s="49" t="s">
        <v>35</v>
      </c>
      <c r="P586" s="11" t="s">
        <v>80</v>
      </c>
      <c r="Q586" s="11" t="s">
        <v>99</v>
      </c>
      <c r="R586" s="11" t="s">
        <v>231</v>
      </c>
      <c r="S586" s="11" t="s">
        <v>1753</v>
      </c>
      <c r="T586" s="116" t="s">
        <v>7</v>
      </c>
      <c r="U586" s="88"/>
      <c r="V586" s="51">
        <v>45495</v>
      </c>
      <c r="W586" s="97" t="s">
        <v>1573</v>
      </c>
      <c r="X586" s="135" t="str">
        <f>VLOOKUP(Table1[[#This Row],[AMZ ID]],[1]Roster_1787503287932!$D$2:$AU$1370,25,0)</f>
        <v>Not Present</v>
      </c>
      <c r="Y586" s="135" t="str">
        <f>VLOOKUP(Table1[[#This Row],[AMZ ID]],[1]Roster_1787503287932!$D$2:$AM$1370,35,0)</f>
        <v>Annual Leave</v>
      </c>
    </row>
    <row r="587" spans="1:25" ht="13" customHeight="1">
      <c r="A587" s="11">
        <v>581</v>
      </c>
      <c r="B587" s="47">
        <v>206934652</v>
      </c>
      <c r="C587" s="89" t="s">
        <v>2024</v>
      </c>
      <c r="D587" s="11" t="s">
        <v>2004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89</v>
      </c>
      <c r="O587" s="49" t="s">
        <v>35</v>
      </c>
      <c r="P587" s="11" t="s">
        <v>80</v>
      </c>
      <c r="Q587" s="11" t="s">
        <v>96</v>
      </c>
      <c r="R587" s="11" t="s">
        <v>224</v>
      </c>
      <c r="S587" s="11" t="s">
        <v>2715</v>
      </c>
      <c r="T587" s="116" t="s">
        <v>10</v>
      </c>
      <c r="U587" s="88"/>
      <c r="V587" s="51">
        <v>46041</v>
      </c>
      <c r="W587" s="97" t="s">
        <v>1573</v>
      </c>
      <c r="X587" s="135" t="str">
        <f>VLOOKUP(Table1[[#This Row],[AMZ ID]],[1]Roster_1787503287932!$D$2:$AU$1370,25,0)</f>
        <v>Not Present</v>
      </c>
      <c r="Y587" s="135">
        <f>VLOOKUP(Table1[[#This Row],[AMZ ID]],[1]Roster_1787503287932!$D$2:$AM$1370,35,0)</f>
        <v>0</v>
      </c>
    </row>
    <row r="588" spans="1:25" ht="13" customHeight="1">
      <c r="A588" s="11">
        <v>582</v>
      </c>
      <c r="B588" s="47">
        <v>202435289</v>
      </c>
      <c r="C588" s="89" t="s">
        <v>617</v>
      </c>
      <c r="D588" s="11" t="s">
        <v>618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87</v>
      </c>
      <c r="R588" s="11" t="s">
        <v>231</v>
      </c>
      <c r="S588" s="11" t="s">
        <v>1753</v>
      </c>
      <c r="T588" s="116" t="s">
        <v>10</v>
      </c>
      <c r="U588" s="88"/>
      <c r="V588" s="51">
        <v>45581</v>
      </c>
      <c r="W588" s="97" t="s">
        <v>1573</v>
      </c>
      <c r="X588" s="135" t="str">
        <f>VLOOKUP(Table1[[#This Row],[AMZ ID]],[1]Roster_1787503287932!$D$2:$AU$1370,25,0)</f>
        <v>Not Present</v>
      </c>
      <c r="Y588" s="135">
        <f>VLOOKUP(Table1[[#This Row],[AMZ ID]],[1]Roster_1787503287932!$D$2:$AM$1370,35,0)</f>
        <v>0</v>
      </c>
    </row>
    <row r="589" spans="1:25" ht="13" customHeight="1">
      <c r="A589" s="11">
        <v>583</v>
      </c>
      <c r="B589" s="47">
        <v>203813135</v>
      </c>
      <c r="C589" s="89" t="s">
        <v>619</v>
      </c>
      <c r="D589" s="11" t="s">
        <v>620</v>
      </c>
      <c r="E589" s="48" t="s">
        <v>31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78</v>
      </c>
      <c r="M589" s="49" t="s">
        <v>92</v>
      </c>
      <c r="N589" s="48" t="s">
        <v>86</v>
      </c>
      <c r="O589" s="49" t="s">
        <v>35</v>
      </c>
      <c r="P589" s="11" t="s">
        <v>80</v>
      </c>
      <c r="Q589" s="11" t="s">
        <v>99</v>
      </c>
      <c r="R589" s="11" t="s">
        <v>231</v>
      </c>
      <c r="S589" s="11" t="s">
        <v>1753</v>
      </c>
      <c r="T589" s="116" t="s">
        <v>10</v>
      </c>
      <c r="U589" s="88"/>
      <c r="V589" s="51">
        <v>45517</v>
      </c>
      <c r="W589" s="97" t="s">
        <v>1573</v>
      </c>
      <c r="X589" s="135" t="str">
        <f>VLOOKUP(Table1[[#This Row],[AMZ ID]],[1]Roster_1787503287932!$D$2:$AU$1370,25,0)</f>
        <v>Not Present</v>
      </c>
      <c r="Y589" s="135">
        <f>VLOOKUP(Table1[[#This Row],[AMZ ID]],[1]Roster_1787503287932!$D$2:$AM$1370,35,0)</f>
        <v>0</v>
      </c>
    </row>
    <row r="590" spans="1:25" ht="13" customHeight="1">
      <c r="A590" s="11">
        <v>584</v>
      </c>
      <c r="B590" s="47">
        <v>203965526</v>
      </c>
      <c r="C590" s="89" t="s">
        <v>621</v>
      </c>
      <c r="D590" s="11" t="s">
        <v>622</v>
      </c>
      <c r="E590" s="48" t="s">
        <v>31</v>
      </c>
      <c r="F590" s="48" t="s">
        <v>74</v>
      </c>
      <c r="G590" s="11" t="s">
        <v>65</v>
      </c>
      <c r="H590" s="11" t="s">
        <v>75</v>
      </c>
      <c r="I590" s="11">
        <v>1299</v>
      </c>
      <c r="J590" s="49" t="s">
        <v>32</v>
      </c>
      <c r="K590" s="49" t="s">
        <v>76</v>
      </c>
      <c r="L590" s="49" t="s">
        <v>78</v>
      </c>
      <c r="M590" s="49" t="s">
        <v>92</v>
      </c>
      <c r="N590" s="48" t="s">
        <v>79</v>
      </c>
      <c r="O590" s="49" t="s">
        <v>68</v>
      </c>
      <c r="P590" s="11" t="s">
        <v>80</v>
      </c>
      <c r="Q590" s="11" t="s">
        <v>81</v>
      </c>
      <c r="R590" s="11" t="s">
        <v>2720</v>
      </c>
      <c r="S590" s="11" t="s">
        <v>2721</v>
      </c>
      <c r="T590" s="116" t="s">
        <v>10</v>
      </c>
      <c r="U590" s="88"/>
      <c r="V590" s="51">
        <v>45544</v>
      </c>
      <c r="W590" s="97" t="s">
        <v>68</v>
      </c>
      <c r="X590" s="135" t="str">
        <f>VLOOKUP(Table1[[#This Row],[AMZ ID]],[1]Roster_1787503287932!$D$2:$AU$1370,25,0)</f>
        <v>Not Present</v>
      </c>
      <c r="Y590" s="135">
        <f>VLOOKUP(Table1[[#This Row],[AMZ ID]],[1]Roster_1787503287932!$D$2:$AM$1370,35,0)</f>
        <v>0</v>
      </c>
    </row>
    <row r="591" spans="1:25" ht="13" customHeight="1">
      <c r="A591" s="11">
        <v>585</v>
      </c>
      <c r="B591" s="47">
        <v>206006412</v>
      </c>
      <c r="C591" s="89" t="s">
        <v>296</v>
      </c>
      <c r="D591" s="11" t="s">
        <v>1752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32</v>
      </c>
      <c r="K591" s="49" t="s">
        <v>76</v>
      </c>
      <c r="L591" s="49" t="s">
        <v>77</v>
      </c>
      <c r="M591" s="49" t="s">
        <v>78</v>
      </c>
      <c r="N591" s="48" t="s">
        <v>79</v>
      </c>
      <c r="O591" s="49" t="s">
        <v>35</v>
      </c>
      <c r="P591" s="11" t="s">
        <v>80</v>
      </c>
      <c r="Q591" s="11" t="s">
        <v>81</v>
      </c>
      <c r="R591" s="11" t="s">
        <v>224</v>
      </c>
      <c r="S591" s="11" t="s">
        <v>2715</v>
      </c>
      <c r="T591" s="116" t="s">
        <v>10</v>
      </c>
      <c r="U591" s="88"/>
      <c r="V591" s="51">
        <v>45915</v>
      </c>
      <c r="W591" s="97" t="s">
        <v>1573</v>
      </c>
      <c r="X591" s="135" t="str">
        <f>VLOOKUP(Table1[[#This Row],[AMZ ID]],[1]Roster_1787503287932!$D$2:$AU$1370,25,0)</f>
        <v>Not Present</v>
      </c>
      <c r="Y591" s="135">
        <f>VLOOKUP(Table1[[#This Row],[AMZ ID]],[1]Roster_1787503287932!$D$2:$AM$1370,35,0)</f>
        <v>0</v>
      </c>
    </row>
    <row r="592" spans="1:25" ht="13" customHeight="1">
      <c r="A592" s="11">
        <v>586</v>
      </c>
      <c r="B592" s="47">
        <v>203741319</v>
      </c>
      <c r="C592" s="89" t="s">
        <v>623</v>
      </c>
      <c r="D592" s="11" t="s">
        <v>624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39</v>
      </c>
      <c r="K592" s="49" t="s">
        <v>76</v>
      </c>
      <c r="L592" s="49" t="s">
        <v>85</v>
      </c>
      <c r="M592" s="49" t="s">
        <v>88</v>
      </c>
      <c r="N592" s="48" t="s">
        <v>79</v>
      </c>
      <c r="O592" s="49" t="s">
        <v>35</v>
      </c>
      <c r="P592" s="11" t="s">
        <v>80</v>
      </c>
      <c r="Q592" s="11" t="s">
        <v>81</v>
      </c>
      <c r="R592" s="11" t="s">
        <v>231</v>
      </c>
      <c r="S592" s="11" t="s">
        <v>1753</v>
      </c>
      <c r="T592" s="116" t="s">
        <v>1</v>
      </c>
      <c r="U592" s="88"/>
      <c r="V592" s="51">
        <v>45502</v>
      </c>
      <c r="W592" s="97" t="s">
        <v>1573</v>
      </c>
      <c r="X592" s="135" t="str">
        <f>VLOOKUP(Table1[[#This Row],[AMZ ID]],[1]Roster_1787503287932!$D$2:$AU$1370,25,0)</f>
        <v>Present</v>
      </c>
      <c r="Y592" s="135">
        <f>VLOOKUP(Table1[[#This Row],[AMZ ID]],[1]Roster_1787503287932!$D$2:$AM$1370,35,0)</f>
        <v>0</v>
      </c>
    </row>
    <row r="593" spans="1:25" ht="13" customHeight="1">
      <c r="A593" s="11">
        <v>587</v>
      </c>
      <c r="B593" s="47">
        <v>206858475</v>
      </c>
      <c r="C593" s="89" t="s">
        <v>2677</v>
      </c>
      <c r="D593" s="47" t="s">
        <v>2678</v>
      </c>
      <c r="E593" s="47" t="s">
        <v>31</v>
      </c>
      <c r="F593" s="47" t="s">
        <v>74</v>
      </c>
      <c r="G593" s="47" t="s">
        <v>64</v>
      </c>
      <c r="H593" s="47" t="s">
        <v>75</v>
      </c>
      <c r="I593" s="47">
        <v>1299</v>
      </c>
      <c r="J593" s="49" t="s">
        <v>32</v>
      </c>
      <c r="K593" s="49" t="s">
        <v>76</v>
      </c>
      <c r="L593" s="49" t="s">
        <v>78</v>
      </c>
      <c r="M593" s="49" t="s">
        <v>92</v>
      </c>
      <c r="N593" s="49" t="s">
        <v>89</v>
      </c>
      <c r="O593" s="47" t="s">
        <v>35</v>
      </c>
      <c r="P593" s="47" t="s">
        <v>80</v>
      </c>
      <c r="Q593" s="47" t="s">
        <v>90</v>
      </c>
      <c r="R593" s="11" t="s">
        <v>231</v>
      </c>
      <c r="S593" s="47" t="s">
        <v>1753</v>
      </c>
      <c r="T593" s="116" t="s">
        <v>10</v>
      </c>
      <c r="U593" s="88"/>
      <c r="V593" s="51">
        <v>46013</v>
      </c>
      <c r="W593" s="132" t="s">
        <v>1573</v>
      </c>
      <c r="X593" s="135" t="str">
        <f>VLOOKUP(Table1[[#This Row],[AMZ ID]],[1]Roster_1787503287932!$D$2:$AU$1370,25,0)</f>
        <v>Not Present</v>
      </c>
      <c r="Y593" s="135">
        <f>VLOOKUP(Table1[[#This Row],[AMZ ID]],[1]Roster_1787503287932!$D$2:$AM$1370,35,0)</f>
        <v>0</v>
      </c>
    </row>
    <row r="594" spans="1:25" ht="13" customHeight="1">
      <c r="A594" s="11">
        <v>588</v>
      </c>
      <c r="B594" s="47">
        <v>203737198</v>
      </c>
      <c r="C594" s="89" t="s">
        <v>625</v>
      </c>
      <c r="D594" s="11" t="s">
        <v>626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90</v>
      </c>
      <c r="R594" s="11" t="s">
        <v>231</v>
      </c>
      <c r="S594" s="11" t="s">
        <v>1753</v>
      </c>
      <c r="T594" s="116" t="s">
        <v>10</v>
      </c>
      <c r="U594" s="88"/>
      <c r="V594" s="51">
        <v>45502</v>
      </c>
      <c r="W594" s="97" t="s">
        <v>1573</v>
      </c>
      <c r="X594" s="135" t="str">
        <f>VLOOKUP(Table1[[#This Row],[AMZ ID]],[1]Roster_1787503287932!$D$2:$AU$1370,25,0)</f>
        <v>Not Present</v>
      </c>
      <c r="Y594" s="135">
        <f>VLOOKUP(Table1[[#This Row],[AMZ ID]],[1]Roster_1787503287932!$D$2:$AM$1370,35,0)</f>
        <v>0</v>
      </c>
    </row>
    <row r="595" spans="1:25" ht="13" customHeight="1">
      <c r="A595" s="11">
        <v>589</v>
      </c>
      <c r="B595" s="47">
        <v>203800379</v>
      </c>
      <c r="C595" s="89" t="s">
        <v>2679</v>
      </c>
      <c r="D595" s="11" t="s">
        <v>2680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95</v>
      </c>
      <c r="M595" s="49" t="s">
        <v>77</v>
      </c>
      <c r="N595" s="48" t="s">
        <v>86</v>
      </c>
      <c r="O595" s="49" t="s">
        <v>35</v>
      </c>
      <c r="P595" s="11" t="s">
        <v>80</v>
      </c>
      <c r="Q595" s="11" t="s">
        <v>90</v>
      </c>
      <c r="R595" s="11" t="s">
        <v>231</v>
      </c>
      <c r="S595" s="11" t="s">
        <v>1753</v>
      </c>
      <c r="T595" s="116" t="s">
        <v>1</v>
      </c>
      <c r="U595" s="88"/>
      <c r="V595" s="51">
        <v>45516</v>
      </c>
      <c r="W595" s="97" t="s">
        <v>1573</v>
      </c>
      <c r="X595" s="135" t="str">
        <f>VLOOKUP(Table1[[#This Row],[AMZ ID]],[1]Roster_1787503287932!$D$2:$AU$1370,25,0)</f>
        <v>Present</v>
      </c>
      <c r="Y595" s="135">
        <f>VLOOKUP(Table1[[#This Row],[AMZ ID]],[1]Roster_1787503287932!$D$2:$AM$1370,35,0)</f>
        <v>0</v>
      </c>
    </row>
    <row r="596" spans="1:25" ht="13" customHeight="1">
      <c r="A596" s="11">
        <v>590</v>
      </c>
      <c r="B596" s="47">
        <v>203521128</v>
      </c>
      <c r="C596" s="89" t="s">
        <v>2455</v>
      </c>
      <c r="D596" s="11" t="s">
        <v>2456</v>
      </c>
      <c r="E596" s="48" t="s">
        <v>34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85</v>
      </c>
      <c r="M596" s="49" t="s">
        <v>88</v>
      </c>
      <c r="N596" s="48" t="s">
        <v>97</v>
      </c>
      <c r="O596" s="49" t="s">
        <v>35</v>
      </c>
      <c r="P596" s="11" t="s">
        <v>80</v>
      </c>
      <c r="Q596" s="11" t="s">
        <v>98</v>
      </c>
      <c r="R596" s="11" t="s">
        <v>231</v>
      </c>
      <c r="S596" s="11" t="s">
        <v>1753</v>
      </c>
      <c r="T596" s="116" t="s">
        <v>1</v>
      </c>
      <c r="U596" s="88"/>
      <c r="V596" s="51">
        <v>45463</v>
      </c>
      <c r="W596" s="97" t="s">
        <v>1570</v>
      </c>
      <c r="X596" s="135" t="str">
        <f>VLOOKUP(Table1[[#This Row],[AMZ ID]],[1]Roster_1787503287932!$D$2:$AU$1370,25,0)</f>
        <v>Present</v>
      </c>
      <c r="Y596" s="135">
        <f>VLOOKUP(Table1[[#This Row],[AMZ ID]],[1]Roster_1787503287932!$D$2:$AM$1370,35,0)</f>
        <v>0</v>
      </c>
    </row>
    <row r="597" spans="1:25" ht="13" customHeight="1">
      <c r="A597" s="11">
        <v>591</v>
      </c>
      <c r="B597" s="47">
        <v>206137330</v>
      </c>
      <c r="C597" s="89" t="s">
        <v>629</v>
      </c>
      <c r="D597" s="11" t="s">
        <v>630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39</v>
      </c>
      <c r="K597" s="49" t="s">
        <v>76</v>
      </c>
      <c r="L597" s="49" t="s">
        <v>88</v>
      </c>
      <c r="M597" s="49" t="s">
        <v>95</v>
      </c>
      <c r="N597" s="49" t="s">
        <v>89</v>
      </c>
      <c r="O597" s="49" t="s">
        <v>37</v>
      </c>
      <c r="P597" s="11" t="s">
        <v>80</v>
      </c>
      <c r="Q597" s="11" t="s">
        <v>81</v>
      </c>
      <c r="R597" s="11" t="s">
        <v>631</v>
      </c>
      <c r="S597" s="11" t="s">
        <v>632</v>
      </c>
      <c r="T597" s="116" t="s">
        <v>1</v>
      </c>
      <c r="U597" s="88"/>
      <c r="V597" s="51">
        <v>45929</v>
      </c>
      <c r="W597" s="97" t="s">
        <v>1577</v>
      </c>
      <c r="X597" s="135" t="str">
        <f>VLOOKUP(Table1[[#This Row],[AMZ ID]],[1]Roster_1787503287932!$D$2:$AU$1370,25,0)</f>
        <v>Present</v>
      </c>
      <c r="Y597" s="135">
        <f>VLOOKUP(Table1[[#This Row],[AMZ ID]],[1]Roster_1787503287932!$D$2:$AM$1370,35,0)</f>
        <v>0</v>
      </c>
    </row>
    <row r="598" spans="1:25" ht="13" customHeight="1">
      <c r="A598" s="11">
        <v>592</v>
      </c>
      <c r="B598" s="47">
        <v>205256720</v>
      </c>
      <c r="C598" s="89" t="s">
        <v>2134</v>
      </c>
      <c r="D598" s="11" t="s">
        <v>2135</v>
      </c>
      <c r="E598" s="103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2471</v>
      </c>
      <c r="K598" s="49" t="s">
        <v>76</v>
      </c>
      <c r="L598" s="49" t="s">
        <v>78</v>
      </c>
      <c r="M598" s="49" t="s">
        <v>92</v>
      </c>
      <c r="N598" s="49" t="s">
        <v>79</v>
      </c>
      <c r="O598" s="49" t="s">
        <v>37</v>
      </c>
      <c r="P598" s="49" t="s">
        <v>80</v>
      </c>
      <c r="Q598" s="49" t="s">
        <v>96</v>
      </c>
      <c r="R598" s="49" t="s">
        <v>647</v>
      </c>
      <c r="S598" s="49" t="s">
        <v>1798</v>
      </c>
      <c r="T598" s="116" t="s">
        <v>10</v>
      </c>
      <c r="U598" s="88"/>
      <c r="V598" s="51">
        <v>46048</v>
      </c>
      <c r="W598" s="97" t="s">
        <v>1577</v>
      </c>
      <c r="X598" s="135" t="str">
        <f>VLOOKUP(Table1[[#This Row],[AMZ ID]],[1]Roster_1787503287932!$D$2:$AU$1370,25,0)</f>
        <v>Not Present</v>
      </c>
      <c r="Y598" s="135">
        <f>VLOOKUP(Table1[[#This Row],[AMZ ID]],[1]Roster_1787503287932!$D$2:$AM$1370,35,0)</f>
        <v>0</v>
      </c>
    </row>
    <row r="599" spans="1:25" ht="13" customHeight="1">
      <c r="A599" s="11">
        <v>593</v>
      </c>
      <c r="B599" s="47">
        <v>200061207</v>
      </c>
      <c r="C599" s="89" t="s">
        <v>633</v>
      </c>
      <c r="D599" s="11" t="s">
        <v>634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36</v>
      </c>
      <c r="M599" s="49" t="s">
        <v>92</v>
      </c>
      <c r="N599" s="48" t="s">
        <v>79</v>
      </c>
      <c r="O599" s="49" t="s">
        <v>37</v>
      </c>
      <c r="P599" s="11" t="s">
        <v>80</v>
      </c>
      <c r="Q599" s="11" t="s">
        <v>81</v>
      </c>
      <c r="R599" s="11" t="s">
        <v>631</v>
      </c>
      <c r="S599" s="11" t="s">
        <v>632</v>
      </c>
      <c r="T599" s="116" t="s">
        <v>1</v>
      </c>
      <c r="U599" s="88"/>
      <c r="V599" s="51">
        <v>45537</v>
      </c>
      <c r="W599" s="97" t="s">
        <v>1578</v>
      </c>
      <c r="X599" s="135" t="str">
        <f>VLOOKUP(Table1[[#This Row],[AMZ ID]],[1]Roster_1787503287932!$D$2:$AU$1370,25,0)</f>
        <v>Present</v>
      </c>
      <c r="Y599" s="135">
        <f>VLOOKUP(Table1[[#This Row],[AMZ ID]],[1]Roster_1787503287932!$D$2:$AM$1370,35,0)</f>
        <v>0</v>
      </c>
    </row>
    <row r="600" spans="1:25" ht="13" customHeight="1">
      <c r="A600" s="11">
        <v>594</v>
      </c>
      <c r="B600" s="47">
        <v>204117189</v>
      </c>
      <c r="C600" s="89" t="s">
        <v>635</v>
      </c>
      <c r="D600" s="11" t="s">
        <v>636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95</v>
      </c>
      <c r="M600" s="49" t="s">
        <v>77</v>
      </c>
      <c r="N600" s="48" t="s">
        <v>86</v>
      </c>
      <c r="O600" s="49" t="s">
        <v>37</v>
      </c>
      <c r="P600" s="11" t="s">
        <v>80</v>
      </c>
      <c r="Q600" s="11" t="s">
        <v>87</v>
      </c>
      <c r="R600" s="49" t="s">
        <v>627</v>
      </c>
      <c r="S600" s="11" t="s">
        <v>628</v>
      </c>
      <c r="T600" s="116" t="s">
        <v>7</v>
      </c>
      <c r="U600" s="88"/>
      <c r="V600" s="51">
        <v>45561</v>
      </c>
      <c r="W600" s="97" t="s">
        <v>1577</v>
      </c>
      <c r="X600" s="135" t="str">
        <f>VLOOKUP(Table1[[#This Row],[AMZ ID]],[1]Roster_1787503287932!$D$2:$AU$1370,25,0)</f>
        <v>Not Present</v>
      </c>
      <c r="Y600" s="135" t="str">
        <f>VLOOKUP(Table1[[#This Row],[AMZ ID]],[1]Roster_1787503287932!$D$2:$AM$1370,35,0)</f>
        <v>Annual Leave</v>
      </c>
    </row>
    <row r="601" spans="1:25" ht="13" customHeight="1">
      <c r="A601" s="11">
        <v>595</v>
      </c>
      <c r="B601" s="47">
        <v>204172240</v>
      </c>
      <c r="C601" s="89" t="s">
        <v>2345</v>
      </c>
      <c r="D601" s="11" t="s">
        <v>2346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85</v>
      </c>
      <c r="M601" s="49" t="s">
        <v>88</v>
      </c>
      <c r="N601" s="48" t="s">
        <v>86</v>
      </c>
      <c r="O601" s="49" t="s">
        <v>37</v>
      </c>
      <c r="P601" s="11" t="s">
        <v>80</v>
      </c>
      <c r="Q601" s="11" t="s">
        <v>90</v>
      </c>
      <c r="R601" s="11" t="s">
        <v>1066</v>
      </c>
      <c r="S601" s="11" t="s">
        <v>2717</v>
      </c>
      <c r="T601" s="116" t="s">
        <v>1</v>
      </c>
      <c r="U601" s="88"/>
      <c r="V601" s="51">
        <v>45568</v>
      </c>
      <c r="W601" s="97" t="s">
        <v>1578</v>
      </c>
      <c r="X601" s="135" t="str">
        <f>VLOOKUP(Table1[[#This Row],[AMZ ID]],[1]Roster_1787503287932!$D$2:$AU$1370,25,0)</f>
        <v>Present</v>
      </c>
      <c r="Y601" s="135">
        <f>VLOOKUP(Table1[[#This Row],[AMZ ID]],[1]Roster_1787503287932!$D$2:$AM$1370,35,0)</f>
        <v>0</v>
      </c>
    </row>
    <row r="602" spans="1:25" ht="13" customHeight="1">
      <c r="A602" s="11">
        <v>596</v>
      </c>
      <c r="B602" s="47">
        <v>206129609</v>
      </c>
      <c r="C602" s="89" t="s">
        <v>637</v>
      </c>
      <c r="D602" s="11" t="s">
        <v>638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32</v>
      </c>
      <c r="K602" s="49" t="s">
        <v>76</v>
      </c>
      <c r="L602" s="49" t="s">
        <v>88</v>
      </c>
      <c r="M602" s="49" t="s">
        <v>95</v>
      </c>
      <c r="N602" s="48" t="s">
        <v>79</v>
      </c>
      <c r="O602" s="49" t="s">
        <v>37</v>
      </c>
      <c r="P602" s="11" t="s">
        <v>80</v>
      </c>
      <c r="Q602" s="11" t="s">
        <v>81</v>
      </c>
      <c r="R602" s="11" t="s">
        <v>2845</v>
      </c>
      <c r="S602" s="11" t="s">
        <v>2846</v>
      </c>
      <c r="T602" s="116" t="s">
        <v>1</v>
      </c>
      <c r="U602" s="88"/>
      <c r="V602" s="51">
        <v>45929</v>
      </c>
      <c r="W602" s="97" t="s">
        <v>1577</v>
      </c>
      <c r="X602" s="135" t="str">
        <f>VLOOKUP(Table1[[#This Row],[AMZ ID]],[1]Roster_1787503287932!$D$2:$AU$1370,25,0)</f>
        <v>Present</v>
      </c>
      <c r="Y602" s="135">
        <f>VLOOKUP(Table1[[#This Row],[AMZ ID]],[1]Roster_1787503287932!$D$2:$AM$1370,35,0)</f>
        <v>0</v>
      </c>
    </row>
    <row r="603" spans="1:25" ht="13" customHeight="1">
      <c r="A603" s="11">
        <v>597</v>
      </c>
      <c r="B603" s="47">
        <v>203908320</v>
      </c>
      <c r="C603" s="89" t="s">
        <v>2368</v>
      </c>
      <c r="D603" s="11" t="s">
        <v>2369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92</v>
      </c>
      <c r="M603" s="49" t="s">
        <v>84</v>
      </c>
      <c r="N603" s="48" t="s">
        <v>86</v>
      </c>
      <c r="O603" s="49" t="s">
        <v>37</v>
      </c>
      <c r="P603" s="11" t="s">
        <v>80</v>
      </c>
      <c r="Q603" s="11" t="s">
        <v>90</v>
      </c>
      <c r="R603" s="49" t="s">
        <v>647</v>
      </c>
      <c r="S603" s="11" t="s">
        <v>1798</v>
      </c>
      <c r="T603" s="116" t="s">
        <v>1</v>
      </c>
      <c r="U603" s="88"/>
      <c r="V603" s="51">
        <v>45537</v>
      </c>
      <c r="W603" s="97" t="s">
        <v>1577</v>
      </c>
      <c r="X603" s="135" t="str">
        <f>VLOOKUP(Table1[[#This Row],[AMZ ID]],[1]Roster_1787503287932!$D$2:$AU$1370,25,0)</f>
        <v>Present</v>
      </c>
      <c r="Y603" s="135">
        <f>VLOOKUP(Table1[[#This Row],[AMZ ID]],[1]Roster_1787503287932!$D$2:$AM$1370,35,0)</f>
        <v>0</v>
      </c>
    </row>
    <row r="604" spans="1:25" ht="13" customHeight="1">
      <c r="A604" s="11">
        <v>598</v>
      </c>
      <c r="B604" s="47">
        <v>206137331</v>
      </c>
      <c r="C604" s="89" t="s">
        <v>640</v>
      </c>
      <c r="D604" s="11" t="s">
        <v>641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95</v>
      </c>
      <c r="M604" s="49" t="s">
        <v>77</v>
      </c>
      <c r="N604" s="48" t="s">
        <v>79</v>
      </c>
      <c r="O604" s="49" t="s">
        <v>37</v>
      </c>
      <c r="P604" s="11" t="s">
        <v>80</v>
      </c>
      <c r="Q604" s="11" t="s">
        <v>81</v>
      </c>
      <c r="R604" s="11" t="s">
        <v>631</v>
      </c>
      <c r="S604" s="11" t="s">
        <v>632</v>
      </c>
      <c r="T604" s="116" t="s">
        <v>1</v>
      </c>
      <c r="U604" s="88"/>
      <c r="V604" s="51">
        <v>45929</v>
      </c>
      <c r="W604" s="97" t="s">
        <v>1577</v>
      </c>
      <c r="X604" s="135" t="str">
        <f>VLOOKUP(Table1[[#This Row],[AMZ ID]],[1]Roster_1787503287932!$D$2:$AU$1370,25,0)</f>
        <v>Present</v>
      </c>
      <c r="Y604" s="135">
        <f>VLOOKUP(Table1[[#This Row],[AMZ ID]],[1]Roster_1787503287932!$D$2:$AM$1370,35,0)</f>
        <v>0</v>
      </c>
    </row>
    <row r="605" spans="1:25" ht="13" customHeight="1">
      <c r="A605" s="11">
        <v>599</v>
      </c>
      <c r="B605" s="47">
        <v>204373723</v>
      </c>
      <c r="C605" s="89" t="s">
        <v>643</v>
      </c>
      <c r="D605" s="11" t="s">
        <v>644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88</v>
      </c>
      <c r="M605" s="49" t="s">
        <v>95</v>
      </c>
      <c r="N605" s="48" t="s">
        <v>86</v>
      </c>
      <c r="O605" s="49" t="s">
        <v>37</v>
      </c>
      <c r="P605" s="11" t="s">
        <v>80</v>
      </c>
      <c r="Q605" s="11" t="s">
        <v>99</v>
      </c>
      <c r="R605" s="49" t="s">
        <v>647</v>
      </c>
      <c r="S605" s="11" t="s">
        <v>1798</v>
      </c>
      <c r="T605" s="116" t="s">
        <v>1</v>
      </c>
      <c r="U605" s="88"/>
      <c r="V605" s="51">
        <v>45593</v>
      </c>
      <c r="W605" s="97" t="s">
        <v>1577</v>
      </c>
      <c r="X605" s="135" t="str">
        <f>VLOOKUP(Table1[[#This Row],[AMZ ID]],[1]Roster_1787503287932!$D$2:$AU$1370,25,0)</f>
        <v>Present</v>
      </c>
      <c r="Y605" s="135">
        <f>VLOOKUP(Table1[[#This Row],[AMZ ID]],[1]Roster_1787503287932!$D$2:$AM$1370,35,0)</f>
        <v>0</v>
      </c>
    </row>
    <row r="606" spans="1:25" ht="13" customHeight="1">
      <c r="A606" s="11">
        <v>600</v>
      </c>
      <c r="B606" s="47">
        <v>206239522</v>
      </c>
      <c r="C606" s="89" t="s">
        <v>2370</v>
      </c>
      <c r="D606" s="11" t="s">
        <v>2371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85</v>
      </c>
      <c r="M606" s="49" t="s">
        <v>88</v>
      </c>
      <c r="N606" s="49" t="s">
        <v>89</v>
      </c>
      <c r="O606" s="49" t="s">
        <v>37</v>
      </c>
      <c r="P606" s="11" t="s">
        <v>80</v>
      </c>
      <c r="Q606" s="11" t="s">
        <v>90</v>
      </c>
      <c r="R606" s="11" t="s">
        <v>631</v>
      </c>
      <c r="S606" s="11" t="s">
        <v>632</v>
      </c>
      <c r="T606" s="116" t="s">
        <v>1</v>
      </c>
      <c r="U606" s="88"/>
      <c r="V606" s="51">
        <v>45943</v>
      </c>
      <c r="W606" s="97" t="s">
        <v>1578</v>
      </c>
      <c r="X606" s="135" t="str">
        <f>VLOOKUP(Table1[[#This Row],[AMZ ID]],[1]Roster_1787503287932!$D$2:$AU$1370,25,0)</f>
        <v>Present</v>
      </c>
      <c r="Y606" s="135">
        <f>VLOOKUP(Table1[[#This Row],[AMZ ID]],[1]Roster_1787503287932!$D$2:$AM$1370,35,0)</f>
        <v>0</v>
      </c>
    </row>
    <row r="607" spans="1:25" ht="13" customHeight="1">
      <c r="A607" s="11">
        <v>601</v>
      </c>
      <c r="B607" s="47">
        <v>203965455</v>
      </c>
      <c r="C607" s="89" t="s">
        <v>645</v>
      </c>
      <c r="D607" s="11" t="s">
        <v>646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88</v>
      </c>
      <c r="M607" s="49" t="s">
        <v>95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11" t="s">
        <v>1066</v>
      </c>
      <c r="S607" s="11" t="s">
        <v>2717</v>
      </c>
      <c r="T607" s="116" t="s">
        <v>1</v>
      </c>
      <c r="U607" s="88"/>
      <c r="V607" s="51">
        <v>45544</v>
      </c>
      <c r="W607" s="97" t="s">
        <v>1578</v>
      </c>
      <c r="X607" s="135" t="str">
        <f>VLOOKUP(Table1[[#This Row],[AMZ ID]],[1]Roster_1787503287932!$D$2:$AU$1370,25,0)</f>
        <v>Present</v>
      </c>
      <c r="Y607" s="135">
        <f>VLOOKUP(Table1[[#This Row],[AMZ ID]],[1]Roster_1787503287932!$D$2:$AM$1370,35,0)</f>
        <v>0</v>
      </c>
    </row>
    <row r="608" spans="1:25" ht="13" customHeight="1">
      <c r="A608" s="11">
        <v>602</v>
      </c>
      <c r="B608" s="47">
        <v>203468743</v>
      </c>
      <c r="C608" s="89" t="s">
        <v>648</v>
      </c>
      <c r="D608" s="11" t="s">
        <v>649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84</v>
      </c>
      <c r="M608" s="49" t="s">
        <v>85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49" t="s">
        <v>627</v>
      </c>
      <c r="S608" s="11" t="s">
        <v>628</v>
      </c>
      <c r="T608" s="116" t="s">
        <v>1</v>
      </c>
      <c r="U608" s="88"/>
      <c r="V608" s="51">
        <v>45456</v>
      </c>
      <c r="W608" s="97" t="s">
        <v>1579</v>
      </c>
      <c r="X608" s="135" t="str">
        <f>VLOOKUP(Table1[[#This Row],[AMZ ID]],[1]Roster_1787503287932!$D$2:$AU$1370,25,0)</f>
        <v>Present</v>
      </c>
      <c r="Y608" s="135">
        <f>VLOOKUP(Table1[[#This Row],[AMZ ID]],[1]Roster_1787503287932!$D$2:$AM$1370,35,0)</f>
        <v>0</v>
      </c>
    </row>
    <row r="609" spans="1:25" ht="13" customHeight="1">
      <c r="A609" s="11">
        <v>603</v>
      </c>
      <c r="B609" s="47">
        <v>206897640</v>
      </c>
      <c r="C609" s="89" t="s">
        <v>2853</v>
      </c>
      <c r="D609" s="11" t="s">
        <v>2854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78</v>
      </c>
      <c r="M609" s="49" t="s">
        <v>92</v>
      </c>
      <c r="N609" s="48" t="s">
        <v>89</v>
      </c>
      <c r="O609" s="49" t="s">
        <v>37</v>
      </c>
      <c r="P609" s="11" t="s">
        <v>80</v>
      </c>
      <c r="Q609" s="11" t="s">
        <v>81</v>
      </c>
      <c r="R609" s="11" t="s">
        <v>631</v>
      </c>
      <c r="S609" s="11" t="s">
        <v>632</v>
      </c>
      <c r="T609" s="116" t="s">
        <v>10</v>
      </c>
      <c r="U609" s="88"/>
      <c r="V609" s="51">
        <v>46238</v>
      </c>
      <c r="W609" s="97" t="s">
        <v>1579</v>
      </c>
      <c r="X609" s="135" t="str">
        <f>VLOOKUP(Table1[[#This Row],[AMZ ID]],[1]Roster_1787503287932!$D$2:$AU$1370,25,0)</f>
        <v>Not Present</v>
      </c>
      <c r="Y609" s="135">
        <f>VLOOKUP(Table1[[#This Row],[AMZ ID]],[1]Roster_1787503287932!$D$2:$AM$1370,35,0)</f>
        <v>0</v>
      </c>
    </row>
    <row r="610" spans="1:25" ht="13" customHeight="1">
      <c r="A610" s="11">
        <v>604</v>
      </c>
      <c r="B610" s="92">
        <v>203908861</v>
      </c>
      <c r="C610" s="47" t="s">
        <v>2372</v>
      </c>
      <c r="D610" s="89" t="s">
        <v>2373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32</v>
      </c>
      <c r="K610" s="49" t="s">
        <v>76</v>
      </c>
      <c r="L610" s="49" t="s">
        <v>88</v>
      </c>
      <c r="M610" s="49" t="s">
        <v>95</v>
      </c>
      <c r="N610" s="49" t="s">
        <v>86</v>
      </c>
      <c r="O610" s="49" t="s">
        <v>37</v>
      </c>
      <c r="P610" s="11" t="s">
        <v>80</v>
      </c>
      <c r="Q610" s="11" t="s">
        <v>90</v>
      </c>
      <c r="R610" s="11" t="s">
        <v>2845</v>
      </c>
      <c r="S610" s="11" t="s">
        <v>2846</v>
      </c>
      <c r="T610" s="116" t="s">
        <v>1</v>
      </c>
      <c r="U610" s="88"/>
      <c r="V610" s="51">
        <v>45537</v>
      </c>
      <c r="W610" s="97" t="s">
        <v>1578</v>
      </c>
      <c r="X610" s="135" t="str">
        <f>VLOOKUP(Table1[[#This Row],[AMZ ID]],[1]Roster_1787503287932!$D$2:$AU$1370,25,0)</f>
        <v>Present</v>
      </c>
      <c r="Y610" s="135">
        <f>VLOOKUP(Table1[[#This Row],[AMZ ID]],[1]Roster_1787503287932!$D$2:$AM$1370,35,0)</f>
        <v>0</v>
      </c>
    </row>
    <row r="611" spans="1:25" ht="13" customHeight="1">
      <c r="A611" s="11">
        <v>605</v>
      </c>
      <c r="B611" s="47">
        <v>205275762</v>
      </c>
      <c r="C611" s="89" t="s">
        <v>1356</v>
      </c>
      <c r="D611" s="11" t="s">
        <v>1987</v>
      </c>
      <c r="E611" s="48" t="s">
        <v>31</v>
      </c>
      <c r="F611" s="48" t="s">
        <v>74</v>
      </c>
      <c r="G611" s="11" t="s">
        <v>65</v>
      </c>
      <c r="H611" s="11" t="s">
        <v>1332</v>
      </c>
      <c r="I611" s="11">
        <v>1299</v>
      </c>
      <c r="J611" s="49" t="s">
        <v>32</v>
      </c>
      <c r="K611" s="49" t="s">
        <v>76</v>
      </c>
      <c r="L611" s="49" t="s">
        <v>84</v>
      </c>
      <c r="M611" s="49" t="s">
        <v>85</v>
      </c>
      <c r="N611" s="49" t="s">
        <v>89</v>
      </c>
      <c r="O611" s="49" t="s">
        <v>68</v>
      </c>
      <c r="P611" s="11" t="s">
        <v>80</v>
      </c>
      <c r="Q611" s="11" t="s">
        <v>90</v>
      </c>
      <c r="R611" s="11" t="s">
        <v>1336</v>
      </c>
      <c r="S611" s="11" t="s">
        <v>1337</v>
      </c>
      <c r="T611" s="116" t="s">
        <v>1</v>
      </c>
      <c r="U611" s="88"/>
      <c r="V611" s="51">
        <v>45796</v>
      </c>
      <c r="W611" s="97" t="s">
        <v>68</v>
      </c>
      <c r="X611" s="135" t="str">
        <f>VLOOKUP(Table1[[#This Row],[AMZ ID]],[1]Roster_1787503287932!$D$2:$AU$1370,25,0)</f>
        <v>Present</v>
      </c>
      <c r="Y611" s="135">
        <f>VLOOKUP(Table1[[#This Row],[AMZ ID]],[1]Roster_1787503287932!$D$2:$AM$1370,35,0)</f>
        <v>0</v>
      </c>
    </row>
    <row r="612" spans="1:25" ht="13" customHeight="1">
      <c r="A612" s="11">
        <v>606</v>
      </c>
      <c r="B612" s="47">
        <v>204013729</v>
      </c>
      <c r="C612" s="89" t="s">
        <v>1363</v>
      </c>
      <c r="D612" s="11" t="s">
        <v>1364</v>
      </c>
      <c r="E612" s="48" t="s">
        <v>31</v>
      </c>
      <c r="F612" s="48" t="s">
        <v>74</v>
      </c>
      <c r="G612" s="11" t="s">
        <v>65</v>
      </c>
      <c r="H612" s="11" t="s">
        <v>1332</v>
      </c>
      <c r="I612" s="11">
        <v>1181</v>
      </c>
      <c r="J612" s="49" t="s">
        <v>32</v>
      </c>
      <c r="K612" s="49" t="s">
        <v>76</v>
      </c>
      <c r="L612" s="49" t="s">
        <v>88</v>
      </c>
      <c r="M612" s="49" t="s">
        <v>95</v>
      </c>
      <c r="N612" s="48" t="s">
        <v>79</v>
      </c>
      <c r="O612" s="49" t="s">
        <v>68</v>
      </c>
      <c r="P612" s="11" t="s">
        <v>80</v>
      </c>
      <c r="Q612" s="11" t="s">
        <v>81</v>
      </c>
      <c r="R612" s="11" t="s">
        <v>1336</v>
      </c>
      <c r="S612" s="11" t="s">
        <v>1337</v>
      </c>
      <c r="T612" s="116" t="s">
        <v>1</v>
      </c>
      <c r="U612" s="88"/>
      <c r="V612" s="51">
        <v>45551</v>
      </c>
      <c r="W612" s="97" t="s">
        <v>68</v>
      </c>
      <c r="X612" s="135" t="str">
        <f>VLOOKUP(Table1[[#This Row],[AMZ ID]],[1]Roster_1787503287932!$D$2:$AU$1370,25,0)</f>
        <v>Present</v>
      </c>
      <c r="Y612" s="135">
        <f>VLOOKUP(Table1[[#This Row],[AMZ ID]],[1]Roster_1787503287932!$D$2:$AM$1370,35,0)</f>
        <v>0</v>
      </c>
    </row>
    <row r="613" spans="1:25" ht="13" customHeight="1">
      <c r="A613" s="11">
        <v>607</v>
      </c>
      <c r="B613" s="11">
        <v>206503618</v>
      </c>
      <c r="C613" s="89" t="s">
        <v>2187</v>
      </c>
      <c r="D613" s="48" t="s">
        <v>2188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95</v>
      </c>
      <c r="M613" s="49" t="s">
        <v>77</v>
      </c>
      <c r="N613" s="48" t="s">
        <v>89</v>
      </c>
      <c r="O613" s="49" t="s">
        <v>37</v>
      </c>
      <c r="P613" s="11" t="s">
        <v>80</v>
      </c>
      <c r="Q613" s="11" t="s">
        <v>96</v>
      </c>
      <c r="R613" s="11" t="s">
        <v>647</v>
      </c>
      <c r="S613" s="11" t="s">
        <v>1798</v>
      </c>
      <c r="T613" s="116" t="s">
        <v>1</v>
      </c>
      <c r="U613" s="88"/>
      <c r="V613" s="51">
        <v>46048</v>
      </c>
      <c r="W613" s="97" t="s">
        <v>1577</v>
      </c>
      <c r="X613" s="135" t="str">
        <f>VLOOKUP(Table1[[#This Row],[AMZ ID]],[1]Roster_1787503287932!$D$2:$AU$1370,25,0)</f>
        <v>Present</v>
      </c>
      <c r="Y613" s="135">
        <f>VLOOKUP(Table1[[#This Row],[AMZ ID]],[1]Roster_1787503287932!$D$2:$AM$1370,35,0)</f>
        <v>0</v>
      </c>
    </row>
    <row r="614" spans="1:25" ht="13" customHeight="1">
      <c r="A614" s="11">
        <v>608</v>
      </c>
      <c r="B614" s="92">
        <v>110804937</v>
      </c>
      <c r="C614" s="47" t="s">
        <v>1859</v>
      </c>
      <c r="D614" s="89" t="s">
        <v>1860</v>
      </c>
      <c r="E614" s="48" t="s">
        <v>34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85</v>
      </c>
      <c r="M614" s="49" t="s">
        <v>88</v>
      </c>
      <c r="N614" s="48" t="s">
        <v>97</v>
      </c>
      <c r="O614" s="49" t="s">
        <v>37</v>
      </c>
      <c r="P614" s="11" t="s">
        <v>80</v>
      </c>
      <c r="Q614" s="11" t="s">
        <v>98</v>
      </c>
      <c r="R614" s="11" t="s">
        <v>2844</v>
      </c>
      <c r="S614" s="11" t="s">
        <v>2716</v>
      </c>
      <c r="T614" s="116" t="s">
        <v>1</v>
      </c>
      <c r="U614" s="88"/>
      <c r="V614" s="51">
        <v>44800</v>
      </c>
      <c r="W614" s="97" t="s">
        <v>1581</v>
      </c>
      <c r="X614" s="135" t="str">
        <f>VLOOKUP(Table1[[#This Row],[AMZ ID]],[1]Roster_1787503287932!$D$2:$AU$1370,25,0)</f>
        <v>Present</v>
      </c>
      <c r="Y614" s="135">
        <f>VLOOKUP(Table1[[#This Row],[AMZ ID]],[1]Roster_1787503287932!$D$2:$AM$1370,35,0)</f>
        <v>0</v>
      </c>
    </row>
    <row r="615" spans="1:25" ht="13" customHeight="1">
      <c r="A615" s="11">
        <v>609</v>
      </c>
      <c r="B615" s="47">
        <v>205236906</v>
      </c>
      <c r="C615" s="89" t="s">
        <v>2737</v>
      </c>
      <c r="D615" s="11" t="s">
        <v>2738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95</v>
      </c>
      <c r="M615" s="49" t="s">
        <v>77</v>
      </c>
      <c r="N615" s="48" t="s">
        <v>86</v>
      </c>
      <c r="O615" s="49" t="s">
        <v>37</v>
      </c>
      <c r="P615" s="11" t="s">
        <v>80</v>
      </c>
      <c r="Q615" s="11" t="s">
        <v>90</v>
      </c>
      <c r="R615" s="11" t="s">
        <v>647</v>
      </c>
      <c r="S615" s="11" t="s">
        <v>2739</v>
      </c>
      <c r="T615" s="116" t="s">
        <v>1</v>
      </c>
      <c r="U615" s="88"/>
      <c r="V615" s="51">
        <v>45789</v>
      </c>
      <c r="W615" s="97" t="s">
        <v>1577</v>
      </c>
      <c r="X615" s="135" t="str">
        <f>VLOOKUP(Table1[[#This Row],[AMZ ID]],[1]Roster_1787503287932!$D$2:$AU$1370,25,0)</f>
        <v>Present</v>
      </c>
      <c r="Y615" s="135">
        <f>VLOOKUP(Table1[[#This Row],[AMZ ID]],[1]Roster_1787503287932!$D$2:$AM$1370,35,0)</f>
        <v>0</v>
      </c>
    </row>
    <row r="616" spans="1:25" ht="13" customHeight="1">
      <c r="A616" s="11">
        <v>610</v>
      </c>
      <c r="B616" s="47">
        <v>204299070</v>
      </c>
      <c r="C616" s="89" t="s">
        <v>652</v>
      </c>
      <c r="D616" s="11" t="s">
        <v>653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39</v>
      </c>
      <c r="K616" s="49" t="s">
        <v>76</v>
      </c>
      <c r="L616" s="49" t="s">
        <v>84</v>
      </c>
      <c r="M616" s="49" t="s">
        <v>85</v>
      </c>
      <c r="N616" s="48" t="s">
        <v>86</v>
      </c>
      <c r="O616" s="49" t="s">
        <v>37</v>
      </c>
      <c r="P616" s="11" t="s">
        <v>80</v>
      </c>
      <c r="Q616" s="11" t="s">
        <v>87</v>
      </c>
      <c r="R616" s="49" t="s">
        <v>631</v>
      </c>
      <c r="S616" s="11" t="s">
        <v>632</v>
      </c>
      <c r="T616" s="116" t="s">
        <v>1</v>
      </c>
      <c r="U616" s="88"/>
      <c r="V616" s="51">
        <v>45586</v>
      </c>
      <c r="W616" s="97" t="s">
        <v>1578</v>
      </c>
      <c r="X616" s="135" t="str">
        <f>VLOOKUP(Table1[[#This Row],[AMZ ID]],[1]Roster_1787503287932!$D$2:$AU$1370,25,0)</f>
        <v>Present</v>
      </c>
      <c r="Y616" s="135">
        <f>VLOOKUP(Table1[[#This Row],[AMZ ID]],[1]Roster_1787503287932!$D$2:$AM$1370,35,0)</f>
        <v>0</v>
      </c>
    </row>
    <row r="617" spans="1:25" ht="13" customHeight="1">
      <c r="A617" s="11">
        <v>611</v>
      </c>
      <c r="B617" s="47">
        <v>203522193</v>
      </c>
      <c r="C617" s="89" t="s">
        <v>654</v>
      </c>
      <c r="D617" s="11" t="s">
        <v>655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85</v>
      </c>
      <c r="M617" s="49" t="s">
        <v>88</v>
      </c>
      <c r="N617" s="48" t="s">
        <v>86</v>
      </c>
      <c r="O617" s="49" t="s">
        <v>37</v>
      </c>
      <c r="P617" s="11" t="s">
        <v>80</v>
      </c>
      <c r="Q617" s="11" t="s">
        <v>99</v>
      </c>
      <c r="R617" s="49" t="s">
        <v>627</v>
      </c>
      <c r="S617" s="11" t="s">
        <v>628</v>
      </c>
      <c r="T617" s="116" t="s">
        <v>1</v>
      </c>
      <c r="U617" s="88"/>
      <c r="V617" s="51">
        <v>45463</v>
      </c>
      <c r="W617" s="97" t="s">
        <v>1579</v>
      </c>
      <c r="X617" s="135" t="str">
        <f>VLOOKUP(Table1[[#This Row],[AMZ ID]],[1]Roster_1787503287932!$D$2:$AU$1370,25,0)</f>
        <v>Present</v>
      </c>
      <c r="Y617" s="135">
        <f>VLOOKUP(Table1[[#This Row],[AMZ ID]],[1]Roster_1787503287932!$D$2:$AM$1370,35,0)</f>
        <v>0</v>
      </c>
    </row>
    <row r="618" spans="1:25" ht="13" customHeight="1">
      <c r="A618" s="11">
        <v>612</v>
      </c>
      <c r="B618" s="47">
        <v>203851103</v>
      </c>
      <c r="C618" s="89" t="s">
        <v>656</v>
      </c>
      <c r="D618" s="47" t="s">
        <v>657</v>
      </c>
      <c r="E618" s="47" t="s">
        <v>31</v>
      </c>
      <c r="F618" s="48" t="s">
        <v>74</v>
      </c>
      <c r="G618" s="11" t="s">
        <v>64</v>
      </c>
      <c r="H618" s="11" t="s">
        <v>75</v>
      </c>
      <c r="I618" s="47">
        <v>1299</v>
      </c>
      <c r="J618" s="49" t="s">
        <v>32</v>
      </c>
      <c r="K618" s="49" t="s">
        <v>76</v>
      </c>
      <c r="L618" s="49" t="s">
        <v>84</v>
      </c>
      <c r="M618" s="49" t="s">
        <v>85</v>
      </c>
      <c r="N618" s="49" t="s">
        <v>79</v>
      </c>
      <c r="O618" s="49" t="s">
        <v>37</v>
      </c>
      <c r="P618" s="11" t="s">
        <v>80</v>
      </c>
      <c r="Q618" s="47" t="s">
        <v>81</v>
      </c>
      <c r="R618" s="49" t="s">
        <v>647</v>
      </c>
      <c r="S618" s="47" t="s">
        <v>1798</v>
      </c>
      <c r="T618" s="116" t="s">
        <v>1</v>
      </c>
      <c r="U618" s="88"/>
      <c r="V618" s="51">
        <v>45524</v>
      </c>
      <c r="W618" s="97" t="s">
        <v>1579</v>
      </c>
      <c r="X618" s="135" t="str">
        <f>VLOOKUP(Table1[[#This Row],[AMZ ID]],[1]Roster_1787503287932!$D$2:$AU$1370,25,0)</f>
        <v>Present</v>
      </c>
      <c r="Y618" s="135">
        <f>VLOOKUP(Table1[[#This Row],[AMZ ID]],[1]Roster_1787503287932!$D$2:$AM$1370,35,0)</f>
        <v>0</v>
      </c>
    </row>
    <row r="619" spans="1:25" ht="13" customHeight="1">
      <c r="A619" s="11">
        <v>613</v>
      </c>
      <c r="B619" s="47">
        <v>206850851</v>
      </c>
      <c r="C619" s="89" t="s">
        <v>2374</v>
      </c>
      <c r="D619" s="11" t="s">
        <v>2375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84</v>
      </c>
      <c r="M619" s="49" t="s">
        <v>85</v>
      </c>
      <c r="N619" s="48" t="s">
        <v>89</v>
      </c>
      <c r="O619" s="49" t="s">
        <v>37</v>
      </c>
      <c r="P619" s="11" t="s">
        <v>80</v>
      </c>
      <c r="Q619" s="11" t="s">
        <v>90</v>
      </c>
      <c r="R619" s="49" t="s">
        <v>647</v>
      </c>
      <c r="S619" s="11" t="s">
        <v>1798</v>
      </c>
      <c r="T619" s="116" t="s">
        <v>1</v>
      </c>
      <c r="U619" s="88"/>
      <c r="V619" s="51">
        <v>46013</v>
      </c>
      <c r="W619" s="97" t="s">
        <v>1577</v>
      </c>
      <c r="X619" s="135" t="str">
        <f>VLOOKUP(Table1[[#This Row],[AMZ ID]],[1]Roster_1787503287932!$D$2:$AU$1370,25,0)</f>
        <v>Present</v>
      </c>
      <c r="Y619" s="135">
        <f>VLOOKUP(Table1[[#This Row],[AMZ ID]],[1]Roster_1787503287932!$D$2:$AM$1370,35,0)</f>
        <v>0</v>
      </c>
    </row>
    <row r="620" spans="1:25" ht="13" customHeight="1">
      <c r="A620" s="11">
        <v>614</v>
      </c>
      <c r="B620" s="92">
        <v>203965006</v>
      </c>
      <c r="C620" s="47" t="s">
        <v>658</v>
      </c>
      <c r="D620" s="89" t="s">
        <v>659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92</v>
      </c>
      <c r="M620" s="49" t="s">
        <v>84</v>
      </c>
      <c r="N620" s="48" t="s">
        <v>86</v>
      </c>
      <c r="O620" s="49" t="s">
        <v>37</v>
      </c>
      <c r="P620" s="11" t="s">
        <v>80</v>
      </c>
      <c r="Q620" s="11" t="s">
        <v>99</v>
      </c>
      <c r="R620" s="11" t="s">
        <v>627</v>
      </c>
      <c r="S620" s="11" t="s">
        <v>628</v>
      </c>
      <c r="T620" s="116" t="s">
        <v>4</v>
      </c>
      <c r="U620" s="88"/>
      <c r="V620" s="51">
        <v>45544</v>
      </c>
      <c r="W620" s="97" t="s">
        <v>1577</v>
      </c>
      <c r="X620" s="135" t="str">
        <f>VLOOKUP(Table1[[#This Row],[AMZ ID]],[1]Roster_1787503287932!$D$2:$AU$1370,25,0)</f>
        <v>Not Present</v>
      </c>
      <c r="Y620" s="135">
        <f>VLOOKUP(Table1[[#This Row],[AMZ ID]],[1]Roster_1787503287932!$D$2:$AM$1370,35,0)</f>
        <v>0</v>
      </c>
    </row>
    <row r="621" spans="1:25" ht="13" customHeight="1">
      <c r="A621" s="11">
        <v>615</v>
      </c>
      <c r="B621" s="47">
        <v>204864796</v>
      </c>
      <c r="C621" s="89" t="s">
        <v>2740</v>
      </c>
      <c r="D621" s="11" t="s">
        <v>2741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32</v>
      </c>
      <c r="K621" s="49" t="s">
        <v>76</v>
      </c>
      <c r="L621" s="49" t="s">
        <v>84</v>
      </c>
      <c r="M621" s="49" t="s">
        <v>85</v>
      </c>
      <c r="N621" s="48" t="s">
        <v>2742</v>
      </c>
      <c r="O621" s="49" t="s">
        <v>37</v>
      </c>
      <c r="P621" s="11" t="s">
        <v>80</v>
      </c>
      <c r="Q621" s="11" t="s">
        <v>90</v>
      </c>
      <c r="R621" s="11" t="s">
        <v>2845</v>
      </c>
      <c r="S621" s="11" t="s">
        <v>2846</v>
      </c>
      <c r="T621" s="116" t="s">
        <v>1</v>
      </c>
      <c r="U621" s="88"/>
      <c r="V621" s="51">
        <v>45789</v>
      </c>
      <c r="W621" s="97" t="s">
        <v>1577</v>
      </c>
      <c r="X621" s="135" t="str">
        <f>VLOOKUP(Table1[[#This Row],[AMZ ID]],[1]Roster_1787503287932!$D$2:$AU$1370,25,0)</f>
        <v>Present</v>
      </c>
      <c r="Y621" s="135">
        <f>VLOOKUP(Table1[[#This Row],[AMZ ID]],[1]Roster_1787503287932!$D$2:$AM$1370,35,0)</f>
        <v>0</v>
      </c>
    </row>
    <row r="622" spans="1:25" ht="13" customHeight="1">
      <c r="A622" s="11">
        <v>616</v>
      </c>
      <c r="B622" s="47">
        <v>203477173</v>
      </c>
      <c r="C622" s="89" t="s">
        <v>660</v>
      </c>
      <c r="D622" s="11" t="s">
        <v>661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39</v>
      </c>
      <c r="K622" s="49" t="s">
        <v>76</v>
      </c>
      <c r="L622" s="49" t="s">
        <v>92</v>
      </c>
      <c r="M622" s="49" t="s">
        <v>84</v>
      </c>
      <c r="N622" s="49" t="s">
        <v>86</v>
      </c>
      <c r="O622" s="49" t="s">
        <v>37</v>
      </c>
      <c r="P622" s="49" t="s">
        <v>80</v>
      </c>
      <c r="Q622" s="49" t="s">
        <v>99</v>
      </c>
      <c r="R622" s="49" t="s">
        <v>627</v>
      </c>
      <c r="S622" s="49" t="s">
        <v>628</v>
      </c>
      <c r="T622" s="116" t="s">
        <v>1</v>
      </c>
      <c r="U622" s="88"/>
      <c r="V622" s="51">
        <v>45456</v>
      </c>
      <c r="W622" s="97" t="s">
        <v>1579</v>
      </c>
      <c r="X622" s="135" t="str">
        <f>VLOOKUP(Table1[[#This Row],[AMZ ID]],[1]Roster_1787503287932!$D$2:$AU$1370,25,0)</f>
        <v>Present</v>
      </c>
      <c r="Y622" s="135">
        <f>VLOOKUP(Table1[[#This Row],[AMZ ID]],[1]Roster_1787503287932!$D$2:$AM$1370,35,0)</f>
        <v>0</v>
      </c>
    </row>
    <row r="623" spans="1:25" ht="13" customHeight="1">
      <c r="A623" s="11">
        <v>617</v>
      </c>
      <c r="B623" s="47">
        <v>206915466</v>
      </c>
      <c r="C623" s="89" t="s">
        <v>1911</v>
      </c>
      <c r="D623" s="11" t="s">
        <v>1917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92</v>
      </c>
      <c r="M623" s="49" t="s">
        <v>84</v>
      </c>
      <c r="N623" s="48" t="s">
        <v>89</v>
      </c>
      <c r="O623" s="49" t="s">
        <v>37</v>
      </c>
      <c r="P623" s="11" t="s">
        <v>80</v>
      </c>
      <c r="Q623" s="11" t="s">
        <v>90</v>
      </c>
      <c r="R623" s="49" t="s">
        <v>647</v>
      </c>
      <c r="S623" s="11" t="s">
        <v>1798</v>
      </c>
      <c r="T623" s="116" t="s">
        <v>1</v>
      </c>
      <c r="U623" s="88"/>
      <c r="V623" s="51">
        <v>46034</v>
      </c>
      <c r="W623" s="97" t="s">
        <v>1576</v>
      </c>
      <c r="X623" s="135" t="str">
        <f>VLOOKUP(Table1[[#This Row],[AMZ ID]],[1]Roster_1787503287932!$D$2:$AU$1370,25,0)</f>
        <v>Present</v>
      </c>
      <c r="Y623" s="135">
        <f>VLOOKUP(Table1[[#This Row],[AMZ ID]],[1]Roster_1787503287932!$D$2:$AM$1370,35,0)</f>
        <v>0</v>
      </c>
    </row>
    <row r="624" spans="1:25" ht="13" customHeight="1">
      <c r="A624" s="11">
        <v>618</v>
      </c>
      <c r="B624" s="47">
        <v>203850770</v>
      </c>
      <c r="C624" s="89" t="s">
        <v>662</v>
      </c>
      <c r="D624" s="11" t="s">
        <v>663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84</v>
      </c>
      <c r="M624" s="49" t="s">
        <v>85</v>
      </c>
      <c r="N624" s="48" t="s">
        <v>86</v>
      </c>
      <c r="O624" s="49" t="s">
        <v>37</v>
      </c>
      <c r="P624" s="11" t="s">
        <v>80</v>
      </c>
      <c r="Q624" s="11" t="s">
        <v>90</v>
      </c>
      <c r="R624" s="49" t="s">
        <v>647</v>
      </c>
      <c r="S624" s="11" t="s">
        <v>1798</v>
      </c>
      <c r="T624" s="116" t="s">
        <v>1</v>
      </c>
      <c r="U624" s="88"/>
      <c r="V624" s="51">
        <v>45524</v>
      </c>
      <c r="W624" s="97" t="s">
        <v>1577</v>
      </c>
      <c r="X624" s="135" t="str">
        <f>VLOOKUP(Table1[[#This Row],[AMZ ID]],[1]Roster_1787503287932!$D$2:$AU$1370,25,0)</f>
        <v>Present</v>
      </c>
      <c r="Y624" s="135">
        <f>VLOOKUP(Table1[[#This Row],[AMZ ID]],[1]Roster_1787503287932!$D$2:$AM$1370,35,0)</f>
        <v>0</v>
      </c>
    </row>
    <row r="625" spans="1:25" ht="13" customHeight="1">
      <c r="A625" s="11">
        <v>619</v>
      </c>
      <c r="B625" s="47">
        <v>204116439</v>
      </c>
      <c r="C625" s="89" t="s">
        <v>664</v>
      </c>
      <c r="D625" s="11" t="s">
        <v>665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78</v>
      </c>
      <c r="M625" s="49" t="s">
        <v>92</v>
      </c>
      <c r="N625" s="48" t="s">
        <v>86</v>
      </c>
      <c r="O625" s="49" t="s">
        <v>37</v>
      </c>
      <c r="P625" s="11" t="s">
        <v>80</v>
      </c>
      <c r="Q625" s="11" t="s">
        <v>87</v>
      </c>
      <c r="R625" s="11" t="s">
        <v>647</v>
      </c>
      <c r="S625" s="11" t="s">
        <v>1798</v>
      </c>
      <c r="T625" s="116" t="s">
        <v>10</v>
      </c>
      <c r="U625" s="88"/>
      <c r="V625" s="51">
        <v>45561</v>
      </c>
      <c r="W625" s="97" t="s">
        <v>1576</v>
      </c>
      <c r="X625" s="135" t="str">
        <f>VLOOKUP(Table1[[#This Row],[AMZ ID]],[1]Roster_1787503287932!$D$2:$AU$1370,25,0)</f>
        <v>Not Present</v>
      </c>
      <c r="Y625" s="135">
        <f>VLOOKUP(Table1[[#This Row],[AMZ ID]],[1]Roster_1787503287932!$D$2:$AM$1370,35,0)</f>
        <v>0</v>
      </c>
    </row>
    <row r="626" spans="1:25" ht="13" customHeight="1">
      <c r="A626" s="11">
        <v>620</v>
      </c>
      <c r="B626" s="47">
        <v>112649477</v>
      </c>
      <c r="C626" s="89" t="s">
        <v>666</v>
      </c>
      <c r="D626" s="11" t="s">
        <v>667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36</v>
      </c>
      <c r="M626" s="49" t="s">
        <v>92</v>
      </c>
      <c r="N626" s="49" t="s">
        <v>86</v>
      </c>
      <c r="O626" s="49" t="s">
        <v>37</v>
      </c>
      <c r="P626" s="11" t="s">
        <v>80</v>
      </c>
      <c r="Q626" s="11" t="s">
        <v>87</v>
      </c>
      <c r="R626" s="11" t="s">
        <v>1066</v>
      </c>
      <c r="S626" s="11" t="s">
        <v>2717</v>
      </c>
      <c r="T626" s="116" t="s">
        <v>1</v>
      </c>
      <c r="U626" s="88"/>
      <c r="V626" s="51">
        <v>45568</v>
      </c>
      <c r="W626" s="97" t="s">
        <v>1578</v>
      </c>
      <c r="X626" s="135" t="str">
        <f>VLOOKUP(Table1[[#This Row],[AMZ ID]],[1]Roster_1787503287932!$D$2:$AU$1370,25,0)</f>
        <v>Present</v>
      </c>
      <c r="Y626" s="135">
        <f>VLOOKUP(Table1[[#This Row],[AMZ ID]],[1]Roster_1787503287932!$D$2:$AM$1370,35,0)</f>
        <v>0</v>
      </c>
    </row>
    <row r="627" spans="1:25" ht="13" customHeight="1">
      <c r="A627" s="11">
        <v>621</v>
      </c>
      <c r="B627" s="47">
        <v>205846579</v>
      </c>
      <c r="C627" s="89" t="s">
        <v>668</v>
      </c>
      <c r="D627" s="11" t="s">
        <v>669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88</v>
      </c>
      <c r="M627" s="49" t="s">
        <v>95</v>
      </c>
      <c r="N627" s="48" t="s">
        <v>89</v>
      </c>
      <c r="O627" s="49" t="s">
        <v>37</v>
      </c>
      <c r="P627" s="11" t="s">
        <v>80</v>
      </c>
      <c r="Q627" s="11" t="s">
        <v>96</v>
      </c>
      <c r="R627" s="11" t="s">
        <v>631</v>
      </c>
      <c r="S627" s="11" t="s">
        <v>632</v>
      </c>
      <c r="T627" s="116" t="s">
        <v>1</v>
      </c>
      <c r="U627" s="88"/>
      <c r="V627" s="51">
        <v>45894</v>
      </c>
      <c r="W627" s="97" t="s">
        <v>1577</v>
      </c>
      <c r="X627" s="135" t="str">
        <f>VLOOKUP(Table1[[#This Row],[AMZ ID]],[1]Roster_1787503287932!$D$2:$AU$1370,25,0)</f>
        <v>Present</v>
      </c>
      <c r="Y627" s="135">
        <f>VLOOKUP(Table1[[#This Row],[AMZ ID]],[1]Roster_1787503287932!$D$2:$AM$1370,35,0)</f>
        <v>0</v>
      </c>
    </row>
    <row r="628" spans="1:25" ht="13" customHeight="1">
      <c r="A628" s="11">
        <v>622</v>
      </c>
      <c r="B628" s="47">
        <v>203555843</v>
      </c>
      <c r="C628" s="89" t="s">
        <v>670</v>
      </c>
      <c r="D628" s="11" t="s">
        <v>671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32</v>
      </c>
      <c r="K628" s="49" t="s">
        <v>76</v>
      </c>
      <c r="L628" s="49" t="s">
        <v>77</v>
      </c>
      <c r="M628" s="49" t="s">
        <v>78</v>
      </c>
      <c r="N628" s="48" t="s">
        <v>86</v>
      </c>
      <c r="O628" s="49" t="s">
        <v>37</v>
      </c>
      <c r="P628" s="11" t="s">
        <v>80</v>
      </c>
      <c r="Q628" s="11" t="s">
        <v>99</v>
      </c>
      <c r="R628" s="49" t="s">
        <v>1066</v>
      </c>
      <c r="S628" s="11" t="s">
        <v>2717</v>
      </c>
      <c r="T628" s="116" t="s">
        <v>10</v>
      </c>
      <c r="U628" s="88"/>
      <c r="V628" s="51">
        <v>45470</v>
      </c>
      <c r="W628" s="97" t="s">
        <v>1577</v>
      </c>
      <c r="X628" s="135" t="str">
        <f>VLOOKUP(Table1[[#This Row],[AMZ ID]],[1]Roster_1787503287932!$D$2:$AU$1370,25,0)</f>
        <v>Not Present</v>
      </c>
      <c r="Y628" s="135">
        <f>VLOOKUP(Table1[[#This Row],[AMZ ID]],[1]Roster_1787503287932!$D$2:$AM$1370,35,0)</f>
        <v>0</v>
      </c>
    </row>
    <row r="629" spans="1:25" ht="13" customHeight="1">
      <c r="A629" s="11">
        <v>623</v>
      </c>
      <c r="B629" s="47">
        <v>205852635</v>
      </c>
      <c r="C629" s="89" t="s">
        <v>2884</v>
      </c>
      <c r="D629" s="11" t="s">
        <v>2885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85</v>
      </c>
      <c r="M629" s="49" t="s">
        <v>88</v>
      </c>
      <c r="N629" s="49" t="s">
        <v>89</v>
      </c>
      <c r="O629" s="49" t="s">
        <v>37</v>
      </c>
      <c r="P629" s="11" t="s">
        <v>80</v>
      </c>
      <c r="Q629" s="11" t="s">
        <v>96</v>
      </c>
      <c r="R629" s="49" t="s">
        <v>1066</v>
      </c>
      <c r="S629" s="11" t="s">
        <v>2717</v>
      </c>
      <c r="T629" s="116" t="s">
        <v>1</v>
      </c>
      <c r="U629" s="88"/>
      <c r="V629" s="51">
        <v>46239</v>
      </c>
      <c r="W629" s="97" t="s">
        <v>1579</v>
      </c>
      <c r="X629" s="135" t="str">
        <f>VLOOKUP(Table1[[#This Row],[AMZ ID]],[1]Roster_1787503287932!$D$2:$AU$1370,25,0)</f>
        <v>Present</v>
      </c>
      <c r="Y629" s="135">
        <f>VLOOKUP(Table1[[#This Row],[AMZ ID]],[1]Roster_1787503287932!$D$2:$AM$1370,35,0)</f>
        <v>0</v>
      </c>
    </row>
    <row r="630" spans="1:25" ht="13" customHeight="1">
      <c r="A630" s="11">
        <v>624</v>
      </c>
      <c r="B630" s="92">
        <v>203992092</v>
      </c>
      <c r="C630" s="47" t="s">
        <v>672</v>
      </c>
      <c r="D630" s="89" t="s">
        <v>673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95</v>
      </c>
      <c r="M630" s="49" t="s">
        <v>77</v>
      </c>
      <c r="N630" s="49" t="s">
        <v>79</v>
      </c>
      <c r="O630" s="49" t="s">
        <v>37</v>
      </c>
      <c r="P630" s="11" t="s">
        <v>80</v>
      </c>
      <c r="Q630" s="11" t="s">
        <v>81</v>
      </c>
      <c r="R630" s="11" t="s">
        <v>627</v>
      </c>
      <c r="S630" s="11" t="s">
        <v>628</v>
      </c>
      <c r="T630" s="116" t="s">
        <v>1</v>
      </c>
      <c r="U630" s="88"/>
      <c r="V630" s="51">
        <v>45547</v>
      </c>
      <c r="W630" s="97" t="s">
        <v>1577</v>
      </c>
      <c r="X630" s="135" t="str">
        <f>VLOOKUP(Table1[[#This Row],[AMZ ID]],[1]Roster_1787503287932!$D$2:$AU$1370,25,0)</f>
        <v>Present</v>
      </c>
      <c r="Y630" s="135">
        <f>VLOOKUP(Table1[[#This Row],[AMZ ID]],[1]Roster_1787503287932!$D$2:$AM$1370,35,0)</f>
        <v>0</v>
      </c>
    </row>
    <row r="631" spans="1:25" ht="13" customHeight="1">
      <c r="A631" s="11">
        <v>625</v>
      </c>
      <c r="B631" s="92">
        <v>205839289</v>
      </c>
      <c r="C631" s="47" t="s">
        <v>674</v>
      </c>
      <c r="D631" s="89" t="s">
        <v>675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32</v>
      </c>
      <c r="K631" s="49" t="s">
        <v>76</v>
      </c>
      <c r="L631" s="49" t="s">
        <v>92</v>
      </c>
      <c r="M631" s="49" t="s">
        <v>84</v>
      </c>
      <c r="N631" s="48" t="s">
        <v>89</v>
      </c>
      <c r="O631" s="49" t="s">
        <v>37</v>
      </c>
      <c r="P631" s="11" t="s">
        <v>80</v>
      </c>
      <c r="Q631" s="11" t="s">
        <v>90</v>
      </c>
      <c r="R631" s="11" t="s">
        <v>627</v>
      </c>
      <c r="S631" s="11" t="s">
        <v>628</v>
      </c>
      <c r="T631" s="116" t="s">
        <v>1</v>
      </c>
      <c r="U631" s="88"/>
      <c r="V631" s="51">
        <v>45894</v>
      </c>
      <c r="W631" s="97" t="s">
        <v>1576</v>
      </c>
      <c r="X631" s="135" t="str">
        <f>VLOOKUP(Table1[[#This Row],[AMZ ID]],[1]Roster_1787503287932!$D$2:$AU$1370,25,0)</f>
        <v>Present</v>
      </c>
      <c r="Y631" s="135">
        <f>VLOOKUP(Table1[[#This Row],[AMZ ID]],[1]Roster_1787503287932!$D$2:$AM$1370,35,0)</f>
        <v>0</v>
      </c>
    </row>
    <row r="632" spans="1:25" ht="13" customHeight="1">
      <c r="A632" s="11">
        <v>626</v>
      </c>
      <c r="B632" s="47">
        <v>203850772</v>
      </c>
      <c r="C632" s="89" t="s">
        <v>2743</v>
      </c>
      <c r="D632" s="11" t="s">
        <v>2744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39</v>
      </c>
      <c r="K632" s="49" t="s">
        <v>76</v>
      </c>
      <c r="L632" s="49" t="s">
        <v>85</v>
      </c>
      <c r="M632" s="49" t="s">
        <v>88</v>
      </c>
      <c r="N632" s="48" t="s">
        <v>89</v>
      </c>
      <c r="O632" s="49" t="s">
        <v>37</v>
      </c>
      <c r="P632" s="11" t="s">
        <v>80</v>
      </c>
      <c r="Q632" s="11" t="s">
        <v>90</v>
      </c>
      <c r="R632" s="11" t="s">
        <v>2845</v>
      </c>
      <c r="S632" s="11" t="s">
        <v>2846</v>
      </c>
      <c r="T632" s="116" t="s">
        <v>1</v>
      </c>
      <c r="U632" s="88"/>
      <c r="V632" s="51">
        <v>45524</v>
      </c>
      <c r="W632" s="97" t="s">
        <v>1577</v>
      </c>
      <c r="X632" s="135" t="str">
        <f>VLOOKUP(Table1[[#This Row],[AMZ ID]],[1]Roster_1787503287932!$D$2:$AU$1370,25,0)</f>
        <v>Present</v>
      </c>
      <c r="Y632" s="135">
        <f>VLOOKUP(Table1[[#This Row],[AMZ ID]],[1]Roster_1787503287932!$D$2:$AM$1370,35,0)</f>
        <v>0</v>
      </c>
    </row>
    <row r="633" spans="1:25" ht="13" customHeight="1">
      <c r="A633" s="11">
        <v>627</v>
      </c>
      <c r="B633" s="47">
        <v>205977116</v>
      </c>
      <c r="C633" s="89" t="s">
        <v>2745</v>
      </c>
      <c r="D633" s="11" t="s">
        <v>2746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32</v>
      </c>
      <c r="K633" s="49" t="s">
        <v>76</v>
      </c>
      <c r="L633" s="49" t="s">
        <v>92</v>
      </c>
      <c r="M633" s="49" t="s">
        <v>84</v>
      </c>
      <c r="N633" s="49" t="s">
        <v>86</v>
      </c>
      <c r="O633" s="48" t="s">
        <v>37</v>
      </c>
      <c r="P633" s="48" t="s">
        <v>80</v>
      </c>
      <c r="Q633" s="11" t="s">
        <v>90</v>
      </c>
      <c r="R633" s="11" t="s">
        <v>627</v>
      </c>
      <c r="S633" s="11" t="s">
        <v>628</v>
      </c>
      <c r="T633" s="116" t="s">
        <v>1</v>
      </c>
      <c r="U633" s="88"/>
      <c r="V633" s="51">
        <v>45915</v>
      </c>
      <c r="W633" s="97" t="s">
        <v>1577</v>
      </c>
      <c r="X633" s="135" t="str">
        <f>VLOOKUP(Table1[[#This Row],[AMZ ID]],[1]Roster_1787503287932!$D$2:$AU$1370,25,0)</f>
        <v>Present</v>
      </c>
      <c r="Y633" s="135">
        <f>VLOOKUP(Table1[[#This Row],[AMZ ID]],[1]Roster_1787503287932!$D$2:$AM$1370,35,0)</f>
        <v>0</v>
      </c>
    </row>
    <row r="634" spans="1:25" ht="13" customHeight="1">
      <c r="A634" s="11">
        <v>628</v>
      </c>
      <c r="B634" s="47">
        <v>203850778</v>
      </c>
      <c r="C634" s="89" t="s">
        <v>676</v>
      </c>
      <c r="D634" s="11" t="s">
        <v>677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85</v>
      </c>
      <c r="M634" s="49" t="s">
        <v>88</v>
      </c>
      <c r="N634" s="48" t="s">
        <v>86</v>
      </c>
      <c r="O634" s="49" t="s">
        <v>37</v>
      </c>
      <c r="P634" s="11" t="s">
        <v>80</v>
      </c>
      <c r="Q634" s="11" t="s">
        <v>90</v>
      </c>
      <c r="R634" s="11" t="s">
        <v>647</v>
      </c>
      <c r="S634" s="11" t="s">
        <v>1798</v>
      </c>
      <c r="T634" s="116" t="s">
        <v>1</v>
      </c>
      <c r="U634" s="88"/>
      <c r="V634" s="51">
        <v>45524</v>
      </c>
      <c r="W634" s="97" t="s">
        <v>1577</v>
      </c>
      <c r="X634" s="135" t="str">
        <f>VLOOKUP(Table1[[#This Row],[AMZ ID]],[1]Roster_1787503287932!$D$2:$AU$1370,25,0)</f>
        <v>Present</v>
      </c>
      <c r="Y634" s="135" t="str">
        <f>VLOOKUP(Table1[[#This Row],[AMZ ID]],[1]Roster_1787503287932!$D$2:$AM$1370,35,0)</f>
        <v>Annual Leave</v>
      </c>
    </row>
    <row r="635" spans="1:25" ht="13" customHeight="1">
      <c r="A635" s="11">
        <v>629</v>
      </c>
      <c r="B635" s="47">
        <v>206897550</v>
      </c>
      <c r="C635" s="89" t="s">
        <v>1889</v>
      </c>
      <c r="D635" s="11" t="s">
        <v>1890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1290</v>
      </c>
      <c r="J635" s="49" t="s">
        <v>39</v>
      </c>
      <c r="K635" s="49" t="s">
        <v>76</v>
      </c>
      <c r="L635" s="49" t="s">
        <v>77</v>
      </c>
      <c r="M635" s="49" t="s">
        <v>78</v>
      </c>
      <c r="N635" s="48" t="s">
        <v>89</v>
      </c>
      <c r="O635" s="49" t="s">
        <v>37</v>
      </c>
      <c r="P635" s="11" t="s">
        <v>80</v>
      </c>
      <c r="Q635" s="11" t="s">
        <v>81</v>
      </c>
      <c r="R635" s="49" t="s">
        <v>1066</v>
      </c>
      <c r="S635" s="11" t="s">
        <v>2717</v>
      </c>
      <c r="T635" s="116" t="s">
        <v>10</v>
      </c>
      <c r="U635" s="88"/>
      <c r="V635" s="51">
        <v>46030</v>
      </c>
      <c r="W635" s="97" t="s">
        <v>1577</v>
      </c>
      <c r="X635" s="135" t="str">
        <f>VLOOKUP(Table1[[#This Row],[AMZ ID]],[1]Roster_1787503287932!$D$2:$AU$1370,25,0)</f>
        <v>Not Present</v>
      </c>
      <c r="Y635" s="135">
        <f>VLOOKUP(Table1[[#This Row],[AMZ ID]],[1]Roster_1787503287932!$D$2:$AM$1370,35,0)</f>
        <v>0</v>
      </c>
    </row>
    <row r="636" spans="1:25" ht="13" customHeight="1">
      <c r="A636" s="11">
        <v>630</v>
      </c>
      <c r="B636" s="47">
        <v>102865830</v>
      </c>
      <c r="C636" s="89" t="s">
        <v>678</v>
      </c>
      <c r="D636" s="11" t="s">
        <v>679</v>
      </c>
      <c r="E636" s="48" t="s">
        <v>34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39</v>
      </c>
      <c r="K636" s="49" t="s">
        <v>76</v>
      </c>
      <c r="L636" s="49" t="s">
        <v>84</v>
      </c>
      <c r="M636" s="49" t="s">
        <v>85</v>
      </c>
      <c r="N636" s="49" t="s">
        <v>108</v>
      </c>
      <c r="O636" s="49" t="s">
        <v>37</v>
      </c>
      <c r="P636" s="11" t="s">
        <v>80</v>
      </c>
      <c r="Q636" s="11" t="s">
        <v>98</v>
      </c>
      <c r="R636" s="11" t="s">
        <v>1066</v>
      </c>
      <c r="S636" s="11" t="s">
        <v>2717</v>
      </c>
      <c r="T636" s="116" t="s">
        <v>1</v>
      </c>
      <c r="U636" s="88"/>
      <c r="V636" s="51">
        <v>43012</v>
      </c>
      <c r="W636" s="97" t="s">
        <v>1580</v>
      </c>
      <c r="X636" s="135" t="str">
        <f>VLOOKUP(Table1[[#This Row],[AMZ ID]],[1]Roster_1787503287932!$D$2:$AU$1370,25,0)</f>
        <v>Present</v>
      </c>
      <c r="Y636" s="135">
        <f>VLOOKUP(Table1[[#This Row],[AMZ ID]],[1]Roster_1787503287932!$D$2:$AM$1370,35,0)</f>
        <v>0</v>
      </c>
    </row>
    <row r="637" spans="1:25" ht="13" customHeight="1">
      <c r="A637" s="11">
        <v>631</v>
      </c>
      <c r="B637" s="92">
        <v>111164491</v>
      </c>
      <c r="C637" s="47" t="s">
        <v>680</v>
      </c>
      <c r="D637" s="89" t="s">
        <v>681</v>
      </c>
      <c r="E637" s="48" t="s">
        <v>34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78</v>
      </c>
      <c r="M637" s="49" t="s">
        <v>92</v>
      </c>
      <c r="N637" s="48" t="s">
        <v>108</v>
      </c>
      <c r="O637" s="49" t="s">
        <v>37</v>
      </c>
      <c r="P637" s="11" t="s">
        <v>80</v>
      </c>
      <c r="Q637" s="11" t="s">
        <v>98</v>
      </c>
      <c r="R637" s="11" t="s">
        <v>647</v>
      </c>
      <c r="S637" s="11" t="s">
        <v>1798</v>
      </c>
      <c r="T637" s="116" t="s">
        <v>10</v>
      </c>
      <c r="U637" s="88"/>
      <c r="V637" s="51">
        <v>44797</v>
      </c>
      <c r="W637" s="97" t="s">
        <v>1577</v>
      </c>
      <c r="X637" s="135" t="str">
        <f>VLOOKUP(Table1[[#This Row],[AMZ ID]],[1]Roster_1787503287932!$D$2:$AU$1370,25,0)</f>
        <v>Not Present</v>
      </c>
      <c r="Y637" s="135">
        <f>VLOOKUP(Table1[[#This Row],[AMZ ID]],[1]Roster_1787503287932!$D$2:$AM$1370,35,0)</f>
        <v>0</v>
      </c>
    </row>
    <row r="638" spans="1:25" ht="13" customHeight="1">
      <c r="A638" s="11">
        <v>632</v>
      </c>
      <c r="B638" s="47">
        <v>203468317</v>
      </c>
      <c r="C638" s="89" t="s">
        <v>320</v>
      </c>
      <c r="D638" s="11" t="s">
        <v>321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32</v>
      </c>
      <c r="K638" s="49" t="s">
        <v>76</v>
      </c>
      <c r="L638" s="49" t="s">
        <v>84</v>
      </c>
      <c r="M638" s="49" t="s">
        <v>85</v>
      </c>
      <c r="N638" s="48" t="s">
        <v>79</v>
      </c>
      <c r="O638" s="49" t="s">
        <v>35</v>
      </c>
      <c r="P638" s="11" t="s">
        <v>80</v>
      </c>
      <c r="Q638" s="11" t="s">
        <v>81</v>
      </c>
      <c r="R638" s="11" t="s">
        <v>225</v>
      </c>
      <c r="S638" s="11" t="s">
        <v>226</v>
      </c>
      <c r="T638" s="116" t="s">
        <v>1</v>
      </c>
      <c r="U638" s="88"/>
      <c r="V638" s="51">
        <v>45456</v>
      </c>
      <c r="W638" s="97" t="s">
        <v>1570</v>
      </c>
      <c r="X638" s="135" t="str">
        <f>VLOOKUP(Table1[[#This Row],[AMZ ID]],[1]Roster_1787503287932!$D$2:$AU$1370,25,0)</f>
        <v>Present</v>
      </c>
      <c r="Y638" s="135">
        <f>VLOOKUP(Table1[[#This Row],[AMZ ID]],[1]Roster_1787503287932!$D$2:$AM$1370,35,0)</f>
        <v>0</v>
      </c>
    </row>
    <row r="639" spans="1:25" ht="13" customHeight="1">
      <c r="A639" s="11">
        <v>633</v>
      </c>
      <c r="B639" s="47">
        <v>204009672</v>
      </c>
      <c r="C639" s="89" t="s">
        <v>2747</v>
      </c>
      <c r="D639" s="11" t="s">
        <v>2748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32</v>
      </c>
      <c r="K639" s="49" t="s">
        <v>76</v>
      </c>
      <c r="L639" s="49" t="s">
        <v>95</v>
      </c>
      <c r="M639" s="49" t="s">
        <v>77</v>
      </c>
      <c r="N639" s="49" t="s">
        <v>86</v>
      </c>
      <c r="O639" s="49" t="s">
        <v>37</v>
      </c>
      <c r="P639" s="11" t="s">
        <v>80</v>
      </c>
      <c r="Q639" s="11" t="s">
        <v>90</v>
      </c>
      <c r="R639" s="11" t="s">
        <v>1066</v>
      </c>
      <c r="S639" s="11" t="s">
        <v>2749</v>
      </c>
      <c r="T639" s="116" t="s">
        <v>3</v>
      </c>
      <c r="U639" s="88"/>
      <c r="V639" s="51">
        <v>45551</v>
      </c>
      <c r="W639" s="97" t="s">
        <v>1577</v>
      </c>
      <c r="X639" s="135" t="str">
        <f>VLOOKUP(Table1[[#This Row],[AMZ ID]],[1]Roster_1787503287932!$D$2:$AU$1370,25,0)</f>
        <v>Not Present</v>
      </c>
      <c r="Y639" s="135" t="str">
        <f>VLOOKUP(Table1[[#This Row],[AMZ ID]],[1]Roster_1787503287932!$D$2:$AM$1370,35,0)</f>
        <v>Sick Leave</v>
      </c>
    </row>
    <row r="640" spans="1:25" ht="13" customHeight="1">
      <c r="A640" s="11">
        <v>634</v>
      </c>
      <c r="B640" s="47">
        <v>206239523</v>
      </c>
      <c r="C640" s="89" t="s">
        <v>1642</v>
      </c>
      <c r="D640" s="11" t="s">
        <v>1637</v>
      </c>
      <c r="E640" s="48" t="s">
        <v>31</v>
      </c>
      <c r="F640" s="48" t="s">
        <v>74</v>
      </c>
      <c r="G640" s="48" t="s">
        <v>64</v>
      </c>
      <c r="H640" s="48" t="s">
        <v>75</v>
      </c>
      <c r="I640" s="11">
        <v>1299</v>
      </c>
      <c r="J640" s="49" t="s">
        <v>39</v>
      </c>
      <c r="K640" s="49" t="s">
        <v>76</v>
      </c>
      <c r="L640" s="49" t="s">
        <v>92</v>
      </c>
      <c r="M640" s="49" t="s">
        <v>84</v>
      </c>
      <c r="N640" s="49" t="s">
        <v>89</v>
      </c>
      <c r="O640" s="49" t="s">
        <v>37</v>
      </c>
      <c r="P640" s="49" t="s">
        <v>80</v>
      </c>
      <c r="Q640" s="49" t="s">
        <v>96</v>
      </c>
      <c r="R640" s="11" t="s">
        <v>2845</v>
      </c>
      <c r="S640" s="11" t="s">
        <v>2846</v>
      </c>
      <c r="T640" s="116" t="s">
        <v>1</v>
      </c>
      <c r="U640" s="88"/>
      <c r="V640" s="51">
        <v>45943</v>
      </c>
      <c r="W640" s="97" t="s">
        <v>1577</v>
      </c>
      <c r="X640" s="135" t="str">
        <f>VLOOKUP(Table1[[#This Row],[AMZ ID]],[1]Roster_1787503287932!$D$2:$AU$1370,25,0)</f>
        <v>Present</v>
      </c>
      <c r="Y640" s="135">
        <f>VLOOKUP(Table1[[#This Row],[AMZ ID]],[1]Roster_1787503287932!$D$2:$AM$1370,35,0)</f>
        <v>0</v>
      </c>
    </row>
    <row r="641" spans="1:25" ht="13" customHeight="1">
      <c r="A641" s="11">
        <v>635</v>
      </c>
      <c r="B641" s="47">
        <v>205846573</v>
      </c>
      <c r="C641" s="89" t="s">
        <v>682</v>
      </c>
      <c r="D641" s="11" t="s">
        <v>683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39</v>
      </c>
      <c r="K641" s="49" t="s">
        <v>76</v>
      </c>
      <c r="L641" s="49" t="s">
        <v>85</v>
      </c>
      <c r="M641" s="49" t="s">
        <v>88</v>
      </c>
      <c r="N641" s="49" t="s">
        <v>89</v>
      </c>
      <c r="O641" s="49" t="s">
        <v>37</v>
      </c>
      <c r="P641" s="11" t="s">
        <v>80</v>
      </c>
      <c r="Q641" s="11" t="s">
        <v>96</v>
      </c>
      <c r="R641" s="49" t="s">
        <v>631</v>
      </c>
      <c r="S641" s="11" t="s">
        <v>632</v>
      </c>
      <c r="T641" s="116" t="s">
        <v>1</v>
      </c>
      <c r="U641" s="88"/>
      <c r="V641" s="51">
        <v>45894</v>
      </c>
      <c r="W641" s="97" t="s">
        <v>1577</v>
      </c>
      <c r="X641" s="135" t="str">
        <f>VLOOKUP(Table1[[#This Row],[AMZ ID]],[1]Roster_1787503287932!$D$2:$AU$1370,25,0)</f>
        <v>Present</v>
      </c>
      <c r="Y641" s="135">
        <f>VLOOKUP(Table1[[#This Row],[AMZ ID]],[1]Roster_1787503287932!$D$2:$AM$1370,35,0)</f>
        <v>0</v>
      </c>
    </row>
    <row r="642" spans="1:25" ht="13" customHeight="1">
      <c r="A642" s="11">
        <v>636</v>
      </c>
      <c r="B642" s="47">
        <v>206930130</v>
      </c>
      <c r="C642" s="89" t="s">
        <v>2006</v>
      </c>
      <c r="D642" s="11" t="s">
        <v>2014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32</v>
      </c>
      <c r="K642" s="49" t="s">
        <v>76</v>
      </c>
      <c r="L642" s="49" t="s">
        <v>77</v>
      </c>
      <c r="M642" s="49" t="s">
        <v>78</v>
      </c>
      <c r="N642" s="48" t="s">
        <v>79</v>
      </c>
      <c r="O642" s="49" t="s">
        <v>37</v>
      </c>
      <c r="P642" s="11" t="s">
        <v>80</v>
      </c>
      <c r="Q642" s="11" t="s">
        <v>96</v>
      </c>
      <c r="R642" s="11" t="s">
        <v>627</v>
      </c>
      <c r="S642" s="11" t="s">
        <v>628</v>
      </c>
      <c r="T642" s="116" t="s">
        <v>10</v>
      </c>
      <c r="U642" s="88"/>
      <c r="V642" s="51">
        <v>46037</v>
      </c>
      <c r="W642" s="97" t="s">
        <v>1577</v>
      </c>
      <c r="X642" s="135" t="str">
        <f>VLOOKUP(Table1[[#This Row],[AMZ ID]],[1]Roster_1787503287932!$D$2:$AU$1370,25,0)</f>
        <v>Not Present</v>
      </c>
      <c r="Y642" s="135">
        <f>VLOOKUP(Table1[[#This Row],[AMZ ID]],[1]Roster_1787503287932!$D$2:$AM$1370,35,0)</f>
        <v>0</v>
      </c>
    </row>
    <row r="643" spans="1:25" ht="13" customHeight="1">
      <c r="A643" s="11">
        <v>637</v>
      </c>
      <c r="B643" s="47">
        <v>206129604</v>
      </c>
      <c r="C643" s="89" t="s">
        <v>684</v>
      </c>
      <c r="D643" s="11" t="s">
        <v>685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32</v>
      </c>
      <c r="K643" s="49" t="s">
        <v>76</v>
      </c>
      <c r="L643" s="49" t="s">
        <v>78</v>
      </c>
      <c r="M643" s="49" t="s">
        <v>92</v>
      </c>
      <c r="N643" s="49" t="s">
        <v>89</v>
      </c>
      <c r="O643" s="48" t="s">
        <v>37</v>
      </c>
      <c r="P643" s="48" t="s">
        <v>80</v>
      </c>
      <c r="Q643" s="11" t="s">
        <v>81</v>
      </c>
      <c r="R643" s="49" t="s">
        <v>647</v>
      </c>
      <c r="S643" s="11" t="s">
        <v>1798</v>
      </c>
      <c r="T643" s="116" t="s">
        <v>10</v>
      </c>
      <c r="U643" s="88"/>
      <c r="V643" s="51">
        <v>45929</v>
      </c>
      <c r="W643" s="97" t="s">
        <v>1577</v>
      </c>
      <c r="X643" s="135" t="str">
        <f>VLOOKUP(Table1[[#This Row],[AMZ ID]],[1]Roster_1787503287932!$D$2:$AU$1370,25,0)</f>
        <v>Not Present</v>
      </c>
      <c r="Y643" s="135">
        <f>VLOOKUP(Table1[[#This Row],[AMZ ID]],[1]Roster_1787503287932!$D$2:$AM$1370,35,0)</f>
        <v>0</v>
      </c>
    </row>
    <row r="644" spans="1:25" ht="13" customHeight="1">
      <c r="A644" s="11">
        <v>638</v>
      </c>
      <c r="B644" s="47">
        <v>204868506</v>
      </c>
      <c r="C644" s="89" t="s">
        <v>2376</v>
      </c>
      <c r="D644" s="11" t="s">
        <v>2377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92</v>
      </c>
      <c r="M644" s="49" t="s">
        <v>84</v>
      </c>
      <c r="N644" s="48" t="s">
        <v>86</v>
      </c>
      <c r="O644" s="49" t="s">
        <v>37</v>
      </c>
      <c r="P644" s="11" t="s">
        <v>80</v>
      </c>
      <c r="Q644" s="11" t="s">
        <v>90</v>
      </c>
      <c r="R644" s="11" t="s">
        <v>1066</v>
      </c>
      <c r="S644" s="11" t="s">
        <v>2717</v>
      </c>
      <c r="T644" s="116" t="s">
        <v>1</v>
      </c>
      <c r="U644" s="88"/>
      <c r="V644" s="51">
        <v>45789</v>
      </c>
      <c r="W644" s="97" t="s">
        <v>1577</v>
      </c>
      <c r="X644" s="135" t="str">
        <f>VLOOKUP(Table1[[#This Row],[AMZ ID]],[1]Roster_1787503287932!$D$2:$AU$1370,25,0)</f>
        <v>Present</v>
      </c>
      <c r="Y644" s="135">
        <f>VLOOKUP(Table1[[#This Row],[AMZ ID]],[1]Roster_1787503287932!$D$2:$AM$1370,35,0)</f>
        <v>0</v>
      </c>
    </row>
    <row r="645" spans="1:25" ht="13" customHeight="1">
      <c r="A645" s="11">
        <v>639</v>
      </c>
      <c r="B645" s="47">
        <v>206873782</v>
      </c>
      <c r="C645" s="89" t="s">
        <v>1871</v>
      </c>
      <c r="D645" s="11" t="s">
        <v>1872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39</v>
      </c>
      <c r="K645" s="49" t="s">
        <v>76</v>
      </c>
      <c r="L645" s="49" t="s">
        <v>84</v>
      </c>
      <c r="M645" s="49" t="s">
        <v>85</v>
      </c>
      <c r="N645" s="48" t="s">
        <v>89</v>
      </c>
      <c r="O645" s="49" t="s">
        <v>37</v>
      </c>
      <c r="P645" s="11" t="s">
        <v>80</v>
      </c>
      <c r="Q645" s="11" t="s">
        <v>90</v>
      </c>
      <c r="R645" s="11" t="s">
        <v>647</v>
      </c>
      <c r="S645" s="11" t="s">
        <v>1798</v>
      </c>
      <c r="T645" s="116" t="s">
        <v>1</v>
      </c>
      <c r="U645" s="88"/>
      <c r="V645" s="51">
        <v>46030</v>
      </c>
      <c r="W645" s="97" t="s">
        <v>1577</v>
      </c>
      <c r="X645" s="135" t="str">
        <f>VLOOKUP(Table1[[#This Row],[AMZ ID]],[1]Roster_1787503287932!$D$2:$AU$1370,25,0)</f>
        <v>Present</v>
      </c>
      <c r="Y645" s="135">
        <f>VLOOKUP(Table1[[#This Row],[AMZ ID]],[1]Roster_1787503287932!$D$2:$AM$1370,35,0)</f>
        <v>0</v>
      </c>
    </row>
    <row r="646" spans="1:25" ht="13" customHeight="1">
      <c r="A646" s="11">
        <v>640</v>
      </c>
      <c r="B646" s="47">
        <v>203341965</v>
      </c>
      <c r="C646" s="89" t="s">
        <v>686</v>
      </c>
      <c r="D646" s="11" t="s">
        <v>687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39</v>
      </c>
      <c r="K646" s="49" t="s">
        <v>76</v>
      </c>
      <c r="L646" s="49" t="s">
        <v>85</v>
      </c>
      <c r="M646" s="49" t="s">
        <v>88</v>
      </c>
      <c r="N646" s="48" t="s">
        <v>86</v>
      </c>
      <c r="O646" s="49" t="s">
        <v>37</v>
      </c>
      <c r="P646" s="11" t="s">
        <v>80</v>
      </c>
      <c r="Q646" s="11" t="s">
        <v>99</v>
      </c>
      <c r="R646" s="49" t="s">
        <v>1066</v>
      </c>
      <c r="S646" s="11" t="s">
        <v>2717</v>
      </c>
      <c r="T646" s="116" t="s">
        <v>1</v>
      </c>
      <c r="U646" s="88"/>
      <c r="V646" s="51">
        <v>45432</v>
      </c>
      <c r="W646" s="97" t="s">
        <v>1579</v>
      </c>
      <c r="X646" s="135" t="str">
        <f>VLOOKUP(Table1[[#This Row],[AMZ ID]],[1]Roster_1787503287932!$D$2:$AU$1370,25,0)</f>
        <v>Present</v>
      </c>
      <c r="Y646" s="135">
        <f>VLOOKUP(Table1[[#This Row],[AMZ ID]],[1]Roster_1787503287932!$D$2:$AM$1370,35,0)</f>
        <v>0</v>
      </c>
    </row>
    <row r="647" spans="1:25" ht="13" customHeight="1">
      <c r="A647" s="11">
        <v>641</v>
      </c>
      <c r="B647" s="47">
        <v>205252356</v>
      </c>
      <c r="C647" s="89" t="s">
        <v>2869</v>
      </c>
      <c r="D647" s="11" t="s">
        <v>2870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78</v>
      </c>
      <c r="M647" s="49" t="s">
        <v>92</v>
      </c>
      <c r="N647" s="48" t="s">
        <v>89</v>
      </c>
      <c r="O647" s="49" t="s">
        <v>37</v>
      </c>
      <c r="P647" s="11" t="s">
        <v>80</v>
      </c>
      <c r="Q647" s="11" t="s">
        <v>96</v>
      </c>
      <c r="R647" s="49" t="s">
        <v>1066</v>
      </c>
      <c r="S647" s="11" t="s">
        <v>2717</v>
      </c>
      <c r="T647" s="116" t="s">
        <v>10</v>
      </c>
      <c r="U647" s="88"/>
      <c r="V647" s="51">
        <v>46238</v>
      </c>
      <c r="W647" s="97" t="s">
        <v>1577</v>
      </c>
      <c r="X647" s="135" t="str">
        <f>VLOOKUP(Table1[[#This Row],[AMZ ID]],[1]Roster_1787503287932!$D$2:$AU$1370,25,0)</f>
        <v>Not Present</v>
      </c>
      <c r="Y647" s="135">
        <f>VLOOKUP(Table1[[#This Row],[AMZ ID]],[1]Roster_1787503287932!$D$2:$AM$1370,35,0)</f>
        <v>0</v>
      </c>
    </row>
    <row r="648" spans="1:25" ht="13" customHeight="1">
      <c r="A648" s="11">
        <v>642</v>
      </c>
      <c r="B648" s="47">
        <v>109808051</v>
      </c>
      <c r="C648" s="89" t="s">
        <v>688</v>
      </c>
      <c r="D648" s="11" t="s">
        <v>689</v>
      </c>
      <c r="E648" s="48" t="s">
        <v>34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32</v>
      </c>
      <c r="K648" s="49" t="s">
        <v>76</v>
      </c>
      <c r="L648" s="49" t="s">
        <v>95</v>
      </c>
      <c r="M648" s="49" t="s">
        <v>77</v>
      </c>
      <c r="N648" s="48" t="s">
        <v>108</v>
      </c>
      <c r="O648" s="49" t="s">
        <v>37</v>
      </c>
      <c r="P648" s="11" t="s">
        <v>80</v>
      </c>
      <c r="Q648" s="11" t="s">
        <v>98</v>
      </c>
      <c r="R648" s="11" t="s">
        <v>639</v>
      </c>
      <c r="S648" s="11" t="s">
        <v>2718</v>
      </c>
      <c r="T648" s="116" t="s">
        <v>1</v>
      </c>
      <c r="U648" s="88"/>
      <c r="V648" s="51">
        <v>44875</v>
      </c>
      <c r="W648" s="97" t="s">
        <v>1580</v>
      </c>
      <c r="X648" s="135" t="str">
        <f>VLOOKUP(Table1[[#This Row],[AMZ ID]],[1]Roster_1787503287932!$D$2:$AU$1370,25,0)</f>
        <v>Present</v>
      </c>
      <c r="Y648" s="135">
        <f>VLOOKUP(Table1[[#This Row],[AMZ ID]],[1]Roster_1787503287932!$D$2:$AM$1370,35,0)</f>
        <v>0</v>
      </c>
    </row>
    <row r="649" spans="1:25" ht="13" customHeight="1">
      <c r="A649" s="11">
        <v>643</v>
      </c>
      <c r="B649" s="47">
        <v>203735959</v>
      </c>
      <c r="C649" s="89" t="s">
        <v>2378</v>
      </c>
      <c r="D649" s="47" t="s">
        <v>2379</v>
      </c>
      <c r="E649" s="47" t="s">
        <v>31</v>
      </c>
      <c r="F649" s="48" t="s">
        <v>74</v>
      </c>
      <c r="G649" s="11" t="s">
        <v>64</v>
      </c>
      <c r="H649" s="11" t="s">
        <v>75</v>
      </c>
      <c r="I649" s="47">
        <v>1299</v>
      </c>
      <c r="J649" s="49" t="s">
        <v>39</v>
      </c>
      <c r="K649" s="49" t="s">
        <v>76</v>
      </c>
      <c r="L649" s="49" t="s">
        <v>92</v>
      </c>
      <c r="M649" s="49" t="s">
        <v>84</v>
      </c>
      <c r="N649" s="49" t="s">
        <v>86</v>
      </c>
      <c r="O649" s="49" t="s">
        <v>37</v>
      </c>
      <c r="P649" s="11" t="s">
        <v>80</v>
      </c>
      <c r="Q649" s="47" t="s">
        <v>90</v>
      </c>
      <c r="R649" s="11" t="s">
        <v>627</v>
      </c>
      <c r="S649" s="11" t="s">
        <v>628</v>
      </c>
      <c r="T649" s="116" t="s">
        <v>1</v>
      </c>
      <c r="U649" s="88"/>
      <c r="V649" s="51">
        <v>45502</v>
      </c>
      <c r="W649" s="97" t="s">
        <v>1577</v>
      </c>
      <c r="X649" s="135" t="str">
        <f>VLOOKUP(Table1[[#This Row],[AMZ ID]],[1]Roster_1787503287932!$D$2:$AU$1370,25,0)</f>
        <v>Present</v>
      </c>
      <c r="Y649" s="135">
        <f>VLOOKUP(Table1[[#This Row],[AMZ ID]],[1]Roster_1787503287932!$D$2:$AM$1370,35,0)</f>
        <v>0</v>
      </c>
    </row>
    <row r="650" spans="1:25" ht="13" customHeight="1">
      <c r="A650" s="11">
        <v>644</v>
      </c>
      <c r="B650" s="47">
        <v>203964989</v>
      </c>
      <c r="C650" s="89" t="s">
        <v>690</v>
      </c>
      <c r="D650" s="11" t="s">
        <v>691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32</v>
      </c>
      <c r="K650" s="49" t="s">
        <v>76</v>
      </c>
      <c r="L650" s="49" t="s">
        <v>84</v>
      </c>
      <c r="M650" s="49" t="s">
        <v>85</v>
      </c>
      <c r="N650" s="48" t="s">
        <v>86</v>
      </c>
      <c r="O650" s="49" t="s">
        <v>37</v>
      </c>
      <c r="P650" s="11" t="s">
        <v>80</v>
      </c>
      <c r="Q650" s="11" t="s">
        <v>99</v>
      </c>
      <c r="R650" s="11" t="s">
        <v>647</v>
      </c>
      <c r="S650" s="11" t="s">
        <v>1798</v>
      </c>
      <c r="T650" s="116" t="s">
        <v>1</v>
      </c>
      <c r="U650" s="88"/>
      <c r="V650" s="51">
        <v>45544</v>
      </c>
      <c r="W650" s="97" t="s">
        <v>1577</v>
      </c>
      <c r="X650" s="135" t="str">
        <f>VLOOKUP(Table1[[#This Row],[AMZ ID]],[1]Roster_1787503287932!$D$2:$AU$1370,25,0)</f>
        <v>Present</v>
      </c>
      <c r="Y650" s="135">
        <f>VLOOKUP(Table1[[#This Row],[AMZ ID]],[1]Roster_1787503287932!$D$2:$AM$1370,35,0)</f>
        <v>0</v>
      </c>
    </row>
    <row r="651" spans="1:25" ht="13" customHeight="1">
      <c r="A651" s="11">
        <v>645</v>
      </c>
      <c r="B651" s="47">
        <v>203964995</v>
      </c>
      <c r="C651" s="89" t="s">
        <v>692</v>
      </c>
      <c r="D651" s="11" t="s">
        <v>693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32</v>
      </c>
      <c r="K651" s="49" t="s">
        <v>76</v>
      </c>
      <c r="L651" s="49" t="s">
        <v>78</v>
      </c>
      <c r="M651" s="49" t="s">
        <v>92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49" t="s">
        <v>1066</v>
      </c>
      <c r="S651" s="11" t="s">
        <v>2717</v>
      </c>
      <c r="T651" s="116" t="s">
        <v>10</v>
      </c>
      <c r="U651" s="88"/>
      <c r="V651" s="51">
        <v>45544</v>
      </c>
      <c r="W651" s="97" t="s">
        <v>1577</v>
      </c>
      <c r="X651" s="135" t="str">
        <f>VLOOKUP(Table1[[#This Row],[AMZ ID]],[1]Roster_1787503287932!$D$2:$AU$1370,25,0)</f>
        <v>Not Present</v>
      </c>
      <c r="Y651" s="135">
        <f>VLOOKUP(Table1[[#This Row],[AMZ ID]],[1]Roster_1787503287932!$D$2:$AM$1370,35,0)</f>
        <v>0</v>
      </c>
    </row>
    <row r="652" spans="1:25" ht="13" customHeight="1">
      <c r="A652" s="11">
        <v>646</v>
      </c>
      <c r="B652" s="92">
        <v>206850960</v>
      </c>
      <c r="C652" s="47" t="s">
        <v>1805</v>
      </c>
      <c r="D652" s="89" t="s">
        <v>1806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95</v>
      </c>
      <c r="M652" s="49" t="s">
        <v>77</v>
      </c>
      <c r="N652" s="48" t="s">
        <v>89</v>
      </c>
      <c r="O652" s="49" t="s">
        <v>37</v>
      </c>
      <c r="P652" s="11" t="s">
        <v>80</v>
      </c>
      <c r="Q652" s="11" t="s">
        <v>90</v>
      </c>
      <c r="R652" s="11" t="s">
        <v>2845</v>
      </c>
      <c r="S652" s="11" t="s">
        <v>2846</v>
      </c>
      <c r="T652" s="116" t="s">
        <v>1</v>
      </c>
      <c r="U652" s="88"/>
      <c r="V652" s="51">
        <v>46013</v>
      </c>
      <c r="W652" s="97" t="s">
        <v>1577</v>
      </c>
      <c r="X652" s="135" t="str">
        <f>VLOOKUP(Table1[[#This Row],[AMZ ID]],[1]Roster_1787503287932!$D$2:$AU$1370,25,0)</f>
        <v>Present</v>
      </c>
      <c r="Y652" s="135">
        <f>VLOOKUP(Table1[[#This Row],[AMZ ID]],[1]Roster_1787503287932!$D$2:$AM$1370,35,0)</f>
        <v>0</v>
      </c>
    </row>
    <row r="653" spans="1:25" ht="13" customHeight="1">
      <c r="A653" s="11">
        <v>647</v>
      </c>
      <c r="B653" s="47">
        <v>206199915</v>
      </c>
      <c r="C653" s="89" t="s">
        <v>1593</v>
      </c>
      <c r="D653" s="11" t="s">
        <v>1587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92</v>
      </c>
      <c r="M653" s="49" t="s">
        <v>84</v>
      </c>
      <c r="N653" s="48" t="s">
        <v>79</v>
      </c>
      <c r="O653" s="49" t="s">
        <v>37</v>
      </c>
      <c r="P653" s="11" t="s">
        <v>80</v>
      </c>
      <c r="Q653" s="11" t="s">
        <v>81</v>
      </c>
      <c r="R653" s="11" t="s">
        <v>1066</v>
      </c>
      <c r="S653" s="11" t="s">
        <v>2717</v>
      </c>
      <c r="T653" s="116" t="s">
        <v>1</v>
      </c>
      <c r="U653" s="88"/>
      <c r="V653" s="51">
        <v>45936</v>
      </c>
      <c r="W653" s="97" t="s">
        <v>1577</v>
      </c>
      <c r="X653" s="135" t="str">
        <f>VLOOKUP(Table1[[#This Row],[AMZ ID]],[1]Roster_1787503287932!$D$2:$AU$1370,25,0)</f>
        <v>Present</v>
      </c>
      <c r="Y653" s="135">
        <f>VLOOKUP(Table1[[#This Row],[AMZ ID]],[1]Roster_1787503287932!$D$2:$AM$1370,35,0)</f>
        <v>0</v>
      </c>
    </row>
    <row r="654" spans="1:25" ht="13" customHeight="1">
      <c r="A654" s="11">
        <v>648</v>
      </c>
      <c r="B654" s="47">
        <v>204009348</v>
      </c>
      <c r="C654" s="89" t="s">
        <v>2380</v>
      </c>
      <c r="D654" s="11" t="s">
        <v>2381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39</v>
      </c>
      <c r="K654" s="49" t="s">
        <v>76</v>
      </c>
      <c r="L654" s="49" t="s">
        <v>88</v>
      </c>
      <c r="M654" s="49" t="s">
        <v>95</v>
      </c>
      <c r="N654" s="48" t="s">
        <v>86</v>
      </c>
      <c r="O654" s="49" t="s">
        <v>37</v>
      </c>
      <c r="P654" s="11" t="s">
        <v>80</v>
      </c>
      <c r="Q654" s="11" t="s">
        <v>90</v>
      </c>
      <c r="R654" s="49" t="s">
        <v>627</v>
      </c>
      <c r="S654" s="11" t="s">
        <v>628</v>
      </c>
      <c r="T654" s="116" t="s">
        <v>1</v>
      </c>
      <c r="U654" s="88"/>
      <c r="V654" s="51">
        <v>45551</v>
      </c>
      <c r="W654" s="97" t="s">
        <v>1577</v>
      </c>
      <c r="X654" s="135" t="str">
        <f>VLOOKUP(Table1[[#This Row],[AMZ ID]],[1]Roster_1787503287932!$D$2:$AU$1370,25,0)</f>
        <v>Present</v>
      </c>
      <c r="Y654" s="135">
        <f>VLOOKUP(Table1[[#This Row],[AMZ ID]],[1]Roster_1787503287932!$D$2:$AM$1370,35,0)</f>
        <v>0</v>
      </c>
    </row>
    <row r="655" spans="1:25" ht="13" customHeight="1">
      <c r="A655" s="11">
        <v>649</v>
      </c>
      <c r="B655" s="47">
        <v>203850997</v>
      </c>
      <c r="C655" s="89" t="s">
        <v>694</v>
      </c>
      <c r="D655" s="11" t="s">
        <v>695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88</v>
      </c>
      <c r="M655" s="49" t="s">
        <v>95</v>
      </c>
      <c r="N655" s="49" t="s">
        <v>79</v>
      </c>
      <c r="O655" s="49" t="s">
        <v>37</v>
      </c>
      <c r="P655" s="11" t="s">
        <v>80</v>
      </c>
      <c r="Q655" s="11" t="s">
        <v>81</v>
      </c>
      <c r="R655" s="49" t="s">
        <v>631</v>
      </c>
      <c r="S655" s="11" t="s">
        <v>632</v>
      </c>
      <c r="T655" s="116" t="s">
        <v>1</v>
      </c>
      <c r="U655" s="88"/>
      <c r="V655" s="51">
        <v>45524</v>
      </c>
      <c r="W655" s="97" t="s">
        <v>1578</v>
      </c>
      <c r="X655" s="135" t="str">
        <f>VLOOKUP(Table1[[#This Row],[AMZ ID]],[1]Roster_1787503287932!$D$2:$AU$1370,25,0)</f>
        <v>Present</v>
      </c>
      <c r="Y655" s="135">
        <f>VLOOKUP(Table1[[#This Row],[AMZ ID]],[1]Roster_1787503287932!$D$2:$AM$1370,35,0)</f>
        <v>0</v>
      </c>
    </row>
    <row r="656" spans="1:25" ht="13" customHeight="1">
      <c r="A656" s="11">
        <v>650</v>
      </c>
      <c r="B656" s="47">
        <v>205854083</v>
      </c>
      <c r="C656" s="89" t="s">
        <v>944</v>
      </c>
      <c r="D656" s="11" t="s">
        <v>945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32</v>
      </c>
      <c r="K656" s="49" t="s">
        <v>76</v>
      </c>
      <c r="L656" s="49" t="s">
        <v>92</v>
      </c>
      <c r="M656" s="49" t="s">
        <v>84</v>
      </c>
      <c r="N656" s="48" t="s">
        <v>89</v>
      </c>
      <c r="O656" s="49" t="s">
        <v>37</v>
      </c>
      <c r="P656" s="11" t="s">
        <v>80</v>
      </c>
      <c r="Q656" s="11" t="s">
        <v>96</v>
      </c>
      <c r="R656" s="49" t="s">
        <v>627</v>
      </c>
      <c r="S656" s="11" t="s">
        <v>628</v>
      </c>
      <c r="T656" s="116" t="s">
        <v>7</v>
      </c>
      <c r="U656" s="88" t="s">
        <v>3015</v>
      </c>
      <c r="V656" s="51">
        <v>45894</v>
      </c>
      <c r="W656" s="97" t="s">
        <v>1577</v>
      </c>
      <c r="X656" s="135" t="str">
        <f>VLOOKUP(Table1[[#This Row],[AMZ ID]],[1]Roster_1787503287932!$D$2:$AU$1370,25,0)</f>
        <v>Not Present</v>
      </c>
      <c r="Y656" s="135" t="str">
        <f>VLOOKUP(Table1[[#This Row],[AMZ ID]],[1]Roster_1787503287932!$D$2:$AM$1370,35,0)</f>
        <v>Carry Forwarded Annual Leave</v>
      </c>
    </row>
    <row r="657" spans="1:25" ht="13" customHeight="1">
      <c r="A657" s="11">
        <v>651</v>
      </c>
      <c r="B657" s="47">
        <v>203342030</v>
      </c>
      <c r="C657" s="89" t="s">
        <v>698</v>
      </c>
      <c r="D657" s="11" t="s">
        <v>699</v>
      </c>
      <c r="E657" s="48" t="s">
        <v>31</v>
      </c>
      <c r="F657" s="48" t="s">
        <v>74</v>
      </c>
      <c r="G657" s="48" t="s">
        <v>64</v>
      </c>
      <c r="H657" s="48" t="s">
        <v>75</v>
      </c>
      <c r="I657" s="11">
        <v>1299</v>
      </c>
      <c r="J657" s="49" t="s">
        <v>32</v>
      </c>
      <c r="K657" s="49" t="s">
        <v>76</v>
      </c>
      <c r="L657" s="49" t="s">
        <v>77</v>
      </c>
      <c r="M657" s="49" t="s">
        <v>78</v>
      </c>
      <c r="N657" s="49" t="s">
        <v>86</v>
      </c>
      <c r="O657" s="49" t="s">
        <v>37</v>
      </c>
      <c r="P657" s="49" t="s">
        <v>80</v>
      </c>
      <c r="Q657" s="49" t="s">
        <v>99</v>
      </c>
      <c r="R657" s="49" t="s">
        <v>1066</v>
      </c>
      <c r="S657" s="49" t="s">
        <v>2717</v>
      </c>
      <c r="T657" s="116" t="s">
        <v>10</v>
      </c>
      <c r="U657" s="88"/>
      <c r="V657" s="51">
        <v>45432</v>
      </c>
      <c r="W657" s="97" t="s">
        <v>1578</v>
      </c>
      <c r="X657" s="135" t="str">
        <f>VLOOKUP(Table1[[#This Row],[AMZ ID]],[1]Roster_1787503287932!$D$2:$AU$1370,25,0)</f>
        <v>Not Present</v>
      </c>
      <c r="Y657" s="135">
        <f>VLOOKUP(Table1[[#This Row],[AMZ ID]],[1]Roster_1787503287932!$D$2:$AM$1370,35,0)</f>
        <v>0</v>
      </c>
    </row>
    <row r="658" spans="1:25" ht="13" customHeight="1">
      <c r="A658" s="11">
        <v>652</v>
      </c>
      <c r="B658" s="47">
        <v>204172225</v>
      </c>
      <c r="C658" s="89" t="s">
        <v>700</v>
      </c>
      <c r="D658" s="11" t="s">
        <v>701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32</v>
      </c>
      <c r="K658" s="49" t="s">
        <v>76</v>
      </c>
      <c r="L658" s="49" t="s">
        <v>85</v>
      </c>
      <c r="M658" s="49" t="s">
        <v>88</v>
      </c>
      <c r="N658" s="48" t="s">
        <v>89</v>
      </c>
      <c r="O658" s="49" t="s">
        <v>37</v>
      </c>
      <c r="P658" s="11" t="s">
        <v>80</v>
      </c>
      <c r="Q658" s="11" t="s">
        <v>90</v>
      </c>
      <c r="R658" s="11" t="s">
        <v>647</v>
      </c>
      <c r="S658" s="11" t="s">
        <v>1798</v>
      </c>
      <c r="T658" s="116" t="s">
        <v>1</v>
      </c>
      <c r="U658" s="88"/>
      <c r="V658" s="51">
        <v>45568</v>
      </c>
      <c r="W658" s="97" t="s">
        <v>1577</v>
      </c>
      <c r="X658" s="135" t="str">
        <f>VLOOKUP(Table1[[#This Row],[AMZ ID]],[1]Roster_1787503287932!$D$2:$AU$1370,25,0)</f>
        <v>Present</v>
      </c>
      <c r="Y658" s="135">
        <f>VLOOKUP(Table1[[#This Row],[AMZ ID]],[1]Roster_1787503287932!$D$2:$AM$1370,35,0)</f>
        <v>0</v>
      </c>
    </row>
    <row r="659" spans="1:25" ht="13" customHeight="1">
      <c r="A659" s="11">
        <v>653</v>
      </c>
      <c r="B659" s="47">
        <v>206926474</v>
      </c>
      <c r="C659" s="89" t="s">
        <v>2011</v>
      </c>
      <c r="D659" s="11" t="s">
        <v>2018</v>
      </c>
      <c r="E659" s="48" t="s">
        <v>31</v>
      </c>
      <c r="F659" s="48" t="s">
        <v>74</v>
      </c>
      <c r="G659" s="11" t="s">
        <v>64</v>
      </c>
      <c r="H659" s="11" t="s">
        <v>1332</v>
      </c>
      <c r="I659" s="11">
        <v>1299</v>
      </c>
      <c r="J659" s="49" t="s">
        <v>32</v>
      </c>
      <c r="K659" s="49" t="s">
        <v>76</v>
      </c>
      <c r="L659" s="49" t="s">
        <v>95</v>
      </c>
      <c r="M659" s="49" t="s">
        <v>77</v>
      </c>
      <c r="N659" s="48" t="s">
        <v>89</v>
      </c>
      <c r="O659" s="49" t="s">
        <v>37</v>
      </c>
      <c r="P659" s="11" t="s">
        <v>80</v>
      </c>
      <c r="Q659" s="11" t="s">
        <v>90</v>
      </c>
      <c r="R659" s="49" t="s">
        <v>647</v>
      </c>
      <c r="S659" s="11" t="s">
        <v>1798</v>
      </c>
      <c r="T659" s="116" t="s">
        <v>1</v>
      </c>
      <c r="U659" s="88"/>
      <c r="V659" s="51">
        <v>46037</v>
      </c>
      <c r="W659" s="97" t="s">
        <v>2020</v>
      </c>
      <c r="X659" s="135" t="str">
        <f>VLOOKUP(Table1[[#This Row],[AMZ ID]],[1]Roster_1787503287932!$D$2:$AU$1370,25,0)</f>
        <v>Present</v>
      </c>
      <c r="Y659" s="135">
        <f>VLOOKUP(Table1[[#This Row],[AMZ ID]],[1]Roster_1787503287932!$D$2:$AM$1370,35,0)</f>
        <v>0</v>
      </c>
    </row>
    <row r="660" spans="1:25" ht="13" customHeight="1">
      <c r="A660" s="11">
        <v>654</v>
      </c>
      <c r="B660" s="47">
        <v>205236902</v>
      </c>
      <c r="C660" s="89" t="s">
        <v>702</v>
      </c>
      <c r="D660" s="11" t="s">
        <v>703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39</v>
      </c>
      <c r="K660" s="49" t="s">
        <v>76</v>
      </c>
      <c r="L660" s="49" t="s">
        <v>78</v>
      </c>
      <c r="M660" s="49" t="s">
        <v>92</v>
      </c>
      <c r="N660" s="49" t="s">
        <v>86</v>
      </c>
      <c r="O660" s="48" t="s">
        <v>37</v>
      </c>
      <c r="P660" s="48" t="s">
        <v>80</v>
      </c>
      <c r="Q660" s="11" t="s">
        <v>90</v>
      </c>
      <c r="R660" s="11" t="s">
        <v>631</v>
      </c>
      <c r="S660" s="11" t="s">
        <v>632</v>
      </c>
      <c r="T660" s="116" t="s">
        <v>10</v>
      </c>
      <c r="U660" s="88"/>
      <c r="V660" s="51">
        <v>45789</v>
      </c>
      <c r="W660" s="97" t="s">
        <v>1577</v>
      </c>
      <c r="X660" s="135" t="str">
        <f>VLOOKUP(Table1[[#This Row],[AMZ ID]],[1]Roster_1787503287932!$D$2:$AU$1370,25,0)</f>
        <v>Not Present</v>
      </c>
      <c r="Y660" s="135">
        <f>VLOOKUP(Table1[[#This Row],[AMZ ID]],[1]Roster_1787503287932!$D$2:$AM$1370,35,0)</f>
        <v>0</v>
      </c>
    </row>
    <row r="661" spans="1:25" ht="13" customHeight="1">
      <c r="A661" s="11">
        <v>655</v>
      </c>
      <c r="B661" s="47">
        <v>204053434</v>
      </c>
      <c r="C661" s="89" t="s">
        <v>704</v>
      </c>
      <c r="D661" s="11" t="s">
        <v>705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95</v>
      </c>
      <c r="M661" s="49" t="s">
        <v>77</v>
      </c>
      <c r="N661" s="49" t="s">
        <v>86</v>
      </c>
      <c r="O661" s="49" t="s">
        <v>37</v>
      </c>
      <c r="P661" s="11" t="s">
        <v>80</v>
      </c>
      <c r="Q661" s="11" t="s">
        <v>99</v>
      </c>
      <c r="R661" s="11" t="s">
        <v>2845</v>
      </c>
      <c r="S661" s="11" t="s">
        <v>2846</v>
      </c>
      <c r="T661" s="116" t="s">
        <v>1</v>
      </c>
      <c r="U661" s="88"/>
      <c r="V661" s="51">
        <v>45558</v>
      </c>
      <c r="W661" s="97" t="s">
        <v>1576</v>
      </c>
      <c r="X661" s="135" t="str">
        <f>VLOOKUP(Table1[[#This Row],[AMZ ID]],[1]Roster_1787503287932!$D$2:$AU$1370,25,0)</f>
        <v>Present</v>
      </c>
      <c r="Y661" s="135">
        <f>VLOOKUP(Table1[[#This Row],[AMZ ID]],[1]Roster_1787503287932!$D$2:$AM$1370,35,0)</f>
        <v>0</v>
      </c>
    </row>
    <row r="662" spans="1:25" ht="13" customHeight="1">
      <c r="A662" s="11">
        <v>656</v>
      </c>
      <c r="B662" s="47">
        <v>205236897</v>
      </c>
      <c r="C662" s="89" t="s">
        <v>2382</v>
      </c>
      <c r="D662" s="11" t="s">
        <v>2383</v>
      </c>
      <c r="E662" s="48" t="s">
        <v>31</v>
      </c>
      <c r="F662" s="48" t="s">
        <v>74</v>
      </c>
      <c r="G662" s="48" t="s">
        <v>64</v>
      </c>
      <c r="H662" s="48" t="s">
        <v>75</v>
      </c>
      <c r="I662" s="11">
        <v>1299</v>
      </c>
      <c r="J662" s="49" t="s">
        <v>39</v>
      </c>
      <c r="K662" s="49" t="s">
        <v>76</v>
      </c>
      <c r="L662" s="49" t="s">
        <v>88</v>
      </c>
      <c r="M662" s="49" t="s">
        <v>95</v>
      </c>
      <c r="N662" s="49" t="s">
        <v>86</v>
      </c>
      <c r="O662" s="49" t="s">
        <v>37</v>
      </c>
      <c r="P662" s="49" t="s">
        <v>80</v>
      </c>
      <c r="Q662" s="49" t="s">
        <v>90</v>
      </c>
      <c r="R662" s="49" t="s">
        <v>631</v>
      </c>
      <c r="S662" s="11" t="s">
        <v>632</v>
      </c>
      <c r="T662" s="116" t="s">
        <v>1</v>
      </c>
      <c r="U662" s="88"/>
      <c r="V662" s="51">
        <v>45789</v>
      </c>
      <c r="W662" s="97" t="s">
        <v>1577</v>
      </c>
      <c r="X662" s="135" t="str">
        <f>VLOOKUP(Table1[[#This Row],[AMZ ID]],[1]Roster_1787503287932!$D$2:$AU$1370,25,0)</f>
        <v>Present</v>
      </c>
      <c r="Y662" s="135">
        <f>VLOOKUP(Table1[[#This Row],[AMZ ID]],[1]Roster_1787503287932!$D$2:$AM$1370,35,0)</f>
        <v>0</v>
      </c>
    </row>
    <row r="663" spans="1:25" ht="13" customHeight="1">
      <c r="A663" s="11">
        <v>657</v>
      </c>
      <c r="B663" s="47">
        <v>204013688</v>
      </c>
      <c r="C663" s="89" t="s">
        <v>706</v>
      </c>
      <c r="D663" s="11" t="s">
        <v>707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39</v>
      </c>
      <c r="K663" s="49" t="s">
        <v>76</v>
      </c>
      <c r="L663" s="49" t="s">
        <v>88</v>
      </c>
      <c r="M663" s="49" t="s">
        <v>95</v>
      </c>
      <c r="N663" s="49" t="s">
        <v>79</v>
      </c>
      <c r="O663" s="49" t="s">
        <v>37</v>
      </c>
      <c r="P663" s="11" t="s">
        <v>80</v>
      </c>
      <c r="Q663" s="11" t="s">
        <v>81</v>
      </c>
      <c r="R663" s="11" t="s">
        <v>627</v>
      </c>
      <c r="S663" s="11" t="s">
        <v>628</v>
      </c>
      <c r="T663" s="116" t="s">
        <v>1</v>
      </c>
      <c r="U663" s="88"/>
      <c r="V663" s="51">
        <v>45551</v>
      </c>
      <c r="W663" s="97" t="s">
        <v>1577</v>
      </c>
      <c r="X663" s="135" t="str">
        <f>VLOOKUP(Table1[[#This Row],[AMZ ID]],[1]Roster_1787503287932!$D$2:$AU$1370,25,0)</f>
        <v>Present</v>
      </c>
      <c r="Y663" s="135">
        <f>VLOOKUP(Table1[[#This Row],[AMZ ID]],[1]Roster_1787503287932!$D$2:$AM$1370,35,0)</f>
        <v>0</v>
      </c>
    </row>
    <row r="664" spans="1:25" ht="13" customHeight="1">
      <c r="A664" s="11">
        <v>658</v>
      </c>
      <c r="B664" s="47">
        <v>206897553</v>
      </c>
      <c r="C664" s="89" t="s">
        <v>1899</v>
      </c>
      <c r="D664" s="11" t="s">
        <v>1900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1290</v>
      </c>
      <c r="J664" s="49" t="s">
        <v>39</v>
      </c>
      <c r="K664" s="49" t="s">
        <v>76</v>
      </c>
      <c r="L664" s="49" t="s">
        <v>77</v>
      </c>
      <c r="M664" s="49" t="s">
        <v>78</v>
      </c>
      <c r="N664" s="48" t="s">
        <v>89</v>
      </c>
      <c r="O664" s="49" t="s">
        <v>37</v>
      </c>
      <c r="P664" s="11" t="s">
        <v>80</v>
      </c>
      <c r="Q664" s="11" t="s">
        <v>81</v>
      </c>
      <c r="R664" s="11" t="s">
        <v>1066</v>
      </c>
      <c r="S664" s="11" t="s">
        <v>2717</v>
      </c>
      <c r="T664" s="116" t="s">
        <v>10</v>
      </c>
      <c r="U664" s="88"/>
      <c r="V664" s="51">
        <v>46030</v>
      </c>
      <c r="W664" s="97" t="s">
        <v>1578</v>
      </c>
      <c r="X664" s="135" t="str">
        <f>VLOOKUP(Table1[[#This Row],[AMZ ID]],[1]Roster_1787503287932!$D$2:$AU$1370,25,0)</f>
        <v>Not Present</v>
      </c>
      <c r="Y664" s="135">
        <f>VLOOKUP(Table1[[#This Row],[AMZ ID]],[1]Roster_1787503287932!$D$2:$AM$1370,35,0)</f>
        <v>0</v>
      </c>
    </row>
    <row r="665" spans="1:25" ht="13" customHeight="1">
      <c r="A665" s="11">
        <v>659</v>
      </c>
      <c r="B665" s="92">
        <v>205854273</v>
      </c>
      <c r="C665" s="47" t="s">
        <v>708</v>
      </c>
      <c r="D665" s="89" t="s">
        <v>709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32</v>
      </c>
      <c r="K665" s="49" t="s">
        <v>76</v>
      </c>
      <c r="L665" s="49" t="s">
        <v>92</v>
      </c>
      <c r="M665" s="49" t="s">
        <v>84</v>
      </c>
      <c r="N665" s="49" t="s">
        <v>79</v>
      </c>
      <c r="O665" s="49" t="s">
        <v>37</v>
      </c>
      <c r="P665" s="11" t="s">
        <v>80</v>
      </c>
      <c r="Q665" s="11" t="s">
        <v>96</v>
      </c>
      <c r="R665" s="11" t="s">
        <v>631</v>
      </c>
      <c r="S665" s="11" t="s">
        <v>632</v>
      </c>
      <c r="T665" s="116" t="s">
        <v>1</v>
      </c>
      <c r="U665" s="88"/>
      <c r="V665" s="51">
        <v>45894</v>
      </c>
      <c r="W665" s="97" t="s">
        <v>1577</v>
      </c>
      <c r="X665" s="135" t="str">
        <f>VLOOKUP(Table1[[#This Row],[AMZ ID]],[1]Roster_1787503287932!$D$2:$AU$1370,25,0)</f>
        <v>Present</v>
      </c>
      <c r="Y665" s="135">
        <f>VLOOKUP(Table1[[#This Row],[AMZ ID]],[1]Roster_1787503287932!$D$2:$AM$1370,35,0)</f>
        <v>0</v>
      </c>
    </row>
    <row r="666" spans="1:25" ht="13" customHeight="1">
      <c r="A666" s="11">
        <v>660</v>
      </c>
      <c r="B666" s="47">
        <v>206926475</v>
      </c>
      <c r="C666" s="89" t="s">
        <v>2009</v>
      </c>
      <c r="D666" s="11" t="s">
        <v>2016</v>
      </c>
      <c r="E666" s="48" t="s">
        <v>31</v>
      </c>
      <c r="F666" s="48" t="s">
        <v>74</v>
      </c>
      <c r="G666" s="11" t="s">
        <v>64</v>
      </c>
      <c r="H666" s="11" t="s">
        <v>1332</v>
      </c>
      <c r="I666" s="11">
        <v>1299</v>
      </c>
      <c r="J666" s="49" t="s">
        <v>32</v>
      </c>
      <c r="K666" s="49" t="s">
        <v>76</v>
      </c>
      <c r="L666" s="49" t="s">
        <v>78</v>
      </c>
      <c r="M666" s="49" t="s">
        <v>92</v>
      </c>
      <c r="N666" s="48" t="s">
        <v>89</v>
      </c>
      <c r="O666" s="49" t="s">
        <v>37</v>
      </c>
      <c r="P666" s="11" t="s">
        <v>80</v>
      </c>
      <c r="Q666" s="11" t="s">
        <v>90</v>
      </c>
      <c r="R666" s="11" t="s">
        <v>2719</v>
      </c>
      <c r="S666" s="11" t="s">
        <v>642</v>
      </c>
      <c r="T666" s="116" t="s">
        <v>10</v>
      </c>
      <c r="U666" s="88"/>
      <c r="V666" s="51">
        <v>46037</v>
      </c>
      <c r="W666" s="97" t="s">
        <v>2020</v>
      </c>
      <c r="X666" s="135" t="str">
        <f>VLOOKUP(Table1[[#This Row],[AMZ ID]],[1]Roster_1787503287932!$D$2:$AU$1370,25,0)</f>
        <v>Not Present</v>
      </c>
      <c r="Y666" s="135">
        <f>VLOOKUP(Table1[[#This Row],[AMZ ID]],[1]Roster_1787503287932!$D$2:$AM$1370,35,0)</f>
        <v>0</v>
      </c>
    </row>
    <row r="667" spans="1:25" ht="13" customHeight="1">
      <c r="A667" s="11">
        <v>661</v>
      </c>
      <c r="B667" s="47">
        <v>206128846</v>
      </c>
      <c r="C667" s="89" t="s">
        <v>710</v>
      </c>
      <c r="D667" s="11" t="s">
        <v>711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32</v>
      </c>
      <c r="K667" s="49" t="s">
        <v>76</v>
      </c>
      <c r="L667" s="49" t="s">
        <v>92</v>
      </c>
      <c r="M667" s="49" t="s">
        <v>84</v>
      </c>
      <c r="N667" s="48" t="s">
        <v>89</v>
      </c>
      <c r="O667" s="49" t="s">
        <v>37</v>
      </c>
      <c r="P667" s="11" t="s">
        <v>80</v>
      </c>
      <c r="Q667" s="11" t="s">
        <v>81</v>
      </c>
      <c r="R667" s="49" t="s">
        <v>639</v>
      </c>
      <c r="S667" s="11" t="s">
        <v>2718</v>
      </c>
      <c r="T667" s="116" t="s">
        <v>1</v>
      </c>
      <c r="U667" s="88"/>
      <c r="V667" s="51">
        <v>45929</v>
      </c>
      <c r="W667" s="97" t="s">
        <v>1577</v>
      </c>
      <c r="X667" s="135" t="str">
        <f>VLOOKUP(Table1[[#This Row],[AMZ ID]],[1]Roster_1787503287932!$D$2:$AU$1370,25,0)</f>
        <v>Present</v>
      </c>
      <c r="Y667" s="135">
        <f>VLOOKUP(Table1[[#This Row],[AMZ ID]],[1]Roster_1787503287932!$D$2:$AM$1370,35,0)</f>
        <v>0</v>
      </c>
    </row>
    <row r="668" spans="1:25" ht="13" customHeight="1">
      <c r="A668" s="11">
        <v>662</v>
      </c>
      <c r="B668" s="47">
        <v>204013691</v>
      </c>
      <c r="C668" s="89" t="s">
        <v>712</v>
      </c>
      <c r="D668" s="11" t="s">
        <v>713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39</v>
      </c>
      <c r="K668" s="49" t="s">
        <v>76</v>
      </c>
      <c r="L668" s="49" t="s">
        <v>85</v>
      </c>
      <c r="M668" s="49" t="s">
        <v>88</v>
      </c>
      <c r="N668" s="48" t="s">
        <v>79</v>
      </c>
      <c r="O668" s="49" t="s">
        <v>37</v>
      </c>
      <c r="P668" s="11" t="s">
        <v>80</v>
      </c>
      <c r="Q668" s="11" t="s">
        <v>81</v>
      </c>
      <c r="R668" s="11" t="s">
        <v>631</v>
      </c>
      <c r="S668" s="11" t="s">
        <v>632</v>
      </c>
      <c r="T668" s="116" t="s">
        <v>1</v>
      </c>
      <c r="U668" s="88"/>
      <c r="V668" s="51">
        <v>45551</v>
      </c>
      <c r="W668" s="97" t="s">
        <v>1577</v>
      </c>
      <c r="X668" s="135" t="str">
        <f>VLOOKUP(Table1[[#This Row],[AMZ ID]],[1]Roster_1787503287932!$D$2:$AU$1370,25,0)</f>
        <v>Present</v>
      </c>
      <c r="Y668" s="135">
        <f>VLOOKUP(Table1[[#This Row],[AMZ ID]],[1]Roster_1787503287932!$D$2:$AM$1370,35,0)</f>
        <v>0</v>
      </c>
    </row>
    <row r="669" spans="1:25" ht="13" customHeight="1">
      <c r="A669" s="11">
        <v>663</v>
      </c>
      <c r="B669" s="47">
        <v>205848051</v>
      </c>
      <c r="C669" s="89" t="s">
        <v>2750</v>
      </c>
      <c r="D669" s="11" t="s">
        <v>2751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39</v>
      </c>
      <c r="K669" s="49" t="s">
        <v>76</v>
      </c>
      <c r="L669" s="49" t="s">
        <v>92</v>
      </c>
      <c r="M669" s="49" t="s">
        <v>84</v>
      </c>
      <c r="N669" s="48" t="s">
        <v>89</v>
      </c>
      <c r="O669" s="49" t="s">
        <v>37</v>
      </c>
      <c r="P669" s="11" t="s">
        <v>80</v>
      </c>
      <c r="Q669" s="11" t="s">
        <v>96</v>
      </c>
      <c r="R669" s="11" t="s">
        <v>647</v>
      </c>
      <c r="S669" s="11" t="s">
        <v>2739</v>
      </c>
      <c r="T669" s="116" t="s">
        <v>1</v>
      </c>
      <c r="U669" s="88"/>
      <c r="V669" s="51">
        <v>45894</v>
      </c>
      <c r="W669" s="97" t="s">
        <v>1577</v>
      </c>
      <c r="X669" s="135" t="str">
        <f>VLOOKUP(Table1[[#This Row],[AMZ ID]],[1]Roster_1787503287932!$D$2:$AU$1370,25,0)</f>
        <v>Present</v>
      </c>
      <c r="Y669" s="135">
        <f>VLOOKUP(Table1[[#This Row],[AMZ ID]],[1]Roster_1787503287932!$D$2:$AM$1370,35,0)</f>
        <v>0</v>
      </c>
    </row>
    <row r="670" spans="1:25" ht="13" customHeight="1">
      <c r="A670" s="11">
        <v>664</v>
      </c>
      <c r="B670" s="47">
        <v>203908868</v>
      </c>
      <c r="C670" s="89" t="s">
        <v>714</v>
      </c>
      <c r="D670" s="11" t="s">
        <v>715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92</v>
      </c>
      <c r="M670" s="49" t="s">
        <v>84</v>
      </c>
      <c r="N670" s="48" t="s">
        <v>79</v>
      </c>
      <c r="O670" s="49" t="s">
        <v>37</v>
      </c>
      <c r="P670" s="11" t="s">
        <v>80</v>
      </c>
      <c r="Q670" s="11" t="s">
        <v>81</v>
      </c>
      <c r="R670" s="49" t="s">
        <v>631</v>
      </c>
      <c r="S670" s="11" t="s">
        <v>632</v>
      </c>
      <c r="T670" s="116" t="s">
        <v>1</v>
      </c>
      <c r="U670" s="88"/>
      <c r="V670" s="51">
        <v>45537</v>
      </c>
      <c r="W670" s="97" t="s">
        <v>1577</v>
      </c>
      <c r="X670" s="135" t="str">
        <f>VLOOKUP(Table1[[#This Row],[AMZ ID]],[1]Roster_1787503287932!$D$2:$AU$1370,25,0)</f>
        <v>Present</v>
      </c>
      <c r="Y670" s="135">
        <f>VLOOKUP(Table1[[#This Row],[AMZ ID]],[1]Roster_1787503287932!$D$2:$AM$1370,35,0)</f>
        <v>0</v>
      </c>
    </row>
    <row r="671" spans="1:25" ht="13" customHeight="1">
      <c r="A671" s="11">
        <v>665</v>
      </c>
      <c r="B671" s="92">
        <v>206072090</v>
      </c>
      <c r="C671" s="47" t="s">
        <v>716</v>
      </c>
      <c r="D671" s="89" t="s">
        <v>717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32</v>
      </c>
      <c r="K671" s="49" t="s">
        <v>76</v>
      </c>
      <c r="L671" s="49" t="s">
        <v>95</v>
      </c>
      <c r="M671" s="49" t="s">
        <v>77</v>
      </c>
      <c r="N671" s="49" t="s">
        <v>79</v>
      </c>
      <c r="O671" s="49" t="s">
        <v>37</v>
      </c>
      <c r="P671" s="11" t="s">
        <v>80</v>
      </c>
      <c r="Q671" s="11" t="s">
        <v>81</v>
      </c>
      <c r="R671" s="11" t="s">
        <v>647</v>
      </c>
      <c r="S671" s="11" t="s">
        <v>1798</v>
      </c>
      <c r="T671" s="116" t="s">
        <v>1</v>
      </c>
      <c r="U671" s="88"/>
      <c r="V671" s="51">
        <v>45922</v>
      </c>
      <c r="W671" s="97" t="s">
        <v>1577</v>
      </c>
      <c r="X671" s="135" t="str">
        <f>VLOOKUP(Table1[[#This Row],[AMZ ID]],[1]Roster_1787503287932!$D$2:$AU$1370,25,0)</f>
        <v>Present</v>
      </c>
      <c r="Y671" s="135">
        <f>VLOOKUP(Table1[[#This Row],[AMZ ID]],[1]Roster_1787503287932!$D$2:$AM$1370,35,0)</f>
        <v>0</v>
      </c>
    </row>
    <row r="672" spans="1:25" ht="13" customHeight="1">
      <c r="A672" s="11">
        <v>666</v>
      </c>
      <c r="B672" s="92">
        <v>203965180</v>
      </c>
      <c r="C672" s="47" t="s">
        <v>718</v>
      </c>
      <c r="D672" s="89" t="s">
        <v>719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39</v>
      </c>
      <c r="K672" s="49" t="s">
        <v>76</v>
      </c>
      <c r="L672" s="49" t="s">
        <v>85</v>
      </c>
      <c r="M672" s="49" t="s">
        <v>88</v>
      </c>
      <c r="N672" s="48" t="s">
        <v>79</v>
      </c>
      <c r="O672" s="49" t="s">
        <v>37</v>
      </c>
      <c r="P672" s="11" t="s">
        <v>80</v>
      </c>
      <c r="Q672" s="11" t="s">
        <v>81</v>
      </c>
      <c r="R672" s="11" t="s">
        <v>631</v>
      </c>
      <c r="S672" s="11" t="s">
        <v>632</v>
      </c>
      <c r="T672" s="116" t="s">
        <v>1</v>
      </c>
      <c r="U672" s="88"/>
      <c r="V672" s="51">
        <v>45544</v>
      </c>
      <c r="W672" s="97" t="s">
        <v>1577</v>
      </c>
      <c r="X672" s="135" t="str">
        <f>VLOOKUP(Table1[[#This Row],[AMZ ID]],[1]Roster_1787503287932!$D$2:$AU$1370,25,0)</f>
        <v>Present</v>
      </c>
      <c r="Y672" s="135">
        <f>VLOOKUP(Table1[[#This Row],[AMZ ID]],[1]Roster_1787503287932!$D$2:$AM$1370,35,0)</f>
        <v>0</v>
      </c>
    </row>
    <row r="673" spans="1:25" ht="13" customHeight="1">
      <c r="A673" s="11">
        <v>667</v>
      </c>
      <c r="B673" s="92">
        <v>201161555</v>
      </c>
      <c r="C673" s="47" t="s">
        <v>720</v>
      </c>
      <c r="D673" s="89" t="s">
        <v>721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32</v>
      </c>
      <c r="K673" s="49" t="s">
        <v>76</v>
      </c>
      <c r="L673" s="49" t="s">
        <v>84</v>
      </c>
      <c r="M673" s="49" t="s">
        <v>85</v>
      </c>
      <c r="N673" s="49" t="s">
        <v>86</v>
      </c>
      <c r="O673" s="49" t="s">
        <v>37</v>
      </c>
      <c r="P673" s="11" t="s">
        <v>80</v>
      </c>
      <c r="Q673" s="11" t="s">
        <v>87</v>
      </c>
      <c r="R673" s="11" t="s">
        <v>631</v>
      </c>
      <c r="S673" s="11" t="s">
        <v>632</v>
      </c>
      <c r="T673" s="116" t="s">
        <v>1</v>
      </c>
      <c r="U673" s="88"/>
      <c r="V673" s="51">
        <v>45586</v>
      </c>
      <c r="W673" s="97" t="s">
        <v>1578</v>
      </c>
      <c r="X673" s="135" t="str">
        <f>VLOOKUP(Table1[[#This Row],[AMZ ID]],[1]Roster_1787503287932!$D$2:$AU$1370,25,0)</f>
        <v>Present</v>
      </c>
      <c r="Y673" s="135">
        <f>VLOOKUP(Table1[[#This Row],[AMZ ID]],[1]Roster_1787503287932!$D$2:$AM$1370,35,0)</f>
        <v>0</v>
      </c>
    </row>
    <row r="674" spans="1:25" ht="13" customHeight="1">
      <c r="A674" s="11">
        <v>668</v>
      </c>
      <c r="B674" s="47">
        <v>204117188</v>
      </c>
      <c r="C674" s="89" t="s">
        <v>722</v>
      </c>
      <c r="D674" s="11" t="s">
        <v>723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32</v>
      </c>
      <c r="K674" s="49" t="s">
        <v>76</v>
      </c>
      <c r="L674" s="49" t="s">
        <v>85</v>
      </c>
      <c r="M674" s="49" t="s">
        <v>88</v>
      </c>
      <c r="N674" s="48" t="s">
        <v>86</v>
      </c>
      <c r="O674" s="49" t="s">
        <v>37</v>
      </c>
      <c r="P674" s="11" t="s">
        <v>80</v>
      </c>
      <c r="Q674" s="11" t="s">
        <v>87</v>
      </c>
      <c r="R674" s="11" t="s">
        <v>627</v>
      </c>
      <c r="S674" s="11" t="s">
        <v>628</v>
      </c>
      <c r="T674" s="116" t="s">
        <v>1</v>
      </c>
      <c r="U674" s="88"/>
      <c r="V674" s="51">
        <v>45561</v>
      </c>
      <c r="W674" s="97" t="s">
        <v>1576</v>
      </c>
      <c r="X674" s="135" t="str">
        <f>VLOOKUP(Table1[[#This Row],[AMZ ID]],[1]Roster_1787503287932!$D$2:$AU$1370,25,0)</f>
        <v>Present</v>
      </c>
      <c r="Y674" s="135">
        <f>VLOOKUP(Table1[[#This Row],[AMZ ID]],[1]Roster_1787503287932!$D$2:$AM$1370,35,0)</f>
        <v>0</v>
      </c>
    </row>
    <row r="675" spans="1:25" ht="13" customHeight="1">
      <c r="A675" s="11">
        <v>669</v>
      </c>
      <c r="B675" s="47">
        <v>204172234</v>
      </c>
      <c r="C675" s="89" t="s">
        <v>2752</v>
      </c>
      <c r="D675" s="11" t="s">
        <v>2753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88</v>
      </c>
      <c r="M675" s="49" t="s">
        <v>95</v>
      </c>
      <c r="N675" s="48" t="s">
        <v>89</v>
      </c>
      <c r="O675" s="49" t="s">
        <v>37</v>
      </c>
      <c r="P675" s="11" t="s">
        <v>80</v>
      </c>
      <c r="Q675" s="11" t="s">
        <v>90</v>
      </c>
      <c r="R675" s="11" t="s">
        <v>647</v>
      </c>
      <c r="S675" s="11" t="s">
        <v>2739</v>
      </c>
      <c r="T675" s="116" t="s">
        <v>1</v>
      </c>
      <c r="U675" s="88"/>
      <c r="V675" s="51">
        <v>45568</v>
      </c>
      <c r="W675" s="97" t="s">
        <v>1577</v>
      </c>
      <c r="X675" s="135" t="str">
        <f>VLOOKUP(Table1[[#This Row],[AMZ ID]],[1]Roster_1787503287932!$D$2:$AU$1370,25,0)</f>
        <v>Present</v>
      </c>
      <c r="Y675" s="135">
        <f>VLOOKUP(Table1[[#This Row],[AMZ ID]],[1]Roster_1787503287932!$D$2:$AM$1370,35,0)</f>
        <v>0</v>
      </c>
    </row>
    <row r="676" spans="1:25" ht="13" customHeight="1">
      <c r="A676" s="11">
        <v>670</v>
      </c>
      <c r="B676" s="47">
        <v>204009916</v>
      </c>
      <c r="C676" s="89" t="s">
        <v>2754</v>
      </c>
      <c r="D676" s="11" t="s">
        <v>2755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32</v>
      </c>
      <c r="K676" s="49" t="s">
        <v>76</v>
      </c>
      <c r="L676" s="49" t="s">
        <v>92</v>
      </c>
      <c r="M676" s="49" t="s">
        <v>84</v>
      </c>
      <c r="N676" s="48" t="s">
        <v>86</v>
      </c>
      <c r="O676" s="49" t="s">
        <v>37</v>
      </c>
      <c r="P676" s="11" t="s">
        <v>80</v>
      </c>
      <c r="Q676" s="11" t="s">
        <v>90</v>
      </c>
      <c r="R676" s="11" t="s">
        <v>647</v>
      </c>
      <c r="S676" s="11" t="s">
        <v>2739</v>
      </c>
      <c r="T676" s="116" t="s">
        <v>1</v>
      </c>
      <c r="U676" s="88"/>
      <c r="V676" s="51">
        <v>45551</v>
      </c>
      <c r="W676" s="97" t="s">
        <v>1577</v>
      </c>
      <c r="X676" s="135" t="str">
        <f>VLOOKUP(Table1[[#This Row],[AMZ ID]],[1]Roster_1787503287932!$D$2:$AU$1370,25,0)</f>
        <v>Present</v>
      </c>
      <c r="Y676" s="135">
        <f>VLOOKUP(Table1[[#This Row],[AMZ ID]],[1]Roster_1787503287932!$D$2:$AM$1370,35,0)</f>
        <v>0</v>
      </c>
    </row>
    <row r="677" spans="1:25" ht="13" customHeight="1">
      <c r="A677" s="11">
        <v>671</v>
      </c>
      <c r="B677" s="47">
        <v>206491329</v>
      </c>
      <c r="C677" s="89" t="s">
        <v>2148</v>
      </c>
      <c r="D677" s="11" t="s">
        <v>2149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32</v>
      </c>
      <c r="K677" s="49" t="s">
        <v>76</v>
      </c>
      <c r="L677" s="49" t="s">
        <v>84</v>
      </c>
      <c r="M677" s="49" t="s">
        <v>85</v>
      </c>
      <c r="N677" s="48" t="s">
        <v>89</v>
      </c>
      <c r="O677" s="49" t="s">
        <v>37</v>
      </c>
      <c r="P677" s="11" t="s">
        <v>80</v>
      </c>
      <c r="Q677" s="11" t="s">
        <v>96</v>
      </c>
      <c r="R677" s="49" t="s">
        <v>631</v>
      </c>
      <c r="S677" s="11" t="s">
        <v>632</v>
      </c>
      <c r="T677" s="116" t="s">
        <v>7</v>
      </c>
      <c r="U677" s="88" t="s">
        <v>3015</v>
      </c>
      <c r="V677" s="51">
        <v>46048</v>
      </c>
      <c r="W677" s="97" t="s">
        <v>1577</v>
      </c>
      <c r="X677" s="135" t="str">
        <f>VLOOKUP(Table1[[#This Row],[AMZ ID]],[1]Roster_1787503287932!$D$2:$AU$1370,25,0)</f>
        <v>Not Present</v>
      </c>
      <c r="Y677" s="135" t="str">
        <f>VLOOKUP(Table1[[#This Row],[AMZ ID]],[1]Roster_1787503287932!$D$2:$AM$1370,35,0)</f>
        <v>Annual Leave</v>
      </c>
    </row>
    <row r="678" spans="1:25" ht="13" customHeight="1">
      <c r="A678" s="11">
        <v>672</v>
      </c>
      <c r="B678" s="47">
        <v>203512948</v>
      </c>
      <c r="C678" s="89" t="s">
        <v>724</v>
      </c>
      <c r="D678" s="11" t="s">
        <v>725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88</v>
      </c>
      <c r="M678" s="49" t="s">
        <v>95</v>
      </c>
      <c r="N678" s="49" t="s">
        <v>79</v>
      </c>
      <c r="O678" s="49" t="s">
        <v>37</v>
      </c>
      <c r="P678" s="11" t="s">
        <v>80</v>
      </c>
      <c r="Q678" s="11" t="s">
        <v>81</v>
      </c>
      <c r="R678" s="11" t="s">
        <v>631</v>
      </c>
      <c r="S678" s="11" t="s">
        <v>632</v>
      </c>
      <c r="T678" s="116" t="s">
        <v>1</v>
      </c>
      <c r="U678" s="88"/>
      <c r="V678" s="51">
        <v>45463</v>
      </c>
      <c r="W678" s="97" t="s">
        <v>1577</v>
      </c>
      <c r="X678" s="135" t="str">
        <f>VLOOKUP(Table1[[#This Row],[AMZ ID]],[1]Roster_1787503287932!$D$2:$AU$1370,25,0)</f>
        <v>Present</v>
      </c>
      <c r="Y678" s="135">
        <f>VLOOKUP(Table1[[#This Row],[AMZ ID]],[1]Roster_1787503287932!$D$2:$AM$1370,35,0)</f>
        <v>0</v>
      </c>
    </row>
    <row r="679" spans="1:25" ht="13" customHeight="1">
      <c r="A679" s="11">
        <v>673</v>
      </c>
      <c r="B679" s="47">
        <v>204137703</v>
      </c>
      <c r="C679" s="89" t="s">
        <v>726</v>
      </c>
      <c r="D679" s="11" t="s">
        <v>727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88</v>
      </c>
      <c r="M679" s="49" t="s">
        <v>95</v>
      </c>
      <c r="N679" s="48" t="s">
        <v>86</v>
      </c>
      <c r="O679" s="49" t="s">
        <v>37</v>
      </c>
      <c r="P679" s="11" t="s">
        <v>80</v>
      </c>
      <c r="Q679" s="11" t="s">
        <v>87</v>
      </c>
      <c r="R679" s="49" t="s">
        <v>631</v>
      </c>
      <c r="S679" s="11" t="s">
        <v>632</v>
      </c>
      <c r="T679" s="116" t="s">
        <v>1</v>
      </c>
      <c r="U679" s="88"/>
      <c r="V679" s="51">
        <v>45565</v>
      </c>
      <c r="W679" s="97" t="s">
        <v>1577</v>
      </c>
      <c r="X679" s="135" t="str">
        <f>VLOOKUP(Table1[[#This Row],[AMZ ID]],[1]Roster_1787503287932!$D$2:$AU$1370,25,0)</f>
        <v>Present</v>
      </c>
      <c r="Y679" s="135">
        <f>VLOOKUP(Table1[[#This Row],[AMZ ID]],[1]Roster_1787503287932!$D$2:$AM$1370,35,0)</f>
        <v>0</v>
      </c>
    </row>
    <row r="680" spans="1:25" ht="13" customHeight="1">
      <c r="A680" s="11">
        <v>674</v>
      </c>
      <c r="B680" s="47">
        <v>204299063</v>
      </c>
      <c r="C680" s="89" t="s">
        <v>728</v>
      </c>
      <c r="D680" s="11" t="s">
        <v>729</v>
      </c>
      <c r="E680" s="103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87" t="s">
        <v>39</v>
      </c>
      <c r="K680" s="49" t="s">
        <v>76</v>
      </c>
      <c r="L680" s="49" t="s">
        <v>77</v>
      </c>
      <c r="M680" s="49" t="s">
        <v>78</v>
      </c>
      <c r="N680" s="49" t="s">
        <v>86</v>
      </c>
      <c r="O680" s="49" t="s">
        <v>37</v>
      </c>
      <c r="P680" s="49" t="s">
        <v>80</v>
      </c>
      <c r="Q680" s="49" t="s">
        <v>87</v>
      </c>
      <c r="R680" s="49" t="s">
        <v>631</v>
      </c>
      <c r="S680" s="49" t="s">
        <v>632</v>
      </c>
      <c r="T680" s="116" t="s">
        <v>10</v>
      </c>
      <c r="U680" s="88"/>
      <c r="V680" s="51">
        <v>45586</v>
      </c>
      <c r="W680" s="97" t="s">
        <v>1578</v>
      </c>
      <c r="X680" s="135" t="str">
        <f>VLOOKUP(Table1[[#This Row],[AMZ ID]],[1]Roster_1787503287932!$D$2:$AU$1370,25,0)</f>
        <v>Not Present</v>
      </c>
      <c r="Y680" s="135">
        <f>VLOOKUP(Table1[[#This Row],[AMZ ID]],[1]Roster_1787503287932!$D$2:$AM$1370,35,0)</f>
        <v>0</v>
      </c>
    </row>
    <row r="681" spans="1:25" ht="13" customHeight="1">
      <c r="A681" s="11">
        <v>675</v>
      </c>
      <c r="B681" s="47">
        <v>206239521</v>
      </c>
      <c r="C681" s="89" t="s">
        <v>2384</v>
      </c>
      <c r="D681" s="11" t="s">
        <v>2385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84</v>
      </c>
      <c r="M681" s="49" t="s">
        <v>85</v>
      </c>
      <c r="N681" s="48" t="s">
        <v>89</v>
      </c>
      <c r="O681" s="49" t="s">
        <v>37</v>
      </c>
      <c r="P681" s="11" t="s">
        <v>80</v>
      </c>
      <c r="Q681" s="11" t="s">
        <v>90</v>
      </c>
      <c r="R681" s="11" t="s">
        <v>631</v>
      </c>
      <c r="S681" s="11" t="s">
        <v>632</v>
      </c>
      <c r="T681" s="116" t="s">
        <v>1</v>
      </c>
      <c r="U681" s="88"/>
      <c r="V681" s="51">
        <v>45943</v>
      </c>
      <c r="W681" s="97" t="s">
        <v>1578</v>
      </c>
      <c r="X681" s="135" t="str">
        <f>VLOOKUP(Table1[[#This Row],[AMZ ID]],[1]Roster_1787503287932!$D$2:$AU$1370,25,0)</f>
        <v>Present</v>
      </c>
      <c r="Y681" s="135">
        <f>VLOOKUP(Table1[[#This Row],[AMZ ID]],[1]Roster_1787503287932!$D$2:$AM$1370,35,0)</f>
        <v>0</v>
      </c>
    </row>
    <row r="682" spans="1:25" ht="13" customHeight="1">
      <c r="A682" s="11">
        <v>676</v>
      </c>
      <c r="B682" s="47">
        <v>206239750</v>
      </c>
      <c r="C682" s="89" t="s">
        <v>1639</v>
      </c>
      <c r="D682" s="11" t="s">
        <v>1634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32</v>
      </c>
      <c r="K682" s="49" t="s">
        <v>76</v>
      </c>
      <c r="L682" s="49" t="s">
        <v>84</v>
      </c>
      <c r="M682" s="49" t="s">
        <v>85</v>
      </c>
      <c r="N682" s="48" t="s">
        <v>89</v>
      </c>
      <c r="O682" s="49" t="s">
        <v>37</v>
      </c>
      <c r="P682" s="11" t="s">
        <v>80</v>
      </c>
      <c r="Q682" s="11" t="s">
        <v>90</v>
      </c>
      <c r="R682" s="11" t="s">
        <v>631</v>
      </c>
      <c r="S682" s="11" t="s">
        <v>632</v>
      </c>
      <c r="T682" s="116" t="s">
        <v>1</v>
      </c>
      <c r="U682" s="88"/>
      <c r="V682" s="51">
        <v>45943</v>
      </c>
      <c r="W682" s="97" t="s">
        <v>1578</v>
      </c>
      <c r="X682" s="135" t="str">
        <f>VLOOKUP(Table1[[#This Row],[AMZ ID]],[1]Roster_1787503287932!$D$2:$AU$1370,25,0)</f>
        <v>Present</v>
      </c>
      <c r="Y682" s="135">
        <f>VLOOKUP(Table1[[#This Row],[AMZ ID]],[1]Roster_1787503287932!$D$2:$AM$1370,35,0)</f>
        <v>0</v>
      </c>
    </row>
    <row r="683" spans="1:25" ht="13" customHeight="1">
      <c r="A683" s="11">
        <v>677</v>
      </c>
      <c r="B683" s="47">
        <v>203513810</v>
      </c>
      <c r="C683" s="89" t="s">
        <v>730</v>
      </c>
      <c r="D683" s="11" t="s">
        <v>731</v>
      </c>
      <c r="E683" s="11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32</v>
      </c>
      <c r="K683" s="49" t="s">
        <v>76</v>
      </c>
      <c r="L683" s="49" t="s">
        <v>85</v>
      </c>
      <c r="M683" s="49" t="s">
        <v>88</v>
      </c>
      <c r="N683" s="49" t="s">
        <v>79</v>
      </c>
      <c r="O683" s="49" t="s">
        <v>37</v>
      </c>
      <c r="P683" s="11" t="s">
        <v>80</v>
      </c>
      <c r="Q683" s="11" t="s">
        <v>81</v>
      </c>
      <c r="R683" s="11" t="s">
        <v>2719</v>
      </c>
      <c r="S683" s="11" t="s">
        <v>642</v>
      </c>
      <c r="T683" s="116" t="s">
        <v>1</v>
      </c>
      <c r="U683" s="88"/>
      <c r="V683" s="51">
        <v>45463</v>
      </c>
      <c r="W683" s="97" t="s">
        <v>1577</v>
      </c>
      <c r="X683" s="135" t="str">
        <f>VLOOKUP(Table1[[#This Row],[AMZ ID]],[1]Roster_1787503287932!$D$2:$AU$1370,25,0)</f>
        <v>Present</v>
      </c>
      <c r="Y683" s="135">
        <f>VLOOKUP(Table1[[#This Row],[AMZ ID]],[1]Roster_1787503287932!$D$2:$AM$1370,35,0)</f>
        <v>0</v>
      </c>
    </row>
    <row r="684" spans="1:25" ht="13" customHeight="1">
      <c r="A684" s="11">
        <v>678</v>
      </c>
      <c r="B684" s="47">
        <v>206491327</v>
      </c>
      <c r="C684" s="89" t="s">
        <v>2138</v>
      </c>
      <c r="D684" s="11" t="s">
        <v>2139</v>
      </c>
      <c r="E684" s="103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87" t="s">
        <v>39</v>
      </c>
      <c r="K684" s="49" t="s">
        <v>76</v>
      </c>
      <c r="L684" s="49" t="s">
        <v>78</v>
      </c>
      <c r="M684" s="49" t="s">
        <v>92</v>
      </c>
      <c r="N684" s="49" t="s">
        <v>89</v>
      </c>
      <c r="O684" s="49" t="s">
        <v>37</v>
      </c>
      <c r="P684" s="49" t="s">
        <v>80</v>
      </c>
      <c r="Q684" s="49" t="s">
        <v>96</v>
      </c>
      <c r="R684" s="49" t="s">
        <v>647</v>
      </c>
      <c r="S684" s="49" t="s">
        <v>1798</v>
      </c>
      <c r="T684" s="116" t="s">
        <v>10</v>
      </c>
      <c r="U684" s="88"/>
      <c r="V684" s="51">
        <v>46048</v>
      </c>
      <c r="W684" s="97" t="s">
        <v>1577</v>
      </c>
      <c r="X684" s="135" t="str">
        <f>VLOOKUP(Table1[[#This Row],[AMZ ID]],[1]Roster_1787503287932!$D$2:$AU$1370,25,0)</f>
        <v>Not Present</v>
      </c>
      <c r="Y684" s="135">
        <f>VLOOKUP(Table1[[#This Row],[AMZ ID]],[1]Roster_1787503287932!$D$2:$AM$1370,35,0)</f>
        <v>0</v>
      </c>
    </row>
    <row r="685" spans="1:25" ht="13" customHeight="1">
      <c r="A685" s="11">
        <v>679</v>
      </c>
      <c r="B685" s="47">
        <v>206073369</v>
      </c>
      <c r="C685" s="89" t="s">
        <v>389</v>
      </c>
      <c r="D685" s="11" t="s">
        <v>390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32</v>
      </c>
      <c r="K685" s="49" t="s">
        <v>76</v>
      </c>
      <c r="L685" s="49" t="s">
        <v>88</v>
      </c>
      <c r="M685" s="49" t="s">
        <v>95</v>
      </c>
      <c r="N685" s="49" t="s">
        <v>89</v>
      </c>
      <c r="O685" s="49" t="s">
        <v>35</v>
      </c>
      <c r="P685" s="11" t="s">
        <v>80</v>
      </c>
      <c r="Q685" s="11" t="s">
        <v>81</v>
      </c>
      <c r="R685" s="11" t="s">
        <v>225</v>
      </c>
      <c r="S685" s="11" t="s">
        <v>226</v>
      </c>
      <c r="T685" s="116" t="s">
        <v>1</v>
      </c>
      <c r="U685" s="88"/>
      <c r="V685" s="51">
        <v>45922</v>
      </c>
      <c r="W685" s="97" t="s">
        <v>1572</v>
      </c>
      <c r="X685" s="135" t="str">
        <f>VLOOKUP(Table1[[#This Row],[AMZ ID]],[1]Roster_1787503287932!$D$2:$AU$1370,25,0)</f>
        <v>Present</v>
      </c>
      <c r="Y685" s="135">
        <f>VLOOKUP(Table1[[#This Row],[AMZ ID]],[1]Roster_1787503287932!$D$2:$AM$1370,35,0)</f>
        <v>0</v>
      </c>
    </row>
    <row r="686" spans="1:25" ht="13" customHeight="1">
      <c r="A686" s="11">
        <v>680</v>
      </c>
      <c r="B686" s="47">
        <v>203512667</v>
      </c>
      <c r="C686" s="89" t="s">
        <v>734</v>
      </c>
      <c r="D686" s="11" t="s">
        <v>735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32</v>
      </c>
      <c r="K686" s="49" t="s">
        <v>76</v>
      </c>
      <c r="L686" s="49" t="s">
        <v>84</v>
      </c>
      <c r="M686" s="49" t="s">
        <v>85</v>
      </c>
      <c r="N686" s="49" t="s">
        <v>79</v>
      </c>
      <c r="O686" s="49" t="s">
        <v>37</v>
      </c>
      <c r="P686" s="11" t="s">
        <v>80</v>
      </c>
      <c r="Q686" s="11" t="s">
        <v>81</v>
      </c>
      <c r="R686" s="11" t="s">
        <v>631</v>
      </c>
      <c r="S686" s="11" t="s">
        <v>632</v>
      </c>
      <c r="T686" s="116" t="s">
        <v>1</v>
      </c>
      <c r="U686" s="88"/>
      <c r="V686" s="51">
        <v>45463</v>
      </c>
      <c r="W686" s="97" t="s">
        <v>1578</v>
      </c>
      <c r="X686" s="135" t="str">
        <f>VLOOKUP(Table1[[#This Row],[AMZ ID]],[1]Roster_1787503287932!$D$2:$AU$1370,25,0)</f>
        <v>Present</v>
      </c>
      <c r="Y686" s="135">
        <f>VLOOKUP(Table1[[#This Row],[AMZ ID]],[1]Roster_1787503287932!$D$2:$AM$1370,35,0)</f>
        <v>0</v>
      </c>
    </row>
    <row r="687" spans="1:25" ht="13" customHeight="1">
      <c r="A687" s="11">
        <v>681</v>
      </c>
      <c r="B687" s="47">
        <v>206890213</v>
      </c>
      <c r="C687" s="89" t="s">
        <v>1835</v>
      </c>
      <c r="D687" s="11" t="s">
        <v>1836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32</v>
      </c>
      <c r="K687" s="49" t="s">
        <v>76</v>
      </c>
      <c r="L687" s="49" t="s">
        <v>88</v>
      </c>
      <c r="M687" s="49" t="s">
        <v>95</v>
      </c>
      <c r="N687" s="49" t="s">
        <v>89</v>
      </c>
      <c r="O687" s="49" t="s">
        <v>37</v>
      </c>
      <c r="P687" s="11" t="s">
        <v>80</v>
      </c>
      <c r="Q687" s="11" t="s">
        <v>96</v>
      </c>
      <c r="R687" s="49" t="s">
        <v>2845</v>
      </c>
      <c r="S687" s="11" t="s">
        <v>2846</v>
      </c>
      <c r="T687" s="116" t="s">
        <v>1</v>
      </c>
      <c r="U687" s="88"/>
      <c r="V687" s="51">
        <v>46027</v>
      </c>
      <c r="W687" s="97" t="s">
        <v>1577</v>
      </c>
      <c r="X687" s="135" t="str">
        <f>VLOOKUP(Table1[[#This Row],[AMZ ID]],[1]Roster_1787503287932!$D$2:$AU$1370,25,0)</f>
        <v>Present</v>
      </c>
      <c r="Y687" s="135">
        <f>VLOOKUP(Table1[[#This Row],[AMZ ID]],[1]Roster_1787503287932!$D$2:$AM$1370,35,0)</f>
        <v>0</v>
      </c>
    </row>
    <row r="688" spans="1:25" ht="13" customHeight="1">
      <c r="A688" s="11">
        <v>682</v>
      </c>
      <c r="B688" s="47">
        <v>205280684</v>
      </c>
      <c r="C688" s="89" t="s">
        <v>2136</v>
      </c>
      <c r="D688" s="11" t="s">
        <v>2137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92</v>
      </c>
      <c r="M688" s="49" t="s">
        <v>84</v>
      </c>
      <c r="N688" s="48" t="s">
        <v>89</v>
      </c>
      <c r="O688" s="49" t="s">
        <v>37</v>
      </c>
      <c r="P688" s="11" t="s">
        <v>80</v>
      </c>
      <c r="Q688" s="11" t="s">
        <v>96</v>
      </c>
      <c r="R688" s="11" t="s">
        <v>647</v>
      </c>
      <c r="S688" s="11" t="s">
        <v>1798</v>
      </c>
      <c r="T688" s="116" t="s">
        <v>1</v>
      </c>
      <c r="U688" s="88"/>
      <c r="V688" s="51">
        <v>46048</v>
      </c>
      <c r="W688" s="97" t="s">
        <v>1577</v>
      </c>
      <c r="X688" s="135" t="str">
        <f>VLOOKUP(Table1[[#This Row],[AMZ ID]],[1]Roster_1787503287932!$D$2:$AU$1370,25,0)</f>
        <v>Present</v>
      </c>
      <c r="Y688" s="135">
        <f>VLOOKUP(Table1[[#This Row],[AMZ ID]],[1]Roster_1787503287932!$D$2:$AM$1370,35,0)</f>
        <v>0</v>
      </c>
    </row>
    <row r="689" spans="1:25" ht="13" customHeight="1">
      <c r="A689" s="11">
        <v>683</v>
      </c>
      <c r="B689" s="47">
        <v>204172222</v>
      </c>
      <c r="C689" s="89" t="s">
        <v>2756</v>
      </c>
      <c r="D689" s="11" t="s">
        <v>2757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32</v>
      </c>
      <c r="K689" s="49" t="s">
        <v>76</v>
      </c>
      <c r="L689" s="49" t="s">
        <v>77</v>
      </c>
      <c r="M689" s="49" t="s">
        <v>78</v>
      </c>
      <c r="N689" s="49" t="s">
        <v>86</v>
      </c>
      <c r="O689" s="49" t="s">
        <v>37</v>
      </c>
      <c r="P689" s="11" t="s">
        <v>80</v>
      </c>
      <c r="Q689" s="11" t="s">
        <v>90</v>
      </c>
      <c r="R689" s="49" t="s">
        <v>2845</v>
      </c>
      <c r="S689" s="11" t="s">
        <v>2846</v>
      </c>
      <c r="T689" s="116" t="s">
        <v>10</v>
      </c>
      <c r="U689" s="88"/>
      <c r="V689" s="51">
        <v>45568</v>
      </c>
      <c r="W689" s="97" t="s">
        <v>1577</v>
      </c>
      <c r="X689" s="135" t="str">
        <f>VLOOKUP(Table1[[#This Row],[AMZ ID]],[1]Roster_1787503287932!$D$2:$AU$1370,25,0)</f>
        <v>Not Present</v>
      </c>
      <c r="Y689" s="135">
        <f>VLOOKUP(Table1[[#This Row],[AMZ ID]],[1]Roster_1787503287932!$D$2:$AM$1370,35,0)</f>
        <v>0</v>
      </c>
    </row>
    <row r="690" spans="1:25" ht="13" customHeight="1">
      <c r="A690" s="11">
        <v>684</v>
      </c>
      <c r="B690" s="47">
        <v>206914994</v>
      </c>
      <c r="C690" s="89" t="s">
        <v>2386</v>
      </c>
      <c r="D690" s="11" t="s">
        <v>2387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95</v>
      </c>
      <c r="M690" s="49" t="s">
        <v>77</v>
      </c>
      <c r="N690" s="48" t="s">
        <v>89</v>
      </c>
      <c r="O690" s="49" t="s">
        <v>37</v>
      </c>
      <c r="P690" s="11" t="s">
        <v>80</v>
      </c>
      <c r="Q690" s="11" t="s">
        <v>90</v>
      </c>
      <c r="R690" s="11" t="s">
        <v>2844</v>
      </c>
      <c r="S690" s="11" t="s">
        <v>2716</v>
      </c>
      <c r="T690" s="116" t="s">
        <v>1</v>
      </c>
      <c r="U690" s="88"/>
      <c r="V690" s="51">
        <v>46034</v>
      </c>
      <c r="W690" s="97" t="s">
        <v>1577</v>
      </c>
      <c r="X690" s="135" t="str">
        <f>VLOOKUP(Table1[[#This Row],[AMZ ID]],[1]Roster_1787503287932!$D$2:$AU$1370,25,0)</f>
        <v>Present</v>
      </c>
      <c r="Y690" s="135">
        <f>VLOOKUP(Table1[[#This Row],[AMZ ID]],[1]Roster_1787503287932!$D$2:$AM$1370,35,0)</f>
        <v>0</v>
      </c>
    </row>
    <row r="691" spans="1:25" ht="13" customHeight="1">
      <c r="A691" s="11">
        <v>685</v>
      </c>
      <c r="B691" s="47">
        <v>206238897</v>
      </c>
      <c r="C691" s="89" t="s">
        <v>1648</v>
      </c>
      <c r="D691" s="11" t="s">
        <v>1622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78</v>
      </c>
      <c r="M691" s="49" t="s">
        <v>92</v>
      </c>
      <c r="N691" s="49" t="s">
        <v>89</v>
      </c>
      <c r="O691" s="49" t="s">
        <v>37</v>
      </c>
      <c r="P691" s="11" t="s">
        <v>80</v>
      </c>
      <c r="Q691" s="11" t="s">
        <v>81</v>
      </c>
      <c r="R691" s="11" t="s">
        <v>2719</v>
      </c>
      <c r="S691" s="11" t="s">
        <v>642</v>
      </c>
      <c r="T691" s="116" t="s">
        <v>10</v>
      </c>
      <c r="U691" s="88"/>
      <c r="V691" s="51">
        <v>45943</v>
      </c>
      <c r="W691" s="97" t="s">
        <v>1577</v>
      </c>
      <c r="X691" s="135" t="str">
        <f>VLOOKUP(Table1[[#This Row],[AMZ ID]],[1]Roster_1787503287932!$D$2:$AU$1370,25,0)</f>
        <v>Not Present</v>
      </c>
      <c r="Y691" s="135">
        <f>VLOOKUP(Table1[[#This Row],[AMZ ID]],[1]Roster_1787503287932!$D$2:$AM$1370,35,0)</f>
        <v>0</v>
      </c>
    </row>
    <row r="692" spans="1:25" ht="13" customHeight="1">
      <c r="A692" s="11">
        <v>686</v>
      </c>
      <c r="B692" s="47">
        <v>203342654</v>
      </c>
      <c r="C692" s="89" t="s">
        <v>736</v>
      </c>
      <c r="D692" s="11" t="s">
        <v>737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77</v>
      </c>
      <c r="M692" s="49" t="s">
        <v>78</v>
      </c>
      <c r="N692" s="48" t="s">
        <v>86</v>
      </c>
      <c r="O692" s="49" t="s">
        <v>37</v>
      </c>
      <c r="P692" s="11" t="s">
        <v>80</v>
      </c>
      <c r="Q692" s="11" t="s">
        <v>99</v>
      </c>
      <c r="R692" s="49" t="s">
        <v>647</v>
      </c>
      <c r="S692" s="11" t="s">
        <v>1798</v>
      </c>
      <c r="T692" s="116" t="s">
        <v>10</v>
      </c>
      <c r="U692" s="88"/>
      <c r="V692" s="51">
        <v>45432</v>
      </c>
      <c r="W692" s="97" t="s">
        <v>1578</v>
      </c>
      <c r="X692" s="135" t="str">
        <f>VLOOKUP(Table1[[#This Row],[AMZ ID]],[1]Roster_1787503287932!$D$2:$AU$1370,25,0)</f>
        <v>Not Present</v>
      </c>
      <c r="Y692" s="135">
        <f>VLOOKUP(Table1[[#This Row],[AMZ ID]],[1]Roster_1787503287932!$D$2:$AM$1370,35,0)</f>
        <v>0</v>
      </c>
    </row>
    <row r="693" spans="1:25" ht="13" customHeight="1">
      <c r="A693" s="11">
        <v>687</v>
      </c>
      <c r="B693" s="47">
        <v>205848042</v>
      </c>
      <c r="C693" s="89" t="s">
        <v>738</v>
      </c>
      <c r="D693" s="11" t="s">
        <v>739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79</v>
      </c>
      <c r="O693" s="49" t="s">
        <v>37</v>
      </c>
      <c r="P693" s="11" t="s">
        <v>80</v>
      </c>
      <c r="Q693" s="11" t="s">
        <v>96</v>
      </c>
      <c r="R693" s="11" t="s">
        <v>647</v>
      </c>
      <c r="S693" s="11" t="s">
        <v>1798</v>
      </c>
      <c r="T693" s="116" t="s">
        <v>10</v>
      </c>
      <c r="U693" s="88"/>
      <c r="V693" s="51">
        <v>45894</v>
      </c>
      <c r="W693" s="97" t="s">
        <v>1577</v>
      </c>
      <c r="X693" s="135" t="str">
        <f>VLOOKUP(Table1[[#This Row],[AMZ ID]],[1]Roster_1787503287932!$D$2:$AU$1370,25,0)</f>
        <v>Not Present</v>
      </c>
      <c r="Y693" s="135">
        <f>VLOOKUP(Table1[[#This Row],[AMZ ID]],[1]Roster_1787503287932!$D$2:$AM$1370,35,0)</f>
        <v>0</v>
      </c>
    </row>
    <row r="694" spans="1:25" ht="13" customHeight="1">
      <c r="A694" s="11">
        <v>688</v>
      </c>
      <c r="B694" s="47">
        <v>206239212</v>
      </c>
      <c r="C694" s="89" t="s">
        <v>1649</v>
      </c>
      <c r="D694" s="11" t="s">
        <v>1625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11" t="s">
        <v>1066</v>
      </c>
      <c r="S694" s="11" t="s">
        <v>2717</v>
      </c>
      <c r="T694" s="116" t="s">
        <v>10</v>
      </c>
      <c r="U694" s="88"/>
      <c r="V694" s="51">
        <v>45943</v>
      </c>
      <c r="W694" s="97" t="s">
        <v>1577</v>
      </c>
      <c r="X694" s="135" t="str">
        <f>VLOOKUP(Table1[[#This Row],[AMZ ID]],[1]Roster_1787503287932!$D$2:$AU$1370,25,0)</f>
        <v>Not Present</v>
      </c>
      <c r="Y694" s="135">
        <f>VLOOKUP(Table1[[#This Row],[AMZ ID]],[1]Roster_1787503287932!$D$2:$AM$1370,35,0)</f>
        <v>0</v>
      </c>
    </row>
    <row r="695" spans="1:25" ht="13" customHeight="1">
      <c r="A695" s="11">
        <v>689</v>
      </c>
      <c r="B695" s="47">
        <v>206191969</v>
      </c>
      <c r="C695" s="89" t="s">
        <v>1610</v>
      </c>
      <c r="D695" s="11" t="s">
        <v>1603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39</v>
      </c>
      <c r="K695" s="49" t="s">
        <v>76</v>
      </c>
      <c r="L695" s="49" t="s">
        <v>85</v>
      </c>
      <c r="M695" s="49" t="s">
        <v>88</v>
      </c>
      <c r="N695" s="48" t="s">
        <v>89</v>
      </c>
      <c r="O695" s="49" t="s">
        <v>37</v>
      </c>
      <c r="P695" s="11" t="s">
        <v>80</v>
      </c>
      <c r="Q695" s="11" t="s">
        <v>96</v>
      </c>
      <c r="R695" s="11" t="s">
        <v>631</v>
      </c>
      <c r="S695" s="11" t="s">
        <v>632</v>
      </c>
      <c r="T695" s="116" t="s">
        <v>1</v>
      </c>
      <c r="U695" s="88"/>
      <c r="V695" s="51">
        <v>45936</v>
      </c>
      <c r="W695" s="97" t="s">
        <v>1577</v>
      </c>
      <c r="X695" s="135" t="str">
        <f>VLOOKUP(Table1[[#This Row],[AMZ ID]],[1]Roster_1787503287932!$D$2:$AU$1370,25,0)</f>
        <v>Present</v>
      </c>
      <c r="Y695" s="135">
        <f>VLOOKUP(Table1[[#This Row],[AMZ ID]],[1]Roster_1787503287932!$D$2:$AM$1370,35,0)</f>
        <v>0</v>
      </c>
    </row>
    <row r="696" spans="1:25" ht="13" customHeight="1">
      <c r="A696" s="11">
        <v>690</v>
      </c>
      <c r="B696" s="47">
        <v>108196835</v>
      </c>
      <c r="C696" s="89" t="s">
        <v>740</v>
      </c>
      <c r="D696" s="11" t="s">
        <v>741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39</v>
      </c>
      <c r="K696" s="49" t="s">
        <v>76</v>
      </c>
      <c r="L696" s="49" t="s">
        <v>36</v>
      </c>
      <c r="M696" s="49" t="s">
        <v>92</v>
      </c>
      <c r="N696" s="49" t="s">
        <v>86</v>
      </c>
      <c r="O696" s="49" t="s">
        <v>37</v>
      </c>
      <c r="P696" s="11" t="s">
        <v>80</v>
      </c>
      <c r="Q696" s="11" t="s">
        <v>87</v>
      </c>
      <c r="R696" s="11" t="s">
        <v>627</v>
      </c>
      <c r="S696" s="11" t="s">
        <v>628</v>
      </c>
      <c r="T696" s="116" t="s">
        <v>1</v>
      </c>
      <c r="U696" s="88"/>
      <c r="V696" s="51">
        <v>45589</v>
      </c>
      <c r="W696" s="97" t="s">
        <v>1576</v>
      </c>
      <c r="X696" s="135" t="str">
        <f>VLOOKUP(Table1[[#This Row],[AMZ ID]],[1]Roster_1787503287932!$D$2:$AU$1370,25,0)</f>
        <v>Present</v>
      </c>
      <c r="Y696" s="135">
        <f>VLOOKUP(Table1[[#This Row],[AMZ ID]],[1]Roster_1787503287932!$D$2:$AM$1370,35,0)</f>
        <v>0</v>
      </c>
    </row>
    <row r="697" spans="1:25" ht="13" customHeight="1">
      <c r="A697" s="11">
        <v>691</v>
      </c>
      <c r="B697" s="47">
        <v>206136720</v>
      </c>
      <c r="C697" s="89" t="s">
        <v>742</v>
      </c>
      <c r="D697" s="11" t="s">
        <v>743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39</v>
      </c>
      <c r="K697" s="49" t="s">
        <v>76</v>
      </c>
      <c r="L697" s="49" t="s">
        <v>92</v>
      </c>
      <c r="M697" s="49" t="s">
        <v>84</v>
      </c>
      <c r="N697" s="48" t="s">
        <v>79</v>
      </c>
      <c r="O697" s="49" t="s">
        <v>37</v>
      </c>
      <c r="P697" s="11" t="s">
        <v>80</v>
      </c>
      <c r="Q697" s="11" t="s">
        <v>81</v>
      </c>
      <c r="R697" s="11" t="s">
        <v>631</v>
      </c>
      <c r="S697" s="11" t="s">
        <v>632</v>
      </c>
      <c r="T697" s="116" t="s">
        <v>7</v>
      </c>
      <c r="U697" s="88"/>
      <c r="V697" s="51">
        <v>45929</v>
      </c>
      <c r="W697" s="97" t="s">
        <v>1577</v>
      </c>
      <c r="X697" s="135" t="str">
        <f>VLOOKUP(Table1[[#This Row],[AMZ ID]],[1]Roster_1787503287932!$D$2:$AU$1370,25,0)</f>
        <v>Not Present</v>
      </c>
      <c r="Y697" s="135" t="str">
        <f>VLOOKUP(Table1[[#This Row],[AMZ ID]],[1]Roster_1787503287932!$D$2:$AM$1370,35,0)</f>
        <v>Annual Leave</v>
      </c>
    </row>
    <row r="698" spans="1:25" ht="13" customHeight="1">
      <c r="A698" s="11">
        <v>692</v>
      </c>
      <c r="B698" s="47">
        <v>203342034</v>
      </c>
      <c r="C698" s="89" t="s">
        <v>744</v>
      </c>
      <c r="D698" s="11" t="s">
        <v>745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77</v>
      </c>
      <c r="M698" s="49" t="s">
        <v>78</v>
      </c>
      <c r="N698" s="48" t="s">
        <v>86</v>
      </c>
      <c r="O698" s="49" t="s">
        <v>37</v>
      </c>
      <c r="P698" s="11" t="s">
        <v>80</v>
      </c>
      <c r="Q698" s="11" t="s">
        <v>99</v>
      </c>
      <c r="R698" s="49" t="s">
        <v>2845</v>
      </c>
      <c r="S698" s="11" t="s">
        <v>2846</v>
      </c>
      <c r="T698" s="116" t="s">
        <v>10</v>
      </c>
      <c r="U698" s="88"/>
      <c r="V698" s="51">
        <v>45432</v>
      </c>
      <c r="W698" s="97" t="s">
        <v>1577</v>
      </c>
      <c r="X698" s="135" t="str">
        <f>VLOOKUP(Table1[[#This Row],[AMZ ID]],[1]Roster_1787503287932!$D$2:$AU$1370,25,0)</f>
        <v>Not Present</v>
      </c>
      <c r="Y698" s="135">
        <f>VLOOKUP(Table1[[#This Row],[AMZ ID]],[1]Roster_1787503287932!$D$2:$AM$1370,35,0)</f>
        <v>0</v>
      </c>
    </row>
    <row r="699" spans="1:25" ht="13" customHeight="1">
      <c r="A699" s="11">
        <v>693</v>
      </c>
      <c r="B699" s="47">
        <v>206491325</v>
      </c>
      <c r="C699" s="89" t="s">
        <v>2146</v>
      </c>
      <c r="D699" s="11" t="s">
        <v>2147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92</v>
      </c>
      <c r="M699" s="49" t="s">
        <v>84</v>
      </c>
      <c r="N699" s="48" t="s">
        <v>89</v>
      </c>
      <c r="O699" s="49" t="s">
        <v>37</v>
      </c>
      <c r="P699" s="11" t="s">
        <v>80</v>
      </c>
      <c r="Q699" s="11" t="s">
        <v>96</v>
      </c>
      <c r="R699" s="49" t="s">
        <v>631</v>
      </c>
      <c r="S699" s="11" t="s">
        <v>632</v>
      </c>
      <c r="T699" s="116" t="s">
        <v>1</v>
      </c>
      <c r="U699" s="88"/>
      <c r="V699" s="51">
        <v>46048</v>
      </c>
      <c r="W699" s="97" t="s">
        <v>1577</v>
      </c>
      <c r="X699" s="135" t="str">
        <f>VLOOKUP(Table1[[#This Row],[AMZ ID]],[1]Roster_1787503287932!$D$2:$AU$1370,25,0)</f>
        <v>Present</v>
      </c>
      <c r="Y699" s="135">
        <f>VLOOKUP(Table1[[#This Row],[AMZ ID]],[1]Roster_1787503287932!$D$2:$AM$1370,35,0)</f>
        <v>0</v>
      </c>
    </row>
    <row r="700" spans="1:25" ht="13" customHeight="1">
      <c r="A700" s="11">
        <v>694</v>
      </c>
      <c r="B700" s="47">
        <v>205848048</v>
      </c>
      <c r="C700" s="89" t="s">
        <v>746</v>
      </c>
      <c r="D700" s="11" t="s">
        <v>747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84</v>
      </c>
      <c r="M700" s="49" t="s">
        <v>85</v>
      </c>
      <c r="N700" s="48" t="s">
        <v>89</v>
      </c>
      <c r="O700" s="49" t="s">
        <v>37</v>
      </c>
      <c r="P700" s="11" t="s">
        <v>80</v>
      </c>
      <c r="Q700" s="11" t="s">
        <v>96</v>
      </c>
      <c r="R700" s="49" t="s">
        <v>1066</v>
      </c>
      <c r="S700" s="11" t="s">
        <v>2717</v>
      </c>
      <c r="T700" s="116" t="s">
        <v>1</v>
      </c>
      <c r="U700" s="88"/>
      <c r="V700" s="51">
        <v>45894</v>
      </c>
      <c r="W700" s="97" t="s">
        <v>1577</v>
      </c>
      <c r="X700" s="135" t="str">
        <f>VLOOKUP(Table1[[#This Row],[AMZ ID]],[1]Roster_1787503287932!$D$2:$AU$1370,25,0)</f>
        <v>Present</v>
      </c>
      <c r="Y700" s="135">
        <f>VLOOKUP(Table1[[#This Row],[AMZ ID]],[1]Roster_1787503287932!$D$2:$AM$1370,35,0)</f>
        <v>0</v>
      </c>
    </row>
    <row r="701" spans="1:25" ht="13" customHeight="1">
      <c r="A701" s="11">
        <v>695</v>
      </c>
      <c r="B701" s="47">
        <v>205275960</v>
      </c>
      <c r="C701" s="89" t="s">
        <v>1380</v>
      </c>
      <c r="D701" s="11" t="s">
        <v>1381</v>
      </c>
      <c r="E701" s="48" t="s">
        <v>31</v>
      </c>
      <c r="F701" s="48" t="s">
        <v>74</v>
      </c>
      <c r="G701" s="11" t="s">
        <v>65</v>
      </c>
      <c r="H701" s="11" t="s">
        <v>1332</v>
      </c>
      <c r="I701" s="11">
        <v>1181</v>
      </c>
      <c r="J701" s="49" t="s">
        <v>32</v>
      </c>
      <c r="K701" s="49" t="s">
        <v>76</v>
      </c>
      <c r="L701" s="49" t="s">
        <v>92</v>
      </c>
      <c r="M701" s="49" t="s">
        <v>84</v>
      </c>
      <c r="N701" s="49" t="s">
        <v>89</v>
      </c>
      <c r="O701" s="49" t="s">
        <v>68</v>
      </c>
      <c r="P701" s="11" t="s">
        <v>80</v>
      </c>
      <c r="Q701" s="11" t="s">
        <v>90</v>
      </c>
      <c r="R701" s="11" t="s">
        <v>1336</v>
      </c>
      <c r="S701" s="11" t="s">
        <v>1337</v>
      </c>
      <c r="T701" s="116" t="s">
        <v>1</v>
      </c>
      <c r="U701" s="88"/>
      <c r="V701" s="51">
        <v>45796</v>
      </c>
      <c r="W701" s="97" t="s">
        <v>68</v>
      </c>
      <c r="X701" s="135" t="str">
        <f>VLOOKUP(Table1[[#This Row],[AMZ ID]],[1]Roster_1787503287932!$D$2:$AU$1370,25,0)</f>
        <v>Present</v>
      </c>
      <c r="Y701" s="135">
        <f>VLOOKUP(Table1[[#This Row],[AMZ ID]],[1]Roster_1787503287932!$D$2:$AM$1370,35,0)</f>
        <v>0</v>
      </c>
    </row>
    <row r="702" spans="1:25" ht="13" customHeight="1">
      <c r="A702" s="11">
        <v>696</v>
      </c>
      <c r="B702" s="47">
        <v>203965413</v>
      </c>
      <c r="C702" s="89" t="s">
        <v>750</v>
      </c>
      <c r="D702" s="11" t="s">
        <v>751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95</v>
      </c>
      <c r="M702" s="49" t="s">
        <v>77</v>
      </c>
      <c r="N702" s="48" t="s">
        <v>79</v>
      </c>
      <c r="O702" s="49" t="s">
        <v>37</v>
      </c>
      <c r="P702" s="11" t="s">
        <v>80</v>
      </c>
      <c r="Q702" s="11" t="s">
        <v>81</v>
      </c>
      <c r="R702" s="11" t="s">
        <v>2719</v>
      </c>
      <c r="S702" s="11" t="s">
        <v>642</v>
      </c>
      <c r="T702" s="116" t="s">
        <v>7</v>
      </c>
      <c r="U702" s="88" t="s">
        <v>3015</v>
      </c>
      <c r="V702" s="51">
        <v>45544</v>
      </c>
      <c r="W702" s="97" t="s">
        <v>1577</v>
      </c>
      <c r="X702" s="135" t="str">
        <f>VLOOKUP(Table1[[#This Row],[AMZ ID]],[1]Roster_1787503287932!$D$2:$AU$1370,25,0)</f>
        <v>Not Present</v>
      </c>
      <c r="Y702" s="135" t="str">
        <f>VLOOKUP(Table1[[#This Row],[AMZ ID]],[1]Roster_1787503287932!$D$2:$AM$1370,35,0)</f>
        <v>Annual Leave</v>
      </c>
    </row>
    <row r="703" spans="1:25" ht="13" customHeight="1">
      <c r="A703" s="11">
        <v>697</v>
      </c>
      <c r="B703" s="47">
        <v>203881660</v>
      </c>
      <c r="C703" s="89" t="s">
        <v>752</v>
      </c>
      <c r="D703" s="11" t="s">
        <v>753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39</v>
      </c>
      <c r="K703" s="49" t="s">
        <v>76</v>
      </c>
      <c r="L703" s="49" t="s">
        <v>95</v>
      </c>
      <c r="M703" s="49" t="s">
        <v>77</v>
      </c>
      <c r="N703" s="49" t="s">
        <v>79</v>
      </c>
      <c r="O703" s="49" t="s">
        <v>37</v>
      </c>
      <c r="P703" s="11" t="s">
        <v>80</v>
      </c>
      <c r="Q703" s="11" t="s">
        <v>81</v>
      </c>
      <c r="R703" s="11" t="s">
        <v>627</v>
      </c>
      <c r="S703" s="11" t="s">
        <v>628</v>
      </c>
      <c r="T703" s="116" t="s">
        <v>1</v>
      </c>
      <c r="U703" s="88"/>
      <c r="V703" s="51">
        <v>45530</v>
      </c>
      <c r="W703" s="97" t="s">
        <v>1577</v>
      </c>
      <c r="X703" s="135" t="str">
        <f>VLOOKUP(Table1[[#This Row],[AMZ ID]],[1]Roster_1787503287932!$D$2:$AU$1370,25,0)</f>
        <v>Present</v>
      </c>
      <c r="Y703" s="135">
        <f>VLOOKUP(Table1[[#This Row],[AMZ ID]],[1]Roster_1787503287932!$D$2:$AM$1370,35,0)</f>
        <v>0</v>
      </c>
    </row>
    <row r="704" spans="1:25" ht="13" customHeight="1">
      <c r="A704" s="11">
        <v>698</v>
      </c>
      <c r="B704" s="92">
        <v>203512671</v>
      </c>
      <c r="C704" s="47" t="s">
        <v>754</v>
      </c>
      <c r="D704" s="89" t="s">
        <v>755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85</v>
      </c>
      <c r="M704" s="49" t="s">
        <v>88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11" t="s">
        <v>2719</v>
      </c>
      <c r="S704" s="11" t="s">
        <v>642</v>
      </c>
      <c r="T704" s="116" t="s">
        <v>1</v>
      </c>
      <c r="U704" s="88"/>
      <c r="V704" s="51">
        <v>45463</v>
      </c>
      <c r="W704" s="97" t="s">
        <v>1578</v>
      </c>
      <c r="X704" s="135" t="str">
        <f>VLOOKUP(Table1[[#This Row],[AMZ ID]],[1]Roster_1787503287932!$D$2:$AU$1370,25,0)</f>
        <v>Present</v>
      </c>
      <c r="Y704" s="135">
        <f>VLOOKUP(Table1[[#This Row],[AMZ ID]],[1]Roster_1787503287932!$D$2:$AM$1370,35,0)</f>
        <v>0</v>
      </c>
    </row>
    <row r="705" spans="1:25" ht="13" customHeight="1">
      <c r="A705" s="11">
        <v>699</v>
      </c>
      <c r="B705" s="47">
        <v>203881698</v>
      </c>
      <c r="C705" s="90" t="s">
        <v>756</v>
      </c>
      <c r="D705" s="11" t="s">
        <v>757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87" t="s">
        <v>39</v>
      </c>
      <c r="K705" s="49" t="s">
        <v>76</v>
      </c>
      <c r="L705" s="49" t="s">
        <v>77</v>
      </c>
      <c r="M705" s="49" t="s">
        <v>78</v>
      </c>
      <c r="N705" s="49" t="s">
        <v>79</v>
      </c>
      <c r="O705" s="49" t="s">
        <v>37</v>
      </c>
      <c r="P705" s="11" t="s">
        <v>80</v>
      </c>
      <c r="Q705" s="11" t="s">
        <v>81</v>
      </c>
      <c r="R705" s="11" t="s">
        <v>627</v>
      </c>
      <c r="S705" s="11" t="s">
        <v>628</v>
      </c>
      <c r="T705" s="116" t="s">
        <v>10</v>
      </c>
      <c r="U705" s="88"/>
      <c r="V705" s="51">
        <v>45530</v>
      </c>
      <c r="W705" s="97" t="s">
        <v>1579</v>
      </c>
      <c r="X705" s="135" t="str">
        <f>VLOOKUP(Table1[[#This Row],[AMZ ID]],[1]Roster_1787503287932!$D$2:$AU$1370,25,0)</f>
        <v>Not Present</v>
      </c>
      <c r="Y705" s="135">
        <f>VLOOKUP(Table1[[#This Row],[AMZ ID]],[1]Roster_1787503287932!$D$2:$AM$1370,35,0)</f>
        <v>0</v>
      </c>
    </row>
    <row r="706" spans="1:25" ht="13" customHeight="1">
      <c r="A706" s="11">
        <v>700</v>
      </c>
      <c r="B706" s="47">
        <v>204145465</v>
      </c>
      <c r="C706" s="89" t="s">
        <v>758</v>
      </c>
      <c r="D706" s="11" t="s">
        <v>759</v>
      </c>
      <c r="E706" s="103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87" t="s">
        <v>32</v>
      </c>
      <c r="K706" s="49" t="s">
        <v>76</v>
      </c>
      <c r="L706" s="49" t="s">
        <v>88</v>
      </c>
      <c r="M706" s="49" t="s">
        <v>95</v>
      </c>
      <c r="N706" s="49" t="s">
        <v>86</v>
      </c>
      <c r="O706" s="49" t="s">
        <v>37</v>
      </c>
      <c r="P706" s="49" t="s">
        <v>80</v>
      </c>
      <c r="Q706" s="49" t="s">
        <v>87</v>
      </c>
      <c r="R706" s="49" t="s">
        <v>1066</v>
      </c>
      <c r="S706" s="49" t="s">
        <v>2717</v>
      </c>
      <c r="T706" s="116" t="s">
        <v>1</v>
      </c>
      <c r="U706" s="88"/>
      <c r="V706" s="51">
        <v>45568</v>
      </c>
      <c r="W706" s="97" t="s">
        <v>1578</v>
      </c>
      <c r="X706" s="135" t="str">
        <f>VLOOKUP(Table1[[#This Row],[AMZ ID]],[1]Roster_1787503287932!$D$2:$AU$1370,25,0)</f>
        <v>Present</v>
      </c>
      <c r="Y706" s="135">
        <f>VLOOKUP(Table1[[#This Row],[AMZ ID]],[1]Roster_1787503287932!$D$2:$AM$1370,35,0)</f>
        <v>0</v>
      </c>
    </row>
    <row r="707" spans="1:25" ht="13" customHeight="1">
      <c r="A707" s="11">
        <v>701</v>
      </c>
      <c r="B707" s="47">
        <v>206145766</v>
      </c>
      <c r="C707" s="89" t="s">
        <v>760</v>
      </c>
      <c r="D707" s="11" t="s">
        <v>761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95</v>
      </c>
      <c r="M707" s="49" t="s">
        <v>77</v>
      </c>
      <c r="N707" s="48" t="s">
        <v>89</v>
      </c>
      <c r="O707" s="49" t="s">
        <v>37</v>
      </c>
      <c r="P707" s="11" t="s">
        <v>80</v>
      </c>
      <c r="Q707" s="11" t="s">
        <v>81</v>
      </c>
      <c r="R707" s="11" t="s">
        <v>631</v>
      </c>
      <c r="S707" s="11" t="s">
        <v>632</v>
      </c>
      <c r="T707" s="116" t="s">
        <v>1</v>
      </c>
      <c r="U707" s="88"/>
      <c r="V707" s="51">
        <v>45929</v>
      </c>
      <c r="W707" s="97" t="s">
        <v>1577</v>
      </c>
      <c r="X707" s="135" t="str">
        <f>VLOOKUP(Table1[[#This Row],[AMZ ID]],[1]Roster_1787503287932!$D$2:$AU$1370,25,0)</f>
        <v>Present</v>
      </c>
      <c r="Y707" s="135">
        <f>VLOOKUP(Table1[[#This Row],[AMZ ID]],[1]Roster_1787503287932!$D$2:$AM$1370,35,0)</f>
        <v>0</v>
      </c>
    </row>
    <row r="708" spans="1:25" ht="13" customHeight="1">
      <c r="A708" s="11">
        <v>702</v>
      </c>
      <c r="B708" s="47">
        <v>205227534</v>
      </c>
      <c r="C708" s="89" t="s">
        <v>2758</v>
      </c>
      <c r="D708" s="11" t="s">
        <v>2759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88</v>
      </c>
      <c r="M708" s="49" t="s">
        <v>95</v>
      </c>
      <c r="N708" s="48" t="s">
        <v>2742</v>
      </c>
      <c r="O708" s="49" t="s">
        <v>37</v>
      </c>
      <c r="P708" s="11" t="s">
        <v>80</v>
      </c>
      <c r="Q708" s="11" t="s">
        <v>90</v>
      </c>
      <c r="R708" s="49" t="s">
        <v>1066</v>
      </c>
      <c r="S708" s="11" t="s">
        <v>2749</v>
      </c>
      <c r="T708" s="116" t="s">
        <v>1</v>
      </c>
      <c r="U708" s="88"/>
      <c r="V708" s="51">
        <v>45789</v>
      </c>
      <c r="W708" s="97" t="s">
        <v>1577</v>
      </c>
      <c r="X708" s="135" t="str">
        <f>VLOOKUP(Table1[[#This Row],[AMZ ID]],[1]Roster_1787503287932!$D$2:$AU$1370,25,0)</f>
        <v>Present</v>
      </c>
      <c r="Y708" s="135">
        <f>VLOOKUP(Table1[[#This Row],[AMZ ID]],[1]Roster_1787503287932!$D$2:$AM$1370,35,0)</f>
        <v>0</v>
      </c>
    </row>
    <row r="709" spans="1:25" ht="13" customHeight="1">
      <c r="A709" s="11">
        <v>703</v>
      </c>
      <c r="B709" s="11">
        <v>205257390</v>
      </c>
      <c r="C709" s="89" t="s">
        <v>2074</v>
      </c>
      <c r="D709" s="11" t="s">
        <v>2075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39</v>
      </c>
      <c r="K709" s="49" t="s">
        <v>76</v>
      </c>
      <c r="L709" s="49" t="s">
        <v>77</v>
      </c>
      <c r="M709" s="49" t="s">
        <v>78</v>
      </c>
      <c r="N709" s="11" t="s">
        <v>89</v>
      </c>
      <c r="O709" s="11" t="s">
        <v>37</v>
      </c>
      <c r="P709" s="11" t="s">
        <v>80</v>
      </c>
      <c r="Q709" s="11" t="s">
        <v>96</v>
      </c>
      <c r="R709" s="11" t="s">
        <v>2844</v>
      </c>
      <c r="S709" s="11" t="s">
        <v>2716</v>
      </c>
      <c r="T709" s="116" t="s">
        <v>10</v>
      </c>
      <c r="U709" s="88"/>
      <c r="V709" s="51">
        <v>46048</v>
      </c>
      <c r="W709" s="102" t="s">
        <v>1577</v>
      </c>
      <c r="X709" s="135" t="str">
        <f>VLOOKUP(Table1[[#This Row],[AMZ ID]],[1]Roster_1787503287932!$D$2:$AU$1370,25,0)</f>
        <v>Not Present</v>
      </c>
      <c r="Y709" s="135">
        <f>VLOOKUP(Table1[[#This Row],[AMZ ID]],[1]Roster_1787503287932!$D$2:$AM$1370,35,0)</f>
        <v>0</v>
      </c>
    </row>
    <row r="710" spans="1:25" ht="13" customHeight="1">
      <c r="A710" s="11">
        <v>704</v>
      </c>
      <c r="B710" s="47">
        <v>206491331</v>
      </c>
      <c r="C710" s="89" t="s">
        <v>2140</v>
      </c>
      <c r="D710" s="11" t="s">
        <v>2141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36</v>
      </c>
      <c r="M710" s="49" t="s">
        <v>92</v>
      </c>
      <c r="N710" s="48" t="s">
        <v>89</v>
      </c>
      <c r="O710" s="49" t="s">
        <v>37</v>
      </c>
      <c r="P710" s="11" t="s">
        <v>80</v>
      </c>
      <c r="Q710" s="11" t="s">
        <v>96</v>
      </c>
      <c r="R710" s="11" t="s">
        <v>647</v>
      </c>
      <c r="S710" s="11" t="s">
        <v>1798</v>
      </c>
      <c r="T710" s="116" t="s">
        <v>1</v>
      </c>
      <c r="U710" s="88"/>
      <c r="V710" s="51">
        <v>46048</v>
      </c>
      <c r="W710" s="97" t="s">
        <v>1577</v>
      </c>
      <c r="X710" s="135" t="str">
        <f>VLOOKUP(Table1[[#This Row],[AMZ ID]],[1]Roster_1787503287932!$D$2:$AU$1370,25,0)</f>
        <v>Present</v>
      </c>
      <c r="Y710" s="135">
        <f>VLOOKUP(Table1[[#This Row],[AMZ ID]],[1]Roster_1787503287932!$D$2:$AM$1370,35,0)</f>
        <v>0</v>
      </c>
    </row>
    <row r="711" spans="1:25" ht="13" customHeight="1">
      <c r="A711" s="11">
        <v>705</v>
      </c>
      <c r="B711" s="47">
        <v>203993306</v>
      </c>
      <c r="C711" s="89" t="s">
        <v>762</v>
      </c>
      <c r="D711" s="11" t="s">
        <v>763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32</v>
      </c>
      <c r="K711" s="49" t="s">
        <v>76</v>
      </c>
      <c r="L711" s="49" t="s">
        <v>77</v>
      </c>
      <c r="M711" s="49" t="s">
        <v>78</v>
      </c>
      <c r="N711" s="49" t="s">
        <v>79</v>
      </c>
      <c r="O711" s="49" t="s">
        <v>37</v>
      </c>
      <c r="P711" s="11" t="s">
        <v>80</v>
      </c>
      <c r="Q711" s="11" t="s">
        <v>81</v>
      </c>
      <c r="R711" s="49" t="s">
        <v>1066</v>
      </c>
      <c r="S711" s="11" t="s">
        <v>2717</v>
      </c>
      <c r="T711" s="116" t="s">
        <v>10</v>
      </c>
      <c r="U711" s="88"/>
      <c r="V711" s="51">
        <v>45547</v>
      </c>
      <c r="W711" s="97" t="s">
        <v>1577</v>
      </c>
      <c r="X711" s="135" t="str">
        <f>VLOOKUP(Table1[[#This Row],[AMZ ID]],[1]Roster_1787503287932!$D$2:$AU$1370,25,0)</f>
        <v>Not Present</v>
      </c>
      <c r="Y711" s="135">
        <f>VLOOKUP(Table1[[#This Row],[AMZ ID]],[1]Roster_1787503287932!$D$2:$AM$1370,35,0)</f>
        <v>0</v>
      </c>
    </row>
    <row r="712" spans="1:25" ht="13" customHeight="1">
      <c r="A712" s="11">
        <v>706</v>
      </c>
      <c r="B712" s="92">
        <v>204013689</v>
      </c>
      <c r="C712" s="47" t="s">
        <v>764</v>
      </c>
      <c r="D712" s="89" t="s">
        <v>765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39</v>
      </c>
      <c r="K712" s="49" t="s">
        <v>76</v>
      </c>
      <c r="L712" s="49" t="s">
        <v>95</v>
      </c>
      <c r="M712" s="49" t="s">
        <v>77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11" t="s">
        <v>627</v>
      </c>
      <c r="S712" s="11" t="s">
        <v>628</v>
      </c>
      <c r="T712" s="116" t="s">
        <v>1</v>
      </c>
      <c r="U712" s="88"/>
      <c r="V712" s="51">
        <v>45551</v>
      </c>
      <c r="W712" s="97" t="s">
        <v>1577</v>
      </c>
      <c r="X712" s="135" t="str">
        <f>VLOOKUP(Table1[[#This Row],[AMZ ID]],[1]Roster_1787503287932!$D$2:$AU$1370,25,0)</f>
        <v>Present</v>
      </c>
      <c r="Y712" s="135">
        <f>VLOOKUP(Table1[[#This Row],[AMZ ID]],[1]Roster_1787503287932!$D$2:$AM$1370,35,0)</f>
        <v>0</v>
      </c>
    </row>
    <row r="713" spans="1:25" ht="13" customHeight="1">
      <c r="A713" s="11">
        <v>707</v>
      </c>
      <c r="B713" s="47">
        <v>205854274</v>
      </c>
      <c r="C713" s="89" t="s">
        <v>2830</v>
      </c>
      <c r="D713" s="11" t="s">
        <v>2831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39</v>
      </c>
      <c r="K713" s="49" t="s">
        <v>76</v>
      </c>
      <c r="L713" s="49" t="s">
        <v>92</v>
      </c>
      <c r="M713" s="49" t="s">
        <v>84</v>
      </c>
      <c r="N713" s="48" t="s">
        <v>89</v>
      </c>
      <c r="O713" s="49" t="s">
        <v>37</v>
      </c>
      <c r="P713" s="11" t="s">
        <v>80</v>
      </c>
      <c r="Q713" s="11" t="s">
        <v>96</v>
      </c>
      <c r="R713" s="49" t="s">
        <v>631</v>
      </c>
      <c r="S713" s="11" t="s">
        <v>632</v>
      </c>
      <c r="T713" s="116" t="s">
        <v>1</v>
      </c>
      <c r="U713" s="88"/>
      <c r="V713" s="51">
        <v>46226</v>
      </c>
      <c r="W713" s="97" t="s">
        <v>1577</v>
      </c>
      <c r="X713" s="135" t="str">
        <f>VLOOKUP(Table1[[#This Row],[AMZ ID]],[1]Roster_1787503287932!$D$2:$AU$1370,25,0)</f>
        <v>Present</v>
      </c>
      <c r="Y713" s="135">
        <f>VLOOKUP(Table1[[#This Row],[AMZ ID]],[1]Roster_1787503287932!$D$2:$AM$1370,35,0)</f>
        <v>0</v>
      </c>
    </row>
    <row r="714" spans="1:25" ht="13" customHeight="1">
      <c r="A714" s="11">
        <v>708</v>
      </c>
      <c r="B714" s="47">
        <v>206868005</v>
      </c>
      <c r="C714" s="89" t="s">
        <v>2907</v>
      </c>
      <c r="D714" s="47" t="s">
        <v>2908</v>
      </c>
      <c r="E714" s="47" t="s">
        <v>31</v>
      </c>
      <c r="F714" s="48" t="s">
        <v>74</v>
      </c>
      <c r="G714" s="11" t="s">
        <v>64</v>
      </c>
      <c r="H714" s="11" t="s">
        <v>75</v>
      </c>
      <c r="I714" s="47">
        <v>1299</v>
      </c>
      <c r="J714" s="49" t="s">
        <v>39</v>
      </c>
      <c r="K714" s="49" t="s">
        <v>76</v>
      </c>
      <c r="L714" s="49" t="s">
        <v>88</v>
      </c>
      <c r="M714" s="49" t="s">
        <v>95</v>
      </c>
      <c r="N714" s="49" t="s">
        <v>89</v>
      </c>
      <c r="O714" s="49" t="s">
        <v>37</v>
      </c>
      <c r="P714" s="11" t="s">
        <v>80</v>
      </c>
      <c r="Q714" s="47" t="s">
        <v>81</v>
      </c>
      <c r="R714" s="11" t="s">
        <v>631</v>
      </c>
      <c r="S714" s="47" t="s">
        <v>632</v>
      </c>
      <c r="T714" s="116" t="s">
        <v>1</v>
      </c>
      <c r="U714" s="88"/>
      <c r="V714" s="51">
        <v>46239</v>
      </c>
      <c r="W714" s="97" t="s">
        <v>1579</v>
      </c>
      <c r="X714" s="135" t="str">
        <f>VLOOKUP(Table1[[#This Row],[AMZ ID]],[1]Roster_1787503287932!$D$2:$AU$1370,25,0)</f>
        <v>Present</v>
      </c>
      <c r="Y714" s="135">
        <f>VLOOKUP(Table1[[#This Row],[AMZ ID]],[1]Roster_1787503287932!$D$2:$AM$1370,35,0)</f>
        <v>0</v>
      </c>
    </row>
    <row r="715" spans="1:25" ht="13" customHeight="1">
      <c r="A715" s="11">
        <v>709</v>
      </c>
      <c r="B715" s="47">
        <v>204010041</v>
      </c>
      <c r="C715" s="89" t="s">
        <v>766</v>
      </c>
      <c r="D715" s="11" t="s">
        <v>767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85</v>
      </c>
      <c r="M715" s="49" t="s">
        <v>88</v>
      </c>
      <c r="N715" s="48" t="s">
        <v>86</v>
      </c>
      <c r="O715" s="49" t="s">
        <v>37</v>
      </c>
      <c r="P715" s="11" t="s">
        <v>80</v>
      </c>
      <c r="Q715" s="11" t="s">
        <v>90</v>
      </c>
      <c r="R715" s="49" t="s">
        <v>631</v>
      </c>
      <c r="S715" s="11" t="s">
        <v>632</v>
      </c>
      <c r="T715" s="116" t="s">
        <v>1</v>
      </c>
      <c r="U715" s="88"/>
      <c r="V715" s="51">
        <v>45551</v>
      </c>
      <c r="W715" s="97" t="s">
        <v>1578</v>
      </c>
      <c r="X715" s="135" t="str">
        <f>VLOOKUP(Table1[[#This Row],[AMZ ID]],[1]Roster_1787503287932!$D$2:$AU$1370,25,0)</f>
        <v>Present</v>
      </c>
      <c r="Y715" s="135">
        <f>VLOOKUP(Table1[[#This Row],[AMZ ID]],[1]Roster_1787503287932!$D$2:$AM$1370,35,0)</f>
        <v>0</v>
      </c>
    </row>
    <row r="716" spans="1:25" ht="13" customHeight="1">
      <c r="A716" s="11">
        <v>710</v>
      </c>
      <c r="B716" s="47">
        <v>205839583</v>
      </c>
      <c r="C716" s="89" t="s">
        <v>2388</v>
      </c>
      <c r="D716" s="11" t="s">
        <v>2389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85</v>
      </c>
      <c r="M716" s="49" t="s">
        <v>88</v>
      </c>
      <c r="N716" s="48" t="s">
        <v>89</v>
      </c>
      <c r="O716" s="47" t="s">
        <v>37</v>
      </c>
      <c r="P716" s="47" t="s">
        <v>80</v>
      </c>
      <c r="Q716" s="47" t="s">
        <v>90</v>
      </c>
      <c r="R716" s="11" t="s">
        <v>627</v>
      </c>
      <c r="S716" s="11" t="s">
        <v>628</v>
      </c>
      <c r="T716" s="116" t="s">
        <v>1</v>
      </c>
      <c r="U716" s="88"/>
      <c r="V716" s="51">
        <v>45894</v>
      </c>
      <c r="W716" s="97" t="s">
        <v>1576</v>
      </c>
      <c r="X716" s="135" t="str">
        <f>VLOOKUP(Table1[[#This Row],[AMZ ID]],[1]Roster_1787503287932!$D$2:$AU$1370,25,0)</f>
        <v>Present</v>
      </c>
      <c r="Y716" s="135">
        <f>VLOOKUP(Table1[[#This Row],[AMZ ID]],[1]Roster_1787503287932!$D$2:$AM$1370,35,0)</f>
        <v>0</v>
      </c>
    </row>
    <row r="717" spans="1:25" ht="13" customHeight="1">
      <c r="A717" s="11">
        <v>711</v>
      </c>
      <c r="B717" s="47">
        <v>204967147</v>
      </c>
      <c r="C717" s="89" t="s">
        <v>2760</v>
      </c>
      <c r="D717" s="11" t="s">
        <v>2761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32</v>
      </c>
      <c r="K717" s="49" t="s">
        <v>76</v>
      </c>
      <c r="L717" s="49" t="s">
        <v>84</v>
      </c>
      <c r="M717" s="49" t="s">
        <v>85</v>
      </c>
      <c r="N717" s="49" t="s">
        <v>86</v>
      </c>
      <c r="O717" s="49" t="s">
        <v>37</v>
      </c>
      <c r="P717" s="11" t="s">
        <v>80</v>
      </c>
      <c r="Q717" s="11" t="s">
        <v>90</v>
      </c>
      <c r="R717" s="11" t="s">
        <v>647</v>
      </c>
      <c r="S717" s="11" t="s">
        <v>2739</v>
      </c>
      <c r="T717" s="116" t="s">
        <v>1</v>
      </c>
      <c r="U717" s="88"/>
      <c r="V717" s="51">
        <v>45789</v>
      </c>
      <c r="W717" s="97" t="s">
        <v>1577</v>
      </c>
      <c r="X717" s="135" t="str">
        <f>VLOOKUP(Table1[[#This Row],[AMZ ID]],[1]Roster_1787503287932!$D$2:$AU$1370,25,0)</f>
        <v>Present</v>
      </c>
      <c r="Y717" s="135">
        <f>VLOOKUP(Table1[[#This Row],[AMZ ID]],[1]Roster_1787503287932!$D$2:$AM$1370,35,0)</f>
        <v>0</v>
      </c>
    </row>
    <row r="718" spans="1:25" ht="13" customHeight="1">
      <c r="A718" s="11">
        <v>712</v>
      </c>
      <c r="B718" s="47">
        <v>204138497</v>
      </c>
      <c r="C718" s="89" t="s">
        <v>768</v>
      </c>
      <c r="D718" s="11" t="s">
        <v>769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77</v>
      </c>
      <c r="M718" s="49" t="s">
        <v>78</v>
      </c>
      <c r="N718" s="49" t="s">
        <v>79</v>
      </c>
      <c r="O718" s="49" t="s">
        <v>37</v>
      </c>
      <c r="P718" s="11" t="s">
        <v>80</v>
      </c>
      <c r="Q718" s="11" t="s">
        <v>81</v>
      </c>
      <c r="R718" s="49" t="s">
        <v>627</v>
      </c>
      <c r="S718" s="11" t="s">
        <v>628</v>
      </c>
      <c r="T718" s="116" t="s">
        <v>10</v>
      </c>
      <c r="U718" s="88"/>
      <c r="V718" s="51">
        <v>45565</v>
      </c>
      <c r="W718" s="97" t="s">
        <v>1577</v>
      </c>
      <c r="X718" s="135" t="str">
        <f>VLOOKUP(Table1[[#This Row],[AMZ ID]],[1]Roster_1787503287932!$D$2:$AU$1370,25,0)</f>
        <v>Not Present</v>
      </c>
      <c r="Y718" s="135">
        <f>VLOOKUP(Table1[[#This Row],[AMZ ID]],[1]Roster_1787503287932!$D$2:$AM$1370,35,0)</f>
        <v>0</v>
      </c>
    </row>
    <row r="719" spans="1:25" ht="13" customHeight="1">
      <c r="A719" s="11">
        <v>713</v>
      </c>
      <c r="B719" s="11">
        <v>206846688</v>
      </c>
      <c r="C719" s="89" t="s">
        <v>1815</v>
      </c>
      <c r="D719" s="11" t="s">
        <v>1816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78</v>
      </c>
      <c r="M719" s="49" t="s">
        <v>92</v>
      </c>
      <c r="N719" s="11" t="s">
        <v>89</v>
      </c>
      <c r="O719" s="11" t="s">
        <v>37</v>
      </c>
      <c r="P719" s="11" t="s">
        <v>80</v>
      </c>
      <c r="Q719" s="11" t="s">
        <v>90</v>
      </c>
      <c r="R719" s="11" t="s">
        <v>2844</v>
      </c>
      <c r="S719" s="11" t="s">
        <v>2716</v>
      </c>
      <c r="T719" s="116" t="s">
        <v>10</v>
      </c>
      <c r="U719" s="88"/>
      <c r="V719" s="51">
        <v>46013</v>
      </c>
      <c r="W719" s="102" t="s">
        <v>1577</v>
      </c>
      <c r="X719" s="135" t="str">
        <f>VLOOKUP(Table1[[#This Row],[AMZ ID]],[1]Roster_1787503287932!$D$2:$AU$1370,25,0)</f>
        <v>Not Present</v>
      </c>
      <c r="Y719" s="135">
        <f>VLOOKUP(Table1[[#This Row],[AMZ ID]],[1]Roster_1787503287932!$D$2:$AM$1370,35,0)</f>
        <v>0</v>
      </c>
    </row>
    <row r="720" spans="1:25" ht="13" customHeight="1">
      <c r="A720" s="11">
        <v>714</v>
      </c>
      <c r="B720" s="47">
        <v>203965177</v>
      </c>
      <c r="C720" s="89" t="s">
        <v>770</v>
      </c>
      <c r="D720" s="11" t="s">
        <v>771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32</v>
      </c>
      <c r="K720" s="49" t="s">
        <v>76</v>
      </c>
      <c r="L720" s="49" t="s">
        <v>85</v>
      </c>
      <c r="M720" s="49" t="s">
        <v>88</v>
      </c>
      <c r="N720" s="48" t="s">
        <v>79</v>
      </c>
      <c r="O720" s="49" t="s">
        <v>37</v>
      </c>
      <c r="P720" s="11" t="s">
        <v>80</v>
      </c>
      <c r="Q720" s="11" t="s">
        <v>81</v>
      </c>
      <c r="R720" s="11" t="s">
        <v>2719</v>
      </c>
      <c r="S720" s="11" t="s">
        <v>642</v>
      </c>
      <c r="T720" s="116" t="s">
        <v>1</v>
      </c>
      <c r="U720" s="88"/>
      <c r="V720" s="51">
        <v>45544</v>
      </c>
      <c r="W720" s="97" t="s">
        <v>1577</v>
      </c>
      <c r="X720" s="135" t="str">
        <f>VLOOKUP(Table1[[#This Row],[AMZ ID]],[1]Roster_1787503287932!$D$2:$AU$1370,25,0)</f>
        <v>Present</v>
      </c>
      <c r="Y720" s="135">
        <f>VLOOKUP(Table1[[#This Row],[AMZ ID]],[1]Roster_1787503287932!$D$2:$AM$1370,35,0)</f>
        <v>0</v>
      </c>
    </row>
    <row r="721" spans="1:25" ht="13" customHeight="1">
      <c r="A721" s="11">
        <v>715</v>
      </c>
      <c r="B721" s="47">
        <v>102434089</v>
      </c>
      <c r="C721" s="89" t="s">
        <v>772</v>
      </c>
      <c r="D721" s="11" t="s">
        <v>773</v>
      </c>
      <c r="E721" s="48" t="s">
        <v>34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32</v>
      </c>
      <c r="K721" s="49" t="s">
        <v>76</v>
      </c>
      <c r="L721" s="49" t="s">
        <v>95</v>
      </c>
      <c r="M721" s="49" t="s">
        <v>77</v>
      </c>
      <c r="N721" s="49" t="s">
        <v>97</v>
      </c>
      <c r="O721" s="49" t="s">
        <v>37</v>
      </c>
      <c r="P721" s="11" t="s">
        <v>80</v>
      </c>
      <c r="Q721" s="11" t="s">
        <v>98</v>
      </c>
      <c r="R721" s="11" t="s">
        <v>631</v>
      </c>
      <c r="S721" s="11" t="s">
        <v>632</v>
      </c>
      <c r="T721" s="116" t="s">
        <v>7</v>
      </c>
      <c r="U721" s="88" t="s">
        <v>3015</v>
      </c>
      <c r="V721" s="51">
        <v>42897</v>
      </c>
      <c r="W721" s="97" t="s">
        <v>1579</v>
      </c>
      <c r="X721" s="135" t="str">
        <f>VLOOKUP(Table1[[#This Row],[AMZ ID]],[1]Roster_1787503287932!$D$2:$AU$1370,25,0)</f>
        <v>Not Present</v>
      </c>
      <c r="Y721" s="135">
        <f>VLOOKUP(Table1[[#This Row],[AMZ ID]],[1]Roster_1787503287932!$D$2:$AM$1370,35,0)</f>
        <v>0</v>
      </c>
    </row>
    <row r="722" spans="1:25" ht="13" customHeight="1">
      <c r="A722" s="11">
        <v>716</v>
      </c>
      <c r="B722" s="47">
        <v>205861620</v>
      </c>
      <c r="C722" s="89" t="s">
        <v>2090</v>
      </c>
      <c r="D722" s="11" t="s">
        <v>2091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88</v>
      </c>
      <c r="M722" s="49" t="s">
        <v>95</v>
      </c>
      <c r="N722" s="48" t="s">
        <v>89</v>
      </c>
      <c r="O722" s="49" t="s">
        <v>37</v>
      </c>
      <c r="P722" s="11" t="s">
        <v>80</v>
      </c>
      <c r="Q722" s="11" t="s">
        <v>96</v>
      </c>
      <c r="R722" s="11" t="s">
        <v>627</v>
      </c>
      <c r="S722" s="11" t="s">
        <v>628</v>
      </c>
      <c r="T722" s="116" t="s">
        <v>7</v>
      </c>
      <c r="U722" s="88" t="s">
        <v>3015</v>
      </c>
      <c r="V722" s="51">
        <v>46048</v>
      </c>
      <c r="W722" s="97" t="s">
        <v>1577</v>
      </c>
      <c r="X722" s="135" t="str">
        <f>VLOOKUP(Table1[[#This Row],[AMZ ID]],[1]Roster_1787503287932!$D$2:$AU$1370,25,0)</f>
        <v>Not Present</v>
      </c>
      <c r="Y722" s="135" t="str">
        <f>VLOOKUP(Table1[[#This Row],[AMZ ID]],[1]Roster_1787503287932!$D$2:$AM$1370,35,0)</f>
        <v>Annual Leave</v>
      </c>
    </row>
    <row r="723" spans="1:25" ht="13" customHeight="1">
      <c r="A723" s="11">
        <v>717</v>
      </c>
      <c r="B723" s="47">
        <v>205861618</v>
      </c>
      <c r="C723" s="89" t="s">
        <v>2088</v>
      </c>
      <c r="D723" s="11" t="s">
        <v>2089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39</v>
      </c>
      <c r="K723" s="49" t="s">
        <v>76</v>
      </c>
      <c r="L723" s="49" t="s">
        <v>88</v>
      </c>
      <c r="M723" s="49" t="s">
        <v>95</v>
      </c>
      <c r="N723" s="48" t="s">
        <v>89</v>
      </c>
      <c r="O723" s="49" t="s">
        <v>37</v>
      </c>
      <c r="P723" s="11" t="s">
        <v>80</v>
      </c>
      <c r="Q723" s="11" t="s">
        <v>96</v>
      </c>
      <c r="R723" s="49" t="s">
        <v>627</v>
      </c>
      <c r="S723" s="11" t="s">
        <v>628</v>
      </c>
      <c r="T723" s="116" t="s">
        <v>1</v>
      </c>
      <c r="U723" s="88"/>
      <c r="V723" s="51">
        <v>46048</v>
      </c>
      <c r="W723" s="97" t="s">
        <v>1577</v>
      </c>
      <c r="X723" s="135" t="str">
        <f>VLOOKUP(Table1[[#This Row],[AMZ ID]],[1]Roster_1787503287932!$D$2:$AU$1370,25,0)</f>
        <v>Present</v>
      </c>
      <c r="Y723" s="135">
        <f>VLOOKUP(Table1[[#This Row],[AMZ ID]],[1]Roster_1787503287932!$D$2:$AM$1370,35,0)</f>
        <v>0</v>
      </c>
    </row>
    <row r="724" spans="1:25" ht="13" customHeight="1">
      <c r="A724" s="11">
        <v>718</v>
      </c>
      <c r="B724" s="47">
        <v>206247771</v>
      </c>
      <c r="C724" s="89" t="s">
        <v>2834</v>
      </c>
      <c r="D724" s="11" t="s">
        <v>2835</v>
      </c>
      <c r="E724" s="48" t="s">
        <v>31</v>
      </c>
      <c r="F724" s="48" t="s">
        <v>74</v>
      </c>
      <c r="G724" s="48" t="s">
        <v>64</v>
      </c>
      <c r="H724" s="48" t="s">
        <v>75</v>
      </c>
      <c r="I724" s="11">
        <v>1299</v>
      </c>
      <c r="J724" s="49" t="s">
        <v>39</v>
      </c>
      <c r="K724" s="49" t="s">
        <v>76</v>
      </c>
      <c r="L724" s="49" t="s">
        <v>95</v>
      </c>
      <c r="M724" s="49" t="s">
        <v>77</v>
      </c>
      <c r="N724" s="49" t="s">
        <v>89</v>
      </c>
      <c r="O724" s="49" t="s">
        <v>37</v>
      </c>
      <c r="P724" s="49" t="s">
        <v>80</v>
      </c>
      <c r="Q724" s="49" t="s">
        <v>96</v>
      </c>
      <c r="R724" s="11" t="s">
        <v>627</v>
      </c>
      <c r="S724" s="11" t="s">
        <v>628</v>
      </c>
      <c r="T724" s="116" t="s">
        <v>1</v>
      </c>
      <c r="U724" s="88"/>
      <c r="V724" s="51">
        <v>46226</v>
      </c>
      <c r="W724" s="97" t="s">
        <v>1577</v>
      </c>
      <c r="X724" s="135" t="str">
        <f>VLOOKUP(Table1[[#This Row],[AMZ ID]],[1]Roster_1787503287932!$D$2:$AU$1370,25,0)</f>
        <v>Present</v>
      </c>
      <c r="Y724" s="135">
        <f>VLOOKUP(Table1[[#This Row],[AMZ ID]],[1]Roster_1787503287932!$D$2:$AM$1370,35,0)</f>
        <v>0</v>
      </c>
    </row>
    <row r="725" spans="1:25" ht="13" customHeight="1">
      <c r="A725" s="11">
        <v>719</v>
      </c>
      <c r="B725" s="47">
        <v>204319798</v>
      </c>
      <c r="C725" s="89" t="s">
        <v>774</v>
      </c>
      <c r="D725" s="11" t="s">
        <v>775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95</v>
      </c>
      <c r="M725" s="49" t="s">
        <v>77</v>
      </c>
      <c r="N725" s="48" t="s">
        <v>86</v>
      </c>
      <c r="O725" s="49" t="s">
        <v>37</v>
      </c>
      <c r="P725" s="11" t="s">
        <v>80</v>
      </c>
      <c r="Q725" s="11" t="s">
        <v>87</v>
      </c>
      <c r="R725" s="11" t="s">
        <v>2845</v>
      </c>
      <c r="S725" s="11" t="s">
        <v>2846</v>
      </c>
      <c r="T725" s="116" t="s">
        <v>1</v>
      </c>
      <c r="U725" s="88"/>
      <c r="V725" s="51">
        <v>45589</v>
      </c>
      <c r="W725" s="97" t="s">
        <v>1579</v>
      </c>
      <c r="X725" s="135" t="str">
        <f>VLOOKUP(Table1[[#This Row],[AMZ ID]],[1]Roster_1787503287932!$D$2:$AU$1370,25,0)</f>
        <v>Present</v>
      </c>
      <c r="Y725" s="135">
        <f>VLOOKUP(Table1[[#This Row],[AMZ ID]],[1]Roster_1787503287932!$D$2:$AM$1370,35,0)</f>
        <v>0</v>
      </c>
    </row>
    <row r="726" spans="1:25" ht="13" customHeight="1">
      <c r="A726" s="11">
        <v>720</v>
      </c>
      <c r="B726" s="47">
        <v>206915474</v>
      </c>
      <c r="C726" s="89" t="s">
        <v>1919</v>
      </c>
      <c r="D726" s="11" t="s">
        <v>1904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32</v>
      </c>
      <c r="K726" s="49" t="s">
        <v>76</v>
      </c>
      <c r="L726" s="49" t="s">
        <v>88</v>
      </c>
      <c r="M726" s="49" t="s">
        <v>95</v>
      </c>
      <c r="N726" s="48" t="s">
        <v>89</v>
      </c>
      <c r="O726" s="49" t="s">
        <v>37</v>
      </c>
      <c r="P726" s="11" t="s">
        <v>80</v>
      </c>
      <c r="Q726" s="11" t="s">
        <v>90</v>
      </c>
      <c r="R726" s="49" t="s">
        <v>631</v>
      </c>
      <c r="S726" s="11" t="s">
        <v>632</v>
      </c>
      <c r="T726" s="116" t="s">
        <v>1</v>
      </c>
      <c r="U726" s="88"/>
      <c r="V726" s="51">
        <v>46034</v>
      </c>
      <c r="W726" s="97" t="s">
        <v>1577</v>
      </c>
      <c r="X726" s="135" t="str">
        <f>VLOOKUP(Table1[[#This Row],[AMZ ID]],[1]Roster_1787503287932!$D$2:$AU$1370,25,0)</f>
        <v>Present</v>
      </c>
      <c r="Y726" s="135">
        <f>VLOOKUP(Table1[[#This Row],[AMZ ID]],[1]Roster_1787503287932!$D$2:$AM$1370,35,0)</f>
        <v>0</v>
      </c>
    </row>
    <row r="727" spans="1:25" ht="13" customHeight="1">
      <c r="A727" s="11">
        <v>721</v>
      </c>
      <c r="B727" s="47">
        <v>203850766</v>
      </c>
      <c r="C727" s="89" t="s">
        <v>2390</v>
      </c>
      <c r="D727" s="11" t="s">
        <v>2391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84</v>
      </c>
      <c r="M727" s="49" t="s">
        <v>85</v>
      </c>
      <c r="N727" s="48" t="s">
        <v>86</v>
      </c>
      <c r="O727" s="49" t="s">
        <v>37</v>
      </c>
      <c r="P727" s="11" t="s">
        <v>80</v>
      </c>
      <c r="Q727" s="11" t="s">
        <v>90</v>
      </c>
      <c r="R727" s="11" t="s">
        <v>627</v>
      </c>
      <c r="S727" s="11" t="s">
        <v>628</v>
      </c>
      <c r="T727" s="116" t="s">
        <v>1</v>
      </c>
      <c r="U727" s="88"/>
      <c r="V727" s="51">
        <v>45524</v>
      </c>
      <c r="W727" s="97" t="s">
        <v>1577</v>
      </c>
      <c r="X727" s="135" t="str">
        <f>VLOOKUP(Table1[[#This Row],[AMZ ID]],[1]Roster_1787503287932!$D$2:$AU$1370,25,0)</f>
        <v>Present</v>
      </c>
      <c r="Y727" s="135">
        <f>VLOOKUP(Table1[[#This Row],[AMZ ID]],[1]Roster_1787503287932!$D$2:$AM$1370,35,0)</f>
        <v>0</v>
      </c>
    </row>
    <row r="728" spans="1:25" ht="13" customHeight="1">
      <c r="A728" s="11">
        <v>722</v>
      </c>
      <c r="B728" s="47">
        <v>206348030</v>
      </c>
      <c r="C728" s="89" t="s">
        <v>1684</v>
      </c>
      <c r="D728" s="11" t="s">
        <v>1685</v>
      </c>
      <c r="E728" s="48" t="s">
        <v>31</v>
      </c>
      <c r="F728" s="48" t="s">
        <v>74</v>
      </c>
      <c r="G728" s="11" t="s">
        <v>65</v>
      </c>
      <c r="H728" s="11" t="s">
        <v>1332</v>
      </c>
      <c r="I728" s="11">
        <v>1181</v>
      </c>
      <c r="J728" s="49" t="s">
        <v>32</v>
      </c>
      <c r="K728" s="49" t="s">
        <v>76</v>
      </c>
      <c r="L728" s="49" t="s">
        <v>78</v>
      </c>
      <c r="M728" s="49" t="s">
        <v>92</v>
      </c>
      <c r="N728" s="48" t="s">
        <v>89</v>
      </c>
      <c r="O728" s="49" t="s">
        <v>68</v>
      </c>
      <c r="P728" s="11" t="s">
        <v>80</v>
      </c>
      <c r="Q728" s="11" t="s">
        <v>90</v>
      </c>
      <c r="R728" s="11" t="s">
        <v>1336</v>
      </c>
      <c r="S728" s="11" t="s">
        <v>1337</v>
      </c>
      <c r="T728" s="116" t="s">
        <v>10</v>
      </c>
      <c r="U728" s="88"/>
      <c r="V728" s="51">
        <v>45957</v>
      </c>
      <c r="W728" s="97" t="s">
        <v>68</v>
      </c>
      <c r="X728" s="135" t="str">
        <f>VLOOKUP(Table1[[#This Row],[AMZ ID]],[1]Roster_1787503287932!$D$2:$AU$1370,25,0)</f>
        <v>Not Present</v>
      </c>
      <c r="Y728" s="135">
        <f>VLOOKUP(Table1[[#This Row],[AMZ ID]],[1]Roster_1787503287932!$D$2:$AM$1370,35,0)</f>
        <v>0</v>
      </c>
    </row>
    <row r="729" spans="1:25" ht="13" customHeight="1">
      <c r="A729" s="11">
        <v>723</v>
      </c>
      <c r="B729" s="47">
        <v>206930333</v>
      </c>
      <c r="C729" s="89" t="s">
        <v>2007</v>
      </c>
      <c r="D729" s="11" t="s">
        <v>2015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77</v>
      </c>
      <c r="M729" s="49" t="s">
        <v>78</v>
      </c>
      <c r="N729" s="48" t="s">
        <v>89</v>
      </c>
      <c r="O729" s="49" t="s">
        <v>37</v>
      </c>
      <c r="P729" s="11" t="s">
        <v>80</v>
      </c>
      <c r="Q729" s="11" t="s">
        <v>96</v>
      </c>
      <c r="R729" s="11" t="s">
        <v>627</v>
      </c>
      <c r="S729" s="11" t="s">
        <v>628</v>
      </c>
      <c r="T729" s="116" t="s">
        <v>10</v>
      </c>
      <c r="U729" s="88"/>
      <c r="V729" s="51">
        <v>46037</v>
      </c>
      <c r="W729" s="97" t="s">
        <v>1577</v>
      </c>
      <c r="X729" s="135" t="str">
        <f>VLOOKUP(Table1[[#This Row],[AMZ ID]],[1]Roster_1787503287932!$D$2:$AU$1370,25,0)</f>
        <v>Not Present</v>
      </c>
      <c r="Y729" s="135">
        <f>VLOOKUP(Table1[[#This Row],[AMZ ID]],[1]Roster_1787503287932!$D$2:$AM$1370,35,0)</f>
        <v>0</v>
      </c>
    </row>
    <row r="730" spans="1:25" ht="13" customHeight="1">
      <c r="A730" s="11">
        <v>724</v>
      </c>
      <c r="B730" s="47">
        <v>203813032</v>
      </c>
      <c r="C730" s="89" t="s">
        <v>778</v>
      </c>
      <c r="D730" s="11" t="s">
        <v>779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88</v>
      </c>
      <c r="M730" s="49" t="s">
        <v>95</v>
      </c>
      <c r="N730" s="48" t="s">
        <v>86</v>
      </c>
      <c r="O730" s="49" t="s">
        <v>37</v>
      </c>
      <c r="P730" s="11" t="s">
        <v>80</v>
      </c>
      <c r="Q730" s="11" t="s">
        <v>99</v>
      </c>
      <c r="R730" s="49" t="s">
        <v>2845</v>
      </c>
      <c r="S730" s="11" t="s">
        <v>2846</v>
      </c>
      <c r="T730" s="116" t="s">
        <v>1</v>
      </c>
      <c r="U730" s="88"/>
      <c r="V730" s="51">
        <v>45517</v>
      </c>
      <c r="W730" s="97" t="s">
        <v>1577</v>
      </c>
      <c r="X730" s="135" t="str">
        <f>VLOOKUP(Table1[[#This Row],[AMZ ID]],[1]Roster_1787503287932!$D$2:$AU$1370,25,0)</f>
        <v>Present</v>
      </c>
      <c r="Y730" s="135">
        <f>VLOOKUP(Table1[[#This Row],[AMZ ID]],[1]Roster_1787503287932!$D$2:$AM$1370,35,0)</f>
        <v>0</v>
      </c>
    </row>
    <row r="731" spans="1:25" ht="13" customHeight="1">
      <c r="A731" s="11">
        <v>725</v>
      </c>
      <c r="B731" s="47">
        <v>204009619</v>
      </c>
      <c r="C731" s="89" t="s">
        <v>780</v>
      </c>
      <c r="D731" s="11" t="s">
        <v>781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39</v>
      </c>
      <c r="K731" s="49" t="s">
        <v>76</v>
      </c>
      <c r="L731" s="49" t="s">
        <v>78</v>
      </c>
      <c r="M731" s="49" t="s">
        <v>92</v>
      </c>
      <c r="N731" s="48" t="s">
        <v>86</v>
      </c>
      <c r="O731" s="49" t="s">
        <v>37</v>
      </c>
      <c r="P731" s="11" t="s">
        <v>80</v>
      </c>
      <c r="Q731" s="11" t="s">
        <v>90</v>
      </c>
      <c r="R731" s="11" t="s">
        <v>647</v>
      </c>
      <c r="S731" s="11" t="s">
        <v>1798</v>
      </c>
      <c r="T731" s="116" t="s">
        <v>10</v>
      </c>
      <c r="U731" s="88"/>
      <c r="V731" s="51">
        <v>45551</v>
      </c>
      <c r="W731" s="97" t="s">
        <v>1577</v>
      </c>
      <c r="X731" s="135" t="str">
        <f>VLOOKUP(Table1[[#This Row],[AMZ ID]],[1]Roster_1787503287932!$D$2:$AU$1370,25,0)</f>
        <v>Not Present</v>
      </c>
      <c r="Y731" s="135">
        <f>VLOOKUP(Table1[[#This Row],[AMZ ID]],[1]Roster_1787503287932!$D$2:$AM$1370,35,0)</f>
        <v>0</v>
      </c>
    </row>
    <row r="732" spans="1:25" ht="13" customHeight="1">
      <c r="A732" s="11">
        <v>726</v>
      </c>
      <c r="B732" s="47">
        <v>204094216</v>
      </c>
      <c r="C732" s="89" t="s">
        <v>2347</v>
      </c>
      <c r="D732" s="11" t="s">
        <v>2348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85</v>
      </c>
      <c r="M732" s="49" t="s">
        <v>88</v>
      </c>
      <c r="N732" s="48" t="s">
        <v>86</v>
      </c>
      <c r="O732" s="49" t="s">
        <v>37</v>
      </c>
      <c r="P732" s="11" t="s">
        <v>80</v>
      </c>
      <c r="Q732" s="11" t="s">
        <v>87</v>
      </c>
      <c r="R732" s="49" t="s">
        <v>631</v>
      </c>
      <c r="S732" s="11" t="s">
        <v>632</v>
      </c>
      <c r="T732" s="116" t="s">
        <v>1</v>
      </c>
      <c r="U732" s="88"/>
      <c r="V732" s="51">
        <v>45561</v>
      </c>
      <c r="W732" s="97" t="s">
        <v>1576</v>
      </c>
      <c r="X732" s="135" t="str">
        <f>VLOOKUP(Table1[[#This Row],[AMZ ID]],[1]Roster_1787503287932!$D$2:$AU$1370,25,0)</f>
        <v>Present</v>
      </c>
      <c r="Y732" s="135">
        <f>VLOOKUP(Table1[[#This Row],[AMZ ID]],[1]Roster_1787503287932!$D$2:$AM$1370,35,0)</f>
        <v>0</v>
      </c>
    </row>
    <row r="733" spans="1:25" ht="13" customHeight="1">
      <c r="A733" s="11">
        <v>727</v>
      </c>
      <c r="B733" s="47">
        <v>202516581</v>
      </c>
      <c r="C733" s="89" t="s">
        <v>782</v>
      </c>
      <c r="D733" s="11" t="s">
        <v>783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39</v>
      </c>
      <c r="K733" s="49" t="s">
        <v>76</v>
      </c>
      <c r="L733" s="49" t="s">
        <v>77</v>
      </c>
      <c r="M733" s="49" t="s">
        <v>78</v>
      </c>
      <c r="N733" s="48" t="s">
        <v>79</v>
      </c>
      <c r="O733" s="49" t="s">
        <v>37</v>
      </c>
      <c r="P733" s="11" t="s">
        <v>80</v>
      </c>
      <c r="Q733" s="11" t="s">
        <v>81</v>
      </c>
      <c r="R733" s="49" t="s">
        <v>647</v>
      </c>
      <c r="S733" s="11" t="s">
        <v>1798</v>
      </c>
      <c r="T733" s="116" t="s">
        <v>10</v>
      </c>
      <c r="U733" s="88"/>
      <c r="V733" s="51">
        <v>45530</v>
      </c>
      <c r="W733" s="97" t="s">
        <v>1577</v>
      </c>
      <c r="X733" s="135" t="str">
        <f>VLOOKUP(Table1[[#This Row],[AMZ ID]],[1]Roster_1787503287932!$D$2:$AU$1370,25,0)</f>
        <v>Not Present</v>
      </c>
      <c r="Y733" s="135">
        <f>VLOOKUP(Table1[[#This Row],[AMZ ID]],[1]Roster_1787503287932!$D$2:$AM$1370,35,0)</f>
        <v>0</v>
      </c>
    </row>
    <row r="734" spans="1:25" ht="13" customHeight="1">
      <c r="A734" s="11">
        <v>728</v>
      </c>
      <c r="B734" s="47">
        <v>206868288</v>
      </c>
      <c r="C734" s="89" t="s">
        <v>2903</v>
      </c>
      <c r="D734" s="11" t="s">
        <v>2904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84</v>
      </c>
      <c r="M734" s="49" t="s">
        <v>85</v>
      </c>
      <c r="N734" s="48" t="s">
        <v>89</v>
      </c>
      <c r="O734" s="49" t="s">
        <v>37</v>
      </c>
      <c r="P734" s="11" t="s">
        <v>80</v>
      </c>
      <c r="Q734" s="11" t="s">
        <v>81</v>
      </c>
      <c r="R734" s="11" t="s">
        <v>631</v>
      </c>
      <c r="S734" s="11" t="s">
        <v>632</v>
      </c>
      <c r="T734" s="116" t="s">
        <v>1</v>
      </c>
      <c r="U734" s="88"/>
      <c r="V734" s="51">
        <v>46239</v>
      </c>
      <c r="W734" s="97" t="s">
        <v>1579</v>
      </c>
      <c r="X734" s="135" t="str">
        <f>VLOOKUP(Table1[[#This Row],[AMZ ID]],[1]Roster_1787503287932!$D$2:$AU$1370,25,0)</f>
        <v>Present</v>
      </c>
      <c r="Y734" s="135">
        <f>VLOOKUP(Table1[[#This Row],[AMZ ID]],[1]Roster_1787503287932!$D$2:$AM$1370,35,0)</f>
        <v>0</v>
      </c>
    </row>
    <row r="735" spans="1:25" ht="13" customHeight="1">
      <c r="A735" s="11">
        <v>729</v>
      </c>
      <c r="B735" s="47">
        <v>203908859</v>
      </c>
      <c r="C735" s="89" t="s">
        <v>784</v>
      </c>
      <c r="D735" s="11" t="s">
        <v>785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32</v>
      </c>
      <c r="K735" s="49" t="s">
        <v>76</v>
      </c>
      <c r="L735" s="49" t="s">
        <v>78</v>
      </c>
      <c r="M735" s="49" t="s">
        <v>92</v>
      </c>
      <c r="N735" s="48" t="s">
        <v>79</v>
      </c>
      <c r="O735" s="49" t="s">
        <v>37</v>
      </c>
      <c r="P735" s="11" t="s">
        <v>80</v>
      </c>
      <c r="Q735" s="11" t="s">
        <v>81</v>
      </c>
      <c r="R735" s="49" t="s">
        <v>647</v>
      </c>
      <c r="S735" s="11" t="s">
        <v>1798</v>
      </c>
      <c r="T735" s="116" t="s">
        <v>10</v>
      </c>
      <c r="U735" s="88"/>
      <c r="V735" s="51">
        <v>45537</v>
      </c>
      <c r="W735" s="97" t="s">
        <v>1577</v>
      </c>
      <c r="X735" s="135" t="str">
        <f>VLOOKUP(Table1[[#This Row],[AMZ ID]],[1]Roster_1787503287932!$D$2:$AU$1370,25,0)</f>
        <v>Not Present</v>
      </c>
      <c r="Y735" s="135">
        <f>VLOOKUP(Table1[[#This Row],[AMZ ID]],[1]Roster_1787503287932!$D$2:$AM$1370,35,0)</f>
        <v>0</v>
      </c>
    </row>
    <row r="736" spans="1:25" ht="13" customHeight="1">
      <c r="A736" s="11">
        <v>730</v>
      </c>
      <c r="B736" s="47">
        <v>206073363</v>
      </c>
      <c r="C736" s="89" t="s">
        <v>786</v>
      </c>
      <c r="D736" s="11" t="s">
        <v>787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32</v>
      </c>
      <c r="K736" s="49" t="s">
        <v>76</v>
      </c>
      <c r="L736" s="49" t="s">
        <v>77</v>
      </c>
      <c r="M736" s="49" t="s">
        <v>78</v>
      </c>
      <c r="N736" s="49" t="s">
        <v>79</v>
      </c>
      <c r="O736" s="48" t="s">
        <v>37</v>
      </c>
      <c r="P736" s="48" t="s">
        <v>80</v>
      </c>
      <c r="Q736" s="11" t="s">
        <v>81</v>
      </c>
      <c r="R736" s="11" t="s">
        <v>647</v>
      </c>
      <c r="S736" s="11" t="s">
        <v>1798</v>
      </c>
      <c r="T736" s="116" t="s">
        <v>10</v>
      </c>
      <c r="U736" s="88"/>
      <c r="V736" s="51">
        <v>45929</v>
      </c>
      <c r="W736" s="97" t="s">
        <v>1577</v>
      </c>
      <c r="X736" s="135" t="str">
        <f>VLOOKUP(Table1[[#This Row],[AMZ ID]],[1]Roster_1787503287932!$D$2:$AU$1370,25,0)</f>
        <v>Not Present</v>
      </c>
      <c r="Y736" s="135">
        <f>VLOOKUP(Table1[[#This Row],[AMZ ID]],[1]Roster_1787503287932!$D$2:$AM$1370,35,0)</f>
        <v>0</v>
      </c>
    </row>
    <row r="737" spans="1:25" ht="13" customHeight="1">
      <c r="A737" s="11">
        <v>731</v>
      </c>
      <c r="B737" s="47">
        <v>203679313</v>
      </c>
      <c r="C737" s="89" t="s">
        <v>109</v>
      </c>
      <c r="D737" s="11" t="s">
        <v>1930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88</v>
      </c>
      <c r="M737" s="49" t="s">
        <v>95</v>
      </c>
      <c r="N737" s="49" t="s">
        <v>79</v>
      </c>
      <c r="O737" s="49" t="s">
        <v>67</v>
      </c>
      <c r="P737" s="11" t="s">
        <v>80</v>
      </c>
      <c r="Q737" s="11" t="s">
        <v>81</v>
      </c>
      <c r="R737" s="11" t="s">
        <v>82</v>
      </c>
      <c r="S737" s="11" t="s">
        <v>2713</v>
      </c>
      <c r="T737" s="116" t="s">
        <v>7</v>
      </c>
      <c r="U737" s="88" t="s">
        <v>3015</v>
      </c>
      <c r="V737" s="51">
        <v>45488</v>
      </c>
      <c r="W737" s="102" t="s">
        <v>1568</v>
      </c>
      <c r="X737" s="135" t="str">
        <f>VLOOKUP(Table1[[#This Row],[AMZ ID]],[1]Roster_1787503287932!$D$2:$AU$1370,25,0)</f>
        <v>Not Present</v>
      </c>
      <c r="Y737" s="135" t="str">
        <f>VLOOKUP(Table1[[#This Row],[AMZ ID]],[1]Roster_1787503287932!$D$2:$AM$1370,35,0)</f>
        <v>Annual Leave</v>
      </c>
    </row>
    <row r="738" spans="1:25" ht="13" customHeight="1">
      <c r="A738" s="11">
        <v>732</v>
      </c>
      <c r="B738" s="47">
        <v>204172862</v>
      </c>
      <c r="C738" s="89" t="s">
        <v>790</v>
      </c>
      <c r="D738" s="11" t="s">
        <v>791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39</v>
      </c>
      <c r="K738" s="49" t="s">
        <v>76</v>
      </c>
      <c r="L738" s="49" t="s">
        <v>88</v>
      </c>
      <c r="M738" s="49" t="s">
        <v>95</v>
      </c>
      <c r="N738" s="48" t="s">
        <v>79</v>
      </c>
      <c r="O738" s="49" t="s">
        <v>37</v>
      </c>
      <c r="P738" s="11" t="s">
        <v>80</v>
      </c>
      <c r="Q738" s="11" t="s">
        <v>81</v>
      </c>
      <c r="R738" s="11" t="s">
        <v>627</v>
      </c>
      <c r="S738" s="11" t="s">
        <v>628</v>
      </c>
      <c r="T738" s="116" t="s">
        <v>1</v>
      </c>
      <c r="U738" s="88"/>
      <c r="V738" s="51">
        <v>45568</v>
      </c>
      <c r="W738" s="97" t="s">
        <v>1576</v>
      </c>
      <c r="X738" s="135" t="str">
        <f>VLOOKUP(Table1[[#This Row],[AMZ ID]],[1]Roster_1787503287932!$D$2:$AU$1370,25,0)</f>
        <v>Present</v>
      </c>
      <c r="Y738" s="135">
        <f>VLOOKUP(Table1[[#This Row],[AMZ ID]],[1]Roster_1787503287932!$D$2:$AM$1370,35,0)</f>
        <v>0</v>
      </c>
    </row>
    <row r="739" spans="1:25" ht="13" customHeight="1">
      <c r="A739" s="11">
        <v>733</v>
      </c>
      <c r="B739" s="47">
        <v>203741316</v>
      </c>
      <c r="C739" s="89" t="s">
        <v>792</v>
      </c>
      <c r="D739" s="11" t="s">
        <v>793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32</v>
      </c>
      <c r="K739" s="49" t="s">
        <v>76</v>
      </c>
      <c r="L739" s="49" t="s">
        <v>78</v>
      </c>
      <c r="M739" s="49" t="s">
        <v>92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49" t="s">
        <v>647</v>
      </c>
      <c r="S739" s="11" t="s">
        <v>1798</v>
      </c>
      <c r="T739" s="116" t="s">
        <v>10</v>
      </c>
      <c r="U739" s="88"/>
      <c r="V739" s="51">
        <v>45502</v>
      </c>
      <c r="W739" s="97" t="s">
        <v>1577</v>
      </c>
      <c r="X739" s="135" t="str">
        <f>VLOOKUP(Table1[[#This Row],[AMZ ID]],[1]Roster_1787503287932!$D$2:$AU$1370,25,0)</f>
        <v>Not Present</v>
      </c>
      <c r="Y739" s="135">
        <f>VLOOKUP(Table1[[#This Row],[AMZ ID]],[1]Roster_1787503287932!$D$2:$AM$1370,35,0)</f>
        <v>0</v>
      </c>
    </row>
    <row r="740" spans="1:25" ht="13" customHeight="1">
      <c r="A740" s="11">
        <v>734</v>
      </c>
      <c r="B740" s="11">
        <v>204116867</v>
      </c>
      <c r="C740" s="89" t="s">
        <v>794</v>
      </c>
      <c r="D740" s="11" t="s">
        <v>795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39</v>
      </c>
      <c r="K740" s="49" t="s">
        <v>76</v>
      </c>
      <c r="L740" s="49" t="s">
        <v>85</v>
      </c>
      <c r="M740" s="49" t="s">
        <v>88</v>
      </c>
      <c r="N740" s="11" t="s">
        <v>86</v>
      </c>
      <c r="O740" s="11" t="s">
        <v>37</v>
      </c>
      <c r="P740" s="11" t="s">
        <v>80</v>
      </c>
      <c r="Q740" s="11" t="s">
        <v>87</v>
      </c>
      <c r="R740" s="11" t="s">
        <v>631</v>
      </c>
      <c r="S740" s="11" t="s">
        <v>632</v>
      </c>
      <c r="T740" s="116" t="s">
        <v>1</v>
      </c>
      <c r="U740" s="88"/>
      <c r="V740" s="51">
        <v>45561</v>
      </c>
      <c r="W740" s="102" t="s">
        <v>1576</v>
      </c>
      <c r="X740" s="135" t="str">
        <f>VLOOKUP(Table1[[#This Row],[AMZ ID]],[1]Roster_1787503287932!$D$2:$AU$1370,25,0)</f>
        <v>Present</v>
      </c>
      <c r="Y740" s="135">
        <f>VLOOKUP(Table1[[#This Row],[AMZ ID]],[1]Roster_1787503287932!$D$2:$AM$1370,35,0)</f>
        <v>0</v>
      </c>
    </row>
    <row r="741" spans="1:25" ht="13" customHeight="1">
      <c r="A741" s="11">
        <v>735</v>
      </c>
      <c r="B741" s="92">
        <v>203800485</v>
      </c>
      <c r="C741" s="47" t="s">
        <v>2392</v>
      </c>
      <c r="D741" s="89" t="s">
        <v>2393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32</v>
      </c>
      <c r="K741" s="49" t="s">
        <v>76</v>
      </c>
      <c r="L741" s="49" t="s">
        <v>85</v>
      </c>
      <c r="M741" s="49" t="s">
        <v>88</v>
      </c>
      <c r="N741" s="49" t="s">
        <v>86</v>
      </c>
      <c r="O741" s="49" t="s">
        <v>37</v>
      </c>
      <c r="P741" s="11" t="s">
        <v>80</v>
      </c>
      <c r="Q741" s="11" t="s">
        <v>90</v>
      </c>
      <c r="R741" s="11" t="s">
        <v>647</v>
      </c>
      <c r="S741" s="11" t="s">
        <v>1798</v>
      </c>
      <c r="T741" s="116" t="s">
        <v>1</v>
      </c>
      <c r="U741" s="88"/>
      <c r="V741" s="51">
        <v>45516</v>
      </c>
      <c r="W741" s="97" t="s">
        <v>1577</v>
      </c>
      <c r="X741" s="135" t="str">
        <f>VLOOKUP(Table1[[#This Row],[AMZ ID]],[1]Roster_1787503287932!$D$2:$AU$1370,25,0)</f>
        <v>Present</v>
      </c>
      <c r="Y741" s="135">
        <f>VLOOKUP(Table1[[#This Row],[AMZ ID]],[1]Roster_1787503287932!$D$2:$AM$1370,35,0)</f>
        <v>0</v>
      </c>
    </row>
    <row r="742" spans="1:25" ht="13" customHeight="1">
      <c r="A742" s="11">
        <v>736</v>
      </c>
      <c r="B742" s="47">
        <v>206897637</v>
      </c>
      <c r="C742" s="89" t="s">
        <v>1891</v>
      </c>
      <c r="D742" s="11" t="s">
        <v>1892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1290</v>
      </c>
      <c r="J742" s="49" t="s">
        <v>32</v>
      </c>
      <c r="K742" s="49" t="s">
        <v>76</v>
      </c>
      <c r="L742" s="49" t="s">
        <v>95</v>
      </c>
      <c r="M742" s="49" t="s">
        <v>77</v>
      </c>
      <c r="N742" s="48" t="s">
        <v>89</v>
      </c>
      <c r="O742" s="49" t="s">
        <v>37</v>
      </c>
      <c r="P742" s="11" t="s">
        <v>80</v>
      </c>
      <c r="Q742" s="11" t="s">
        <v>81</v>
      </c>
      <c r="R742" s="49" t="s">
        <v>1066</v>
      </c>
      <c r="S742" s="11" t="s">
        <v>2717</v>
      </c>
      <c r="T742" s="116" t="s">
        <v>1</v>
      </c>
      <c r="U742" s="88"/>
      <c r="V742" s="51">
        <v>46030</v>
      </c>
      <c r="W742" s="97" t="s">
        <v>1577</v>
      </c>
      <c r="X742" s="135" t="str">
        <f>VLOOKUP(Table1[[#This Row],[AMZ ID]],[1]Roster_1787503287932!$D$2:$AU$1370,25,0)</f>
        <v>Present</v>
      </c>
      <c r="Y742" s="135">
        <f>VLOOKUP(Table1[[#This Row],[AMZ ID]],[1]Roster_1787503287932!$D$2:$AM$1370,35,0)</f>
        <v>0</v>
      </c>
    </row>
    <row r="743" spans="1:25" ht="13" customHeight="1">
      <c r="A743" s="11">
        <v>737</v>
      </c>
      <c r="B743" s="47">
        <v>204010535</v>
      </c>
      <c r="C743" s="89" t="s">
        <v>796</v>
      </c>
      <c r="D743" s="11" t="s">
        <v>797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39</v>
      </c>
      <c r="K743" s="49" t="s">
        <v>76</v>
      </c>
      <c r="L743" s="49" t="s">
        <v>88</v>
      </c>
      <c r="M743" s="49" t="s">
        <v>95</v>
      </c>
      <c r="N743" s="48" t="s">
        <v>86</v>
      </c>
      <c r="O743" s="49" t="s">
        <v>37</v>
      </c>
      <c r="P743" s="11" t="s">
        <v>80</v>
      </c>
      <c r="Q743" s="11" t="s">
        <v>90</v>
      </c>
      <c r="R743" s="49" t="s">
        <v>627</v>
      </c>
      <c r="S743" s="11" t="s">
        <v>628</v>
      </c>
      <c r="T743" s="116" t="s">
        <v>1</v>
      </c>
      <c r="U743" s="88"/>
      <c r="V743" s="51">
        <v>45551</v>
      </c>
      <c r="W743" s="97" t="s">
        <v>1577</v>
      </c>
      <c r="X743" s="135" t="str">
        <f>VLOOKUP(Table1[[#This Row],[AMZ ID]],[1]Roster_1787503287932!$D$2:$AU$1370,25,0)</f>
        <v>Present</v>
      </c>
      <c r="Y743" s="135">
        <f>VLOOKUP(Table1[[#This Row],[AMZ ID]],[1]Roster_1787503287932!$D$2:$AM$1370,35,0)</f>
        <v>0</v>
      </c>
    </row>
    <row r="744" spans="1:25" ht="13" customHeight="1">
      <c r="A744" s="11">
        <v>738</v>
      </c>
      <c r="B744" s="47">
        <v>203514419</v>
      </c>
      <c r="C744" s="89" t="s">
        <v>798</v>
      </c>
      <c r="D744" s="11" t="s">
        <v>799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85</v>
      </c>
      <c r="M744" s="49" t="s">
        <v>88</v>
      </c>
      <c r="N744" s="48" t="s">
        <v>79</v>
      </c>
      <c r="O744" s="49" t="s">
        <v>37</v>
      </c>
      <c r="P744" s="11" t="s">
        <v>80</v>
      </c>
      <c r="Q744" s="11" t="s">
        <v>81</v>
      </c>
      <c r="R744" s="49" t="s">
        <v>1066</v>
      </c>
      <c r="S744" s="11" t="s">
        <v>2717</v>
      </c>
      <c r="T744" s="116" t="s">
        <v>1</v>
      </c>
      <c r="U744" s="88"/>
      <c r="V744" s="51">
        <v>45463</v>
      </c>
      <c r="W744" s="97" t="s">
        <v>1577</v>
      </c>
      <c r="X744" s="135" t="str">
        <f>VLOOKUP(Table1[[#This Row],[AMZ ID]],[1]Roster_1787503287932!$D$2:$AU$1370,25,0)</f>
        <v>Present</v>
      </c>
      <c r="Y744" s="135">
        <f>VLOOKUP(Table1[[#This Row],[AMZ ID]],[1]Roster_1787503287932!$D$2:$AM$1370,35,0)</f>
        <v>0</v>
      </c>
    </row>
    <row r="745" spans="1:25" ht="13" customHeight="1">
      <c r="A745" s="11">
        <v>739</v>
      </c>
      <c r="B745" s="47">
        <v>203851106</v>
      </c>
      <c r="C745" s="89" t="s">
        <v>800</v>
      </c>
      <c r="D745" s="11" t="s">
        <v>801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88</v>
      </c>
      <c r="M745" s="49" t="s">
        <v>95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49" t="s">
        <v>647</v>
      </c>
      <c r="S745" s="11" t="s">
        <v>1798</v>
      </c>
      <c r="T745" s="116" t="s">
        <v>1</v>
      </c>
      <c r="U745" s="88"/>
      <c r="V745" s="51">
        <v>45524</v>
      </c>
      <c r="W745" s="97" t="s">
        <v>1579</v>
      </c>
      <c r="X745" s="135" t="str">
        <f>VLOOKUP(Table1[[#This Row],[AMZ ID]],[1]Roster_1787503287932!$D$2:$AU$1370,25,0)</f>
        <v>Present</v>
      </c>
      <c r="Y745" s="135">
        <f>VLOOKUP(Table1[[#This Row],[AMZ ID]],[1]Roster_1787503287932!$D$2:$AM$1370,35,0)</f>
        <v>0</v>
      </c>
    </row>
    <row r="746" spans="1:25" ht="13" customHeight="1">
      <c r="A746" s="11">
        <v>740</v>
      </c>
      <c r="B746" s="47">
        <v>206930332</v>
      </c>
      <c r="C746" s="89" t="s">
        <v>2828</v>
      </c>
      <c r="D746" s="11" t="s">
        <v>2829</v>
      </c>
      <c r="E746" s="48" t="s">
        <v>31</v>
      </c>
      <c r="F746" s="48" t="s">
        <v>74</v>
      </c>
      <c r="G746" s="48" t="s">
        <v>64</v>
      </c>
      <c r="H746" s="48" t="s">
        <v>75</v>
      </c>
      <c r="I746" s="11">
        <v>1299</v>
      </c>
      <c r="J746" s="49" t="s">
        <v>39</v>
      </c>
      <c r="K746" s="49" t="s">
        <v>76</v>
      </c>
      <c r="L746" s="49" t="s">
        <v>77</v>
      </c>
      <c r="M746" s="49" t="s">
        <v>78</v>
      </c>
      <c r="N746" s="49" t="s">
        <v>89</v>
      </c>
      <c r="O746" s="48" t="s">
        <v>37</v>
      </c>
      <c r="P746" s="48" t="s">
        <v>80</v>
      </c>
      <c r="Q746" s="11" t="s">
        <v>96</v>
      </c>
      <c r="R746" s="11" t="s">
        <v>627</v>
      </c>
      <c r="S746" s="11" t="s">
        <v>628</v>
      </c>
      <c r="T746" s="116" t="s">
        <v>10</v>
      </c>
      <c r="U746" s="88"/>
      <c r="V746" s="51">
        <v>46226</v>
      </c>
      <c r="W746" s="97" t="s">
        <v>1577</v>
      </c>
      <c r="X746" s="135" t="str">
        <f>VLOOKUP(Table1[[#This Row],[AMZ ID]],[1]Roster_1787503287932!$D$2:$AU$1370,25,0)</f>
        <v>Not Present</v>
      </c>
      <c r="Y746" s="135">
        <f>VLOOKUP(Table1[[#This Row],[AMZ ID]],[1]Roster_1787503287932!$D$2:$AM$1370,35,0)</f>
        <v>0</v>
      </c>
    </row>
    <row r="747" spans="1:25" ht="13" customHeight="1">
      <c r="A747" s="11">
        <v>741</v>
      </c>
      <c r="B747" s="47">
        <v>203908894</v>
      </c>
      <c r="C747" s="89" t="s">
        <v>2762</v>
      </c>
      <c r="D747" s="11" t="s">
        <v>2763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85</v>
      </c>
      <c r="M747" s="49" t="s">
        <v>88</v>
      </c>
      <c r="N747" s="48" t="s">
        <v>89</v>
      </c>
      <c r="O747" s="49" t="s">
        <v>37</v>
      </c>
      <c r="P747" s="11" t="s">
        <v>80</v>
      </c>
      <c r="Q747" s="11" t="s">
        <v>90</v>
      </c>
      <c r="R747" s="11" t="s">
        <v>2845</v>
      </c>
      <c r="S747" s="11" t="s">
        <v>2846</v>
      </c>
      <c r="T747" s="116" t="s">
        <v>1</v>
      </c>
      <c r="U747" s="88"/>
      <c r="V747" s="51">
        <v>45537</v>
      </c>
      <c r="W747" s="97" t="s">
        <v>1577</v>
      </c>
      <c r="X747" s="135" t="str">
        <f>VLOOKUP(Table1[[#This Row],[AMZ ID]],[1]Roster_1787503287932!$D$2:$AU$1370,25,0)</f>
        <v>Present</v>
      </c>
      <c r="Y747" s="135">
        <f>VLOOKUP(Table1[[#This Row],[AMZ ID]],[1]Roster_1787503287932!$D$2:$AM$1370,35,0)</f>
        <v>0</v>
      </c>
    </row>
    <row r="748" spans="1:25" ht="13" customHeight="1">
      <c r="A748" s="11">
        <v>742</v>
      </c>
      <c r="B748" s="47">
        <v>203468752</v>
      </c>
      <c r="C748" s="89" t="s">
        <v>802</v>
      </c>
      <c r="D748" s="11" t="s">
        <v>803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77</v>
      </c>
      <c r="M748" s="49" t="s">
        <v>78</v>
      </c>
      <c r="N748" s="48" t="s">
        <v>79</v>
      </c>
      <c r="O748" s="49" t="s">
        <v>37</v>
      </c>
      <c r="P748" s="11" t="s">
        <v>80</v>
      </c>
      <c r="Q748" s="11" t="s">
        <v>81</v>
      </c>
      <c r="R748" s="11" t="s">
        <v>627</v>
      </c>
      <c r="S748" s="11" t="s">
        <v>628</v>
      </c>
      <c r="T748" s="116" t="s">
        <v>10</v>
      </c>
      <c r="U748" s="88"/>
      <c r="V748" s="51">
        <v>45456</v>
      </c>
      <c r="W748" s="97" t="s">
        <v>1579</v>
      </c>
      <c r="X748" s="135" t="str">
        <f>VLOOKUP(Table1[[#This Row],[AMZ ID]],[1]Roster_1787503287932!$D$2:$AU$1370,25,0)</f>
        <v>Not Present</v>
      </c>
      <c r="Y748" s="135">
        <f>VLOOKUP(Table1[[#This Row],[AMZ ID]],[1]Roster_1787503287932!$D$2:$AM$1370,35,0)</f>
        <v>0</v>
      </c>
    </row>
    <row r="749" spans="1:25" ht="13" customHeight="1">
      <c r="A749" s="11">
        <v>743</v>
      </c>
      <c r="B749" s="11">
        <v>203965409</v>
      </c>
      <c r="C749" s="89" t="s">
        <v>804</v>
      </c>
      <c r="D749" s="11" t="s">
        <v>805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32</v>
      </c>
      <c r="K749" s="49" t="s">
        <v>76</v>
      </c>
      <c r="L749" s="49" t="s">
        <v>88</v>
      </c>
      <c r="M749" s="49" t="s">
        <v>95</v>
      </c>
      <c r="N749" s="11" t="s">
        <v>79</v>
      </c>
      <c r="O749" s="11" t="s">
        <v>37</v>
      </c>
      <c r="P749" s="11" t="s">
        <v>80</v>
      </c>
      <c r="Q749" s="11" t="s">
        <v>81</v>
      </c>
      <c r="R749" s="11" t="s">
        <v>647</v>
      </c>
      <c r="S749" s="11" t="s">
        <v>1798</v>
      </c>
      <c r="T749" s="116" t="s">
        <v>1</v>
      </c>
      <c r="U749" s="88"/>
      <c r="V749" s="51">
        <v>45544</v>
      </c>
      <c r="W749" s="102" t="s">
        <v>1577</v>
      </c>
      <c r="X749" s="135" t="str">
        <f>VLOOKUP(Table1[[#This Row],[AMZ ID]],[1]Roster_1787503287932!$D$2:$AU$1370,25,0)</f>
        <v>Present</v>
      </c>
      <c r="Y749" s="135">
        <f>VLOOKUP(Table1[[#This Row],[AMZ ID]],[1]Roster_1787503287932!$D$2:$AM$1370,35,0)</f>
        <v>0</v>
      </c>
    </row>
    <row r="750" spans="1:25" ht="13" customHeight="1">
      <c r="A750" s="11">
        <v>744</v>
      </c>
      <c r="B750" s="47">
        <v>203965407</v>
      </c>
      <c r="C750" s="89" t="s">
        <v>806</v>
      </c>
      <c r="D750" s="11" t="s">
        <v>807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77</v>
      </c>
      <c r="M750" s="49" t="s">
        <v>78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11" t="s">
        <v>627</v>
      </c>
      <c r="S750" s="11" t="s">
        <v>628</v>
      </c>
      <c r="T750" s="116" t="s">
        <v>10</v>
      </c>
      <c r="U750" s="88"/>
      <c r="V750" s="51">
        <v>45544</v>
      </c>
      <c r="W750" s="97" t="s">
        <v>1577</v>
      </c>
      <c r="X750" s="135" t="str">
        <f>VLOOKUP(Table1[[#This Row],[AMZ ID]],[1]Roster_1787503287932!$D$2:$AU$1370,25,0)</f>
        <v>Not Present</v>
      </c>
      <c r="Y750" s="135">
        <f>VLOOKUP(Table1[[#This Row],[AMZ ID]],[1]Roster_1787503287932!$D$2:$AM$1370,35,0)</f>
        <v>0</v>
      </c>
    </row>
    <row r="751" spans="1:25" ht="13" customHeight="1">
      <c r="A751" s="11">
        <v>745</v>
      </c>
      <c r="B751" s="47">
        <v>203965522</v>
      </c>
      <c r="C751" s="89" t="s">
        <v>808</v>
      </c>
      <c r="D751" s="11" t="s">
        <v>809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84</v>
      </c>
      <c r="M751" s="49" t="s">
        <v>85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11" t="s">
        <v>627</v>
      </c>
      <c r="S751" s="11" t="s">
        <v>628</v>
      </c>
      <c r="T751" s="116" t="s">
        <v>1</v>
      </c>
      <c r="U751" s="88"/>
      <c r="V751" s="51">
        <v>45544</v>
      </c>
      <c r="W751" s="97" t="s">
        <v>1577</v>
      </c>
      <c r="X751" s="135" t="str">
        <f>VLOOKUP(Table1[[#This Row],[AMZ ID]],[1]Roster_1787503287932!$D$2:$AU$1370,25,0)</f>
        <v>Present</v>
      </c>
      <c r="Y751" s="135">
        <f>VLOOKUP(Table1[[#This Row],[AMZ ID]],[1]Roster_1787503287932!$D$2:$AM$1370,35,0)</f>
        <v>0</v>
      </c>
    </row>
    <row r="752" spans="1:25" ht="13" customHeight="1">
      <c r="A752" s="11">
        <v>746</v>
      </c>
      <c r="B752" s="47">
        <v>204138500</v>
      </c>
      <c r="C752" s="89" t="s">
        <v>810</v>
      </c>
      <c r="D752" s="47" t="s">
        <v>811</v>
      </c>
      <c r="E752" s="47" t="s">
        <v>31</v>
      </c>
      <c r="F752" s="48" t="s">
        <v>74</v>
      </c>
      <c r="G752" s="11" t="s">
        <v>64</v>
      </c>
      <c r="H752" s="11" t="s">
        <v>75</v>
      </c>
      <c r="I752" s="47">
        <v>1299</v>
      </c>
      <c r="J752" s="49" t="s">
        <v>32</v>
      </c>
      <c r="K752" s="49" t="s">
        <v>76</v>
      </c>
      <c r="L752" s="49" t="s">
        <v>84</v>
      </c>
      <c r="M752" s="49" t="s">
        <v>85</v>
      </c>
      <c r="N752" s="49" t="s">
        <v>86</v>
      </c>
      <c r="O752" s="49" t="s">
        <v>37</v>
      </c>
      <c r="P752" s="11" t="s">
        <v>80</v>
      </c>
      <c r="Q752" s="47" t="s">
        <v>87</v>
      </c>
      <c r="R752" s="49" t="s">
        <v>1066</v>
      </c>
      <c r="S752" s="47" t="s">
        <v>2717</v>
      </c>
      <c r="T752" s="116" t="s">
        <v>1</v>
      </c>
      <c r="U752" s="88"/>
      <c r="V752" s="51">
        <v>45565</v>
      </c>
      <c r="W752" s="97" t="s">
        <v>1579</v>
      </c>
      <c r="X752" s="135" t="str">
        <f>VLOOKUP(Table1[[#This Row],[AMZ ID]],[1]Roster_1787503287932!$D$2:$AU$1370,25,0)</f>
        <v>Present</v>
      </c>
      <c r="Y752" s="135">
        <f>VLOOKUP(Table1[[#This Row],[AMZ ID]],[1]Roster_1787503287932!$D$2:$AM$1370,35,0)</f>
        <v>0</v>
      </c>
    </row>
    <row r="753" spans="1:25" ht="13" customHeight="1">
      <c r="A753" s="11">
        <v>747</v>
      </c>
      <c r="B753" s="47">
        <v>203468749</v>
      </c>
      <c r="C753" s="89" t="s">
        <v>812</v>
      </c>
      <c r="D753" s="11" t="s">
        <v>813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95</v>
      </c>
      <c r="M753" s="49" t="s">
        <v>77</v>
      </c>
      <c r="N753" s="49" t="s">
        <v>79</v>
      </c>
      <c r="O753" s="48" t="s">
        <v>37</v>
      </c>
      <c r="P753" s="48" t="s">
        <v>80</v>
      </c>
      <c r="Q753" s="11" t="s">
        <v>81</v>
      </c>
      <c r="R753" s="11" t="s">
        <v>631</v>
      </c>
      <c r="S753" s="11" t="s">
        <v>632</v>
      </c>
      <c r="T753" s="116" t="s">
        <v>1</v>
      </c>
      <c r="U753" s="88"/>
      <c r="V753" s="51">
        <v>45456</v>
      </c>
      <c r="W753" s="97" t="s">
        <v>1579</v>
      </c>
      <c r="X753" s="135" t="str">
        <f>VLOOKUP(Table1[[#This Row],[AMZ ID]],[1]Roster_1787503287932!$D$2:$AU$1370,25,0)</f>
        <v>Present</v>
      </c>
      <c r="Y753" s="135">
        <f>VLOOKUP(Table1[[#This Row],[AMZ ID]],[1]Roster_1787503287932!$D$2:$AM$1370,35,0)</f>
        <v>0</v>
      </c>
    </row>
    <row r="754" spans="1:25" ht="13" customHeight="1">
      <c r="A754" s="11">
        <v>748</v>
      </c>
      <c r="B754" s="47">
        <v>206129606</v>
      </c>
      <c r="C754" s="89" t="s">
        <v>814</v>
      </c>
      <c r="D754" s="11" t="s">
        <v>815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32</v>
      </c>
      <c r="K754" s="49" t="s">
        <v>76</v>
      </c>
      <c r="L754" s="49" t="s">
        <v>85</v>
      </c>
      <c r="M754" s="49" t="s">
        <v>88</v>
      </c>
      <c r="N754" s="48" t="s">
        <v>79</v>
      </c>
      <c r="O754" s="49" t="s">
        <v>37</v>
      </c>
      <c r="P754" s="11" t="s">
        <v>80</v>
      </c>
      <c r="Q754" s="11" t="s">
        <v>81</v>
      </c>
      <c r="R754" s="49" t="s">
        <v>1066</v>
      </c>
      <c r="S754" s="11" t="s">
        <v>2717</v>
      </c>
      <c r="T754" s="116" t="s">
        <v>1</v>
      </c>
      <c r="U754" s="88"/>
      <c r="V754" s="51">
        <v>45929</v>
      </c>
      <c r="W754" s="97" t="s">
        <v>1577</v>
      </c>
      <c r="X754" s="135" t="str">
        <f>VLOOKUP(Table1[[#This Row],[AMZ ID]],[1]Roster_1787503287932!$D$2:$AU$1370,25,0)</f>
        <v>Present</v>
      </c>
      <c r="Y754" s="135">
        <f>VLOOKUP(Table1[[#This Row],[AMZ ID]],[1]Roster_1787503287932!$D$2:$AM$1370,35,0)</f>
        <v>0</v>
      </c>
    </row>
    <row r="755" spans="1:25" ht="13" customHeight="1">
      <c r="A755" s="11">
        <v>749</v>
      </c>
      <c r="B755" s="47">
        <v>206915012</v>
      </c>
      <c r="C755" s="89" t="s">
        <v>2842</v>
      </c>
      <c r="D755" s="11" t="s">
        <v>2843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39</v>
      </c>
      <c r="K755" s="49" t="s">
        <v>76</v>
      </c>
      <c r="L755" s="49" t="s">
        <v>77</v>
      </c>
      <c r="M755" s="49" t="s">
        <v>78</v>
      </c>
      <c r="N755" s="48" t="s">
        <v>89</v>
      </c>
      <c r="O755" s="49" t="s">
        <v>37</v>
      </c>
      <c r="P755" s="11" t="s">
        <v>80</v>
      </c>
      <c r="Q755" s="11" t="s">
        <v>90</v>
      </c>
      <c r="R755" s="49" t="s">
        <v>631</v>
      </c>
      <c r="S755" s="11" t="s">
        <v>632</v>
      </c>
      <c r="T755" s="116" t="s">
        <v>10</v>
      </c>
      <c r="U755" s="88"/>
      <c r="V755" s="51">
        <v>46226</v>
      </c>
      <c r="W755" s="97" t="s">
        <v>1577</v>
      </c>
      <c r="X755" s="135" t="str">
        <f>VLOOKUP(Table1[[#This Row],[AMZ ID]],[1]Roster_1787503287932!$D$2:$AU$1370,25,0)</f>
        <v>Not Present</v>
      </c>
      <c r="Y755" s="135">
        <f>VLOOKUP(Table1[[#This Row],[AMZ ID]],[1]Roster_1787503287932!$D$2:$AM$1370,35,0)</f>
        <v>0</v>
      </c>
    </row>
    <row r="756" spans="1:25" ht="13" customHeight="1">
      <c r="A756" s="11">
        <v>750</v>
      </c>
      <c r="B756" s="47">
        <v>204319808</v>
      </c>
      <c r="C756" s="89" t="s">
        <v>816</v>
      </c>
      <c r="D756" s="11" t="s">
        <v>817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36</v>
      </c>
      <c r="M756" s="49" t="s">
        <v>92</v>
      </c>
      <c r="N756" s="49" t="s">
        <v>86</v>
      </c>
      <c r="O756" s="49" t="s">
        <v>37</v>
      </c>
      <c r="P756" s="11" t="s">
        <v>80</v>
      </c>
      <c r="Q756" s="11" t="s">
        <v>87</v>
      </c>
      <c r="R756" s="11" t="s">
        <v>631</v>
      </c>
      <c r="S756" s="11" t="s">
        <v>632</v>
      </c>
      <c r="T756" s="116" t="s">
        <v>1</v>
      </c>
      <c r="U756" s="88"/>
      <c r="V756" s="51">
        <v>45589</v>
      </c>
      <c r="W756" s="97" t="s">
        <v>1579</v>
      </c>
      <c r="X756" s="135" t="str">
        <f>VLOOKUP(Table1[[#This Row],[AMZ ID]],[1]Roster_1787503287932!$D$2:$AU$1370,25,0)</f>
        <v>Present</v>
      </c>
      <c r="Y756" s="135">
        <f>VLOOKUP(Table1[[#This Row],[AMZ ID]],[1]Roster_1787503287932!$D$2:$AM$1370,35,0)</f>
        <v>0</v>
      </c>
    </row>
    <row r="757" spans="1:25" ht="13" customHeight="1">
      <c r="A757" s="11">
        <v>751</v>
      </c>
      <c r="B757" s="47">
        <v>204009355</v>
      </c>
      <c r="C757" s="89" t="s">
        <v>2394</v>
      </c>
      <c r="D757" s="11" t="s">
        <v>2395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32</v>
      </c>
      <c r="K757" s="49" t="s">
        <v>76</v>
      </c>
      <c r="L757" s="49" t="s">
        <v>88</v>
      </c>
      <c r="M757" s="49" t="s">
        <v>95</v>
      </c>
      <c r="N757" s="49" t="s">
        <v>86</v>
      </c>
      <c r="O757" s="49" t="s">
        <v>37</v>
      </c>
      <c r="P757" s="11" t="s">
        <v>80</v>
      </c>
      <c r="Q757" s="11" t="s">
        <v>90</v>
      </c>
      <c r="R757" s="49" t="s">
        <v>2845</v>
      </c>
      <c r="S757" s="11" t="s">
        <v>2846</v>
      </c>
      <c r="T757" s="116" t="s">
        <v>1</v>
      </c>
      <c r="U757" s="88"/>
      <c r="V757" s="51">
        <v>45551</v>
      </c>
      <c r="W757" s="97" t="s">
        <v>1577</v>
      </c>
      <c r="X757" s="135" t="str">
        <f>VLOOKUP(Table1[[#This Row],[AMZ ID]],[1]Roster_1787503287932!$D$2:$AU$1370,25,0)</f>
        <v>Present</v>
      </c>
      <c r="Y757" s="135">
        <f>VLOOKUP(Table1[[#This Row],[AMZ ID]],[1]Roster_1787503287932!$D$2:$AM$1370,35,0)</f>
        <v>0</v>
      </c>
    </row>
    <row r="758" spans="1:25" ht="13" customHeight="1">
      <c r="A758" s="11">
        <v>752</v>
      </c>
      <c r="B758" s="47">
        <v>206846111</v>
      </c>
      <c r="C758" s="89" t="s">
        <v>1823</v>
      </c>
      <c r="D758" s="11" t="s">
        <v>1824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88</v>
      </c>
      <c r="M758" s="49" t="s">
        <v>95</v>
      </c>
      <c r="N758" s="48" t="s">
        <v>89</v>
      </c>
      <c r="O758" s="49" t="s">
        <v>37</v>
      </c>
      <c r="P758" s="11" t="s">
        <v>80</v>
      </c>
      <c r="Q758" s="11" t="s">
        <v>90</v>
      </c>
      <c r="R758" s="49" t="s">
        <v>2719</v>
      </c>
      <c r="S758" s="11" t="s">
        <v>642</v>
      </c>
      <c r="T758" s="116" t="s">
        <v>1</v>
      </c>
      <c r="U758" s="88"/>
      <c r="V758" s="51">
        <v>46013</v>
      </c>
      <c r="W758" s="97" t="s">
        <v>1577</v>
      </c>
      <c r="X758" s="135" t="str">
        <f>VLOOKUP(Table1[[#This Row],[AMZ ID]],[1]Roster_1787503287932!$D$2:$AU$1370,25,0)</f>
        <v>Present</v>
      </c>
      <c r="Y758" s="135">
        <f>VLOOKUP(Table1[[#This Row],[AMZ ID]],[1]Roster_1787503287932!$D$2:$AM$1370,35,0)</f>
        <v>0</v>
      </c>
    </row>
    <row r="759" spans="1:25" ht="13" customHeight="1">
      <c r="A759" s="11">
        <v>753</v>
      </c>
      <c r="B759" s="47">
        <v>206897636</v>
      </c>
      <c r="C759" s="89" t="s">
        <v>1901</v>
      </c>
      <c r="D759" s="11" t="s">
        <v>1902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1290</v>
      </c>
      <c r="J759" s="49" t="s">
        <v>32</v>
      </c>
      <c r="K759" s="49" t="s">
        <v>76</v>
      </c>
      <c r="L759" s="49" t="s">
        <v>77</v>
      </c>
      <c r="M759" s="49" t="s">
        <v>78</v>
      </c>
      <c r="N759" s="48" t="s">
        <v>89</v>
      </c>
      <c r="O759" s="49" t="s">
        <v>37</v>
      </c>
      <c r="P759" s="11" t="s">
        <v>80</v>
      </c>
      <c r="Q759" s="11" t="s">
        <v>81</v>
      </c>
      <c r="R759" s="11" t="s">
        <v>1066</v>
      </c>
      <c r="S759" s="11" t="s">
        <v>2717</v>
      </c>
      <c r="T759" s="116" t="s">
        <v>10</v>
      </c>
      <c r="U759" s="88"/>
      <c r="V759" s="51">
        <v>46030</v>
      </c>
      <c r="W759" s="97" t="s">
        <v>1578</v>
      </c>
      <c r="X759" s="135" t="str">
        <f>VLOOKUP(Table1[[#This Row],[AMZ ID]],[1]Roster_1787503287932!$D$2:$AU$1370,25,0)</f>
        <v>Not Present</v>
      </c>
      <c r="Y759" s="135">
        <f>VLOOKUP(Table1[[#This Row],[AMZ ID]],[1]Roster_1787503287932!$D$2:$AM$1370,35,0)</f>
        <v>0</v>
      </c>
    </row>
    <row r="760" spans="1:25" ht="13" customHeight="1">
      <c r="A760" s="11">
        <v>754</v>
      </c>
      <c r="B760" s="47">
        <v>204946697</v>
      </c>
      <c r="C760" s="89" t="s">
        <v>818</v>
      </c>
      <c r="D760" s="11" t="s">
        <v>819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92</v>
      </c>
      <c r="M760" s="49" t="s">
        <v>84</v>
      </c>
      <c r="N760" s="48" t="s">
        <v>86</v>
      </c>
      <c r="O760" s="49" t="s">
        <v>37</v>
      </c>
      <c r="P760" s="11" t="s">
        <v>80</v>
      </c>
      <c r="Q760" s="11" t="s">
        <v>90</v>
      </c>
      <c r="R760" s="49" t="s">
        <v>647</v>
      </c>
      <c r="S760" s="11" t="s">
        <v>1798</v>
      </c>
      <c r="T760" s="116" t="s">
        <v>1</v>
      </c>
      <c r="U760" s="88"/>
      <c r="V760" s="51">
        <v>45719</v>
      </c>
      <c r="W760" s="97" t="s">
        <v>1577</v>
      </c>
      <c r="X760" s="135" t="str">
        <f>VLOOKUP(Table1[[#This Row],[AMZ ID]],[1]Roster_1787503287932!$D$2:$AU$1370,25,0)</f>
        <v>Present</v>
      </c>
      <c r="Y760" s="135">
        <f>VLOOKUP(Table1[[#This Row],[AMZ ID]],[1]Roster_1787503287932!$D$2:$AM$1370,35,0)</f>
        <v>0</v>
      </c>
    </row>
    <row r="761" spans="1:25" ht="13" customHeight="1">
      <c r="A761" s="11">
        <v>755</v>
      </c>
      <c r="B761" s="47">
        <v>204967053</v>
      </c>
      <c r="C761" s="89" t="s">
        <v>820</v>
      </c>
      <c r="D761" s="11" t="s">
        <v>821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32</v>
      </c>
      <c r="K761" s="49" t="s">
        <v>76</v>
      </c>
      <c r="L761" s="49" t="s">
        <v>85</v>
      </c>
      <c r="M761" s="49" t="s">
        <v>88</v>
      </c>
      <c r="N761" s="49" t="s">
        <v>86</v>
      </c>
      <c r="O761" s="49" t="s">
        <v>37</v>
      </c>
      <c r="P761" s="11" t="s">
        <v>80</v>
      </c>
      <c r="Q761" s="11" t="s">
        <v>90</v>
      </c>
      <c r="R761" s="11" t="s">
        <v>647</v>
      </c>
      <c r="S761" s="11" t="s">
        <v>1798</v>
      </c>
      <c r="T761" s="116" t="s">
        <v>1</v>
      </c>
      <c r="U761" s="88"/>
      <c r="V761" s="51">
        <v>45719</v>
      </c>
      <c r="W761" s="97" t="s">
        <v>1577</v>
      </c>
      <c r="X761" s="135" t="str">
        <f>VLOOKUP(Table1[[#This Row],[AMZ ID]],[1]Roster_1787503287932!$D$2:$AU$1370,25,0)</f>
        <v>Present</v>
      </c>
      <c r="Y761" s="135">
        <f>VLOOKUP(Table1[[#This Row],[AMZ ID]],[1]Roster_1787503287932!$D$2:$AM$1370,35,0)</f>
        <v>0</v>
      </c>
    </row>
    <row r="762" spans="1:25" ht="13" customHeight="1">
      <c r="A762" s="11">
        <v>756</v>
      </c>
      <c r="B762" s="47">
        <v>206137344</v>
      </c>
      <c r="C762" s="89" t="s">
        <v>1641</v>
      </c>
      <c r="D762" s="11" t="s">
        <v>1636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92</v>
      </c>
      <c r="M762" s="49" t="s">
        <v>84</v>
      </c>
      <c r="N762" s="49" t="s">
        <v>89</v>
      </c>
      <c r="O762" s="49" t="s">
        <v>37</v>
      </c>
      <c r="P762" s="11" t="s">
        <v>80</v>
      </c>
      <c r="Q762" s="11" t="s">
        <v>81</v>
      </c>
      <c r="R762" s="11" t="s">
        <v>627</v>
      </c>
      <c r="S762" s="11" t="s">
        <v>628</v>
      </c>
      <c r="T762" s="116" t="s">
        <v>1</v>
      </c>
      <c r="U762" s="88"/>
      <c r="V762" s="51">
        <v>45943</v>
      </c>
      <c r="W762" s="97" t="s">
        <v>1576</v>
      </c>
      <c r="X762" s="135" t="str">
        <f>VLOOKUP(Table1[[#This Row],[AMZ ID]],[1]Roster_1787503287932!$D$2:$AU$1370,25,0)</f>
        <v>Present</v>
      </c>
      <c r="Y762" s="135">
        <f>VLOOKUP(Table1[[#This Row],[AMZ ID]],[1]Roster_1787503287932!$D$2:$AM$1370,35,0)</f>
        <v>0</v>
      </c>
    </row>
    <row r="763" spans="1:25" ht="13" customHeight="1">
      <c r="A763" s="11">
        <v>757</v>
      </c>
      <c r="B763" s="47">
        <v>206192264</v>
      </c>
      <c r="C763" s="89" t="s">
        <v>1614</v>
      </c>
      <c r="D763" s="11" t="s">
        <v>1607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39</v>
      </c>
      <c r="K763" s="49" t="s">
        <v>76</v>
      </c>
      <c r="L763" s="49" t="s">
        <v>95</v>
      </c>
      <c r="M763" s="49" t="s">
        <v>77</v>
      </c>
      <c r="N763" s="49" t="s">
        <v>89</v>
      </c>
      <c r="O763" s="49" t="s">
        <v>37</v>
      </c>
      <c r="P763" s="11" t="s">
        <v>80</v>
      </c>
      <c r="Q763" s="11" t="s">
        <v>96</v>
      </c>
      <c r="R763" s="11" t="s">
        <v>627</v>
      </c>
      <c r="S763" s="11" t="s">
        <v>628</v>
      </c>
      <c r="T763" s="116" t="s">
        <v>1</v>
      </c>
      <c r="U763" s="88"/>
      <c r="V763" s="51">
        <v>45936</v>
      </c>
      <c r="W763" s="97" t="s">
        <v>1577</v>
      </c>
      <c r="X763" s="135" t="str">
        <f>VLOOKUP(Table1[[#This Row],[AMZ ID]],[1]Roster_1787503287932!$D$2:$AU$1370,25,0)</f>
        <v>Present</v>
      </c>
      <c r="Y763" s="135">
        <f>VLOOKUP(Table1[[#This Row],[AMZ ID]],[1]Roster_1787503287932!$D$2:$AM$1370,35,0)</f>
        <v>0</v>
      </c>
    </row>
    <row r="764" spans="1:25" ht="13" customHeight="1">
      <c r="A764" s="11">
        <v>758</v>
      </c>
      <c r="B764" s="47">
        <v>203850771</v>
      </c>
      <c r="C764" s="89" t="s">
        <v>2396</v>
      </c>
      <c r="D764" s="11" t="s">
        <v>2397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84</v>
      </c>
      <c r="M764" s="49" t="s">
        <v>85</v>
      </c>
      <c r="N764" s="48" t="s">
        <v>86</v>
      </c>
      <c r="O764" s="49" t="s">
        <v>37</v>
      </c>
      <c r="P764" s="11" t="s">
        <v>80</v>
      </c>
      <c r="Q764" s="11" t="s">
        <v>90</v>
      </c>
      <c r="R764" s="11" t="s">
        <v>647</v>
      </c>
      <c r="S764" s="11" t="s">
        <v>1798</v>
      </c>
      <c r="T764" s="116" t="s">
        <v>1</v>
      </c>
      <c r="U764" s="88"/>
      <c r="V764" s="51">
        <v>45524</v>
      </c>
      <c r="W764" s="97" t="s">
        <v>1577</v>
      </c>
      <c r="X764" s="135" t="str">
        <f>VLOOKUP(Table1[[#This Row],[AMZ ID]],[1]Roster_1787503287932!$D$2:$AU$1370,25,0)</f>
        <v>Present</v>
      </c>
      <c r="Y764" s="135">
        <f>VLOOKUP(Table1[[#This Row],[AMZ ID]],[1]Roster_1787503287932!$D$2:$AM$1370,35,0)</f>
        <v>0</v>
      </c>
    </row>
    <row r="765" spans="1:25" ht="13" customHeight="1">
      <c r="A765" s="11">
        <v>759</v>
      </c>
      <c r="B765" s="47">
        <v>203908324</v>
      </c>
      <c r="C765" s="89" t="s">
        <v>822</v>
      </c>
      <c r="D765" s="11" t="s">
        <v>823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32</v>
      </c>
      <c r="K765" s="49" t="s">
        <v>76</v>
      </c>
      <c r="L765" s="49" t="s">
        <v>95</v>
      </c>
      <c r="M765" s="49" t="s">
        <v>77</v>
      </c>
      <c r="N765" s="48" t="s">
        <v>79</v>
      </c>
      <c r="O765" s="49" t="s">
        <v>37</v>
      </c>
      <c r="P765" s="11" t="s">
        <v>80</v>
      </c>
      <c r="Q765" s="11" t="s">
        <v>81</v>
      </c>
      <c r="R765" s="49" t="s">
        <v>2845</v>
      </c>
      <c r="S765" s="11" t="s">
        <v>2846</v>
      </c>
      <c r="T765" s="116" t="s">
        <v>1</v>
      </c>
      <c r="U765" s="88"/>
      <c r="V765" s="51">
        <v>45537</v>
      </c>
      <c r="W765" s="97" t="s">
        <v>1577</v>
      </c>
      <c r="X765" s="135" t="str">
        <f>VLOOKUP(Table1[[#This Row],[AMZ ID]],[1]Roster_1787503287932!$D$2:$AU$1370,25,0)</f>
        <v>Present</v>
      </c>
      <c r="Y765" s="135">
        <f>VLOOKUP(Table1[[#This Row],[AMZ ID]],[1]Roster_1787503287932!$D$2:$AM$1370,35,0)</f>
        <v>0</v>
      </c>
    </row>
    <row r="766" spans="1:25" ht="13" customHeight="1">
      <c r="A766" s="11">
        <v>760</v>
      </c>
      <c r="B766" s="47">
        <v>203881658</v>
      </c>
      <c r="C766" s="89" t="s">
        <v>824</v>
      </c>
      <c r="D766" s="11" t="s">
        <v>825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92</v>
      </c>
      <c r="M766" s="49" t="s">
        <v>84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49" t="s">
        <v>627</v>
      </c>
      <c r="S766" s="11" t="s">
        <v>628</v>
      </c>
      <c r="T766" s="116" t="s">
        <v>1</v>
      </c>
      <c r="U766" s="88"/>
      <c r="V766" s="51">
        <v>45530</v>
      </c>
      <c r="W766" s="97" t="s">
        <v>1577</v>
      </c>
      <c r="X766" s="135" t="str">
        <f>VLOOKUP(Table1[[#This Row],[AMZ ID]],[1]Roster_1787503287932!$D$2:$AU$1370,25,0)</f>
        <v>Present</v>
      </c>
      <c r="Y766" s="135">
        <f>VLOOKUP(Table1[[#This Row],[AMZ ID]],[1]Roster_1787503287932!$D$2:$AM$1370,35,0)</f>
        <v>0</v>
      </c>
    </row>
    <row r="767" spans="1:25" ht="13" customHeight="1">
      <c r="A767" s="11">
        <v>761</v>
      </c>
      <c r="B767" s="47">
        <v>205854275</v>
      </c>
      <c r="C767" s="89" t="s">
        <v>826</v>
      </c>
      <c r="D767" s="11" t="s">
        <v>827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39</v>
      </c>
      <c r="K767" s="49" t="s">
        <v>76</v>
      </c>
      <c r="L767" s="49" t="s">
        <v>84</v>
      </c>
      <c r="M767" s="49" t="s">
        <v>85</v>
      </c>
      <c r="N767" s="49" t="s">
        <v>79</v>
      </c>
      <c r="O767" s="49" t="s">
        <v>37</v>
      </c>
      <c r="P767" s="11" t="s">
        <v>80</v>
      </c>
      <c r="Q767" s="11" t="s">
        <v>96</v>
      </c>
      <c r="R767" s="49" t="s">
        <v>631</v>
      </c>
      <c r="S767" s="11" t="s">
        <v>632</v>
      </c>
      <c r="T767" s="116" t="s">
        <v>1</v>
      </c>
      <c r="U767" s="88"/>
      <c r="V767" s="51">
        <v>45894</v>
      </c>
      <c r="W767" s="97" t="s">
        <v>1577</v>
      </c>
      <c r="X767" s="135" t="str">
        <f>VLOOKUP(Table1[[#This Row],[AMZ ID]],[1]Roster_1787503287932!$D$2:$AU$1370,25,0)</f>
        <v>Present</v>
      </c>
      <c r="Y767" s="135">
        <f>VLOOKUP(Table1[[#This Row],[AMZ ID]],[1]Roster_1787503287932!$D$2:$AM$1370,35,0)</f>
        <v>0</v>
      </c>
    </row>
    <row r="768" spans="1:25" ht="13" customHeight="1">
      <c r="A768" s="11">
        <v>762</v>
      </c>
      <c r="B768" s="47">
        <v>206192267</v>
      </c>
      <c r="C768" s="89" t="s">
        <v>1608</v>
      </c>
      <c r="D768" s="11" t="s">
        <v>1601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78</v>
      </c>
      <c r="M768" s="49" t="s">
        <v>92</v>
      </c>
      <c r="N768" s="48" t="s">
        <v>79</v>
      </c>
      <c r="O768" s="49" t="s">
        <v>37</v>
      </c>
      <c r="P768" s="11" t="s">
        <v>80</v>
      </c>
      <c r="Q768" s="11" t="s">
        <v>96</v>
      </c>
      <c r="R768" s="11" t="s">
        <v>631</v>
      </c>
      <c r="S768" s="11" t="s">
        <v>632</v>
      </c>
      <c r="T768" s="116" t="s">
        <v>10</v>
      </c>
      <c r="U768" s="88"/>
      <c r="V768" s="51">
        <v>45936</v>
      </c>
      <c r="W768" s="97" t="s">
        <v>1577</v>
      </c>
      <c r="X768" s="135" t="str">
        <f>VLOOKUP(Table1[[#This Row],[AMZ ID]],[1]Roster_1787503287932!$D$2:$AU$1370,25,0)</f>
        <v>Not Present</v>
      </c>
      <c r="Y768" s="135">
        <f>VLOOKUP(Table1[[#This Row],[AMZ ID]],[1]Roster_1787503287932!$D$2:$AM$1370,35,0)</f>
        <v>0</v>
      </c>
    </row>
    <row r="769" spans="1:25" ht="13" customHeight="1">
      <c r="A769" s="11">
        <v>763</v>
      </c>
      <c r="B769" s="47">
        <v>206192230</v>
      </c>
      <c r="C769" s="89" t="s">
        <v>1609</v>
      </c>
      <c r="D769" s="11" t="s">
        <v>1602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36</v>
      </c>
      <c r="M769" s="49" t="s">
        <v>92</v>
      </c>
      <c r="N769" s="48" t="s">
        <v>79</v>
      </c>
      <c r="O769" s="49" t="s">
        <v>37</v>
      </c>
      <c r="P769" s="11" t="s">
        <v>80</v>
      </c>
      <c r="Q769" s="11" t="s">
        <v>96</v>
      </c>
      <c r="R769" s="11" t="s">
        <v>631</v>
      </c>
      <c r="S769" s="11" t="s">
        <v>632</v>
      </c>
      <c r="T769" s="116" t="s">
        <v>1</v>
      </c>
      <c r="U769" s="88"/>
      <c r="V769" s="51">
        <v>45936</v>
      </c>
      <c r="W769" s="102" t="s">
        <v>1577</v>
      </c>
      <c r="X769" s="135" t="str">
        <f>VLOOKUP(Table1[[#This Row],[AMZ ID]],[1]Roster_1787503287932!$D$2:$AU$1370,25,0)</f>
        <v>Present</v>
      </c>
      <c r="Y769" s="135">
        <f>VLOOKUP(Table1[[#This Row],[AMZ ID]],[1]Roster_1787503287932!$D$2:$AM$1370,35,0)</f>
        <v>0</v>
      </c>
    </row>
    <row r="770" spans="1:25" ht="13" customHeight="1">
      <c r="A770" s="11">
        <v>764</v>
      </c>
      <c r="B770" s="47">
        <v>203908323</v>
      </c>
      <c r="C770" s="89" t="s">
        <v>828</v>
      </c>
      <c r="D770" s="11" t="s">
        <v>829</v>
      </c>
      <c r="E770" s="11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88</v>
      </c>
      <c r="M770" s="49" t="s">
        <v>95</v>
      </c>
      <c r="N770" s="49" t="s">
        <v>86</v>
      </c>
      <c r="O770" s="49" t="s">
        <v>37</v>
      </c>
      <c r="P770" s="11" t="s">
        <v>80</v>
      </c>
      <c r="Q770" s="11" t="s">
        <v>90</v>
      </c>
      <c r="R770" s="11" t="s">
        <v>2719</v>
      </c>
      <c r="S770" s="11" t="s">
        <v>642</v>
      </c>
      <c r="T770" s="116" t="s">
        <v>7</v>
      </c>
      <c r="U770" s="88"/>
      <c r="V770" s="51">
        <v>45789</v>
      </c>
      <c r="W770" s="97" t="s">
        <v>1577</v>
      </c>
      <c r="X770" s="135" t="str">
        <f>VLOOKUP(Table1[[#This Row],[AMZ ID]],[1]Roster_1787503287932!$D$2:$AU$1370,25,0)</f>
        <v>Not Present</v>
      </c>
      <c r="Y770" s="135" t="str">
        <f>VLOOKUP(Table1[[#This Row],[AMZ ID]],[1]Roster_1787503287932!$D$2:$AM$1370,35,0)</f>
        <v>Carry Forwarded Annual Leave</v>
      </c>
    </row>
    <row r="771" spans="1:25" ht="13" customHeight="1">
      <c r="A771" s="11">
        <v>765</v>
      </c>
      <c r="B771" s="47">
        <v>105485458</v>
      </c>
      <c r="C771" s="89" t="s">
        <v>362</v>
      </c>
      <c r="D771" s="11" t="s">
        <v>363</v>
      </c>
      <c r="E771" s="48" t="s">
        <v>34</v>
      </c>
      <c r="F771" s="48" t="s">
        <v>74</v>
      </c>
      <c r="G771" s="11" t="s">
        <v>64</v>
      </c>
      <c r="H771" s="11" t="s">
        <v>75</v>
      </c>
      <c r="I771" s="11">
        <v>1182</v>
      </c>
      <c r="J771" s="49" t="s">
        <v>32</v>
      </c>
      <c r="K771" s="49" t="s">
        <v>76</v>
      </c>
      <c r="L771" s="49" t="s">
        <v>88</v>
      </c>
      <c r="M771" s="49" t="s">
        <v>95</v>
      </c>
      <c r="N771" s="48" t="s">
        <v>97</v>
      </c>
      <c r="O771" s="49" t="s">
        <v>37</v>
      </c>
      <c r="P771" s="11" t="s">
        <v>80</v>
      </c>
      <c r="Q771" s="11" t="s">
        <v>98</v>
      </c>
      <c r="R771" s="49" t="s">
        <v>2845</v>
      </c>
      <c r="S771" s="11" t="s">
        <v>2846</v>
      </c>
      <c r="T771" s="116" t="s">
        <v>1</v>
      </c>
      <c r="U771" s="88"/>
      <c r="V771" s="51">
        <v>44728</v>
      </c>
      <c r="W771" s="97" t="s">
        <v>1581</v>
      </c>
      <c r="X771" s="135" t="str">
        <f>VLOOKUP(Table1[[#This Row],[AMZ ID]],[1]Roster_1787503287932!$D$2:$AU$1370,25,0)</f>
        <v>Present</v>
      </c>
      <c r="Y771" s="135">
        <f>VLOOKUP(Table1[[#This Row],[AMZ ID]],[1]Roster_1787503287932!$D$2:$AM$1370,35,0)</f>
        <v>0</v>
      </c>
    </row>
    <row r="772" spans="1:25" ht="13" customHeight="1">
      <c r="A772" s="11">
        <v>766</v>
      </c>
      <c r="B772" s="47">
        <v>205252538</v>
      </c>
      <c r="C772" s="89" t="s">
        <v>2871</v>
      </c>
      <c r="D772" s="11" t="s">
        <v>2872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92</v>
      </c>
      <c r="M772" s="49" t="s">
        <v>84</v>
      </c>
      <c r="N772" s="49" t="s">
        <v>89</v>
      </c>
      <c r="O772" s="49" t="s">
        <v>37</v>
      </c>
      <c r="P772" s="11" t="s">
        <v>80</v>
      </c>
      <c r="Q772" s="11" t="s">
        <v>96</v>
      </c>
      <c r="R772" s="49" t="s">
        <v>1066</v>
      </c>
      <c r="S772" s="11" t="s">
        <v>2717</v>
      </c>
      <c r="T772" s="116" t="s">
        <v>1</v>
      </c>
      <c r="U772" s="88"/>
      <c r="V772" s="51">
        <v>46238</v>
      </c>
      <c r="W772" s="97" t="s">
        <v>1577</v>
      </c>
      <c r="X772" s="135" t="str">
        <f>VLOOKUP(Table1[[#This Row],[AMZ ID]],[1]Roster_1787503287932!$D$2:$AU$1370,25,0)</f>
        <v>Present</v>
      </c>
      <c r="Y772" s="135">
        <f>VLOOKUP(Table1[[#This Row],[AMZ ID]],[1]Roster_1787503287932!$D$2:$AM$1370,35,0)</f>
        <v>0</v>
      </c>
    </row>
    <row r="773" spans="1:25" ht="13" customHeight="1">
      <c r="A773" s="11">
        <v>767</v>
      </c>
      <c r="B773" s="47">
        <v>204373722</v>
      </c>
      <c r="C773" s="89" t="s">
        <v>830</v>
      </c>
      <c r="D773" s="11" t="s">
        <v>831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85</v>
      </c>
      <c r="M773" s="49" t="s">
        <v>88</v>
      </c>
      <c r="N773" s="49" t="s">
        <v>86</v>
      </c>
      <c r="O773" s="49" t="s">
        <v>37</v>
      </c>
      <c r="P773" s="11" t="s">
        <v>80</v>
      </c>
      <c r="Q773" s="11" t="s">
        <v>99</v>
      </c>
      <c r="R773" s="49" t="s">
        <v>647</v>
      </c>
      <c r="S773" s="11" t="s">
        <v>1798</v>
      </c>
      <c r="T773" s="116" t="s">
        <v>7</v>
      </c>
      <c r="U773" s="88"/>
      <c r="V773" s="51">
        <v>45593</v>
      </c>
      <c r="W773" s="97" t="s">
        <v>1577</v>
      </c>
      <c r="X773" s="135" t="str">
        <f>VLOOKUP(Table1[[#This Row],[AMZ ID]],[1]Roster_1787503287932!$D$2:$AU$1370,25,0)</f>
        <v>Not Present</v>
      </c>
      <c r="Y773" s="135" t="str">
        <f>VLOOKUP(Table1[[#This Row],[AMZ ID]],[1]Roster_1787503287932!$D$2:$AM$1370,35,0)</f>
        <v>Carry Forwarded Annual Leave</v>
      </c>
    </row>
    <row r="774" spans="1:25" ht="13" customHeight="1">
      <c r="A774" s="11">
        <v>768</v>
      </c>
      <c r="B774" s="11">
        <v>205839585</v>
      </c>
      <c r="C774" s="89" t="s">
        <v>2398</v>
      </c>
      <c r="D774" s="11" t="s">
        <v>2399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32</v>
      </c>
      <c r="K774" s="49" t="s">
        <v>76</v>
      </c>
      <c r="L774" s="49" t="s">
        <v>95</v>
      </c>
      <c r="M774" s="49" t="s">
        <v>77</v>
      </c>
      <c r="N774" s="11" t="s">
        <v>89</v>
      </c>
      <c r="O774" s="11" t="s">
        <v>37</v>
      </c>
      <c r="P774" s="11" t="s">
        <v>80</v>
      </c>
      <c r="Q774" s="11" t="s">
        <v>90</v>
      </c>
      <c r="R774" s="11" t="s">
        <v>627</v>
      </c>
      <c r="S774" s="11" t="s">
        <v>628</v>
      </c>
      <c r="T774" s="116" t="s">
        <v>1</v>
      </c>
      <c r="U774" s="88"/>
      <c r="V774" s="51">
        <v>45894</v>
      </c>
      <c r="W774" s="102" t="s">
        <v>1576</v>
      </c>
      <c r="X774" s="135" t="str">
        <f>VLOOKUP(Table1[[#This Row],[AMZ ID]],[1]Roster_1787503287932!$D$2:$AU$1370,25,0)</f>
        <v>Present</v>
      </c>
      <c r="Y774" s="135">
        <f>VLOOKUP(Table1[[#This Row],[AMZ ID]],[1]Roster_1787503287932!$D$2:$AM$1370,35,0)</f>
        <v>0</v>
      </c>
    </row>
    <row r="775" spans="1:25" ht="13" customHeight="1">
      <c r="A775" s="11">
        <v>769</v>
      </c>
      <c r="B775" s="92">
        <v>204094215</v>
      </c>
      <c r="C775" s="47" t="s">
        <v>832</v>
      </c>
      <c r="D775" s="89" t="s">
        <v>833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88</v>
      </c>
      <c r="M775" s="49" t="s">
        <v>95</v>
      </c>
      <c r="N775" s="49" t="s">
        <v>86</v>
      </c>
      <c r="O775" s="49" t="s">
        <v>37</v>
      </c>
      <c r="P775" s="11" t="s">
        <v>80</v>
      </c>
      <c r="Q775" s="11" t="s">
        <v>87</v>
      </c>
      <c r="R775" s="11" t="s">
        <v>631</v>
      </c>
      <c r="S775" s="11" t="s">
        <v>632</v>
      </c>
      <c r="T775" s="116" t="s">
        <v>7</v>
      </c>
      <c r="U775" s="88"/>
      <c r="V775" s="51">
        <v>45561</v>
      </c>
      <c r="W775" s="97" t="s">
        <v>1578</v>
      </c>
      <c r="X775" s="135" t="str">
        <f>VLOOKUP(Table1[[#This Row],[AMZ ID]],[1]Roster_1787503287932!$D$2:$AU$1370,25,0)</f>
        <v>Not Present</v>
      </c>
      <c r="Y775" s="135" t="str">
        <f>VLOOKUP(Table1[[#This Row],[AMZ ID]],[1]Roster_1787503287932!$D$2:$AM$1370,35,0)</f>
        <v>Carry Forwarded Annual Leave</v>
      </c>
    </row>
    <row r="776" spans="1:25" ht="13" customHeight="1">
      <c r="A776" s="11">
        <v>770</v>
      </c>
      <c r="B776" s="47">
        <v>206239524</v>
      </c>
      <c r="C776" s="89" t="s">
        <v>2909</v>
      </c>
      <c r="D776" s="11" t="s">
        <v>2910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95</v>
      </c>
      <c r="M776" s="49" t="s">
        <v>77</v>
      </c>
      <c r="N776" s="49" t="s">
        <v>89</v>
      </c>
      <c r="O776" s="49" t="s">
        <v>37</v>
      </c>
      <c r="P776" s="11" t="s">
        <v>80</v>
      </c>
      <c r="Q776" s="11" t="s">
        <v>81</v>
      </c>
      <c r="R776" s="49" t="s">
        <v>631</v>
      </c>
      <c r="S776" s="11" t="s">
        <v>632</v>
      </c>
      <c r="T776" s="116" t="s">
        <v>1</v>
      </c>
      <c r="U776" s="88" t="s">
        <v>3023</v>
      </c>
      <c r="V776" s="51">
        <v>46239</v>
      </c>
      <c r="W776" s="97" t="s">
        <v>1579</v>
      </c>
      <c r="X776" s="135" t="str">
        <f>VLOOKUP(Table1[[#This Row],[AMZ ID]],[1]Roster_1787503287932!$D$2:$AU$1370,25,0)</f>
        <v>Not Present</v>
      </c>
      <c r="Y776" s="135">
        <f>VLOOKUP(Table1[[#This Row],[AMZ ID]],[1]Roster_1787503287932!$D$2:$AM$1370,35,0)</f>
        <v>0</v>
      </c>
    </row>
    <row r="777" spans="1:25" ht="13" customHeight="1">
      <c r="A777" s="11">
        <v>771</v>
      </c>
      <c r="B777" s="92">
        <v>102582339</v>
      </c>
      <c r="C777" s="47" t="s">
        <v>834</v>
      </c>
      <c r="D777" s="89" t="s">
        <v>835</v>
      </c>
      <c r="E777" s="48" t="s">
        <v>34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84</v>
      </c>
      <c r="M777" s="49" t="s">
        <v>85</v>
      </c>
      <c r="N777" s="48" t="s">
        <v>97</v>
      </c>
      <c r="O777" s="49" t="s">
        <v>37</v>
      </c>
      <c r="P777" s="11" t="s">
        <v>80</v>
      </c>
      <c r="Q777" s="11" t="s">
        <v>98</v>
      </c>
      <c r="R777" s="11" t="s">
        <v>1066</v>
      </c>
      <c r="S777" s="11" t="s">
        <v>2717</v>
      </c>
      <c r="T777" s="116" t="s">
        <v>1</v>
      </c>
      <c r="U777" s="88"/>
      <c r="V777" s="51">
        <v>42960</v>
      </c>
      <c r="W777" s="97" t="s">
        <v>1581</v>
      </c>
      <c r="X777" s="135" t="str">
        <f>VLOOKUP(Table1[[#This Row],[AMZ ID]],[1]Roster_1787503287932!$D$2:$AU$1370,25,0)</f>
        <v>Present</v>
      </c>
      <c r="Y777" s="135">
        <f>VLOOKUP(Table1[[#This Row],[AMZ ID]],[1]Roster_1787503287932!$D$2:$AM$1370,35,0)</f>
        <v>0</v>
      </c>
    </row>
    <row r="778" spans="1:25" ht="13" customHeight="1">
      <c r="A778" s="11">
        <v>772</v>
      </c>
      <c r="B778" s="47">
        <v>206886514</v>
      </c>
      <c r="C778" s="89" t="s">
        <v>1829</v>
      </c>
      <c r="D778" s="11" t="s">
        <v>1830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8" t="s">
        <v>89</v>
      </c>
      <c r="O778" s="49" t="s">
        <v>37</v>
      </c>
      <c r="P778" s="11" t="s">
        <v>80</v>
      </c>
      <c r="Q778" s="11" t="s">
        <v>96</v>
      </c>
      <c r="R778" s="11" t="s">
        <v>2845</v>
      </c>
      <c r="S778" s="11" t="s">
        <v>2846</v>
      </c>
      <c r="T778" s="116" t="s">
        <v>1</v>
      </c>
      <c r="U778" s="88"/>
      <c r="V778" s="51">
        <v>46027</v>
      </c>
      <c r="W778" s="97" t="s">
        <v>1577</v>
      </c>
      <c r="X778" s="135" t="str">
        <f>VLOOKUP(Table1[[#This Row],[AMZ ID]],[1]Roster_1787503287932!$D$2:$AU$1370,25,0)</f>
        <v>Present</v>
      </c>
      <c r="Y778" s="135">
        <f>VLOOKUP(Table1[[#This Row],[AMZ ID]],[1]Roster_1787503287932!$D$2:$AM$1370,35,0)</f>
        <v>0</v>
      </c>
    </row>
    <row r="779" spans="1:25" ht="13" customHeight="1">
      <c r="A779" s="11">
        <v>773</v>
      </c>
      <c r="B779" s="47">
        <v>204138116</v>
      </c>
      <c r="C779" s="89" t="s">
        <v>836</v>
      </c>
      <c r="D779" s="11" t="s">
        <v>837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88</v>
      </c>
      <c r="M779" s="49" t="s">
        <v>95</v>
      </c>
      <c r="N779" s="49" t="s">
        <v>86</v>
      </c>
      <c r="O779" s="48" t="s">
        <v>37</v>
      </c>
      <c r="P779" s="48" t="s">
        <v>80</v>
      </c>
      <c r="Q779" s="11" t="s">
        <v>87</v>
      </c>
      <c r="R779" s="49" t="s">
        <v>647</v>
      </c>
      <c r="S779" s="11" t="s">
        <v>1798</v>
      </c>
      <c r="T779" s="116" t="s">
        <v>1</v>
      </c>
      <c r="U779" s="88"/>
      <c r="V779" s="51">
        <v>45565</v>
      </c>
      <c r="W779" s="97" t="s">
        <v>1577</v>
      </c>
      <c r="X779" s="135" t="str">
        <f>VLOOKUP(Table1[[#This Row],[AMZ ID]],[1]Roster_1787503287932!$D$2:$AU$1370,25,0)</f>
        <v>Present</v>
      </c>
      <c r="Y779" s="135">
        <f>VLOOKUP(Table1[[#This Row],[AMZ ID]],[1]Roster_1787503287932!$D$2:$AM$1370,35,0)</f>
        <v>0</v>
      </c>
    </row>
    <row r="780" spans="1:25" ht="13" customHeight="1">
      <c r="A780" s="11">
        <v>774</v>
      </c>
      <c r="B780" s="47">
        <v>205996132</v>
      </c>
      <c r="C780" s="89" t="s">
        <v>838</v>
      </c>
      <c r="D780" s="11" t="s">
        <v>839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95</v>
      </c>
      <c r="M780" s="49" t="s">
        <v>77</v>
      </c>
      <c r="N780" s="48" t="s">
        <v>89</v>
      </c>
      <c r="O780" s="49" t="s">
        <v>37</v>
      </c>
      <c r="P780" s="11" t="s">
        <v>80</v>
      </c>
      <c r="Q780" s="11" t="s">
        <v>81</v>
      </c>
      <c r="R780" s="11" t="s">
        <v>2719</v>
      </c>
      <c r="S780" s="11" t="s">
        <v>642</v>
      </c>
      <c r="T780" s="116" t="s">
        <v>1</v>
      </c>
      <c r="U780" s="88"/>
      <c r="V780" s="51">
        <v>45915</v>
      </c>
      <c r="W780" s="97" t="s">
        <v>1577</v>
      </c>
      <c r="X780" s="135" t="str">
        <f>VLOOKUP(Table1[[#This Row],[AMZ ID]],[1]Roster_1787503287932!$D$2:$AU$1370,25,0)</f>
        <v>Present</v>
      </c>
      <c r="Y780" s="135">
        <f>VLOOKUP(Table1[[#This Row],[AMZ ID]],[1]Roster_1787503287932!$D$2:$AM$1370,35,0)</f>
        <v>0</v>
      </c>
    </row>
    <row r="781" spans="1:25" ht="13" customHeight="1">
      <c r="A781" s="11">
        <v>775</v>
      </c>
      <c r="B781" s="47">
        <v>206915147</v>
      </c>
      <c r="C781" s="89" t="s">
        <v>1920</v>
      </c>
      <c r="D781" s="11" t="s">
        <v>1905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32</v>
      </c>
      <c r="K781" s="49" t="s">
        <v>76</v>
      </c>
      <c r="L781" s="49" t="s">
        <v>88</v>
      </c>
      <c r="M781" s="49" t="s">
        <v>95</v>
      </c>
      <c r="N781" s="49" t="s">
        <v>89</v>
      </c>
      <c r="O781" s="48" t="s">
        <v>37</v>
      </c>
      <c r="P781" s="48" t="s">
        <v>80</v>
      </c>
      <c r="Q781" s="11" t="s">
        <v>90</v>
      </c>
      <c r="R781" s="49" t="s">
        <v>627</v>
      </c>
      <c r="S781" s="11" t="s">
        <v>628</v>
      </c>
      <c r="T781" s="116" t="s">
        <v>1</v>
      </c>
      <c r="U781" s="88"/>
      <c r="V781" s="51">
        <v>46034</v>
      </c>
      <c r="W781" s="97" t="s">
        <v>1577</v>
      </c>
      <c r="X781" s="135" t="str">
        <f>VLOOKUP(Table1[[#This Row],[AMZ ID]],[1]Roster_1787503287932!$D$2:$AU$1370,25,0)</f>
        <v>Present</v>
      </c>
      <c r="Y781" s="135">
        <f>VLOOKUP(Table1[[#This Row],[AMZ ID]],[1]Roster_1787503287932!$D$2:$AM$1370,35,0)</f>
        <v>0</v>
      </c>
    </row>
    <row r="782" spans="1:25" ht="13" customHeight="1">
      <c r="A782" s="11">
        <v>776</v>
      </c>
      <c r="B782" s="92">
        <v>206065208</v>
      </c>
      <c r="C782" s="47" t="s">
        <v>2838</v>
      </c>
      <c r="D782" s="89" t="s">
        <v>2839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88</v>
      </c>
      <c r="M782" s="49" t="s">
        <v>95</v>
      </c>
      <c r="N782" s="48" t="s">
        <v>89</v>
      </c>
      <c r="O782" s="49" t="s">
        <v>37</v>
      </c>
      <c r="P782" s="11" t="s">
        <v>80</v>
      </c>
      <c r="Q782" s="11" t="s">
        <v>81</v>
      </c>
      <c r="R782" s="11" t="s">
        <v>2719</v>
      </c>
      <c r="S782" s="11" t="s">
        <v>642</v>
      </c>
      <c r="T782" s="116" t="s">
        <v>1</v>
      </c>
      <c r="U782" s="88"/>
      <c r="V782" s="51">
        <v>46226</v>
      </c>
      <c r="W782" s="97" t="s">
        <v>1577</v>
      </c>
      <c r="X782" s="135" t="str">
        <f>VLOOKUP(Table1[[#This Row],[AMZ ID]],[1]Roster_1787503287932!$D$2:$AU$1370,25,0)</f>
        <v>Present</v>
      </c>
      <c r="Y782" s="135">
        <f>VLOOKUP(Table1[[#This Row],[AMZ ID]],[1]Roster_1787503287932!$D$2:$AM$1370,35,0)</f>
        <v>0</v>
      </c>
    </row>
    <row r="783" spans="1:25" ht="13" customHeight="1">
      <c r="A783" s="11">
        <v>777</v>
      </c>
      <c r="B783" s="47">
        <v>204865035</v>
      </c>
      <c r="C783" s="89" t="s">
        <v>2764</v>
      </c>
      <c r="D783" s="47" t="s">
        <v>2765</v>
      </c>
      <c r="E783" s="47" t="s">
        <v>31</v>
      </c>
      <c r="F783" s="48" t="s">
        <v>74</v>
      </c>
      <c r="G783" s="11" t="s">
        <v>64</v>
      </c>
      <c r="H783" s="11" t="s">
        <v>75</v>
      </c>
      <c r="I783" s="47">
        <v>1299</v>
      </c>
      <c r="J783" s="49" t="s">
        <v>39</v>
      </c>
      <c r="K783" s="49" t="s">
        <v>76</v>
      </c>
      <c r="L783" s="49" t="s">
        <v>85</v>
      </c>
      <c r="M783" s="49" t="s">
        <v>88</v>
      </c>
      <c r="N783" s="49" t="s">
        <v>89</v>
      </c>
      <c r="O783" s="49" t="s">
        <v>37</v>
      </c>
      <c r="P783" s="11" t="s">
        <v>80</v>
      </c>
      <c r="Q783" s="47" t="s">
        <v>90</v>
      </c>
      <c r="R783" s="11" t="s">
        <v>647</v>
      </c>
      <c r="S783" s="11" t="s">
        <v>2739</v>
      </c>
      <c r="T783" s="116" t="s">
        <v>1</v>
      </c>
      <c r="U783" s="88"/>
      <c r="V783" s="51">
        <v>45894</v>
      </c>
      <c r="W783" s="97" t="s">
        <v>1577</v>
      </c>
      <c r="X783" s="135" t="str">
        <f>VLOOKUP(Table1[[#This Row],[AMZ ID]],[1]Roster_1787503287932!$D$2:$AU$1370,25,0)</f>
        <v>Present</v>
      </c>
      <c r="Y783" s="135">
        <f>VLOOKUP(Table1[[#This Row],[AMZ ID]],[1]Roster_1787503287932!$D$2:$AM$1370,35,0)</f>
        <v>0</v>
      </c>
    </row>
    <row r="784" spans="1:25" ht="13" customHeight="1">
      <c r="A784" s="11">
        <v>778</v>
      </c>
      <c r="B784" s="47">
        <v>203850767</v>
      </c>
      <c r="C784" s="89" t="s">
        <v>2329</v>
      </c>
      <c r="D784" s="11" t="s">
        <v>2330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8" t="s">
        <v>89</v>
      </c>
      <c r="O784" s="49" t="s">
        <v>37</v>
      </c>
      <c r="P784" s="11" t="s">
        <v>80</v>
      </c>
      <c r="Q784" s="11" t="s">
        <v>90</v>
      </c>
      <c r="R784" s="11" t="s">
        <v>627</v>
      </c>
      <c r="S784" s="11" t="s">
        <v>628</v>
      </c>
      <c r="T784" s="116" t="s">
        <v>10</v>
      </c>
      <c r="U784" s="88"/>
      <c r="V784" s="51">
        <v>45524</v>
      </c>
      <c r="W784" s="97" t="s">
        <v>1577</v>
      </c>
      <c r="X784" s="135" t="str">
        <f>VLOOKUP(Table1[[#This Row],[AMZ ID]],[1]Roster_1787503287932!$D$2:$AU$1370,25,0)</f>
        <v>Not Present</v>
      </c>
      <c r="Y784" s="135">
        <f>VLOOKUP(Table1[[#This Row],[AMZ ID]],[1]Roster_1787503287932!$D$2:$AM$1370,35,0)</f>
        <v>0</v>
      </c>
    </row>
    <row r="785" spans="1:25" ht="13" customHeight="1">
      <c r="A785" s="11">
        <v>779</v>
      </c>
      <c r="B785" s="47">
        <v>204865037</v>
      </c>
      <c r="C785" s="89" t="s">
        <v>2766</v>
      </c>
      <c r="D785" s="11" t="s">
        <v>2767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32</v>
      </c>
      <c r="K785" s="49" t="s">
        <v>76</v>
      </c>
      <c r="L785" s="49" t="s">
        <v>85</v>
      </c>
      <c r="M785" s="49" t="s">
        <v>88</v>
      </c>
      <c r="N785" s="48" t="s">
        <v>86</v>
      </c>
      <c r="O785" s="49" t="s">
        <v>37</v>
      </c>
      <c r="P785" s="11" t="s">
        <v>80</v>
      </c>
      <c r="Q785" s="11" t="s">
        <v>90</v>
      </c>
      <c r="R785" s="49" t="s">
        <v>647</v>
      </c>
      <c r="S785" s="11" t="s">
        <v>2739</v>
      </c>
      <c r="T785" s="116" t="s">
        <v>1</v>
      </c>
      <c r="U785" s="88"/>
      <c r="V785" s="51">
        <v>45894</v>
      </c>
      <c r="W785" s="97" t="s">
        <v>1577</v>
      </c>
      <c r="X785" s="135" t="str">
        <f>VLOOKUP(Table1[[#This Row],[AMZ ID]],[1]Roster_1787503287932!$D$2:$AU$1370,25,0)</f>
        <v>Present</v>
      </c>
      <c r="Y785" s="135">
        <f>VLOOKUP(Table1[[#This Row],[AMZ ID]],[1]Roster_1787503287932!$D$2:$AM$1370,35,0)</f>
        <v>0</v>
      </c>
    </row>
    <row r="786" spans="1:25" ht="13" customHeight="1">
      <c r="A786" s="11">
        <v>780</v>
      </c>
      <c r="B786" s="47">
        <v>204137705</v>
      </c>
      <c r="C786" s="89" t="s">
        <v>840</v>
      </c>
      <c r="D786" s="11" t="s">
        <v>841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92</v>
      </c>
      <c r="M786" s="49" t="s">
        <v>84</v>
      </c>
      <c r="N786" s="49" t="s">
        <v>86</v>
      </c>
      <c r="O786" s="49" t="s">
        <v>37</v>
      </c>
      <c r="P786" s="11" t="s">
        <v>80</v>
      </c>
      <c r="Q786" s="11" t="s">
        <v>87</v>
      </c>
      <c r="R786" s="11" t="s">
        <v>631</v>
      </c>
      <c r="S786" s="11" t="s">
        <v>632</v>
      </c>
      <c r="T786" s="116" t="s">
        <v>1</v>
      </c>
      <c r="U786" s="88"/>
      <c r="V786" s="51">
        <v>45565</v>
      </c>
      <c r="W786" s="97" t="s">
        <v>1577</v>
      </c>
      <c r="X786" s="135" t="str">
        <f>VLOOKUP(Table1[[#This Row],[AMZ ID]],[1]Roster_1787503287932!$D$2:$AU$1370,25,0)</f>
        <v>Present</v>
      </c>
      <c r="Y786" s="135">
        <f>VLOOKUP(Table1[[#This Row],[AMZ ID]],[1]Roster_1787503287932!$D$2:$AM$1370,35,0)</f>
        <v>0</v>
      </c>
    </row>
    <row r="787" spans="1:25" ht="13" customHeight="1">
      <c r="A787" s="11">
        <v>781</v>
      </c>
      <c r="B787" s="47">
        <v>206897644</v>
      </c>
      <c r="C787" s="89" t="s">
        <v>1885</v>
      </c>
      <c r="D787" s="11" t="s">
        <v>1886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1290</v>
      </c>
      <c r="J787" s="49" t="s">
        <v>32</v>
      </c>
      <c r="K787" s="49" t="s">
        <v>76</v>
      </c>
      <c r="L787" s="49" t="s">
        <v>92</v>
      </c>
      <c r="M787" s="49" t="s">
        <v>84</v>
      </c>
      <c r="N787" s="49" t="s">
        <v>89</v>
      </c>
      <c r="O787" s="49" t="s">
        <v>37</v>
      </c>
      <c r="P787" s="11" t="s">
        <v>80</v>
      </c>
      <c r="Q787" s="11" t="s">
        <v>81</v>
      </c>
      <c r="R787" s="11" t="s">
        <v>647</v>
      </c>
      <c r="S787" s="11" t="s">
        <v>1798</v>
      </c>
      <c r="T787" s="116" t="s">
        <v>1</v>
      </c>
      <c r="U787" s="88"/>
      <c r="V787" s="51">
        <v>46030</v>
      </c>
      <c r="W787" s="97" t="s">
        <v>1577</v>
      </c>
      <c r="X787" s="135" t="str">
        <f>VLOOKUP(Table1[[#This Row],[AMZ ID]],[1]Roster_1787503287932!$D$2:$AU$1370,25,0)</f>
        <v>Present</v>
      </c>
      <c r="Y787" s="135">
        <f>VLOOKUP(Table1[[#This Row],[AMZ ID]],[1]Roster_1787503287932!$D$2:$AM$1370,35,0)</f>
        <v>0</v>
      </c>
    </row>
    <row r="788" spans="1:25" ht="13" customHeight="1">
      <c r="A788" s="11">
        <v>782</v>
      </c>
      <c r="B788" s="47">
        <v>203737010</v>
      </c>
      <c r="C788" s="89" t="s">
        <v>842</v>
      </c>
      <c r="D788" s="11" t="s">
        <v>843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8" t="s">
        <v>79</v>
      </c>
      <c r="O788" s="49" t="s">
        <v>37</v>
      </c>
      <c r="P788" s="11" t="s">
        <v>80</v>
      </c>
      <c r="Q788" s="11" t="s">
        <v>81</v>
      </c>
      <c r="R788" s="11" t="s">
        <v>1066</v>
      </c>
      <c r="S788" s="11" t="s">
        <v>2717</v>
      </c>
      <c r="T788" s="116" t="s">
        <v>1</v>
      </c>
      <c r="U788" s="88"/>
      <c r="V788" s="51">
        <v>45502</v>
      </c>
      <c r="W788" s="97" t="s">
        <v>1577</v>
      </c>
      <c r="X788" s="135" t="str">
        <f>VLOOKUP(Table1[[#This Row],[AMZ ID]],[1]Roster_1787503287932!$D$2:$AU$1370,25,0)</f>
        <v>Present</v>
      </c>
      <c r="Y788" s="135">
        <f>VLOOKUP(Table1[[#This Row],[AMZ ID]],[1]Roster_1787503287932!$D$2:$AM$1370,35,0)</f>
        <v>0</v>
      </c>
    </row>
    <row r="789" spans="1:25" ht="13" customHeight="1">
      <c r="A789" s="11">
        <v>783</v>
      </c>
      <c r="B789" s="92">
        <v>206906443</v>
      </c>
      <c r="C789" s="47" t="s">
        <v>1873</v>
      </c>
      <c r="D789" s="89" t="s">
        <v>1874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84</v>
      </c>
      <c r="M789" s="49" t="s">
        <v>85</v>
      </c>
      <c r="N789" s="49" t="s">
        <v>89</v>
      </c>
      <c r="O789" s="49" t="s">
        <v>37</v>
      </c>
      <c r="P789" s="11" t="s">
        <v>80</v>
      </c>
      <c r="Q789" s="11" t="s">
        <v>90</v>
      </c>
      <c r="R789" s="11" t="s">
        <v>647</v>
      </c>
      <c r="S789" s="11" t="s">
        <v>1798</v>
      </c>
      <c r="T789" s="116" t="s">
        <v>1</v>
      </c>
      <c r="U789" s="88"/>
      <c r="V789" s="51">
        <v>46030</v>
      </c>
      <c r="W789" s="97" t="s">
        <v>1577</v>
      </c>
      <c r="X789" s="135" t="str">
        <f>VLOOKUP(Table1[[#This Row],[AMZ ID]],[1]Roster_1787503287932!$D$2:$AU$1370,25,0)</f>
        <v>Present</v>
      </c>
      <c r="Y789" s="135">
        <f>VLOOKUP(Table1[[#This Row],[AMZ ID]],[1]Roster_1787503287932!$D$2:$AM$1370,35,0)</f>
        <v>0</v>
      </c>
    </row>
    <row r="790" spans="1:25" ht="13" customHeight="1">
      <c r="A790" s="11">
        <v>784</v>
      </c>
      <c r="B790" s="47">
        <v>203993509</v>
      </c>
      <c r="C790" s="89" t="s">
        <v>2768</v>
      </c>
      <c r="D790" s="11" t="s">
        <v>2769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32</v>
      </c>
      <c r="K790" s="49" t="s">
        <v>76</v>
      </c>
      <c r="L790" s="49" t="s">
        <v>85</v>
      </c>
      <c r="M790" s="49" t="s">
        <v>88</v>
      </c>
      <c r="N790" s="49" t="s">
        <v>86</v>
      </c>
      <c r="O790" s="48" t="s">
        <v>37</v>
      </c>
      <c r="P790" s="48" t="s">
        <v>80</v>
      </c>
      <c r="Q790" s="11" t="s">
        <v>90</v>
      </c>
      <c r="R790" s="11" t="s">
        <v>647</v>
      </c>
      <c r="S790" s="11" t="s">
        <v>2739</v>
      </c>
      <c r="T790" s="116" t="s">
        <v>1</v>
      </c>
      <c r="U790" s="88"/>
      <c r="V790" s="51">
        <v>45894</v>
      </c>
      <c r="W790" s="97" t="s">
        <v>1577</v>
      </c>
      <c r="X790" s="135" t="str">
        <f>VLOOKUP(Table1[[#This Row],[AMZ ID]],[1]Roster_1787503287932!$D$2:$AU$1370,25,0)</f>
        <v>Present</v>
      </c>
      <c r="Y790" s="135">
        <f>VLOOKUP(Table1[[#This Row],[AMZ ID]],[1]Roster_1787503287932!$D$2:$AM$1370,35,0)</f>
        <v>0</v>
      </c>
    </row>
    <row r="791" spans="1:25" ht="13" customHeight="1">
      <c r="A791" s="11">
        <v>785</v>
      </c>
      <c r="B791" s="47">
        <v>206850959</v>
      </c>
      <c r="C791" s="89" t="s">
        <v>1803</v>
      </c>
      <c r="D791" s="11" t="s">
        <v>1804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88</v>
      </c>
      <c r="M791" s="49" t="s">
        <v>95</v>
      </c>
      <c r="N791" s="48" t="s">
        <v>89</v>
      </c>
      <c r="O791" s="49" t="s">
        <v>37</v>
      </c>
      <c r="P791" s="11" t="s">
        <v>80</v>
      </c>
      <c r="Q791" s="11" t="s">
        <v>90</v>
      </c>
      <c r="R791" s="11" t="s">
        <v>1066</v>
      </c>
      <c r="S791" s="11" t="s">
        <v>2717</v>
      </c>
      <c r="T791" s="116" t="s">
        <v>1</v>
      </c>
      <c r="U791" s="88"/>
      <c r="V791" s="51">
        <v>46013</v>
      </c>
      <c r="W791" s="97" t="s">
        <v>1577</v>
      </c>
      <c r="X791" s="135" t="str">
        <f>VLOOKUP(Table1[[#This Row],[AMZ ID]],[1]Roster_1787503287932!$D$2:$AU$1370,25,0)</f>
        <v>Present</v>
      </c>
      <c r="Y791" s="135">
        <f>VLOOKUP(Table1[[#This Row],[AMZ ID]],[1]Roster_1787503287932!$D$2:$AM$1370,35,0)</f>
        <v>0</v>
      </c>
    </row>
    <row r="792" spans="1:25" ht="13" customHeight="1">
      <c r="A792" s="11">
        <v>786</v>
      </c>
      <c r="B792" s="47">
        <v>206128855</v>
      </c>
      <c r="C792" s="89" t="s">
        <v>844</v>
      </c>
      <c r="D792" s="11" t="s">
        <v>845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92</v>
      </c>
      <c r="M792" s="49" t="s">
        <v>84</v>
      </c>
      <c r="N792" s="48" t="s">
        <v>79</v>
      </c>
      <c r="O792" s="49" t="s">
        <v>37</v>
      </c>
      <c r="P792" s="11" t="s">
        <v>80</v>
      </c>
      <c r="Q792" s="11" t="s">
        <v>81</v>
      </c>
      <c r="R792" s="11" t="s">
        <v>2845</v>
      </c>
      <c r="S792" s="11" t="s">
        <v>2846</v>
      </c>
      <c r="T792" s="116" t="s">
        <v>1</v>
      </c>
      <c r="U792" s="88"/>
      <c r="V792" s="51">
        <v>45929</v>
      </c>
      <c r="W792" s="97" t="s">
        <v>1577</v>
      </c>
      <c r="X792" s="135" t="str">
        <f>VLOOKUP(Table1[[#This Row],[AMZ ID]],[1]Roster_1787503287932!$D$2:$AU$1370,25,0)</f>
        <v>Present</v>
      </c>
      <c r="Y792" s="135">
        <f>VLOOKUP(Table1[[#This Row],[AMZ ID]],[1]Roster_1787503287932!$D$2:$AM$1370,35,0)</f>
        <v>0</v>
      </c>
    </row>
    <row r="793" spans="1:25" ht="13" customHeight="1">
      <c r="A793" s="11">
        <v>787</v>
      </c>
      <c r="B793" s="47">
        <v>203965176</v>
      </c>
      <c r="C793" s="89" t="s">
        <v>846</v>
      </c>
      <c r="D793" s="11" t="s">
        <v>847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77</v>
      </c>
      <c r="M793" s="49" t="s">
        <v>78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49" t="s">
        <v>647</v>
      </c>
      <c r="S793" s="11" t="s">
        <v>1798</v>
      </c>
      <c r="T793" s="116" t="s">
        <v>10</v>
      </c>
      <c r="U793" s="88"/>
      <c r="V793" s="51">
        <v>45544</v>
      </c>
      <c r="W793" s="97" t="s">
        <v>1577</v>
      </c>
      <c r="X793" s="135" t="str">
        <f>VLOOKUP(Table1[[#This Row],[AMZ ID]],[1]Roster_1787503287932!$D$2:$AU$1370,25,0)</f>
        <v>Not Present</v>
      </c>
      <c r="Y793" s="135">
        <f>VLOOKUP(Table1[[#This Row],[AMZ ID]],[1]Roster_1787503287932!$D$2:$AM$1370,35,0)</f>
        <v>0</v>
      </c>
    </row>
    <row r="794" spans="1:25" ht="13" customHeight="1">
      <c r="A794" s="11">
        <v>788</v>
      </c>
      <c r="B794" s="47">
        <v>205852638</v>
      </c>
      <c r="C794" s="89" t="s">
        <v>848</v>
      </c>
      <c r="D794" s="11" t="s">
        <v>849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39</v>
      </c>
      <c r="K794" s="49" t="s">
        <v>76</v>
      </c>
      <c r="L794" s="49" t="s">
        <v>92</v>
      </c>
      <c r="M794" s="49" t="s">
        <v>84</v>
      </c>
      <c r="N794" s="48" t="s">
        <v>89</v>
      </c>
      <c r="O794" s="49" t="s">
        <v>37</v>
      </c>
      <c r="P794" s="11" t="s">
        <v>80</v>
      </c>
      <c r="Q794" s="11" t="s">
        <v>96</v>
      </c>
      <c r="R794" s="11" t="s">
        <v>631</v>
      </c>
      <c r="S794" s="11" t="s">
        <v>632</v>
      </c>
      <c r="T794" s="116" t="s">
        <v>1</v>
      </c>
      <c r="U794" s="88"/>
      <c r="V794" s="51">
        <v>45894</v>
      </c>
      <c r="W794" s="97" t="s">
        <v>1577</v>
      </c>
      <c r="X794" s="135" t="str">
        <f>VLOOKUP(Table1[[#This Row],[AMZ ID]],[1]Roster_1787503287932!$D$2:$AU$1370,25,0)</f>
        <v>Present</v>
      </c>
      <c r="Y794" s="135">
        <f>VLOOKUP(Table1[[#This Row],[AMZ ID]],[1]Roster_1787503287932!$D$2:$AM$1370,35,0)</f>
        <v>0</v>
      </c>
    </row>
    <row r="795" spans="1:25" ht="13" customHeight="1">
      <c r="A795" s="11">
        <v>789</v>
      </c>
      <c r="B795" s="47">
        <v>206192269</v>
      </c>
      <c r="C795" s="89" t="s">
        <v>1597</v>
      </c>
      <c r="D795" s="11" t="s">
        <v>1591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95</v>
      </c>
      <c r="M795" s="49" t="s">
        <v>77</v>
      </c>
      <c r="N795" s="49" t="s">
        <v>89</v>
      </c>
      <c r="O795" s="48" t="s">
        <v>37</v>
      </c>
      <c r="P795" s="48" t="s">
        <v>80</v>
      </c>
      <c r="Q795" s="11" t="s">
        <v>96</v>
      </c>
      <c r="R795" s="11" t="s">
        <v>2845</v>
      </c>
      <c r="S795" s="11" t="s">
        <v>2846</v>
      </c>
      <c r="T795" s="116" t="s">
        <v>1</v>
      </c>
      <c r="U795" s="88"/>
      <c r="V795" s="51">
        <v>45936</v>
      </c>
      <c r="W795" s="97" t="s">
        <v>1577</v>
      </c>
      <c r="X795" s="135" t="str">
        <f>VLOOKUP(Table1[[#This Row],[AMZ ID]],[1]Roster_1787503287932!$D$2:$AU$1370,25,0)</f>
        <v>Present</v>
      </c>
      <c r="Y795" s="135">
        <f>VLOOKUP(Table1[[#This Row],[AMZ ID]],[1]Roster_1787503287932!$D$2:$AM$1370,35,0)</f>
        <v>0</v>
      </c>
    </row>
    <row r="796" spans="1:25" ht="13" customHeight="1">
      <c r="A796" s="11">
        <v>790</v>
      </c>
      <c r="B796" s="11">
        <v>204070590</v>
      </c>
      <c r="C796" s="89" t="s">
        <v>2400</v>
      </c>
      <c r="D796" s="11" t="s">
        <v>2401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77</v>
      </c>
      <c r="M796" s="49" t="s">
        <v>78</v>
      </c>
      <c r="N796" s="11" t="s">
        <v>86</v>
      </c>
      <c r="O796" s="11" t="s">
        <v>37</v>
      </c>
      <c r="P796" s="11" t="s">
        <v>80</v>
      </c>
      <c r="Q796" s="11" t="s">
        <v>90</v>
      </c>
      <c r="R796" s="11" t="s">
        <v>2845</v>
      </c>
      <c r="S796" s="11" t="s">
        <v>2846</v>
      </c>
      <c r="T796" s="116" t="s">
        <v>10</v>
      </c>
      <c r="U796" s="88"/>
      <c r="V796" s="51">
        <v>45558</v>
      </c>
      <c r="W796" s="102" t="s">
        <v>1577</v>
      </c>
      <c r="X796" s="135" t="str">
        <f>VLOOKUP(Table1[[#This Row],[AMZ ID]],[1]Roster_1787503287932!$D$2:$AU$1370,25,0)</f>
        <v>Not Present</v>
      </c>
      <c r="Y796" s="135">
        <f>VLOOKUP(Table1[[#This Row],[AMZ ID]],[1]Roster_1787503287932!$D$2:$AM$1370,35,0)</f>
        <v>0</v>
      </c>
    </row>
    <row r="797" spans="1:25" ht="13" customHeight="1">
      <c r="A797" s="11">
        <v>791</v>
      </c>
      <c r="B797" s="47">
        <v>204010424</v>
      </c>
      <c r="C797" s="89" t="s">
        <v>2770</v>
      </c>
      <c r="D797" s="11" t="s">
        <v>2771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39</v>
      </c>
      <c r="K797" s="49" t="s">
        <v>76</v>
      </c>
      <c r="L797" s="49" t="s">
        <v>84</v>
      </c>
      <c r="M797" s="49" t="s">
        <v>85</v>
      </c>
      <c r="N797" s="48" t="s">
        <v>89</v>
      </c>
      <c r="O797" s="49" t="s">
        <v>37</v>
      </c>
      <c r="P797" s="11" t="s">
        <v>80</v>
      </c>
      <c r="Q797" s="11" t="s">
        <v>90</v>
      </c>
      <c r="R797" s="49" t="s">
        <v>2845</v>
      </c>
      <c r="S797" s="11" t="s">
        <v>2846</v>
      </c>
      <c r="T797" s="116" t="s">
        <v>1</v>
      </c>
      <c r="U797" s="88"/>
      <c r="V797" s="51">
        <v>45551</v>
      </c>
      <c r="W797" s="97" t="s">
        <v>1577</v>
      </c>
      <c r="X797" s="135" t="str">
        <f>VLOOKUP(Table1[[#This Row],[AMZ ID]],[1]Roster_1787503287932!$D$2:$AU$1370,25,0)</f>
        <v>Present</v>
      </c>
      <c r="Y797" s="135">
        <f>VLOOKUP(Table1[[#This Row],[AMZ ID]],[1]Roster_1787503287932!$D$2:$AM$1370,35,0)</f>
        <v>0</v>
      </c>
    </row>
    <row r="798" spans="1:25" ht="13" customHeight="1">
      <c r="A798" s="11">
        <v>792</v>
      </c>
      <c r="B798" s="47">
        <v>206897652</v>
      </c>
      <c r="C798" s="89" t="s">
        <v>1897</v>
      </c>
      <c r="D798" s="11" t="s">
        <v>1898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1290</v>
      </c>
      <c r="J798" s="49" t="s">
        <v>32</v>
      </c>
      <c r="K798" s="49" t="s">
        <v>76</v>
      </c>
      <c r="L798" s="49" t="s">
        <v>84</v>
      </c>
      <c r="M798" s="49" t="s">
        <v>85</v>
      </c>
      <c r="N798" s="48" t="s">
        <v>89</v>
      </c>
      <c r="O798" s="49" t="s">
        <v>37</v>
      </c>
      <c r="P798" s="11" t="s">
        <v>80</v>
      </c>
      <c r="Q798" s="11" t="s">
        <v>81</v>
      </c>
      <c r="R798" s="11" t="s">
        <v>1066</v>
      </c>
      <c r="S798" s="11" t="s">
        <v>2717</v>
      </c>
      <c r="T798" s="116" t="s">
        <v>1</v>
      </c>
      <c r="U798" s="88"/>
      <c r="V798" s="51">
        <v>46030</v>
      </c>
      <c r="W798" s="97" t="s">
        <v>1578</v>
      </c>
      <c r="X798" s="135" t="str">
        <f>VLOOKUP(Table1[[#This Row],[AMZ ID]],[1]Roster_1787503287932!$D$2:$AU$1370,25,0)</f>
        <v>Present</v>
      </c>
      <c r="Y798" s="135">
        <f>VLOOKUP(Table1[[#This Row],[AMZ ID]],[1]Roster_1787503287932!$D$2:$AM$1370,35,0)</f>
        <v>0</v>
      </c>
    </row>
    <row r="799" spans="1:25" ht="13" customHeight="1">
      <c r="A799" s="11">
        <v>793</v>
      </c>
      <c r="B799" s="47">
        <v>206174727</v>
      </c>
      <c r="C799" s="89" t="s">
        <v>2253</v>
      </c>
      <c r="D799" s="11" t="s">
        <v>2254</v>
      </c>
      <c r="E799" s="48" t="s">
        <v>31</v>
      </c>
      <c r="F799" s="48" t="s">
        <v>74</v>
      </c>
      <c r="G799" s="48" t="s">
        <v>64</v>
      </c>
      <c r="H799" s="48" t="s">
        <v>75</v>
      </c>
      <c r="I799" s="11">
        <v>1299</v>
      </c>
      <c r="J799" s="49" t="s">
        <v>32</v>
      </c>
      <c r="K799" s="49" t="s">
        <v>76</v>
      </c>
      <c r="L799" s="49" t="s">
        <v>84</v>
      </c>
      <c r="M799" s="49" t="s">
        <v>85</v>
      </c>
      <c r="N799" s="49" t="s">
        <v>89</v>
      </c>
      <c r="O799" s="48" t="s">
        <v>67</v>
      </c>
      <c r="P799" s="48" t="s">
        <v>80</v>
      </c>
      <c r="Q799" s="11" t="s">
        <v>81</v>
      </c>
      <c r="R799" s="11" t="s">
        <v>82</v>
      </c>
      <c r="S799" s="11" t="s">
        <v>2713</v>
      </c>
      <c r="T799" s="116" t="s">
        <v>7</v>
      </c>
      <c r="U799" s="88" t="s">
        <v>3015</v>
      </c>
      <c r="V799" s="51">
        <v>45932</v>
      </c>
      <c r="W799" s="102" t="s">
        <v>1568</v>
      </c>
      <c r="X799" s="135" t="str">
        <f>VLOOKUP(Table1[[#This Row],[AMZ ID]],[1]Roster_1787503287932!$D$2:$AU$1370,25,0)</f>
        <v>Not Present</v>
      </c>
      <c r="Y799" s="135" t="str">
        <f>VLOOKUP(Table1[[#This Row],[AMZ ID]],[1]Roster_1787503287932!$D$2:$AM$1370,35,0)</f>
        <v>Carry Forwarded Annual Leave</v>
      </c>
    </row>
    <row r="800" spans="1:25" ht="13" customHeight="1">
      <c r="A800" s="11">
        <v>794</v>
      </c>
      <c r="B800" s="47">
        <v>202351580</v>
      </c>
      <c r="C800" s="89" t="s">
        <v>852</v>
      </c>
      <c r="D800" s="11" t="s">
        <v>853</v>
      </c>
      <c r="E800" s="48" t="s">
        <v>31</v>
      </c>
      <c r="F800" s="48" t="s">
        <v>74</v>
      </c>
      <c r="G800" s="48" t="s">
        <v>64</v>
      </c>
      <c r="H800" s="48" t="s">
        <v>75</v>
      </c>
      <c r="I800" s="11">
        <v>1299</v>
      </c>
      <c r="J800" s="49" t="s">
        <v>39</v>
      </c>
      <c r="K800" s="49" t="s">
        <v>76</v>
      </c>
      <c r="L800" s="49" t="s">
        <v>77</v>
      </c>
      <c r="M800" s="49" t="s">
        <v>78</v>
      </c>
      <c r="N800" s="49" t="s">
        <v>79</v>
      </c>
      <c r="O800" s="49" t="s">
        <v>37</v>
      </c>
      <c r="P800" s="49" t="s">
        <v>80</v>
      </c>
      <c r="Q800" s="49" t="s">
        <v>81</v>
      </c>
      <c r="R800" s="49" t="s">
        <v>631</v>
      </c>
      <c r="S800" s="11" t="s">
        <v>632</v>
      </c>
      <c r="T800" s="116" t="s">
        <v>10</v>
      </c>
      <c r="U800" s="88"/>
      <c r="V800" s="51">
        <v>45544</v>
      </c>
      <c r="W800" s="97" t="s">
        <v>1578</v>
      </c>
      <c r="X800" s="135" t="str">
        <f>VLOOKUP(Table1[[#This Row],[AMZ ID]],[1]Roster_1787503287932!$D$2:$AU$1370,25,0)</f>
        <v>Not Present</v>
      </c>
      <c r="Y800" s="135">
        <f>VLOOKUP(Table1[[#This Row],[AMZ ID]],[1]Roster_1787503287932!$D$2:$AM$1370,35,0)</f>
        <v>0</v>
      </c>
    </row>
    <row r="801" spans="1:25" ht="13" customHeight="1">
      <c r="A801" s="11">
        <v>795</v>
      </c>
      <c r="B801" s="47">
        <v>204011443</v>
      </c>
      <c r="C801" s="89" t="s">
        <v>2331</v>
      </c>
      <c r="D801" s="11" t="s">
        <v>2332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84</v>
      </c>
      <c r="M801" s="49" t="s">
        <v>85</v>
      </c>
      <c r="N801" s="48" t="s">
        <v>86</v>
      </c>
      <c r="O801" s="49" t="s">
        <v>37</v>
      </c>
      <c r="P801" s="11" t="s">
        <v>80</v>
      </c>
      <c r="Q801" s="11" t="s">
        <v>90</v>
      </c>
      <c r="R801" s="11" t="s">
        <v>627</v>
      </c>
      <c r="S801" s="11" t="s">
        <v>628</v>
      </c>
      <c r="T801" s="116" t="s">
        <v>1</v>
      </c>
      <c r="U801" s="88"/>
      <c r="V801" s="51">
        <v>45551</v>
      </c>
      <c r="W801" s="97" t="s">
        <v>1578</v>
      </c>
      <c r="X801" s="135" t="str">
        <f>VLOOKUP(Table1[[#This Row],[AMZ ID]],[1]Roster_1787503287932!$D$2:$AU$1370,25,0)</f>
        <v>Present</v>
      </c>
      <c r="Y801" s="135">
        <f>VLOOKUP(Table1[[#This Row],[AMZ ID]],[1]Roster_1787503287932!$D$2:$AM$1370,35,0)</f>
        <v>0</v>
      </c>
    </row>
    <row r="802" spans="1:25" ht="13" customHeight="1">
      <c r="A802" s="11">
        <v>796</v>
      </c>
      <c r="B802" s="47">
        <v>204072301</v>
      </c>
      <c r="C802" s="89" t="s">
        <v>854</v>
      </c>
      <c r="D802" s="11" t="s">
        <v>855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32</v>
      </c>
      <c r="K802" s="49" t="s">
        <v>76</v>
      </c>
      <c r="L802" s="49" t="s">
        <v>85</v>
      </c>
      <c r="M802" s="49" t="s">
        <v>88</v>
      </c>
      <c r="N802" s="49" t="s">
        <v>86</v>
      </c>
      <c r="O802" s="49" t="s">
        <v>37</v>
      </c>
      <c r="P802" s="11" t="s">
        <v>80</v>
      </c>
      <c r="Q802" s="11" t="s">
        <v>90</v>
      </c>
      <c r="R802" s="11" t="s">
        <v>2845</v>
      </c>
      <c r="S802" s="11" t="s">
        <v>2846</v>
      </c>
      <c r="T802" s="116" t="s">
        <v>1</v>
      </c>
      <c r="U802" s="88"/>
      <c r="V802" s="51">
        <v>45558</v>
      </c>
      <c r="W802" s="97" t="s">
        <v>1577</v>
      </c>
      <c r="X802" s="135" t="str">
        <f>VLOOKUP(Table1[[#This Row],[AMZ ID]],[1]Roster_1787503287932!$D$2:$AU$1370,25,0)</f>
        <v>Present</v>
      </c>
      <c r="Y802" s="135">
        <f>VLOOKUP(Table1[[#This Row],[AMZ ID]],[1]Roster_1787503287932!$D$2:$AM$1370,35,0)</f>
        <v>0</v>
      </c>
    </row>
    <row r="803" spans="1:25" ht="13" customHeight="1">
      <c r="A803" s="11">
        <v>797</v>
      </c>
      <c r="B803" s="47">
        <v>206897647</v>
      </c>
      <c r="C803" s="89" t="s">
        <v>1893</v>
      </c>
      <c r="D803" s="11" t="s">
        <v>1894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1290</v>
      </c>
      <c r="J803" s="49" t="s">
        <v>39</v>
      </c>
      <c r="K803" s="49" t="s">
        <v>76</v>
      </c>
      <c r="L803" s="49" t="s">
        <v>85</v>
      </c>
      <c r="M803" s="49" t="s">
        <v>88</v>
      </c>
      <c r="N803" s="49" t="s">
        <v>89</v>
      </c>
      <c r="O803" s="49" t="s">
        <v>37</v>
      </c>
      <c r="P803" s="49" t="s">
        <v>80</v>
      </c>
      <c r="Q803" s="49" t="s">
        <v>81</v>
      </c>
      <c r="R803" s="49" t="s">
        <v>1066</v>
      </c>
      <c r="S803" s="49" t="s">
        <v>2717</v>
      </c>
      <c r="T803" s="116" t="s">
        <v>1</v>
      </c>
      <c r="U803" s="88"/>
      <c r="V803" s="51">
        <v>46030</v>
      </c>
      <c r="W803" s="97" t="s">
        <v>1578</v>
      </c>
      <c r="X803" s="135" t="str">
        <f>VLOOKUP(Table1[[#This Row],[AMZ ID]],[1]Roster_1787503287932!$D$2:$AU$1370,25,0)</f>
        <v>Present</v>
      </c>
      <c r="Y803" s="135">
        <f>VLOOKUP(Table1[[#This Row],[AMZ ID]],[1]Roster_1787503287932!$D$2:$AM$1370,35,0)</f>
        <v>0</v>
      </c>
    </row>
    <row r="804" spans="1:25" ht="13" customHeight="1">
      <c r="A804" s="11">
        <v>798</v>
      </c>
      <c r="B804" s="47">
        <v>206897649</v>
      </c>
      <c r="C804" s="89" t="s">
        <v>2905</v>
      </c>
      <c r="D804" s="11" t="s">
        <v>2906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85</v>
      </c>
      <c r="M804" s="49" t="s">
        <v>88</v>
      </c>
      <c r="N804" s="48" t="s">
        <v>89</v>
      </c>
      <c r="O804" s="49" t="s">
        <v>37</v>
      </c>
      <c r="P804" s="11" t="s">
        <v>80</v>
      </c>
      <c r="Q804" s="11" t="s">
        <v>81</v>
      </c>
      <c r="R804" s="11" t="s">
        <v>631</v>
      </c>
      <c r="S804" s="11" t="s">
        <v>632</v>
      </c>
      <c r="T804" s="116" t="s">
        <v>1</v>
      </c>
      <c r="U804" s="88"/>
      <c r="V804" s="51">
        <v>46239</v>
      </c>
      <c r="W804" s="97" t="s">
        <v>1579</v>
      </c>
      <c r="X804" s="135" t="str">
        <f>VLOOKUP(Table1[[#This Row],[AMZ ID]],[1]Roster_1787503287932!$D$2:$AU$1370,25,0)</f>
        <v>Present</v>
      </c>
      <c r="Y804" s="135">
        <f>VLOOKUP(Table1[[#This Row],[AMZ ID]],[1]Roster_1787503287932!$D$2:$AM$1370,35,0)</f>
        <v>0</v>
      </c>
    </row>
    <row r="805" spans="1:25" ht="13" customHeight="1">
      <c r="A805" s="11">
        <v>799</v>
      </c>
      <c r="B805" s="47">
        <v>206136723</v>
      </c>
      <c r="C805" s="90" t="s">
        <v>2826</v>
      </c>
      <c r="D805" s="11" t="s">
        <v>2827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87" t="s">
        <v>39</v>
      </c>
      <c r="K805" s="49" t="s">
        <v>76</v>
      </c>
      <c r="L805" s="49" t="s">
        <v>88</v>
      </c>
      <c r="M805" s="49" t="s">
        <v>95</v>
      </c>
      <c r="N805" s="49" t="s">
        <v>89</v>
      </c>
      <c r="O805" s="49" t="s">
        <v>37</v>
      </c>
      <c r="P805" s="11" t="s">
        <v>80</v>
      </c>
      <c r="Q805" s="11" t="s">
        <v>81</v>
      </c>
      <c r="R805" s="11" t="s">
        <v>2719</v>
      </c>
      <c r="S805" s="11" t="s">
        <v>642</v>
      </c>
      <c r="T805" s="116" t="s">
        <v>1</v>
      </c>
      <c r="U805" s="88"/>
      <c r="V805" s="51">
        <v>46226</v>
      </c>
      <c r="W805" s="97" t="s">
        <v>1577</v>
      </c>
      <c r="X805" s="135" t="str">
        <f>VLOOKUP(Table1[[#This Row],[AMZ ID]],[1]Roster_1787503287932!$D$2:$AU$1370,25,0)</f>
        <v>Present</v>
      </c>
      <c r="Y805" s="135" t="str">
        <f>VLOOKUP(Table1[[#This Row],[AMZ ID]],[1]Roster_1787503287932!$D$2:$AM$1370,35,0)</f>
        <v>Carry Forwarded Annual Leave</v>
      </c>
    </row>
    <row r="806" spans="1:25" ht="13" customHeight="1">
      <c r="A806" s="11">
        <v>800</v>
      </c>
      <c r="B806" s="47">
        <v>206136725</v>
      </c>
      <c r="C806" s="89" t="s">
        <v>856</v>
      </c>
      <c r="D806" s="11" t="s">
        <v>857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78</v>
      </c>
      <c r="M806" s="49" t="s">
        <v>92</v>
      </c>
      <c r="N806" s="49" t="s">
        <v>79</v>
      </c>
      <c r="O806" s="48" t="s">
        <v>37</v>
      </c>
      <c r="P806" s="48" t="s">
        <v>80</v>
      </c>
      <c r="Q806" s="11" t="s">
        <v>81</v>
      </c>
      <c r="R806" s="49" t="s">
        <v>2719</v>
      </c>
      <c r="S806" s="11" t="s">
        <v>642</v>
      </c>
      <c r="T806" s="116" t="s">
        <v>10</v>
      </c>
      <c r="U806" s="88"/>
      <c r="V806" s="51">
        <v>45929</v>
      </c>
      <c r="W806" s="97" t="s">
        <v>1577</v>
      </c>
      <c r="X806" s="135" t="str">
        <f>VLOOKUP(Table1[[#This Row],[AMZ ID]],[1]Roster_1787503287932!$D$2:$AU$1370,25,0)</f>
        <v>Not Present</v>
      </c>
      <c r="Y806" s="135">
        <f>VLOOKUP(Table1[[#This Row],[AMZ ID]],[1]Roster_1787503287932!$D$2:$AM$1370,35,0)</f>
        <v>0</v>
      </c>
    </row>
    <row r="807" spans="1:25" ht="13" customHeight="1">
      <c r="A807" s="11">
        <v>801</v>
      </c>
      <c r="B807" s="47">
        <v>206239529</v>
      </c>
      <c r="C807" s="89" t="s">
        <v>1650</v>
      </c>
      <c r="D807" s="11" t="s">
        <v>1624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88</v>
      </c>
      <c r="M807" s="49" t="s">
        <v>95</v>
      </c>
      <c r="N807" s="48" t="s">
        <v>79</v>
      </c>
      <c r="O807" s="49" t="s">
        <v>37</v>
      </c>
      <c r="P807" s="11" t="s">
        <v>80</v>
      </c>
      <c r="Q807" s="11" t="s">
        <v>81</v>
      </c>
      <c r="R807" s="11" t="s">
        <v>1066</v>
      </c>
      <c r="S807" s="11" t="s">
        <v>2717</v>
      </c>
      <c r="T807" s="116" t="s">
        <v>1</v>
      </c>
      <c r="U807" s="88"/>
      <c r="V807" s="51">
        <v>45943</v>
      </c>
      <c r="W807" s="97" t="s">
        <v>1577</v>
      </c>
      <c r="X807" s="135" t="str">
        <f>VLOOKUP(Table1[[#This Row],[AMZ ID]],[1]Roster_1787503287932!$D$2:$AU$1370,25,0)</f>
        <v>Present</v>
      </c>
      <c r="Y807" s="135">
        <f>VLOOKUP(Table1[[#This Row],[AMZ ID]],[1]Roster_1787503287932!$D$2:$AM$1370,35,0)</f>
        <v>0</v>
      </c>
    </row>
    <row r="808" spans="1:25" ht="13" customHeight="1">
      <c r="A808" s="11">
        <v>802</v>
      </c>
      <c r="B808" s="47">
        <v>206074973</v>
      </c>
      <c r="C808" s="89" t="s">
        <v>858</v>
      </c>
      <c r="D808" s="11" t="s">
        <v>859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85</v>
      </c>
      <c r="M808" s="49" t="s">
        <v>88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647</v>
      </c>
      <c r="S808" s="11" t="s">
        <v>1798</v>
      </c>
      <c r="T808" s="116" t="s">
        <v>1</v>
      </c>
      <c r="U808" s="88"/>
      <c r="V808" s="51">
        <v>45922</v>
      </c>
      <c r="W808" s="97" t="s">
        <v>1577</v>
      </c>
      <c r="X808" s="135" t="str">
        <f>VLOOKUP(Table1[[#This Row],[AMZ ID]],[1]Roster_1787503287932!$D$2:$AU$1370,25,0)</f>
        <v>Present</v>
      </c>
      <c r="Y808" s="135">
        <f>VLOOKUP(Table1[[#This Row],[AMZ ID]],[1]Roster_1787503287932!$D$2:$AM$1370,35,0)</f>
        <v>0</v>
      </c>
    </row>
    <row r="809" spans="1:25" ht="13" customHeight="1">
      <c r="A809" s="11">
        <v>803</v>
      </c>
      <c r="B809" s="47">
        <v>206926478</v>
      </c>
      <c r="C809" s="89" t="s">
        <v>2012</v>
      </c>
      <c r="D809" s="11" t="s">
        <v>2019</v>
      </c>
      <c r="E809" s="48" t="s">
        <v>31</v>
      </c>
      <c r="F809" s="48" t="s">
        <v>74</v>
      </c>
      <c r="G809" s="11" t="s">
        <v>64</v>
      </c>
      <c r="H809" s="11" t="s">
        <v>1332</v>
      </c>
      <c r="I809" s="11">
        <v>1299</v>
      </c>
      <c r="J809" s="49" t="s">
        <v>39</v>
      </c>
      <c r="K809" s="49" t="s">
        <v>76</v>
      </c>
      <c r="L809" s="49" t="s">
        <v>95</v>
      </c>
      <c r="M809" s="49" t="s">
        <v>77</v>
      </c>
      <c r="N809" s="48" t="s">
        <v>89</v>
      </c>
      <c r="O809" s="49" t="s">
        <v>37</v>
      </c>
      <c r="P809" s="11" t="s">
        <v>80</v>
      </c>
      <c r="Q809" s="11" t="s">
        <v>90</v>
      </c>
      <c r="R809" s="49" t="s">
        <v>627</v>
      </c>
      <c r="S809" s="11" t="s">
        <v>628</v>
      </c>
      <c r="T809" s="116" t="s">
        <v>1</v>
      </c>
      <c r="U809" s="88"/>
      <c r="V809" s="51">
        <v>46037</v>
      </c>
      <c r="W809" s="97" t="s">
        <v>2020</v>
      </c>
      <c r="X809" s="135" t="str">
        <f>VLOOKUP(Table1[[#This Row],[AMZ ID]],[1]Roster_1787503287932!$D$2:$AU$1370,25,0)</f>
        <v>Present</v>
      </c>
      <c r="Y809" s="135">
        <f>VLOOKUP(Table1[[#This Row],[AMZ ID]],[1]Roster_1787503287932!$D$2:$AM$1370,35,0)</f>
        <v>0</v>
      </c>
    </row>
    <row r="810" spans="1:25" ht="13" customHeight="1">
      <c r="A810" s="11">
        <v>804</v>
      </c>
      <c r="B810" s="47">
        <v>204138503</v>
      </c>
      <c r="C810" s="89" t="s">
        <v>860</v>
      </c>
      <c r="D810" s="11" t="s">
        <v>861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36</v>
      </c>
      <c r="M810" s="49" t="s">
        <v>92</v>
      </c>
      <c r="N810" s="48" t="s">
        <v>79</v>
      </c>
      <c r="O810" s="49" t="s">
        <v>37</v>
      </c>
      <c r="P810" s="11" t="s">
        <v>80</v>
      </c>
      <c r="Q810" s="11" t="s">
        <v>81</v>
      </c>
      <c r="R810" s="11" t="s">
        <v>639</v>
      </c>
      <c r="S810" s="11" t="s">
        <v>2718</v>
      </c>
      <c r="T810" s="116" t="s">
        <v>1</v>
      </c>
      <c r="U810" s="88"/>
      <c r="V810" s="51">
        <v>45565</v>
      </c>
      <c r="W810" s="97" t="s">
        <v>1577</v>
      </c>
      <c r="X810" s="135" t="str">
        <f>VLOOKUP(Table1[[#This Row],[AMZ ID]],[1]Roster_1787503287932!$D$2:$AU$1370,25,0)</f>
        <v>Present</v>
      </c>
      <c r="Y810" s="135">
        <f>VLOOKUP(Table1[[#This Row],[AMZ ID]],[1]Roster_1787503287932!$D$2:$AM$1370,35,0)</f>
        <v>0</v>
      </c>
    </row>
    <row r="811" spans="1:25" ht="13" customHeight="1">
      <c r="A811" s="11">
        <v>805</v>
      </c>
      <c r="B811" s="92">
        <v>205853573</v>
      </c>
      <c r="C811" s="47" t="s">
        <v>862</v>
      </c>
      <c r="D811" s="89" t="s">
        <v>863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92</v>
      </c>
      <c r="M811" s="49" t="s">
        <v>84</v>
      </c>
      <c r="N811" s="48" t="s">
        <v>89</v>
      </c>
      <c r="O811" s="49" t="s">
        <v>37</v>
      </c>
      <c r="P811" s="11" t="s">
        <v>80</v>
      </c>
      <c r="Q811" s="11" t="s">
        <v>96</v>
      </c>
      <c r="R811" s="11" t="s">
        <v>631</v>
      </c>
      <c r="S811" s="11" t="s">
        <v>632</v>
      </c>
      <c r="T811" s="116" t="s">
        <v>1</v>
      </c>
      <c r="U811" s="88"/>
      <c r="V811" s="51">
        <v>45894</v>
      </c>
      <c r="W811" s="97" t="s">
        <v>1577</v>
      </c>
      <c r="X811" s="135" t="str">
        <f>VLOOKUP(Table1[[#This Row],[AMZ ID]],[1]Roster_1787503287932!$D$2:$AU$1370,25,0)</f>
        <v>Present</v>
      </c>
      <c r="Y811" s="135">
        <f>VLOOKUP(Table1[[#This Row],[AMZ ID]],[1]Roster_1787503287932!$D$2:$AM$1370,35,0)</f>
        <v>0</v>
      </c>
    </row>
    <row r="812" spans="1:25" ht="13" customHeight="1">
      <c r="A812" s="11">
        <v>806</v>
      </c>
      <c r="B812" s="47">
        <v>206915464</v>
      </c>
      <c r="C812" s="89" t="s">
        <v>1910</v>
      </c>
      <c r="D812" s="11" t="s">
        <v>1916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8" t="s">
        <v>89</v>
      </c>
      <c r="O812" s="49" t="s">
        <v>37</v>
      </c>
      <c r="P812" s="11" t="s">
        <v>80</v>
      </c>
      <c r="Q812" s="11" t="s">
        <v>90</v>
      </c>
      <c r="R812" s="11" t="s">
        <v>647</v>
      </c>
      <c r="S812" s="11" t="s">
        <v>1798</v>
      </c>
      <c r="T812" s="116" t="s">
        <v>1</v>
      </c>
      <c r="U812" s="88"/>
      <c r="V812" s="51">
        <v>46034</v>
      </c>
      <c r="W812" s="97" t="s">
        <v>1576</v>
      </c>
      <c r="X812" s="135" t="str">
        <f>VLOOKUP(Table1[[#This Row],[AMZ ID]],[1]Roster_1787503287932!$D$2:$AU$1370,25,0)</f>
        <v>Present</v>
      </c>
      <c r="Y812" s="135">
        <f>VLOOKUP(Table1[[#This Row],[AMZ ID]],[1]Roster_1787503287932!$D$2:$AM$1370,35,0)</f>
        <v>0</v>
      </c>
    </row>
    <row r="813" spans="1:25" ht="13" customHeight="1">
      <c r="A813" s="11">
        <v>807</v>
      </c>
      <c r="B813" s="47">
        <v>203468748</v>
      </c>
      <c r="C813" s="89" t="s">
        <v>864</v>
      </c>
      <c r="D813" s="11" t="s">
        <v>865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95</v>
      </c>
      <c r="M813" s="49" t="s">
        <v>77</v>
      </c>
      <c r="N813" s="48" t="s">
        <v>79</v>
      </c>
      <c r="O813" s="49" t="s">
        <v>37</v>
      </c>
      <c r="P813" s="11" t="s">
        <v>80</v>
      </c>
      <c r="Q813" s="11" t="s">
        <v>81</v>
      </c>
      <c r="R813" s="49" t="s">
        <v>631</v>
      </c>
      <c r="S813" s="11" t="s">
        <v>632</v>
      </c>
      <c r="T813" s="116" t="s">
        <v>1</v>
      </c>
      <c r="U813" s="88"/>
      <c r="V813" s="51">
        <v>45456</v>
      </c>
      <c r="W813" s="97" t="s">
        <v>1579</v>
      </c>
      <c r="X813" s="135" t="str">
        <f>VLOOKUP(Table1[[#This Row],[AMZ ID]],[1]Roster_1787503287932!$D$2:$AU$1370,25,0)</f>
        <v>Present</v>
      </c>
      <c r="Y813" s="135">
        <f>VLOOKUP(Table1[[#This Row],[AMZ ID]],[1]Roster_1787503287932!$D$2:$AM$1370,35,0)</f>
        <v>0</v>
      </c>
    </row>
    <row r="814" spans="1:25" ht="13" customHeight="1">
      <c r="A814" s="11">
        <v>808</v>
      </c>
      <c r="B814" s="47">
        <v>205199079</v>
      </c>
      <c r="C814" s="89" t="s">
        <v>2076</v>
      </c>
      <c r="D814" s="11" t="s">
        <v>2077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77</v>
      </c>
      <c r="M814" s="49" t="s">
        <v>78</v>
      </c>
      <c r="N814" s="49" t="s">
        <v>79</v>
      </c>
      <c r="O814" s="49" t="s">
        <v>37</v>
      </c>
      <c r="P814" s="11" t="s">
        <v>80</v>
      </c>
      <c r="Q814" s="11" t="s">
        <v>96</v>
      </c>
      <c r="R814" s="11" t="s">
        <v>2844</v>
      </c>
      <c r="S814" s="11" t="s">
        <v>2716</v>
      </c>
      <c r="T814" s="116" t="s">
        <v>10</v>
      </c>
      <c r="U814" s="88"/>
      <c r="V814" s="51">
        <v>46048</v>
      </c>
      <c r="W814" s="97" t="s">
        <v>1577</v>
      </c>
      <c r="X814" s="135" t="str">
        <f>VLOOKUP(Table1[[#This Row],[AMZ ID]],[1]Roster_1787503287932!$D$2:$AU$1370,25,0)</f>
        <v>Not Present</v>
      </c>
      <c r="Y814" s="135">
        <f>VLOOKUP(Table1[[#This Row],[AMZ ID]],[1]Roster_1787503287932!$D$2:$AM$1370,35,0)</f>
        <v>0</v>
      </c>
    </row>
    <row r="815" spans="1:25" ht="13" customHeight="1">
      <c r="A815" s="11">
        <v>809</v>
      </c>
      <c r="B815" s="47">
        <v>206906444</v>
      </c>
      <c r="C815" s="89" t="s">
        <v>1875</v>
      </c>
      <c r="D815" s="11" t="s">
        <v>1876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84</v>
      </c>
      <c r="M815" s="49" t="s">
        <v>85</v>
      </c>
      <c r="N815" s="48" t="s">
        <v>89</v>
      </c>
      <c r="O815" s="49" t="s">
        <v>37</v>
      </c>
      <c r="P815" s="11" t="s">
        <v>80</v>
      </c>
      <c r="Q815" s="11" t="s">
        <v>90</v>
      </c>
      <c r="R815" s="49" t="s">
        <v>647</v>
      </c>
      <c r="S815" s="11" t="s">
        <v>1798</v>
      </c>
      <c r="T815" s="116" t="s">
        <v>1</v>
      </c>
      <c r="U815" s="88"/>
      <c r="V815" s="51">
        <v>46030</v>
      </c>
      <c r="W815" s="97" t="s">
        <v>1577</v>
      </c>
      <c r="X815" s="135" t="str">
        <f>VLOOKUP(Table1[[#This Row],[AMZ ID]],[1]Roster_1787503287932!$D$2:$AU$1370,25,0)</f>
        <v>Present</v>
      </c>
      <c r="Y815" s="135">
        <f>VLOOKUP(Table1[[#This Row],[AMZ ID]],[1]Roster_1787503287932!$D$2:$AM$1370,35,0)</f>
        <v>0</v>
      </c>
    </row>
    <row r="816" spans="1:25" ht="13" customHeight="1">
      <c r="A816" s="11">
        <v>810</v>
      </c>
      <c r="B816" s="47">
        <v>204138121</v>
      </c>
      <c r="C816" s="89" t="s">
        <v>866</v>
      </c>
      <c r="D816" s="11" t="s">
        <v>867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32</v>
      </c>
      <c r="K816" s="49" t="s">
        <v>76</v>
      </c>
      <c r="L816" s="49" t="s">
        <v>88</v>
      </c>
      <c r="M816" s="49" t="s">
        <v>95</v>
      </c>
      <c r="N816" s="48" t="s">
        <v>86</v>
      </c>
      <c r="O816" s="49" t="s">
        <v>37</v>
      </c>
      <c r="P816" s="11" t="s">
        <v>80</v>
      </c>
      <c r="Q816" s="11" t="s">
        <v>87</v>
      </c>
      <c r="R816" s="11" t="s">
        <v>1066</v>
      </c>
      <c r="S816" s="11" t="s">
        <v>2717</v>
      </c>
      <c r="T816" s="116" t="s">
        <v>1</v>
      </c>
      <c r="U816" s="88"/>
      <c r="V816" s="51">
        <v>45565</v>
      </c>
      <c r="W816" s="97" t="s">
        <v>1579</v>
      </c>
      <c r="X816" s="135" t="str">
        <f>VLOOKUP(Table1[[#This Row],[AMZ ID]],[1]Roster_1787503287932!$D$2:$AU$1370,25,0)</f>
        <v>Present</v>
      </c>
      <c r="Y816" s="135">
        <f>VLOOKUP(Table1[[#This Row],[AMZ ID]],[1]Roster_1787503287932!$D$2:$AM$1370,35,0)</f>
        <v>0</v>
      </c>
    </row>
    <row r="817" spans="1:25" ht="13" customHeight="1">
      <c r="A817" s="11">
        <v>811</v>
      </c>
      <c r="B817" s="47">
        <v>204299547</v>
      </c>
      <c r="C817" s="89" t="s">
        <v>868</v>
      </c>
      <c r="D817" s="11" t="s">
        <v>869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84</v>
      </c>
      <c r="M817" s="49" t="s">
        <v>85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11" t="s">
        <v>631</v>
      </c>
      <c r="S817" s="11" t="s">
        <v>632</v>
      </c>
      <c r="T817" s="116" t="s">
        <v>1</v>
      </c>
      <c r="U817" s="88"/>
      <c r="V817" s="51">
        <v>45586</v>
      </c>
      <c r="W817" s="97" t="s">
        <v>1576</v>
      </c>
      <c r="X817" s="135" t="str">
        <f>VLOOKUP(Table1[[#This Row],[AMZ ID]],[1]Roster_1787503287932!$D$2:$AU$1370,25,0)</f>
        <v>Present</v>
      </c>
      <c r="Y817" s="135">
        <f>VLOOKUP(Table1[[#This Row],[AMZ ID]],[1]Roster_1787503287932!$D$2:$AM$1370,35,0)</f>
        <v>0</v>
      </c>
    </row>
    <row r="818" spans="1:25" ht="13" customHeight="1">
      <c r="A818" s="11">
        <v>812</v>
      </c>
      <c r="B818" s="47">
        <v>203965458</v>
      </c>
      <c r="C818" s="89" t="s">
        <v>870</v>
      </c>
      <c r="D818" s="11" t="s">
        <v>871</v>
      </c>
      <c r="E818" s="48" t="s">
        <v>31</v>
      </c>
      <c r="F818" s="48" t="s">
        <v>74</v>
      </c>
      <c r="G818" s="48" t="s">
        <v>64</v>
      </c>
      <c r="H818" s="48" t="s">
        <v>75</v>
      </c>
      <c r="I818" s="11">
        <v>1299</v>
      </c>
      <c r="J818" s="49" t="s">
        <v>39</v>
      </c>
      <c r="K818" s="49" t="s">
        <v>76</v>
      </c>
      <c r="L818" s="49" t="s">
        <v>92</v>
      </c>
      <c r="M818" s="49" t="s">
        <v>84</v>
      </c>
      <c r="N818" s="49" t="s">
        <v>79</v>
      </c>
      <c r="O818" s="49" t="s">
        <v>37</v>
      </c>
      <c r="P818" s="49" t="s">
        <v>80</v>
      </c>
      <c r="Q818" s="49" t="s">
        <v>81</v>
      </c>
      <c r="R818" s="49" t="s">
        <v>647</v>
      </c>
      <c r="S818" s="49" t="s">
        <v>1798</v>
      </c>
      <c r="T818" s="116" t="s">
        <v>1</v>
      </c>
      <c r="U818" s="88"/>
      <c r="V818" s="51">
        <v>45544</v>
      </c>
      <c r="W818" s="97" t="s">
        <v>1578</v>
      </c>
      <c r="X818" s="135" t="str">
        <f>VLOOKUP(Table1[[#This Row],[AMZ ID]],[1]Roster_1787503287932!$D$2:$AU$1370,25,0)</f>
        <v>Present</v>
      </c>
      <c r="Y818" s="135">
        <f>VLOOKUP(Table1[[#This Row],[AMZ ID]],[1]Roster_1787503287932!$D$2:$AM$1370,35,0)</f>
        <v>0</v>
      </c>
    </row>
    <row r="819" spans="1:25" ht="13" customHeight="1">
      <c r="A819" s="11">
        <v>813</v>
      </c>
      <c r="B819" s="47">
        <v>203512949</v>
      </c>
      <c r="C819" s="89" t="s">
        <v>872</v>
      </c>
      <c r="D819" s="11" t="s">
        <v>873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88</v>
      </c>
      <c r="M819" s="49" t="s">
        <v>95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631</v>
      </c>
      <c r="S819" s="11" t="s">
        <v>632</v>
      </c>
      <c r="T819" s="116" t="s">
        <v>1</v>
      </c>
      <c r="U819" s="88"/>
      <c r="V819" s="51">
        <v>45463</v>
      </c>
      <c r="W819" s="97" t="s">
        <v>1577</v>
      </c>
      <c r="X819" s="135" t="str">
        <f>VLOOKUP(Table1[[#This Row],[AMZ ID]],[1]Roster_1787503287932!$D$2:$AU$1370,25,0)</f>
        <v>Present</v>
      </c>
      <c r="Y819" s="135">
        <f>VLOOKUP(Table1[[#This Row],[AMZ ID]],[1]Roster_1787503287932!$D$2:$AM$1370,35,0)</f>
        <v>0</v>
      </c>
    </row>
    <row r="820" spans="1:25" ht="13" customHeight="1">
      <c r="A820" s="11">
        <v>814</v>
      </c>
      <c r="B820" s="47">
        <v>204072302</v>
      </c>
      <c r="C820" s="89" t="s">
        <v>2772</v>
      </c>
      <c r="D820" s="11" t="s">
        <v>2773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32</v>
      </c>
      <c r="K820" s="49" t="s">
        <v>76</v>
      </c>
      <c r="L820" s="49" t="s">
        <v>85</v>
      </c>
      <c r="M820" s="49" t="s">
        <v>88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49" t="s">
        <v>647</v>
      </c>
      <c r="S820" s="11" t="s">
        <v>2739</v>
      </c>
      <c r="T820" s="116" t="s">
        <v>1</v>
      </c>
      <c r="U820" s="88"/>
      <c r="V820" s="51">
        <v>45684</v>
      </c>
      <c r="W820" s="97" t="s">
        <v>1577</v>
      </c>
      <c r="X820" s="135" t="str">
        <f>VLOOKUP(Table1[[#This Row],[AMZ ID]],[1]Roster_1787503287932!$D$2:$AU$1370,25,0)</f>
        <v>Present</v>
      </c>
      <c r="Y820" s="135">
        <f>VLOOKUP(Table1[[#This Row],[AMZ ID]],[1]Roster_1787503287932!$D$2:$AM$1370,35,0)</f>
        <v>0</v>
      </c>
    </row>
    <row r="821" spans="1:25" ht="13" customHeight="1">
      <c r="A821" s="11">
        <v>815</v>
      </c>
      <c r="B821" s="47">
        <v>202249751</v>
      </c>
      <c r="C821" s="89" t="s">
        <v>874</v>
      </c>
      <c r="D821" s="11" t="s">
        <v>875</v>
      </c>
      <c r="E821" s="103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85</v>
      </c>
      <c r="M821" s="49" t="s">
        <v>88</v>
      </c>
      <c r="N821" s="49" t="s">
        <v>79</v>
      </c>
      <c r="O821" s="49" t="s">
        <v>37</v>
      </c>
      <c r="P821" s="49" t="s">
        <v>80</v>
      </c>
      <c r="Q821" s="49" t="s">
        <v>81</v>
      </c>
      <c r="R821" s="11" t="s">
        <v>631</v>
      </c>
      <c r="S821" s="49" t="s">
        <v>632</v>
      </c>
      <c r="T821" s="116" t="s">
        <v>1</v>
      </c>
      <c r="U821" s="88"/>
      <c r="V821" s="51">
        <v>45561</v>
      </c>
      <c r="W821" s="97" t="s">
        <v>1576</v>
      </c>
      <c r="X821" s="135" t="str">
        <f>VLOOKUP(Table1[[#This Row],[AMZ ID]],[1]Roster_1787503287932!$D$2:$AU$1370,25,0)</f>
        <v>Present</v>
      </c>
      <c r="Y821" s="135">
        <f>VLOOKUP(Table1[[#This Row],[AMZ ID]],[1]Roster_1787503287932!$D$2:$AM$1370,35,0)</f>
        <v>0</v>
      </c>
    </row>
    <row r="822" spans="1:25" ht="13" customHeight="1">
      <c r="A822" s="11">
        <v>816</v>
      </c>
      <c r="B822" s="47">
        <v>204966775</v>
      </c>
      <c r="C822" s="89" t="s">
        <v>876</v>
      </c>
      <c r="D822" s="11" t="s">
        <v>877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84</v>
      </c>
      <c r="M822" s="49" t="s">
        <v>85</v>
      </c>
      <c r="N822" s="48" t="s">
        <v>86</v>
      </c>
      <c r="O822" s="49" t="s">
        <v>37</v>
      </c>
      <c r="P822" s="11" t="s">
        <v>80</v>
      </c>
      <c r="Q822" s="11" t="s">
        <v>90</v>
      </c>
      <c r="R822" s="49" t="s">
        <v>647</v>
      </c>
      <c r="S822" s="11" t="s">
        <v>1798</v>
      </c>
      <c r="T822" s="116" t="s">
        <v>1</v>
      </c>
      <c r="U822" s="88"/>
      <c r="V822" s="51">
        <v>45719</v>
      </c>
      <c r="W822" s="97" t="s">
        <v>1577</v>
      </c>
      <c r="X822" s="135" t="str">
        <f>VLOOKUP(Table1[[#This Row],[AMZ ID]],[1]Roster_1787503287932!$D$2:$AU$1370,25,0)</f>
        <v>Present</v>
      </c>
      <c r="Y822" s="135">
        <f>VLOOKUP(Table1[[#This Row],[AMZ ID]],[1]Roster_1787503287932!$D$2:$AM$1370,35,0)</f>
        <v>0</v>
      </c>
    </row>
    <row r="823" spans="1:25" ht="13" customHeight="1">
      <c r="A823" s="11">
        <v>817</v>
      </c>
      <c r="B823" s="47">
        <v>206915469</v>
      </c>
      <c r="C823" s="89" t="s">
        <v>1913</v>
      </c>
      <c r="D823" s="11" t="s">
        <v>1907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92</v>
      </c>
      <c r="M823" s="49" t="s">
        <v>84</v>
      </c>
      <c r="N823" s="48" t="s">
        <v>89</v>
      </c>
      <c r="O823" s="49" t="s">
        <v>37</v>
      </c>
      <c r="P823" s="11" t="s">
        <v>80</v>
      </c>
      <c r="Q823" s="11" t="s">
        <v>90</v>
      </c>
      <c r="R823" s="49" t="s">
        <v>2844</v>
      </c>
      <c r="S823" s="11" t="s">
        <v>2716</v>
      </c>
      <c r="T823" s="116" t="s">
        <v>1</v>
      </c>
      <c r="U823" s="88"/>
      <c r="V823" s="51">
        <v>46034</v>
      </c>
      <c r="W823" s="97" t="s">
        <v>1577</v>
      </c>
      <c r="X823" s="135" t="str">
        <f>VLOOKUP(Table1[[#This Row],[AMZ ID]],[1]Roster_1787503287932!$D$2:$AU$1370,25,0)</f>
        <v>Present</v>
      </c>
      <c r="Y823" s="135">
        <f>VLOOKUP(Table1[[#This Row],[AMZ ID]],[1]Roster_1787503287932!$D$2:$AM$1370,35,0)</f>
        <v>0</v>
      </c>
    </row>
    <row r="824" spans="1:25" ht="13" customHeight="1">
      <c r="A824" s="11">
        <v>818</v>
      </c>
      <c r="B824" s="47">
        <v>204116868</v>
      </c>
      <c r="C824" s="90" t="s">
        <v>878</v>
      </c>
      <c r="D824" s="11" t="s">
        <v>879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87" t="s">
        <v>39</v>
      </c>
      <c r="K824" s="49" t="s">
        <v>76</v>
      </c>
      <c r="L824" s="49" t="s">
        <v>85</v>
      </c>
      <c r="M824" s="49" t="s">
        <v>88</v>
      </c>
      <c r="N824" s="49" t="s">
        <v>86</v>
      </c>
      <c r="O824" s="49" t="s">
        <v>37</v>
      </c>
      <c r="P824" s="11" t="s">
        <v>80</v>
      </c>
      <c r="Q824" s="11" t="s">
        <v>87</v>
      </c>
      <c r="R824" s="11" t="s">
        <v>627</v>
      </c>
      <c r="S824" s="11" t="s">
        <v>628</v>
      </c>
      <c r="T824" s="116" t="s">
        <v>1</v>
      </c>
      <c r="U824" s="88"/>
      <c r="V824" s="51">
        <v>45561</v>
      </c>
      <c r="W824" s="97" t="s">
        <v>1577</v>
      </c>
      <c r="X824" s="135" t="str">
        <f>VLOOKUP(Table1[[#This Row],[AMZ ID]],[1]Roster_1787503287932!$D$2:$AU$1370,25,0)</f>
        <v>Present</v>
      </c>
      <c r="Y824" s="135">
        <f>VLOOKUP(Table1[[#This Row],[AMZ ID]],[1]Roster_1787503287932!$D$2:$AM$1370,35,0)</f>
        <v>0</v>
      </c>
    </row>
    <row r="825" spans="1:25" ht="13" customHeight="1">
      <c r="A825" s="11">
        <v>819</v>
      </c>
      <c r="B825" s="47">
        <v>203512668</v>
      </c>
      <c r="C825" s="89" t="s">
        <v>880</v>
      </c>
      <c r="D825" s="47" t="s">
        <v>881</v>
      </c>
      <c r="E825" s="47" t="s">
        <v>31</v>
      </c>
      <c r="F825" s="48" t="s">
        <v>74</v>
      </c>
      <c r="G825" s="11" t="s">
        <v>64</v>
      </c>
      <c r="H825" s="11" t="s">
        <v>75</v>
      </c>
      <c r="I825" s="47">
        <v>1299</v>
      </c>
      <c r="J825" s="49" t="s">
        <v>32</v>
      </c>
      <c r="K825" s="49" t="s">
        <v>76</v>
      </c>
      <c r="L825" s="49" t="s">
        <v>84</v>
      </c>
      <c r="M825" s="49" t="s">
        <v>85</v>
      </c>
      <c r="N825" s="49" t="s">
        <v>79</v>
      </c>
      <c r="O825" s="49" t="s">
        <v>37</v>
      </c>
      <c r="P825" s="11" t="s">
        <v>80</v>
      </c>
      <c r="Q825" s="47" t="s">
        <v>81</v>
      </c>
      <c r="R825" s="11" t="s">
        <v>1066</v>
      </c>
      <c r="S825" s="11" t="s">
        <v>2717</v>
      </c>
      <c r="T825" s="116" t="s">
        <v>1</v>
      </c>
      <c r="U825" s="88"/>
      <c r="V825" s="51">
        <v>45463</v>
      </c>
      <c r="W825" s="97" t="s">
        <v>1578</v>
      </c>
      <c r="X825" s="135" t="str">
        <f>VLOOKUP(Table1[[#This Row],[AMZ ID]],[1]Roster_1787503287932!$D$2:$AU$1370,25,0)</f>
        <v>Present</v>
      </c>
      <c r="Y825" s="135">
        <f>VLOOKUP(Table1[[#This Row],[AMZ ID]],[1]Roster_1787503287932!$D$2:$AM$1370,35,0)</f>
        <v>0</v>
      </c>
    </row>
    <row r="826" spans="1:25" ht="13" customHeight="1">
      <c r="A826" s="11">
        <v>820</v>
      </c>
      <c r="B826" s="92">
        <v>204013684</v>
      </c>
      <c r="C826" s="47" t="s">
        <v>882</v>
      </c>
      <c r="D826" s="89" t="s">
        <v>883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95</v>
      </c>
      <c r="M826" s="49" t="s">
        <v>77</v>
      </c>
      <c r="N826" s="49" t="s">
        <v>79</v>
      </c>
      <c r="O826" s="49" t="s">
        <v>37</v>
      </c>
      <c r="P826" s="11" t="s">
        <v>80</v>
      </c>
      <c r="Q826" s="11" t="s">
        <v>81</v>
      </c>
      <c r="R826" s="11" t="s">
        <v>1066</v>
      </c>
      <c r="S826" s="11" t="s">
        <v>2717</v>
      </c>
      <c r="T826" s="116" t="s">
        <v>1</v>
      </c>
      <c r="U826" s="88"/>
      <c r="V826" s="51">
        <v>45551</v>
      </c>
      <c r="W826" s="97" t="s">
        <v>1576</v>
      </c>
      <c r="X826" s="135" t="str">
        <f>VLOOKUP(Table1[[#This Row],[AMZ ID]],[1]Roster_1787503287932!$D$2:$AU$1370,25,0)</f>
        <v>Present</v>
      </c>
      <c r="Y826" s="135">
        <f>VLOOKUP(Table1[[#This Row],[AMZ ID]],[1]Roster_1787503287932!$D$2:$AM$1370,35,0)</f>
        <v>0</v>
      </c>
    </row>
    <row r="827" spans="1:25" ht="13" customHeight="1">
      <c r="A827" s="11">
        <v>821</v>
      </c>
      <c r="B827" s="92">
        <v>206926479</v>
      </c>
      <c r="C827" s="47" t="s">
        <v>2010</v>
      </c>
      <c r="D827" s="89" t="s">
        <v>2017</v>
      </c>
      <c r="E827" s="48" t="s">
        <v>31</v>
      </c>
      <c r="F827" s="48" t="s">
        <v>74</v>
      </c>
      <c r="G827" s="11" t="s">
        <v>64</v>
      </c>
      <c r="H827" s="11" t="s">
        <v>1332</v>
      </c>
      <c r="I827" s="11">
        <v>1299</v>
      </c>
      <c r="J827" s="49" t="s">
        <v>32</v>
      </c>
      <c r="K827" s="49" t="s">
        <v>76</v>
      </c>
      <c r="L827" s="49" t="s">
        <v>84</v>
      </c>
      <c r="M827" s="49" t="s">
        <v>85</v>
      </c>
      <c r="N827" s="49" t="s">
        <v>89</v>
      </c>
      <c r="O827" s="49" t="s">
        <v>37</v>
      </c>
      <c r="P827" s="11" t="s">
        <v>80</v>
      </c>
      <c r="Q827" s="11" t="s">
        <v>90</v>
      </c>
      <c r="R827" s="11" t="s">
        <v>647</v>
      </c>
      <c r="S827" s="11" t="s">
        <v>1798</v>
      </c>
      <c r="T827" s="116" t="s">
        <v>1</v>
      </c>
      <c r="U827" s="88"/>
      <c r="V827" s="51">
        <v>46037</v>
      </c>
      <c r="W827" s="97" t="s">
        <v>2020</v>
      </c>
      <c r="X827" s="135" t="str">
        <f>VLOOKUP(Table1[[#This Row],[AMZ ID]],[1]Roster_1787503287932!$D$2:$AU$1370,25,0)</f>
        <v>Present</v>
      </c>
      <c r="Y827" s="135">
        <f>VLOOKUP(Table1[[#This Row],[AMZ ID]],[1]Roster_1787503287932!$D$2:$AM$1370,35,0)</f>
        <v>0</v>
      </c>
    </row>
    <row r="828" spans="1:25" ht="13" customHeight="1">
      <c r="A828" s="11">
        <v>822</v>
      </c>
      <c r="B828" s="47">
        <v>108019714</v>
      </c>
      <c r="C828" s="89" t="s">
        <v>884</v>
      </c>
      <c r="D828" s="11" t="s">
        <v>885</v>
      </c>
      <c r="E828" s="48" t="s">
        <v>34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95</v>
      </c>
      <c r="M828" s="49" t="s">
        <v>77</v>
      </c>
      <c r="N828" s="48" t="s">
        <v>97</v>
      </c>
      <c r="O828" s="49" t="s">
        <v>37</v>
      </c>
      <c r="P828" s="11" t="s">
        <v>80</v>
      </c>
      <c r="Q828" s="11" t="s">
        <v>98</v>
      </c>
      <c r="R828" s="11" t="s">
        <v>627</v>
      </c>
      <c r="S828" s="11" t="s">
        <v>628</v>
      </c>
      <c r="T828" s="116" t="s">
        <v>1</v>
      </c>
      <c r="U828" s="88"/>
      <c r="V828" s="51">
        <v>44757</v>
      </c>
      <c r="W828" s="97" t="s">
        <v>1581</v>
      </c>
      <c r="X828" s="135" t="str">
        <f>VLOOKUP(Table1[[#This Row],[AMZ ID]],[1]Roster_1787503287932!$D$2:$AU$1370,25,0)</f>
        <v>Present</v>
      </c>
      <c r="Y828" s="135">
        <f>VLOOKUP(Table1[[#This Row],[AMZ ID]],[1]Roster_1787503287932!$D$2:$AM$1370,35,0)</f>
        <v>0</v>
      </c>
    </row>
    <row r="829" spans="1:25" ht="13" customHeight="1">
      <c r="A829" s="11">
        <v>823</v>
      </c>
      <c r="B829" s="47">
        <v>203965181</v>
      </c>
      <c r="C829" s="89" t="s">
        <v>886</v>
      </c>
      <c r="D829" s="11" t="s">
        <v>887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84</v>
      </c>
      <c r="M829" s="49" t="s">
        <v>85</v>
      </c>
      <c r="N829" s="49" t="s">
        <v>79</v>
      </c>
      <c r="O829" s="49" t="s">
        <v>37</v>
      </c>
      <c r="P829" s="11" t="s">
        <v>80</v>
      </c>
      <c r="Q829" s="11" t="s">
        <v>81</v>
      </c>
      <c r="R829" s="11" t="s">
        <v>627</v>
      </c>
      <c r="S829" s="11" t="s">
        <v>628</v>
      </c>
      <c r="T829" s="116" t="s">
        <v>1</v>
      </c>
      <c r="U829" s="88"/>
      <c r="V829" s="51">
        <v>45544</v>
      </c>
      <c r="W829" s="97" t="s">
        <v>1577</v>
      </c>
      <c r="X829" s="135" t="str">
        <f>VLOOKUP(Table1[[#This Row],[AMZ ID]],[1]Roster_1787503287932!$D$2:$AU$1370,25,0)</f>
        <v>Present</v>
      </c>
      <c r="Y829" s="135">
        <f>VLOOKUP(Table1[[#This Row],[AMZ ID]],[1]Roster_1787503287932!$D$2:$AM$1370,35,0)</f>
        <v>0</v>
      </c>
    </row>
    <row r="830" spans="1:25" ht="13" customHeight="1">
      <c r="A830" s="11">
        <v>824</v>
      </c>
      <c r="B830" s="47">
        <v>203468745</v>
      </c>
      <c r="C830" s="89" t="s">
        <v>888</v>
      </c>
      <c r="D830" s="11" t="s">
        <v>889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32</v>
      </c>
      <c r="K830" s="49" t="s">
        <v>76</v>
      </c>
      <c r="L830" s="49" t="s">
        <v>85</v>
      </c>
      <c r="M830" s="49" t="s">
        <v>88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49" t="s">
        <v>631</v>
      </c>
      <c r="S830" s="11" t="s">
        <v>632</v>
      </c>
      <c r="T830" s="116" t="s">
        <v>1</v>
      </c>
      <c r="U830" s="88"/>
      <c r="V830" s="51">
        <v>45456</v>
      </c>
      <c r="W830" s="97" t="s">
        <v>1579</v>
      </c>
      <c r="X830" s="135" t="str">
        <f>VLOOKUP(Table1[[#This Row],[AMZ ID]],[1]Roster_1787503287932!$D$2:$AU$1370,25,0)</f>
        <v>Present</v>
      </c>
      <c r="Y830" s="135">
        <f>VLOOKUP(Table1[[#This Row],[AMZ ID]],[1]Roster_1787503287932!$D$2:$AM$1370,35,0)</f>
        <v>0</v>
      </c>
    </row>
    <row r="831" spans="1:25" ht="13" customHeight="1">
      <c r="A831" s="11">
        <v>825</v>
      </c>
      <c r="B831" s="100">
        <v>203993450</v>
      </c>
      <c r="C831" s="78" t="s">
        <v>890</v>
      </c>
      <c r="D831" s="89" t="s">
        <v>891</v>
      </c>
      <c r="E831" s="80" t="s">
        <v>31</v>
      </c>
      <c r="F831" s="48" t="s">
        <v>74</v>
      </c>
      <c r="G831" s="11" t="s">
        <v>64</v>
      </c>
      <c r="H831" s="11" t="s">
        <v>75</v>
      </c>
      <c r="I831" s="74">
        <v>1299</v>
      </c>
      <c r="J831" s="49" t="s">
        <v>39</v>
      </c>
      <c r="K831" s="49" t="s">
        <v>76</v>
      </c>
      <c r="L831" s="49" t="s">
        <v>77</v>
      </c>
      <c r="M831" s="49" t="s">
        <v>78</v>
      </c>
      <c r="N831" s="49" t="s">
        <v>86</v>
      </c>
      <c r="O831" s="49" t="s">
        <v>37</v>
      </c>
      <c r="P831" s="11" t="s">
        <v>80</v>
      </c>
      <c r="Q831" s="74" t="s">
        <v>90</v>
      </c>
      <c r="R831" s="11" t="s">
        <v>627</v>
      </c>
      <c r="S831" s="74" t="s">
        <v>628</v>
      </c>
      <c r="T831" s="116" t="s">
        <v>10</v>
      </c>
      <c r="U831" s="88"/>
      <c r="V831" s="51">
        <v>45547</v>
      </c>
      <c r="W831" s="97" t="s">
        <v>1576</v>
      </c>
      <c r="X831" s="135" t="str">
        <f>VLOOKUP(Table1[[#This Row],[AMZ ID]],[1]Roster_1787503287932!$D$2:$AU$1370,25,0)</f>
        <v>Not Present</v>
      </c>
      <c r="Y831" s="135">
        <f>VLOOKUP(Table1[[#This Row],[AMZ ID]],[1]Roster_1787503287932!$D$2:$AM$1370,35,0)</f>
        <v>0</v>
      </c>
    </row>
    <row r="832" spans="1:25" ht="13" customHeight="1">
      <c r="A832" s="11">
        <v>826</v>
      </c>
      <c r="B832" s="47">
        <v>203881657</v>
      </c>
      <c r="C832" s="89" t="s">
        <v>892</v>
      </c>
      <c r="D832" s="11" t="s">
        <v>893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95</v>
      </c>
      <c r="M832" s="49" t="s">
        <v>77</v>
      </c>
      <c r="N832" s="48" t="s">
        <v>79</v>
      </c>
      <c r="O832" s="49" t="s">
        <v>37</v>
      </c>
      <c r="P832" s="11" t="s">
        <v>80</v>
      </c>
      <c r="Q832" s="11" t="s">
        <v>81</v>
      </c>
      <c r="R832" s="49" t="s">
        <v>627</v>
      </c>
      <c r="S832" s="11" t="s">
        <v>628</v>
      </c>
      <c r="T832" s="116" t="s">
        <v>1</v>
      </c>
      <c r="U832" s="88"/>
      <c r="V832" s="51">
        <v>45530</v>
      </c>
      <c r="W832" s="97" t="s">
        <v>1577</v>
      </c>
      <c r="X832" s="135" t="str">
        <f>VLOOKUP(Table1[[#This Row],[AMZ ID]],[1]Roster_1787503287932!$D$2:$AU$1370,25,0)</f>
        <v>Present</v>
      </c>
      <c r="Y832" s="135">
        <f>VLOOKUP(Table1[[#This Row],[AMZ ID]],[1]Roster_1787503287932!$D$2:$AM$1370,35,0)</f>
        <v>0</v>
      </c>
    </row>
    <row r="833" spans="1:25" ht="13" customHeight="1">
      <c r="A833" s="11">
        <v>827</v>
      </c>
      <c r="B833" s="47">
        <v>204976025</v>
      </c>
      <c r="C833" s="89" t="s">
        <v>2080</v>
      </c>
      <c r="D833" s="47" t="s">
        <v>2081</v>
      </c>
      <c r="E833" s="47" t="s">
        <v>31</v>
      </c>
      <c r="F833" s="48" t="s">
        <v>74</v>
      </c>
      <c r="G833" s="11" t="s">
        <v>64</v>
      </c>
      <c r="H833" s="11" t="s">
        <v>75</v>
      </c>
      <c r="I833" s="47">
        <v>1299</v>
      </c>
      <c r="J833" s="49" t="s">
        <v>39</v>
      </c>
      <c r="K833" s="49" t="s">
        <v>76</v>
      </c>
      <c r="L833" s="49" t="s">
        <v>77</v>
      </c>
      <c r="M833" s="49" t="s">
        <v>78</v>
      </c>
      <c r="N833" s="49" t="s">
        <v>89</v>
      </c>
      <c r="O833" s="49" t="s">
        <v>37</v>
      </c>
      <c r="P833" s="11" t="s">
        <v>80</v>
      </c>
      <c r="Q833" s="47" t="s">
        <v>96</v>
      </c>
      <c r="R833" s="11" t="s">
        <v>2844</v>
      </c>
      <c r="S833" s="11" t="s">
        <v>2716</v>
      </c>
      <c r="T833" s="116" t="s">
        <v>10</v>
      </c>
      <c r="U833" s="88"/>
      <c r="V833" s="51">
        <v>46048</v>
      </c>
      <c r="W833" s="97" t="s">
        <v>1577</v>
      </c>
      <c r="X833" s="135" t="str">
        <f>VLOOKUP(Table1[[#This Row],[AMZ ID]],[1]Roster_1787503287932!$D$2:$AU$1370,25,0)</f>
        <v>Not Present</v>
      </c>
      <c r="Y833" s="135">
        <f>VLOOKUP(Table1[[#This Row],[AMZ ID]],[1]Roster_1787503287932!$D$2:$AM$1370,35,0)</f>
        <v>0</v>
      </c>
    </row>
    <row r="834" spans="1:25" ht="13" customHeight="1">
      <c r="A834" s="11">
        <v>828</v>
      </c>
      <c r="B834" s="47">
        <v>206850964</v>
      </c>
      <c r="C834" s="89" t="s">
        <v>1801</v>
      </c>
      <c r="D834" s="11" t="s">
        <v>1802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39</v>
      </c>
      <c r="K834" s="49" t="s">
        <v>76</v>
      </c>
      <c r="L834" s="49" t="s">
        <v>88</v>
      </c>
      <c r="M834" s="49" t="s">
        <v>95</v>
      </c>
      <c r="N834" s="48" t="s">
        <v>89</v>
      </c>
      <c r="O834" s="49" t="s">
        <v>37</v>
      </c>
      <c r="P834" s="11" t="s">
        <v>80</v>
      </c>
      <c r="Q834" s="11" t="s">
        <v>90</v>
      </c>
      <c r="R834" s="11" t="s">
        <v>1066</v>
      </c>
      <c r="S834" s="11" t="s">
        <v>2717</v>
      </c>
      <c r="T834" s="116" t="s">
        <v>1</v>
      </c>
      <c r="U834" s="88"/>
      <c r="V834" s="51">
        <v>46013</v>
      </c>
      <c r="W834" s="97" t="s">
        <v>1577</v>
      </c>
      <c r="X834" s="135" t="str">
        <f>VLOOKUP(Table1[[#This Row],[AMZ ID]],[1]Roster_1787503287932!$D$2:$AU$1370,25,0)</f>
        <v>Present</v>
      </c>
      <c r="Y834" s="135">
        <f>VLOOKUP(Table1[[#This Row],[AMZ ID]],[1]Roster_1787503287932!$D$2:$AM$1370,35,0)</f>
        <v>0</v>
      </c>
    </row>
    <row r="835" spans="1:25" ht="13" customHeight="1">
      <c r="A835" s="11">
        <v>829</v>
      </c>
      <c r="B835" s="47">
        <v>204072304</v>
      </c>
      <c r="C835" s="89" t="s">
        <v>2774</v>
      </c>
      <c r="D835" s="47" t="s">
        <v>2775</v>
      </c>
      <c r="E835" s="47" t="s">
        <v>31</v>
      </c>
      <c r="F835" s="48" t="s">
        <v>74</v>
      </c>
      <c r="G835" s="11" t="s">
        <v>64</v>
      </c>
      <c r="H835" s="11" t="s">
        <v>75</v>
      </c>
      <c r="I835" s="47">
        <v>1299</v>
      </c>
      <c r="J835" s="49" t="s">
        <v>39</v>
      </c>
      <c r="K835" s="49" t="s">
        <v>76</v>
      </c>
      <c r="L835" s="49" t="s">
        <v>92</v>
      </c>
      <c r="M835" s="49" t="s">
        <v>84</v>
      </c>
      <c r="N835" s="49" t="s">
        <v>89</v>
      </c>
      <c r="O835" s="49" t="s">
        <v>37</v>
      </c>
      <c r="P835" s="11" t="s">
        <v>80</v>
      </c>
      <c r="Q835" s="47" t="s">
        <v>90</v>
      </c>
      <c r="R835" s="11" t="s">
        <v>2845</v>
      </c>
      <c r="S835" s="47" t="s">
        <v>2846</v>
      </c>
      <c r="T835" s="116" t="s">
        <v>1</v>
      </c>
      <c r="U835" s="88"/>
      <c r="V835" s="51">
        <v>45558</v>
      </c>
      <c r="W835" s="97" t="s">
        <v>1577</v>
      </c>
      <c r="X835" s="135" t="str">
        <f>VLOOKUP(Table1[[#This Row],[AMZ ID]],[1]Roster_1787503287932!$D$2:$AU$1370,25,0)</f>
        <v>Present</v>
      </c>
      <c r="Y835" s="135">
        <f>VLOOKUP(Table1[[#This Row],[AMZ ID]],[1]Roster_1787503287932!$D$2:$AM$1370,35,0)</f>
        <v>0</v>
      </c>
    </row>
    <row r="836" spans="1:25" ht="13" customHeight="1">
      <c r="A836" s="11">
        <v>830</v>
      </c>
      <c r="B836" s="47">
        <v>203850785</v>
      </c>
      <c r="C836" s="89" t="s">
        <v>2776</v>
      </c>
      <c r="D836" s="11" t="s">
        <v>2777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78</v>
      </c>
      <c r="M836" s="49" t="s">
        <v>92</v>
      </c>
      <c r="N836" s="48" t="s">
        <v>89</v>
      </c>
      <c r="O836" s="49" t="s">
        <v>37</v>
      </c>
      <c r="P836" s="11" t="s">
        <v>80</v>
      </c>
      <c r="Q836" s="11" t="s">
        <v>90</v>
      </c>
      <c r="R836" s="11" t="s">
        <v>647</v>
      </c>
      <c r="S836" s="11" t="s">
        <v>2739</v>
      </c>
      <c r="T836" s="116" t="s">
        <v>10</v>
      </c>
      <c r="U836" s="88"/>
      <c r="V836" s="51">
        <v>45524</v>
      </c>
      <c r="W836" s="97" t="s">
        <v>1577</v>
      </c>
      <c r="X836" s="135" t="str">
        <f>VLOOKUP(Table1[[#This Row],[AMZ ID]],[1]Roster_1787503287932!$D$2:$AU$1370,25,0)</f>
        <v>Not Present</v>
      </c>
      <c r="Y836" s="135">
        <f>VLOOKUP(Table1[[#This Row],[AMZ ID]],[1]Roster_1787503287932!$D$2:$AM$1370,35,0)</f>
        <v>0</v>
      </c>
    </row>
    <row r="837" spans="1:25" ht="13" customHeight="1">
      <c r="A837" s="11">
        <v>831</v>
      </c>
      <c r="B837" s="47">
        <v>105444856</v>
      </c>
      <c r="C837" s="89" t="s">
        <v>2100</v>
      </c>
      <c r="D837" s="11" t="s">
        <v>2101</v>
      </c>
      <c r="E837" s="48" t="s">
        <v>34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88</v>
      </c>
      <c r="M837" s="49" t="s">
        <v>95</v>
      </c>
      <c r="N837" s="48" t="s">
        <v>97</v>
      </c>
      <c r="O837" s="49" t="s">
        <v>37</v>
      </c>
      <c r="P837" s="11" t="s">
        <v>80</v>
      </c>
      <c r="Q837" s="11" t="s">
        <v>98</v>
      </c>
      <c r="R837" s="49" t="s">
        <v>2845</v>
      </c>
      <c r="S837" s="11" t="s">
        <v>2846</v>
      </c>
      <c r="T837" s="116" t="s">
        <v>1</v>
      </c>
      <c r="U837" s="88"/>
      <c r="V837" s="51">
        <v>46048</v>
      </c>
      <c r="W837" s="97" t="s">
        <v>1581</v>
      </c>
      <c r="X837" s="135" t="str">
        <f>VLOOKUP(Table1[[#This Row],[AMZ ID]],[1]Roster_1787503287932!$D$2:$AU$1370,25,0)</f>
        <v>Present</v>
      </c>
      <c r="Y837" s="135">
        <f>VLOOKUP(Table1[[#This Row],[AMZ ID]],[1]Roster_1787503287932!$D$2:$AM$1370,35,0)</f>
        <v>0</v>
      </c>
    </row>
    <row r="838" spans="1:25" ht="13" customHeight="1">
      <c r="A838" s="11">
        <v>832</v>
      </c>
      <c r="B838" s="47">
        <v>206138254</v>
      </c>
      <c r="C838" s="89" t="s">
        <v>894</v>
      </c>
      <c r="D838" s="11" t="s">
        <v>895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77</v>
      </c>
      <c r="M838" s="49" t="s">
        <v>78</v>
      </c>
      <c r="N838" s="48" t="s">
        <v>89</v>
      </c>
      <c r="O838" s="49" t="s">
        <v>37</v>
      </c>
      <c r="P838" s="11" t="s">
        <v>80</v>
      </c>
      <c r="Q838" s="11" t="s">
        <v>81</v>
      </c>
      <c r="R838" s="11" t="s">
        <v>631</v>
      </c>
      <c r="S838" s="11" t="s">
        <v>632</v>
      </c>
      <c r="T838" s="116" t="s">
        <v>10</v>
      </c>
      <c r="U838" s="88"/>
      <c r="V838" s="51">
        <v>45929</v>
      </c>
      <c r="W838" s="97" t="s">
        <v>1577</v>
      </c>
      <c r="X838" s="135" t="str">
        <f>VLOOKUP(Table1[[#This Row],[AMZ ID]],[1]Roster_1787503287932!$D$2:$AU$1370,25,0)</f>
        <v>Not Present</v>
      </c>
      <c r="Y838" s="135">
        <f>VLOOKUP(Table1[[#This Row],[AMZ ID]],[1]Roster_1787503287932!$D$2:$AM$1370,35,0)</f>
        <v>0</v>
      </c>
    </row>
    <row r="839" spans="1:25" ht="13" customHeight="1">
      <c r="A839" s="11">
        <v>833</v>
      </c>
      <c r="B839" s="47">
        <v>204951503</v>
      </c>
      <c r="C839" s="89" t="s">
        <v>2402</v>
      </c>
      <c r="D839" s="47" t="s">
        <v>2403</v>
      </c>
      <c r="E839" s="47" t="s">
        <v>31</v>
      </c>
      <c r="F839" s="48" t="s">
        <v>74</v>
      </c>
      <c r="G839" s="11" t="s">
        <v>64</v>
      </c>
      <c r="H839" s="11" t="s">
        <v>75</v>
      </c>
      <c r="I839" s="47">
        <v>1299</v>
      </c>
      <c r="J839" s="49" t="s">
        <v>32</v>
      </c>
      <c r="K839" s="49" t="s">
        <v>76</v>
      </c>
      <c r="L839" s="49" t="s">
        <v>85</v>
      </c>
      <c r="M839" s="49" t="s">
        <v>88</v>
      </c>
      <c r="N839" s="49" t="s">
        <v>86</v>
      </c>
      <c r="O839" s="49" t="s">
        <v>37</v>
      </c>
      <c r="P839" s="11" t="s">
        <v>80</v>
      </c>
      <c r="Q839" s="47" t="s">
        <v>90</v>
      </c>
      <c r="R839" s="49" t="s">
        <v>647</v>
      </c>
      <c r="S839" s="47" t="s">
        <v>1798</v>
      </c>
      <c r="T839" s="116" t="s">
        <v>1</v>
      </c>
      <c r="U839" s="88"/>
      <c r="V839" s="51">
        <v>45719</v>
      </c>
      <c r="W839" s="97" t="s">
        <v>1577</v>
      </c>
      <c r="X839" s="135" t="str">
        <f>VLOOKUP(Table1[[#This Row],[AMZ ID]],[1]Roster_1787503287932!$D$2:$AU$1370,25,0)</f>
        <v>Present</v>
      </c>
      <c r="Y839" s="135">
        <f>VLOOKUP(Table1[[#This Row],[AMZ ID]],[1]Roster_1787503287932!$D$2:$AM$1370,35,0)</f>
        <v>0</v>
      </c>
    </row>
    <row r="840" spans="1:25" ht="13" customHeight="1">
      <c r="A840" s="11">
        <v>834</v>
      </c>
      <c r="B840" s="47">
        <v>203850807</v>
      </c>
      <c r="C840" s="89" t="s">
        <v>2778</v>
      </c>
      <c r="D840" s="11" t="s">
        <v>2779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36</v>
      </c>
      <c r="M840" s="49" t="s">
        <v>92</v>
      </c>
      <c r="N840" s="49" t="s">
        <v>89</v>
      </c>
      <c r="O840" s="49" t="s">
        <v>37</v>
      </c>
      <c r="P840" s="11" t="s">
        <v>80</v>
      </c>
      <c r="Q840" s="11" t="s">
        <v>90</v>
      </c>
      <c r="R840" s="11" t="s">
        <v>647</v>
      </c>
      <c r="S840" s="11" t="s">
        <v>2739</v>
      </c>
      <c r="T840" s="116" t="s">
        <v>1</v>
      </c>
      <c r="U840" s="88"/>
      <c r="V840" s="51">
        <v>45524</v>
      </c>
      <c r="W840" s="97" t="s">
        <v>1577</v>
      </c>
      <c r="X840" s="135" t="str">
        <f>VLOOKUP(Table1[[#This Row],[AMZ ID]],[1]Roster_1787503287932!$D$2:$AU$1370,25,0)</f>
        <v>Present</v>
      </c>
      <c r="Y840" s="135">
        <f>VLOOKUP(Table1[[#This Row],[AMZ ID]],[1]Roster_1787503287932!$D$2:$AM$1370,35,0)</f>
        <v>0</v>
      </c>
    </row>
    <row r="841" spans="1:25" ht="13" customHeight="1">
      <c r="A841" s="11">
        <v>835</v>
      </c>
      <c r="B841" s="47">
        <v>112181816</v>
      </c>
      <c r="C841" s="90" t="s">
        <v>896</v>
      </c>
      <c r="D841" s="11" t="s">
        <v>897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87" t="s">
        <v>39</v>
      </c>
      <c r="K841" s="49" t="s">
        <v>76</v>
      </c>
      <c r="L841" s="49" t="s">
        <v>85</v>
      </c>
      <c r="M841" s="49" t="s">
        <v>88</v>
      </c>
      <c r="N841" s="49" t="s">
        <v>79</v>
      </c>
      <c r="O841" s="49" t="s">
        <v>37</v>
      </c>
      <c r="P841" s="11" t="s">
        <v>80</v>
      </c>
      <c r="Q841" s="11" t="s">
        <v>81</v>
      </c>
      <c r="R841" s="11" t="s">
        <v>647</v>
      </c>
      <c r="S841" s="11" t="s">
        <v>1798</v>
      </c>
      <c r="T841" s="116" t="s">
        <v>1</v>
      </c>
      <c r="U841" s="88"/>
      <c r="V841" s="51">
        <v>45502</v>
      </c>
      <c r="W841" s="97" t="s">
        <v>1577</v>
      </c>
      <c r="X841" s="135" t="str">
        <f>VLOOKUP(Table1[[#This Row],[AMZ ID]],[1]Roster_1787503287932!$D$2:$AU$1370,25,0)</f>
        <v>Present</v>
      </c>
      <c r="Y841" s="135">
        <f>VLOOKUP(Table1[[#This Row],[AMZ ID]],[1]Roster_1787503287932!$D$2:$AM$1370,35,0)</f>
        <v>0</v>
      </c>
    </row>
    <row r="842" spans="1:25" ht="13" customHeight="1">
      <c r="A842" s="11">
        <v>836</v>
      </c>
      <c r="B842" s="47">
        <v>206850962</v>
      </c>
      <c r="C842" s="89" t="s">
        <v>1811</v>
      </c>
      <c r="D842" s="11" t="s">
        <v>1812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32</v>
      </c>
      <c r="K842" s="49" t="s">
        <v>76</v>
      </c>
      <c r="L842" s="49" t="s">
        <v>77</v>
      </c>
      <c r="M842" s="49" t="s">
        <v>78</v>
      </c>
      <c r="N842" s="48" t="s">
        <v>89</v>
      </c>
      <c r="O842" s="49" t="s">
        <v>37</v>
      </c>
      <c r="P842" s="11" t="s">
        <v>80</v>
      </c>
      <c r="Q842" s="11" t="s">
        <v>90</v>
      </c>
      <c r="R842" s="11" t="s">
        <v>2845</v>
      </c>
      <c r="S842" s="11" t="s">
        <v>2846</v>
      </c>
      <c r="T842" s="116" t="s">
        <v>10</v>
      </c>
      <c r="U842" s="88"/>
      <c r="V842" s="51">
        <v>46013</v>
      </c>
      <c r="W842" s="97" t="s">
        <v>1577</v>
      </c>
      <c r="X842" s="135" t="str">
        <f>VLOOKUP(Table1[[#This Row],[AMZ ID]],[1]Roster_1787503287932!$D$2:$AU$1370,25,0)</f>
        <v>Not Present</v>
      </c>
      <c r="Y842" s="135">
        <f>VLOOKUP(Table1[[#This Row],[AMZ ID]],[1]Roster_1787503287932!$D$2:$AM$1370,35,0)</f>
        <v>0</v>
      </c>
    </row>
    <row r="843" spans="1:25" ht="13" customHeight="1">
      <c r="A843" s="11">
        <v>837</v>
      </c>
      <c r="B843" s="47">
        <v>203993281</v>
      </c>
      <c r="C843" s="89" t="s">
        <v>898</v>
      </c>
      <c r="D843" s="11" t="s">
        <v>899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95</v>
      </c>
      <c r="M843" s="49" t="s">
        <v>77</v>
      </c>
      <c r="N843" s="49" t="s">
        <v>79</v>
      </c>
      <c r="O843" s="48" t="s">
        <v>37</v>
      </c>
      <c r="P843" s="48" t="s">
        <v>80</v>
      </c>
      <c r="Q843" s="11" t="s">
        <v>81</v>
      </c>
      <c r="R843" s="49" t="s">
        <v>647</v>
      </c>
      <c r="S843" s="11" t="s">
        <v>1798</v>
      </c>
      <c r="T843" s="116" t="s">
        <v>1</v>
      </c>
      <c r="U843" s="88"/>
      <c r="V843" s="51">
        <v>45547</v>
      </c>
      <c r="W843" s="97" t="s">
        <v>1577</v>
      </c>
      <c r="X843" s="135" t="str">
        <f>VLOOKUP(Table1[[#This Row],[AMZ ID]],[1]Roster_1787503287932!$D$2:$AU$1370,25,0)</f>
        <v>Present</v>
      </c>
      <c r="Y843" s="135">
        <f>VLOOKUP(Table1[[#This Row],[AMZ ID]],[1]Roster_1787503287932!$D$2:$AM$1370,35,0)</f>
        <v>0</v>
      </c>
    </row>
    <row r="844" spans="1:25" ht="13" customHeight="1">
      <c r="A844" s="11">
        <v>838</v>
      </c>
      <c r="B844" s="47">
        <v>206846308</v>
      </c>
      <c r="C844" s="89" t="s">
        <v>1813</v>
      </c>
      <c r="D844" s="11" t="s">
        <v>1814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39</v>
      </c>
      <c r="K844" s="49" t="s">
        <v>76</v>
      </c>
      <c r="L844" s="49" t="s">
        <v>78</v>
      </c>
      <c r="M844" s="49" t="s">
        <v>92</v>
      </c>
      <c r="N844" s="48" t="s">
        <v>89</v>
      </c>
      <c r="O844" s="49" t="s">
        <v>37</v>
      </c>
      <c r="P844" s="11" t="s">
        <v>80</v>
      </c>
      <c r="Q844" s="11" t="s">
        <v>90</v>
      </c>
      <c r="R844" s="49" t="s">
        <v>2844</v>
      </c>
      <c r="S844" s="11" t="s">
        <v>2716</v>
      </c>
      <c r="T844" s="116" t="s">
        <v>10</v>
      </c>
      <c r="U844" s="88"/>
      <c r="V844" s="51">
        <v>46013</v>
      </c>
      <c r="W844" s="97" t="s">
        <v>1577</v>
      </c>
      <c r="X844" s="135" t="str">
        <f>VLOOKUP(Table1[[#This Row],[AMZ ID]],[1]Roster_1787503287932!$D$2:$AU$1370,25,0)</f>
        <v>Not Present</v>
      </c>
      <c r="Y844" s="135">
        <f>VLOOKUP(Table1[[#This Row],[AMZ ID]],[1]Roster_1787503287932!$D$2:$AM$1370,35,0)</f>
        <v>0</v>
      </c>
    </row>
    <row r="845" spans="1:25" ht="13" customHeight="1">
      <c r="A845" s="11">
        <v>839</v>
      </c>
      <c r="B845" s="47">
        <v>203736752</v>
      </c>
      <c r="C845" s="89" t="s">
        <v>900</v>
      </c>
      <c r="D845" s="11" t="s">
        <v>901</v>
      </c>
      <c r="E845" s="11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32</v>
      </c>
      <c r="K845" s="49" t="s">
        <v>76</v>
      </c>
      <c r="L845" s="49" t="s">
        <v>95</v>
      </c>
      <c r="M845" s="49" t="s">
        <v>77</v>
      </c>
      <c r="N845" s="49" t="s">
        <v>86</v>
      </c>
      <c r="O845" s="49" t="s">
        <v>37</v>
      </c>
      <c r="P845" s="11" t="s">
        <v>80</v>
      </c>
      <c r="Q845" s="11" t="s">
        <v>99</v>
      </c>
      <c r="R845" s="11" t="s">
        <v>639</v>
      </c>
      <c r="S845" s="11" t="s">
        <v>2718</v>
      </c>
      <c r="T845" s="116" t="s">
        <v>1</v>
      </c>
      <c r="U845" s="88"/>
      <c r="V845" s="51">
        <v>45502</v>
      </c>
      <c r="W845" s="97" t="s">
        <v>1577</v>
      </c>
      <c r="X845" s="135" t="str">
        <f>VLOOKUP(Table1[[#This Row],[AMZ ID]],[1]Roster_1787503287932!$D$2:$AU$1370,25,0)</f>
        <v>Present</v>
      </c>
      <c r="Y845" s="135">
        <f>VLOOKUP(Table1[[#This Row],[AMZ ID]],[1]Roster_1787503287932!$D$2:$AM$1370,35,0)</f>
        <v>0</v>
      </c>
    </row>
    <row r="846" spans="1:25" ht="13" customHeight="1">
      <c r="A846" s="11">
        <v>840</v>
      </c>
      <c r="B846" s="47">
        <v>204886570</v>
      </c>
      <c r="C846" s="89" t="s">
        <v>902</v>
      </c>
      <c r="D846" s="11" t="s">
        <v>903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85</v>
      </c>
      <c r="M846" s="49" t="s">
        <v>88</v>
      </c>
      <c r="N846" s="48" t="s">
        <v>86</v>
      </c>
      <c r="O846" s="49" t="s">
        <v>37</v>
      </c>
      <c r="P846" s="11" t="s">
        <v>80</v>
      </c>
      <c r="Q846" s="11" t="s">
        <v>90</v>
      </c>
      <c r="R846" s="11" t="s">
        <v>647</v>
      </c>
      <c r="S846" s="11" t="s">
        <v>1798</v>
      </c>
      <c r="T846" s="116" t="s">
        <v>1</v>
      </c>
      <c r="U846" s="88"/>
      <c r="V846" s="51">
        <v>45719</v>
      </c>
      <c r="W846" s="97" t="s">
        <v>1577</v>
      </c>
      <c r="X846" s="135" t="str">
        <f>VLOOKUP(Table1[[#This Row],[AMZ ID]],[1]Roster_1787503287932!$D$2:$AU$1370,25,0)</f>
        <v>Present</v>
      </c>
      <c r="Y846" s="135">
        <f>VLOOKUP(Table1[[#This Row],[AMZ ID]],[1]Roster_1787503287932!$D$2:$AM$1370,35,0)</f>
        <v>0</v>
      </c>
    </row>
    <row r="847" spans="1:25" ht="13" customHeight="1">
      <c r="A847" s="11">
        <v>841</v>
      </c>
      <c r="B847" s="47">
        <v>204060922</v>
      </c>
      <c r="C847" s="89" t="s">
        <v>904</v>
      </c>
      <c r="D847" s="11" t="s">
        <v>905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8" t="s">
        <v>86</v>
      </c>
      <c r="O847" s="49" t="s">
        <v>37</v>
      </c>
      <c r="P847" s="11" t="s">
        <v>80</v>
      </c>
      <c r="Q847" s="11" t="s">
        <v>90</v>
      </c>
      <c r="R847" s="49" t="s">
        <v>2845</v>
      </c>
      <c r="S847" s="11" t="s">
        <v>2846</v>
      </c>
      <c r="T847" s="116" t="s">
        <v>1</v>
      </c>
      <c r="U847" s="88"/>
      <c r="V847" s="51">
        <v>45558</v>
      </c>
      <c r="W847" s="97" t="s">
        <v>1577</v>
      </c>
      <c r="X847" s="135" t="str">
        <f>VLOOKUP(Table1[[#This Row],[AMZ ID]],[1]Roster_1787503287932!$D$2:$AU$1370,25,0)</f>
        <v>Present</v>
      </c>
      <c r="Y847" s="135">
        <f>VLOOKUP(Table1[[#This Row],[AMZ ID]],[1]Roster_1787503287932!$D$2:$AM$1370,35,0)</f>
        <v>0</v>
      </c>
    </row>
    <row r="848" spans="1:25" ht="13" customHeight="1">
      <c r="A848" s="11">
        <v>842</v>
      </c>
      <c r="B848" s="47">
        <v>206846309</v>
      </c>
      <c r="C848" s="89" t="s">
        <v>1827</v>
      </c>
      <c r="D848" s="11" t="s">
        <v>1828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39</v>
      </c>
      <c r="K848" s="49" t="s">
        <v>76</v>
      </c>
      <c r="L848" s="49" t="s">
        <v>84</v>
      </c>
      <c r="M848" s="49" t="s">
        <v>85</v>
      </c>
      <c r="N848" s="48" t="s">
        <v>89</v>
      </c>
      <c r="O848" s="49" t="s">
        <v>37</v>
      </c>
      <c r="P848" s="11" t="s">
        <v>80</v>
      </c>
      <c r="Q848" s="11" t="s">
        <v>90</v>
      </c>
      <c r="R848" s="49" t="s">
        <v>2719</v>
      </c>
      <c r="S848" s="11" t="s">
        <v>642</v>
      </c>
      <c r="T848" s="116" t="s">
        <v>1</v>
      </c>
      <c r="U848" s="88"/>
      <c r="V848" s="51">
        <v>46013</v>
      </c>
      <c r="W848" s="97" t="s">
        <v>1577</v>
      </c>
      <c r="X848" s="135" t="str">
        <f>VLOOKUP(Table1[[#This Row],[AMZ ID]],[1]Roster_1787503287932!$D$2:$AU$1370,25,0)</f>
        <v>Present</v>
      </c>
      <c r="Y848" s="135">
        <f>VLOOKUP(Table1[[#This Row],[AMZ ID]],[1]Roster_1787503287932!$D$2:$AM$1370,35,0)</f>
        <v>0</v>
      </c>
    </row>
    <row r="849" spans="1:25" ht="13" customHeight="1">
      <c r="A849" s="11">
        <v>843</v>
      </c>
      <c r="B849" s="47">
        <v>203993118</v>
      </c>
      <c r="C849" s="89" t="s">
        <v>906</v>
      </c>
      <c r="D849" s="11" t="s">
        <v>907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78</v>
      </c>
      <c r="M849" s="49" t="s">
        <v>92</v>
      </c>
      <c r="N849" s="48" t="s">
        <v>89</v>
      </c>
      <c r="O849" s="49" t="s">
        <v>37</v>
      </c>
      <c r="P849" s="11" t="s">
        <v>80</v>
      </c>
      <c r="Q849" s="11" t="s">
        <v>90</v>
      </c>
      <c r="R849" s="11" t="s">
        <v>631</v>
      </c>
      <c r="S849" s="11" t="s">
        <v>632</v>
      </c>
      <c r="T849" s="116" t="s">
        <v>10</v>
      </c>
      <c r="U849" s="88"/>
      <c r="V849" s="51">
        <v>45547</v>
      </c>
      <c r="W849" s="97" t="s">
        <v>1577</v>
      </c>
      <c r="X849" s="135" t="str">
        <f>VLOOKUP(Table1[[#This Row],[AMZ ID]],[1]Roster_1787503287932!$D$2:$AU$1370,25,0)</f>
        <v>Not Present</v>
      </c>
      <c r="Y849" s="135">
        <f>VLOOKUP(Table1[[#This Row],[AMZ ID]],[1]Roster_1787503287932!$D$2:$AM$1370,35,0)</f>
        <v>0</v>
      </c>
    </row>
    <row r="850" spans="1:25" ht="13" customHeight="1">
      <c r="A850" s="11">
        <v>844</v>
      </c>
      <c r="B850" s="47">
        <v>205199352</v>
      </c>
      <c r="C850" s="89" t="s">
        <v>2064</v>
      </c>
      <c r="D850" s="11" t="s">
        <v>2065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39</v>
      </c>
      <c r="K850" s="49" t="s">
        <v>76</v>
      </c>
      <c r="L850" s="49" t="s">
        <v>95</v>
      </c>
      <c r="M850" s="49" t="s">
        <v>77</v>
      </c>
      <c r="N850" s="48" t="s">
        <v>79</v>
      </c>
      <c r="O850" s="49" t="s">
        <v>37</v>
      </c>
      <c r="P850" s="11" t="s">
        <v>80</v>
      </c>
      <c r="Q850" s="11" t="s">
        <v>96</v>
      </c>
      <c r="R850" s="11" t="s">
        <v>2845</v>
      </c>
      <c r="S850" s="11" t="s">
        <v>2846</v>
      </c>
      <c r="T850" s="116" t="s">
        <v>1</v>
      </c>
      <c r="U850" s="88"/>
      <c r="V850" s="51">
        <v>46048</v>
      </c>
      <c r="W850" s="97" t="s">
        <v>1577</v>
      </c>
      <c r="X850" s="135" t="str">
        <f>VLOOKUP(Table1[[#This Row],[AMZ ID]],[1]Roster_1787503287932!$D$2:$AU$1370,25,0)</f>
        <v>Present</v>
      </c>
      <c r="Y850" s="135">
        <f>VLOOKUP(Table1[[#This Row],[AMZ ID]],[1]Roster_1787503287932!$D$2:$AM$1370,35,0)</f>
        <v>0</v>
      </c>
    </row>
    <row r="851" spans="1:25" ht="13" customHeight="1">
      <c r="A851" s="11">
        <v>845</v>
      </c>
      <c r="B851" s="47">
        <v>204010090</v>
      </c>
      <c r="C851" s="89" t="s">
        <v>2333</v>
      </c>
      <c r="D851" s="11" t="s">
        <v>2334</v>
      </c>
      <c r="E851" s="11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32</v>
      </c>
      <c r="K851" s="49" t="s">
        <v>76</v>
      </c>
      <c r="L851" s="49" t="s">
        <v>78</v>
      </c>
      <c r="M851" s="49" t="s">
        <v>92</v>
      </c>
      <c r="N851" s="49" t="s">
        <v>86</v>
      </c>
      <c r="O851" s="49" t="s">
        <v>37</v>
      </c>
      <c r="P851" s="11" t="s">
        <v>80</v>
      </c>
      <c r="Q851" s="11" t="s">
        <v>90</v>
      </c>
      <c r="R851" s="11" t="s">
        <v>639</v>
      </c>
      <c r="S851" s="11" t="s">
        <v>2718</v>
      </c>
      <c r="T851" s="116" t="s">
        <v>10</v>
      </c>
      <c r="U851" s="88"/>
      <c r="V851" s="51">
        <v>45551</v>
      </c>
      <c r="W851" s="97" t="s">
        <v>1578</v>
      </c>
      <c r="X851" s="135" t="str">
        <f>VLOOKUP(Table1[[#This Row],[AMZ ID]],[1]Roster_1787503287932!$D$2:$AU$1370,25,0)</f>
        <v>Not Present</v>
      </c>
      <c r="Y851" s="135">
        <f>VLOOKUP(Table1[[#This Row],[AMZ ID]],[1]Roster_1787503287932!$D$2:$AM$1370,35,0)</f>
        <v>0</v>
      </c>
    </row>
    <row r="852" spans="1:25" ht="13" customHeight="1">
      <c r="A852" s="11">
        <v>846</v>
      </c>
      <c r="B852" s="47">
        <v>206850966</v>
      </c>
      <c r="C852" s="89" t="s">
        <v>1861</v>
      </c>
      <c r="D852" s="11" t="s">
        <v>1862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39</v>
      </c>
      <c r="K852" s="49" t="s">
        <v>76</v>
      </c>
      <c r="L852" s="49" t="s">
        <v>88</v>
      </c>
      <c r="M852" s="49" t="s">
        <v>95</v>
      </c>
      <c r="N852" s="48" t="s">
        <v>89</v>
      </c>
      <c r="O852" s="49" t="s">
        <v>37</v>
      </c>
      <c r="P852" s="11" t="s">
        <v>80</v>
      </c>
      <c r="Q852" s="11" t="s">
        <v>90</v>
      </c>
      <c r="R852" s="49" t="s">
        <v>647</v>
      </c>
      <c r="S852" s="11" t="s">
        <v>1798</v>
      </c>
      <c r="T852" s="116" t="s">
        <v>1</v>
      </c>
      <c r="U852" s="88"/>
      <c r="V852" s="51">
        <v>46030</v>
      </c>
      <c r="W852" s="97" t="s">
        <v>1577</v>
      </c>
      <c r="X852" s="135" t="str">
        <f>VLOOKUP(Table1[[#This Row],[AMZ ID]],[1]Roster_1787503287932!$D$2:$AU$1370,25,0)</f>
        <v>Present</v>
      </c>
      <c r="Y852" s="135">
        <f>VLOOKUP(Table1[[#This Row],[AMZ ID]],[1]Roster_1787503287932!$D$2:$AM$1370,35,0)</f>
        <v>0</v>
      </c>
    </row>
    <row r="853" spans="1:25" ht="13" customHeight="1">
      <c r="A853" s="11">
        <v>847</v>
      </c>
      <c r="B853" s="47">
        <v>203850808</v>
      </c>
      <c r="C853" s="89" t="s">
        <v>2404</v>
      </c>
      <c r="D853" s="11" t="s">
        <v>2405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87" t="s">
        <v>39</v>
      </c>
      <c r="K853" s="49" t="s">
        <v>76</v>
      </c>
      <c r="L853" s="49" t="s">
        <v>88</v>
      </c>
      <c r="M853" s="49" t="s">
        <v>95</v>
      </c>
      <c r="N853" s="49" t="s">
        <v>86</v>
      </c>
      <c r="O853" s="49" t="s">
        <v>37</v>
      </c>
      <c r="P853" s="11" t="s">
        <v>80</v>
      </c>
      <c r="Q853" s="11" t="s">
        <v>90</v>
      </c>
      <c r="R853" s="11" t="s">
        <v>647</v>
      </c>
      <c r="S853" s="11" t="s">
        <v>1798</v>
      </c>
      <c r="T853" s="116" t="s">
        <v>1</v>
      </c>
      <c r="U853" s="88"/>
      <c r="V853" s="51">
        <v>45524</v>
      </c>
      <c r="W853" s="97" t="s">
        <v>1577</v>
      </c>
      <c r="X853" s="135" t="str">
        <f>VLOOKUP(Table1[[#This Row],[AMZ ID]],[1]Roster_1787503287932!$D$2:$AU$1370,25,0)</f>
        <v>Present</v>
      </c>
      <c r="Y853" s="135">
        <f>VLOOKUP(Table1[[#This Row],[AMZ ID]],[1]Roster_1787503287932!$D$2:$AM$1370,35,0)</f>
        <v>0</v>
      </c>
    </row>
    <row r="854" spans="1:25" ht="13" customHeight="1">
      <c r="A854" s="11">
        <v>848</v>
      </c>
      <c r="B854" s="47">
        <v>206890217</v>
      </c>
      <c r="C854" s="89" t="s">
        <v>1831</v>
      </c>
      <c r="D854" s="11" t="s">
        <v>1832</v>
      </c>
      <c r="E854" s="48" t="s">
        <v>31</v>
      </c>
      <c r="F854" s="48" t="s">
        <v>74</v>
      </c>
      <c r="G854" s="48" t="s">
        <v>64</v>
      </c>
      <c r="H854" s="48" t="s">
        <v>75</v>
      </c>
      <c r="I854" s="11">
        <v>1299</v>
      </c>
      <c r="J854" s="49" t="s">
        <v>32</v>
      </c>
      <c r="K854" s="49" t="s">
        <v>76</v>
      </c>
      <c r="L854" s="49" t="s">
        <v>88</v>
      </c>
      <c r="M854" s="49" t="s">
        <v>95</v>
      </c>
      <c r="N854" s="49" t="s">
        <v>89</v>
      </c>
      <c r="O854" s="49" t="s">
        <v>37</v>
      </c>
      <c r="P854" s="49" t="s">
        <v>80</v>
      </c>
      <c r="Q854" s="49" t="s">
        <v>96</v>
      </c>
      <c r="R854" s="49" t="s">
        <v>2845</v>
      </c>
      <c r="S854" s="49" t="s">
        <v>2846</v>
      </c>
      <c r="T854" s="116" t="s">
        <v>1</v>
      </c>
      <c r="U854" s="88"/>
      <c r="V854" s="51">
        <v>46027</v>
      </c>
      <c r="W854" s="97" t="s">
        <v>1577</v>
      </c>
      <c r="X854" s="135" t="str">
        <f>VLOOKUP(Table1[[#This Row],[AMZ ID]],[1]Roster_1787503287932!$D$2:$AU$1370,25,0)</f>
        <v>Present</v>
      </c>
      <c r="Y854" s="135">
        <f>VLOOKUP(Table1[[#This Row],[AMZ ID]],[1]Roster_1787503287932!$D$2:$AM$1370,35,0)</f>
        <v>0</v>
      </c>
    </row>
    <row r="855" spans="1:25" ht="13" customHeight="1">
      <c r="A855" s="11">
        <v>849</v>
      </c>
      <c r="B855" s="47">
        <v>203355686</v>
      </c>
      <c r="C855" s="89" t="s">
        <v>908</v>
      </c>
      <c r="D855" s="11" t="s">
        <v>909</v>
      </c>
      <c r="E855" s="103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87" t="s">
        <v>39</v>
      </c>
      <c r="K855" s="49" t="s">
        <v>76</v>
      </c>
      <c r="L855" s="49" t="s">
        <v>95</v>
      </c>
      <c r="M855" s="49" t="s">
        <v>77</v>
      </c>
      <c r="N855" s="49" t="s">
        <v>86</v>
      </c>
      <c r="O855" s="49" t="s">
        <v>37</v>
      </c>
      <c r="P855" s="49" t="s">
        <v>80</v>
      </c>
      <c r="Q855" s="49" t="s">
        <v>99</v>
      </c>
      <c r="R855" s="11" t="s">
        <v>1066</v>
      </c>
      <c r="S855" s="49" t="s">
        <v>2717</v>
      </c>
      <c r="T855" s="116" t="s">
        <v>1</v>
      </c>
      <c r="U855" s="88"/>
      <c r="V855" s="51">
        <v>45432</v>
      </c>
      <c r="W855" s="97" t="s">
        <v>1577</v>
      </c>
      <c r="X855" s="135" t="str">
        <f>VLOOKUP(Table1[[#This Row],[AMZ ID]],[1]Roster_1787503287932!$D$2:$AU$1370,25,0)</f>
        <v>Present</v>
      </c>
      <c r="Y855" s="135">
        <f>VLOOKUP(Table1[[#This Row],[AMZ ID]],[1]Roster_1787503287932!$D$2:$AM$1370,35,0)</f>
        <v>0</v>
      </c>
    </row>
    <row r="856" spans="1:25" ht="13" customHeight="1">
      <c r="A856" s="11">
        <v>850</v>
      </c>
      <c r="B856" s="47">
        <v>203911255</v>
      </c>
      <c r="C856" s="89" t="s">
        <v>910</v>
      </c>
      <c r="D856" s="11" t="s">
        <v>911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39</v>
      </c>
      <c r="K856" s="49" t="s">
        <v>76</v>
      </c>
      <c r="L856" s="49" t="s">
        <v>77</v>
      </c>
      <c r="M856" s="49" t="s">
        <v>78</v>
      </c>
      <c r="N856" s="48" t="s">
        <v>86</v>
      </c>
      <c r="O856" s="49" t="s">
        <v>37</v>
      </c>
      <c r="P856" s="11" t="s">
        <v>80</v>
      </c>
      <c r="Q856" s="11" t="s">
        <v>99</v>
      </c>
      <c r="R856" s="49" t="s">
        <v>627</v>
      </c>
      <c r="S856" s="11" t="s">
        <v>628</v>
      </c>
      <c r="T856" s="116" t="s">
        <v>10</v>
      </c>
      <c r="U856" s="88"/>
      <c r="V856" s="51">
        <v>45537</v>
      </c>
      <c r="W856" s="97" t="s">
        <v>1577</v>
      </c>
      <c r="X856" s="135" t="str">
        <f>VLOOKUP(Table1[[#This Row],[AMZ ID]],[1]Roster_1787503287932!$D$2:$AU$1370,25,0)</f>
        <v>Not Present</v>
      </c>
      <c r="Y856" s="135">
        <f>VLOOKUP(Table1[[#This Row],[AMZ ID]],[1]Roster_1787503287932!$D$2:$AM$1370,35,0)</f>
        <v>0</v>
      </c>
    </row>
    <row r="857" spans="1:25" ht="13" customHeight="1">
      <c r="A857" s="11">
        <v>851</v>
      </c>
      <c r="B857" s="47">
        <v>206136731</v>
      </c>
      <c r="C857" s="89" t="s">
        <v>912</v>
      </c>
      <c r="D857" s="11" t="s">
        <v>913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95</v>
      </c>
      <c r="M857" s="49" t="s">
        <v>77</v>
      </c>
      <c r="N857" s="48" t="s">
        <v>79</v>
      </c>
      <c r="O857" s="49" t="s">
        <v>37</v>
      </c>
      <c r="P857" s="11" t="s">
        <v>80</v>
      </c>
      <c r="Q857" s="11" t="s">
        <v>81</v>
      </c>
      <c r="R857" s="49" t="s">
        <v>2719</v>
      </c>
      <c r="S857" s="11" t="s">
        <v>642</v>
      </c>
      <c r="T857" s="116" t="s">
        <v>1</v>
      </c>
      <c r="U857" s="88"/>
      <c r="V857" s="51">
        <v>45929</v>
      </c>
      <c r="W857" s="97" t="s">
        <v>1577</v>
      </c>
      <c r="X857" s="135" t="str">
        <f>VLOOKUP(Table1[[#This Row],[AMZ ID]],[1]Roster_1787503287932!$D$2:$AU$1370,25,0)</f>
        <v>Present</v>
      </c>
      <c r="Y857" s="135">
        <f>VLOOKUP(Table1[[#This Row],[AMZ ID]],[1]Roster_1787503287932!$D$2:$AM$1370,35,0)</f>
        <v>0</v>
      </c>
    </row>
    <row r="858" spans="1:25" ht="13" customHeight="1">
      <c r="A858" s="11">
        <v>852</v>
      </c>
      <c r="B858" s="47">
        <v>203521137</v>
      </c>
      <c r="C858" s="89" t="s">
        <v>914</v>
      </c>
      <c r="D858" s="11" t="s">
        <v>915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32</v>
      </c>
      <c r="K858" s="49" t="s">
        <v>76</v>
      </c>
      <c r="L858" s="49" t="s">
        <v>85</v>
      </c>
      <c r="M858" s="49" t="s">
        <v>88</v>
      </c>
      <c r="N858" s="49" t="s">
        <v>79</v>
      </c>
      <c r="O858" s="49" t="s">
        <v>37</v>
      </c>
      <c r="P858" s="11" t="s">
        <v>80</v>
      </c>
      <c r="Q858" s="11" t="s">
        <v>81</v>
      </c>
      <c r="R858" s="49" t="s">
        <v>1066</v>
      </c>
      <c r="S858" s="11" t="s">
        <v>2717</v>
      </c>
      <c r="T858" s="116" t="s">
        <v>1</v>
      </c>
      <c r="U858" s="88"/>
      <c r="V858" s="51">
        <v>45463</v>
      </c>
      <c r="W858" s="97" t="s">
        <v>1577</v>
      </c>
      <c r="X858" s="135" t="str">
        <f>VLOOKUP(Table1[[#This Row],[AMZ ID]],[1]Roster_1787503287932!$D$2:$AU$1370,25,0)</f>
        <v>Present</v>
      </c>
      <c r="Y858" s="135">
        <f>VLOOKUP(Table1[[#This Row],[AMZ ID]],[1]Roster_1787503287932!$D$2:$AM$1370,35,0)</f>
        <v>0</v>
      </c>
    </row>
    <row r="859" spans="1:25" ht="13" customHeight="1">
      <c r="A859" s="11">
        <v>853</v>
      </c>
      <c r="B859" s="47">
        <v>104277448</v>
      </c>
      <c r="C859" s="89" t="s">
        <v>916</v>
      </c>
      <c r="D859" s="11" t="s">
        <v>917</v>
      </c>
      <c r="E859" s="48" t="s">
        <v>34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36</v>
      </c>
      <c r="M859" s="49" t="s">
        <v>92</v>
      </c>
      <c r="N859" s="48" t="s">
        <v>97</v>
      </c>
      <c r="O859" s="49" t="s">
        <v>37</v>
      </c>
      <c r="P859" s="11" t="s">
        <v>80</v>
      </c>
      <c r="Q859" s="11" t="s">
        <v>98</v>
      </c>
      <c r="R859" s="11" t="s">
        <v>627</v>
      </c>
      <c r="S859" s="11" t="s">
        <v>628</v>
      </c>
      <c r="T859" s="116" t="s">
        <v>1</v>
      </c>
      <c r="U859" s="88" t="s">
        <v>3017</v>
      </c>
      <c r="V859" s="51">
        <v>44067</v>
      </c>
      <c r="W859" s="97" t="s">
        <v>1581</v>
      </c>
      <c r="X859" s="135" t="str">
        <f>VLOOKUP(Table1[[#This Row],[AMZ ID]],[1]Roster_1787503287932!$D$2:$AU$1370,25,0)</f>
        <v>Present</v>
      </c>
      <c r="Y859" s="135">
        <f>VLOOKUP(Table1[[#This Row],[AMZ ID]],[1]Roster_1787503287932!$D$2:$AM$1370,35,0)</f>
        <v>0</v>
      </c>
    </row>
    <row r="860" spans="1:25" ht="13" customHeight="1">
      <c r="A860" s="11">
        <v>854</v>
      </c>
      <c r="B860" s="11">
        <v>206886730</v>
      </c>
      <c r="C860" s="89" t="s">
        <v>1833</v>
      </c>
      <c r="D860" s="11" t="s">
        <v>1834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87" t="s">
        <v>32</v>
      </c>
      <c r="K860" s="49" t="s">
        <v>76</v>
      </c>
      <c r="L860" s="49" t="s">
        <v>88</v>
      </c>
      <c r="M860" s="49" t="s">
        <v>95</v>
      </c>
      <c r="N860" s="49" t="s">
        <v>89</v>
      </c>
      <c r="O860" s="49" t="s">
        <v>37</v>
      </c>
      <c r="P860" s="11" t="s">
        <v>80</v>
      </c>
      <c r="Q860" s="2" t="s">
        <v>96</v>
      </c>
      <c r="R860" s="11" t="s">
        <v>2845</v>
      </c>
      <c r="S860" s="54" t="s">
        <v>2846</v>
      </c>
      <c r="T860" s="116" t="s">
        <v>1</v>
      </c>
      <c r="U860" s="88"/>
      <c r="V860" s="51">
        <v>46027</v>
      </c>
      <c r="W860" s="97" t="s">
        <v>1577</v>
      </c>
      <c r="X860" s="135" t="str">
        <f>VLOOKUP(Table1[[#This Row],[AMZ ID]],[1]Roster_1787503287932!$D$2:$AU$1370,25,0)</f>
        <v>Present</v>
      </c>
      <c r="Y860" s="135">
        <f>VLOOKUP(Table1[[#This Row],[AMZ ID]],[1]Roster_1787503287932!$D$2:$AM$1370,35,0)</f>
        <v>0</v>
      </c>
    </row>
    <row r="861" spans="1:25" ht="13" customHeight="1">
      <c r="A861" s="11">
        <v>855</v>
      </c>
      <c r="B861" s="92">
        <v>203965183</v>
      </c>
      <c r="C861" s="47" t="s">
        <v>918</v>
      </c>
      <c r="D861" s="89" t="s">
        <v>919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78</v>
      </c>
      <c r="M861" s="49" t="s">
        <v>92</v>
      </c>
      <c r="N861" s="48" t="s">
        <v>79</v>
      </c>
      <c r="O861" s="49" t="s">
        <v>37</v>
      </c>
      <c r="P861" s="11" t="s">
        <v>80</v>
      </c>
      <c r="Q861" s="11" t="s">
        <v>81</v>
      </c>
      <c r="R861" s="11" t="s">
        <v>627</v>
      </c>
      <c r="S861" s="11" t="s">
        <v>628</v>
      </c>
      <c r="T861" s="116" t="s">
        <v>10</v>
      </c>
      <c r="U861" s="88"/>
      <c r="V861" s="51">
        <v>45544</v>
      </c>
      <c r="W861" s="97" t="s">
        <v>1577</v>
      </c>
      <c r="X861" s="135" t="str">
        <f>VLOOKUP(Table1[[#This Row],[AMZ ID]],[1]Roster_1787503287932!$D$2:$AU$1370,25,0)</f>
        <v>Not Present</v>
      </c>
      <c r="Y861" s="135">
        <f>VLOOKUP(Table1[[#This Row],[AMZ ID]],[1]Roster_1787503287932!$D$2:$AM$1370,35,0)</f>
        <v>0</v>
      </c>
    </row>
    <row r="862" spans="1:25" ht="13" customHeight="1">
      <c r="A862" s="11">
        <v>856</v>
      </c>
      <c r="B862" s="47">
        <v>206138682</v>
      </c>
      <c r="C862" s="89" t="s">
        <v>920</v>
      </c>
      <c r="D862" s="11" t="s">
        <v>921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84</v>
      </c>
      <c r="M862" s="49" t="s">
        <v>85</v>
      </c>
      <c r="N862" s="48" t="s">
        <v>89</v>
      </c>
      <c r="O862" s="49" t="s">
        <v>37</v>
      </c>
      <c r="P862" s="11" t="s">
        <v>80</v>
      </c>
      <c r="Q862" s="11" t="s">
        <v>96</v>
      </c>
      <c r="R862" s="11" t="s">
        <v>2845</v>
      </c>
      <c r="S862" s="11" t="s">
        <v>2846</v>
      </c>
      <c r="T862" s="116" t="s">
        <v>1</v>
      </c>
      <c r="U862" s="88"/>
      <c r="V862" s="51">
        <v>45929</v>
      </c>
      <c r="W862" s="97" t="s">
        <v>1577</v>
      </c>
      <c r="X862" s="135" t="str">
        <f>VLOOKUP(Table1[[#This Row],[AMZ ID]],[1]Roster_1787503287932!$D$2:$AU$1370,25,0)</f>
        <v>Present</v>
      </c>
      <c r="Y862" s="135">
        <f>VLOOKUP(Table1[[#This Row],[AMZ ID]],[1]Roster_1787503287932!$D$2:$AM$1370,35,0)</f>
        <v>0</v>
      </c>
    </row>
    <row r="863" spans="1:25" ht="13" customHeight="1">
      <c r="A863" s="11">
        <v>857</v>
      </c>
      <c r="B863" s="92">
        <v>206230579</v>
      </c>
      <c r="C863" s="47" t="s">
        <v>2875</v>
      </c>
      <c r="D863" s="89" t="s">
        <v>2876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39</v>
      </c>
      <c r="K863" s="49" t="s">
        <v>76</v>
      </c>
      <c r="L863" s="49" t="s">
        <v>85</v>
      </c>
      <c r="M863" s="49" t="s">
        <v>88</v>
      </c>
      <c r="N863" s="48" t="s">
        <v>89</v>
      </c>
      <c r="O863" s="49" t="s">
        <v>37</v>
      </c>
      <c r="P863" s="11" t="s">
        <v>80</v>
      </c>
      <c r="Q863" s="11" t="s">
        <v>96</v>
      </c>
      <c r="R863" s="11" t="s">
        <v>1066</v>
      </c>
      <c r="S863" s="11" t="s">
        <v>2717</v>
      </c>
      <c r="T863" s="116" t="s">
        <v>1</v>
      </c>
      <c r="U863" s="88"/>
      <c r="V863" s="51">
        <v>46238</v>
      </c>
      <c r="W863" s="97" t="s">
        <v>1577</v>
      </c>
      <c r="X863" s="135" t="str">
        <f>VLOOKUP(Table1[[#This Row],[AMZ ID]],[1]Roster_1787503287932!$D$2:$AU$1370,25,0)</f>
        <v>Present</v>
      </c>
      <c r="Y863" s="135">
        <f>VLOOKUP(Table1[[#This Row],[AMZ ID]],[1]Roster_1787503287932!$D$2:$AM$1370,35,0)</f>
        <v>0</v>
      </c>
    </row>
    <row r="864" spans="1:25" ht="13" customHeight="1">
      <c r="A864" s="11">
        <v>858</v>
      </c>
      <c r="B864" s="47">
        <v>206930336</v>
      </c>
      <c r="C864" s="89" t="s">
        <v>2008</v>
      </c>
      <c r="D864" s="11" t="s">
        <v>2193</v>
      </c>
      <c r="E864" s="48" t="s">
        <v>31</v>
      </c>
      <c r="F864" s="48" t="s">
        <v>74</v>
      </c>
      <c r="G864" s="11" t="s">
        <v>64</v>
      </c>
      <c r="H864" s="11" t="s">
        <v>1332</v>
      </c>
      <c r="I864" s="11">
        <v>1299</v>
      </c>
      <c r="J864" s="49" t="s">
        <v>32</v>
      </c>
      <c r="K864" s="49" t="s">
        <v>76</v>
      </c>
      <c r="L864" s="49" t="s">
        <v>84</v>
      </c>
      <c r="M864" s="49" t="s">
        <v>85</v>
      </c>
      <c r="N864" s="48" t="s">
        <v>89</v>
      </c>
      <c r="O864" s="49" t="s">
        <v>37</v>
      </c>
      <c r="P864" s="11" t="s">
        <v>80</v>
      </c>
      <c r="Q864" s="11" t="s">
        <v>96</v>
      </c>
      <c r="R864" s="11" t="s">
        <v>627</v>
      </c>
      <c r="S864" s="11" t="s">
        <v>628</v>
      </c>
      <c r="T864" s="116" t="s">
        <v>1</v>
      </c>
      <c r="U864" s="88"/>
      <c r="V864" s="51">
        <v>46037</v>
      </c>
      <c r="W864" s="97" t="s">
        <v>2020</v>
      </c>
      <c r="X864" s="135" t="str">
        <f>VLOOKUP(Table1[[#This Row],[AMZ ID]],[1]Roster_1787503287932!$D$2:$AU$1370,25,0)</f>
        <v>Present</v>
      </c>
      <c r="Y864" s="135">
        <f>VLOOKUP(Table1[[#This Row],[AMZ ID]],[1]Roster_1787503287932!$D$2:$AM$1370,35,0)</f>
        <v>0</v>
      </c>
    </row>
    <row r="865" spans="1:25" ht="13" customHeight="1">
      <c r="A865" s="11">
        <v>859</v>
      </c>
      <c r="B865" s="47">
        <v>206517353</v>
      </c>
      <c r="C865" s="89" t="s">
        <v>2150</v>
      </c>
      <c r="D865" s="11" t="s">
        <v>2151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39</v>
      </c>
      <c r="K865" s="49" t="s">
        <v>76</v>
      </c>
      <c r="L865" s="49" t="s">
        <v>88</v>
      </c>
      <c r="M865" s="49" t="s">
        <v>95</v>
      </c>
      <c r="N865" s="48" t="s">
        <v>89</v>
      </c>
      <c r="O865" s="49" t="s">
        <v>37</v>
      </c>
      <c r="P865" s="11" t="s">
        <v>80</v>
      </c>
      <c r="Q865" s="11" t="s">
        <v>96</v>
      </c>
      <c r="R865" s="49" t="s">
        <v>1066</v>
      </c>
      <c r="S865" s="11" t="s">
        <v>2717</v>
      </c>
      <c r="T865" s="116" t="s">
        <v>1</v>
      </c>
      <c r="U865" s="88"/>
      <c r="V865" s="51">
        <v>46048</v>
      </c>
      <c r="W865" s="97" t="s">
        <v>1577</v>
      </c>
      <c r="X865" s="135" t="str">
        <f>VLOOKUP(Table1[[#This Row],[AMZ ID]],[1]Roster_1787503287932!$D$2:$AU$1370,25,0)</f>
        <v>Present</v>
      </c>
      <c r="Y865" s="135">
        <f>VLOOKUP(Table1[[#This Row],[AMZ ID]],[1]Roster_1787503287932!$D$2:$AM$1370,35,0)</f>
        <v>0</v>
      </c>
    </row>
    <row r="866" spans="1:25" ht="13" customHeight="1">
      <c r="A866" s="11">
        <v>860</v>
      </c>
      <c r="B866" s="92">
        <v>204009951</v>
      </c>
      <c r="C866" s="47" t="s">
        <v>922</v>
      </c>
      <c r="D866" s="89" t="s">
        <v>923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77</v>
      </c>
      <c r="M866" s="49" t="s">
        <v>78</v>
      </c>
      <c r="N866" s="48" t="s">
        <v>86</v>
      </c>
      <c r="O866" s="49" t="s">
        <v>37</v>
      </c>
      <c r="P866" s="11" t="s">
        <v>80</v>
      </c>
      <c r="Q866" s="11" t="s">
        <v>90</v>
      </c>
      <c r="R866" s="11" t="s">
        <v>647</v>
      </c>
      <c r="S866" s="11" t="s">
        <v>1798</v>
      </c>
      <c r="T866" s="116" t="s">
        <v>10</v>
      </c>
      <c r="U866" s="88"/>
      <c r="V866" s="51">
        <v>45551</v>
      </c>
      <c r="W866" s="97" t="s">
        <v>1577</v>
      </c>
      <c r="X866" s="135" t="str">
        <f>VLOOKUP(Table1[[#This Row],[AMZ ID]],[1]Roster_1787503287932!$D$2:$AU$1370,25,0)</f>
        <v>Not Present</v>
      </c>
      <c r="Y866" s="135" t="str">
        <f>VLOOKUP(Table1[[#This Row],[AMZ ID]],[1]Roster_1787503287932!$D$2:$AM$1370,35,0)</f>
        <v>Carry Forwarded Annual Leave</v>
      </c>
    </row>
    <row r="867" spans="1:25" ht="13" customHeight="1">
      <c r="A867" s="11">
        <v>861</v>
      </c>
      <c r="B867" s="47">
        <v>203850806</v>
      </c>
      <c r="C867" s="89" t="s">
        <v>924</v>
      </c>
      <c r="D867" s="11" t="s">
        <v>925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87" t="s">
        <v>39</v>
      </c>
      <c r="K867" s="49" t="s">
        <v>76</v>
      </c>
      <c r="L867" s="49" t="s">
        <v>92</v>
      </c>
      <c r="M867" s="49" t="s">
        <v>84</v>
      </c>
      <c r="N867" s="49" t="s">
        <v>86</v>
      </c>
      <c r="O867" s="49" t="s">
        <v>37</v>
      </c>
      <c r="P867" s="11" t="s">
        <v>80</v>
      </c>
      <c r="Q867" s="11" t="s">
        <v>90</v>
      </c>
      <c r="R867" s="49" t="s">
        <v>647</v>
      </c>
      <c r="S867" s="11" t="s">
        <v>1798</v>
      </c>
      <c r="T867" s="116" t="s">
        <v>1</v>
      </c>
      <c r="U867" s="88"/>
      <c r="V867" s="51">
        <v>45524</v>
      </c>
      <c r="W867" s="97" t="s">
        <v>1577</v>
      </c>
      <c r="X867" s="135" t="str">
        <f>VLOOKUP(Table1[[#This Row],[AMZ ID]],[1]Roster_1787503287932!$D$2:$AU$1370,25,0)</f>
        <v>Present</v>
      </c>
      <c r="Y867" s="135">
        <f>VLOOKUP(Table1[[#This Row],[AMZ ID]],[1]Roster_1787503287932!$D$2:$AM$1370,35,0)</f>
        <v>0</v>
      </c>
    </row>
    <row r="868" spans="1:25" ht="13" customHeight="1">
      <c r="A868" s="11">
        <v>862</v>
      </c>
      <c r="B868" s="47">
        <v>203908885</v>
      </c>
      <c r="C868" s="89" t="s">
        <v>2406</v>
      </c>
      <c r="D868" s="11" t="s">
        <v>2407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88</v>
      </c>
      <c r="M868" s="49" t="s">
        <v>95</v>
      </c>
      <c r="N868" s="49" t="s">
        <v>89</v>
      </c>
      <c r="O868" s="49" t="s">
        <v>37</v>
      </c>
      <c r="P868" s="11" t="s">
        <v>80</v>
      </c>
      <c r="Q868" s="11" t="s">
        <v>90</v>
      </c>
      <c r="R868" s="11" t="s">
        <v>627</v>
      </c>
      <c r="S868" s="11" t="s">
        <v>628</v>
      </c>
      <c r="T868" s="116" t="s">
        <v>1</v>
      </c>
      <c r="U868" s="88"/>
      <c r="V868" s="51">
        <v>45537</v>
      </c>
      <c r="W868" s="97" t="s">
        <v>1577</v>
      </c>
      <c r="X868" s="135" t="str">
        <f>VLOOKUP(Table1[[#This Row],[AMZ ID]],[1]Roster_1787503287932!$D$2:$AU$1370,25,0)</f>
        <v>Present</v>
      </c>
      <c r="Y868" s="135">
        <f>VLOOKUP(Table1[[#This Row],[AMZ ID]],[1]Roster_1787503287932!$D$2:$AM$1370,35,0)</f>
        <v>0</v>
      </c>
    </row>
    <row r="869" spans="1:25" ht="13" customHeight="1">
      <c r="A869" s="11">
        <v>863</v>
      </c>
      <c r="B869" s="47">
        <v>205231290</v>
      </c>
      <c r="C869" s="89" t="s">
        <v>2857</v>
      </c>
      <c r="D869" s="11" t="s">
        <v>2858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39</v>
      </c>
      <c r="K869" s="49" t="s">
        <v>76</v>
      </c>
      <c r="L869" s="49" t="s">
        <v>88</v>
      </c>
      <c r="M869" s="49" t="s">
        <v>95</v>
      </c>
      <c r="N869" s="48" t="s">
        <v>89</v>
      </c>
      <c r="O869" s="49" t="s">
        <v>37</v>
      </c>
      <c r="P869" s="11" t="s">
        <v>80</v>
      </c>
      <c r="Q869" s="11" t="s">
        <v>96</v>
      </c>
      <c r="R869" s="11" t="s">
        <v>1066</v>
      </c>
      <c r="S869" s="11" t="s">
        <v>2717</v>
      </c>
      <c r="T869" s="116" t="s">
        <v>1</v>
      </c>
      <c r="U869" s="88"/>
      <c r="V869" s="51">
        <v>46238</v>
      </c>
      <c r="W869" s="97" t="s">
        <v>1578</v>
      </c>
      <c r="X869" s="135" t="str">
        <f>VLOOKUP(Table1[[#This Row],[AMZ ID]],[1]Roster_1787503287932!$D$2:$AU$1370,25,0)</f>
        <v>Present</v>
      </c>
      <c r="Y869" s="135" t="str">
        <f>VLOOKUP(Table1[[#This Row],[AMZ ID]],[1]Roster_1787503287932!$D$2:$AM$1370,35,0)</f>
        <v>Annual Leave</v>
      </c>
    </row>
    <row r="870" spans="1:25" ht="13" customHeight="1">
      <c r="A870" s="11">
        <v>864</v>
      </c>
      <c r="B870" s="47">
        <v>203965411</v>
      </c>
      <c r="C870" s="89" t="s">
        <v>926</v>
      </c>
      <c r="D870" s="11" t="s">
        <v>927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92</v>
      </c>
      <c r="M870" s="49" t="s">
        <v>84</v>
      </c>
      <c r="N870" s="49" t="s">
        <v>79</v>
      </c>
      <c r="O870" s="49" t="s">
        <v>37</v>
      </c>
      <c r="P870" s="11" t="s">
        <v>80</v>
      </c>
      <c r="Q870" s="11" t="s">
        <v>81</v>
      </c>
      <c r="R870" s="11" t="s">
        <v>647</v>
      </c>
      <c r="S870" s="11" t="s">
        <v>1798</v>
      </c>
      <c r="T870" s="116" t="s">
        <v>1</v>
      </c>
      <c r="U870" s="88"/>
      <c r="V870" s="51">
        <v>45544</v>
      </c>
      <c r="W870" s="97" t="s">
        <v>1577</v>
      </c>
      <c r="X870" s="135" t="str">
        <f>VLOOKUP(Table1[[#This Row],[AMZ ID]],[1]Roster_1787503287932!$D$2:$AU$1370,25,0)</f>
        <v>Present</v>
      </c>
      <c r="Y870" s="135">
        <f>VLOOKUP(Table1[[#This Row],[AMZ ID]],[1]Roster_1787503287932!$D$2:$AM$1370,35,0)</f>
        <v>0</v>
      </c>
    </row>
    <row r="871" spans="1:25" ht="13" customHeight="1">
      <c r="A871" s="11">
        <v>865</v>
      </c>
      <c r="B871" s="47">
        <v>205923172</v>
      </c>
      <c r="C871" s="89" t="s">
        <v>2194</v>
      </c>
      <c r="D871" s="11" t="s">
        <v>2195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78</v>
      </c>
      <c r="M871" s="49" t="s">
        <v>92</v>
      </c>
      <c r="N871" s="49" t="s">
        <v>79</v>
      </c>
      <c r="O871" s="48" t="s">
        <v>37</v>
      </c>
      <c r="P871" s="48" t="s">
        <v>80</v>
      </c>
      <c r="Q871" s="11" t="s">
        <v>96</v>
      </c>
      <c r="R871" s="11" t="s">
        <v>1066</v>
      </c>
      <c r="S871" s="11" t="s">
        <v>2717</v>
      </c>
      <c r="T871" s="116" t="s">
        <v>10</v>
      </c>
      <c r="U871" s="88"/>
      <c r="V871" s="51">
        <v>46051</v>
      </c>
      <c r="W871" s="97" t="s">
        <v>1577</v>
      </c>
      <c r="X871" s="135" t="str">
        <f>VLOOKUP(Table1[[#This Row],[AMZ ID]],[1]Roster_1787503287932!$D$2:$AU$1370,25,0)</f>
        <v>Not Present</v>
      </c>
      <c r="Y871" s="135">
        <f>VLOOKUP(Table1[[#This Row],[AMZ ID]],[1]Roster_1787503287932!$D$2:$AM$1370,35,0)</f>
        <v>0</v>
      </c>
    </row>
    <row r="872" spans="1:25" ht="13" customHeight="1">
      <c r="A872" s="11">
        <v>866</v>
      </c>
      <c r="B872" s="47">
        <v>203850804</v>
      </c>
      <c r="C872" s="89" t="s">
        <v>2780</v>
      </c>
      <c r="D872" s="11" t="s">
        <v>2781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88</v>
      </c>
      <c r="M872" s="49" t="s">
        <v>95</v>
      </c>
      <c r="N872" s="48" t="s">
        <v>86</v>
      </c>
      <c r="O872" s="49" t="s">
        <v>37</v>
      </c>
      <c r="P872" s="11" t="s">
        <v>80</v>
      </c>
      <c r="Q872" s="11" t="s">
        <v>90</v>
      </c>
      <c r="R872" s="11" t="s">
        <v>2845</v>
      </c>
      <c r="S872" s="11" t="s">
        <v>2846</v>
      </c>
      <c r="T872" s="116" t="s">
        <v>1</v>
      </c>
      <c r="U872" s="88"/>
      <c r="V872" s="51">
        <v>45524</v>
      </c>
      <c r="W872" s="97" t="s">
        <v>1577</v>
      </c>
      <c r="X872" s="135" t="str">
        <f>VLOOKUP(Table1[[#This Row],[AMZ ID]],[1]Roster_1787503287932!$D$2:$AU$1370,25,0)</f>
        <v>Present</v>
      </c>
      <c r="Y872" s="135">
        <f>VLOOKUP(Table1[[#This Row],[AMZ ID]],[1]Roster_1787503287932!$D$2:$AM$1370,35,0)</f>
        <v>0</v>
      </c>
    </row>
    <row r="873" spans="1:25" ht="13" customHeight="1">
      <c r="A873" s="11">
        <v>867</v>
      </c>
      <c r="B873" s="47">
        <v>204072306</v>
      </c>
      <c r="C873" s="89" t="s">
        <v>928</v>
      </c>
      <c r="D873" s="11" t="s">
        <v>929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32</v>
      </c>
      <c r="K873" s="49" t="s">
        <v>76</v>
      </c>
      <c r="L873" s="49" t="s">
        <v>85</v>
      </c>
      <c r="M873" s="49" t="s">
        <v>88</v>
      </c>
      <c r="N873" s="48" t="s">
        <v>86</v>
      </c>
      <c r="O873" s="49" t="s">
        <v>37</v>
      </c>
      <c r="P873" s="11" t="s">
        <v>80</v>
      </c>
      <c r="Q873" s="11" t="s">
        <v>90</v>
      </c>
      <c r="R873" s="49" t="s">
        <v>2845</v>
      </c>
      <c r="S873" s="11" t="s">
        <v>2846</v>
      </c>
      <c r="T873" s="116" t="s">
        <v>1</v>
      </c>
      <c r="U873" s="88"/>
      <c r="V873" s="51">
        <v>45558</v>
      </c>
      <c r="W873" s="97" t="s">
        <v>1577</v>
      </c>
      <c r="X873" s="135" t="str">
        <f>VLOOKUP(Table1[[#This Row],[AMZ ID]],[1]Roster_1787503287932!$D$2:$AU$1370,25,0)</f>
        <v>Present</v>
      </c>
      <c r="Y873" s="135">
        <f>VLOOKUP(Table1[[#This Row],[AMZ ID]],[1]Roster_1787503287932!$D$2:$AM$1370,35,0)</f>
        <v>0</v>
      </c>
    </row>
    <row r="874" spans="1:25" ht="13" customHeight="1">
      <c r="A874" s="11">
        <v>868</v>
      </c>
      <c r="B874" s="92">
        <v>203850884</v>
      </c>
      <c r="C874" s="47" t="s">
        <v>2782</v>
      </c>
      <c r="D874" s="89" t="s">
        <v>2783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85</v>
      </c>
      <c r="M874" s="49" t="s">
        <v>88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11" t="s">
        <v>627</v>
      </c>
      <c r="S874" s="11" t="s">
        <v>628</v>
      </c>
      <c r="T874" s="116" t="s">
        <v>1</v>
      </c>
      <c r="U874" s="88"/>
      <c r="V874" s="51">
        <v>45524</v>
      </c>
      <c r="W874" s="97" t="s">
        <v>1577</v>
      </c>
      <c r="X874" s="135" t="str">
        <f>VLOOKUP(Table1[[#This Row],[AMZ ID]],[1]Roster_1787503287932!$D$2:$AU$1370,25,0)</f>
        <v>Present</v>
      </c>
      <c r="Y874" s="135">
        <f>VLOOKUP(Table1[[#This Row],[AMZ ID]],[1]Roster_1787503287932!$D$2:$AM$1370,35,0)</f>
        <v>0</v>
      </c>
    </row>
    <row r="875" spans="1:25" ht="13" customHeight="1">
      <c r="A875" s="11">
        <v>869</v>
      </c>
      <c r="B875" s="47">
        <v>203813081</v>
      </c>
      <c r="C875" s="89" t="s">
        <v>930</v>
      </c>
      <c r="D875" s="11" t="s">
        <v>931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78</v>
      </c>
      <c r="M875" s="49" t="s">
        <v>92</v>
      </c>
      <c r="N875" s="48" t="s">
        <v>86</v>
      </c>
      <c r="O875" s="49" t="s">
        <v>37</v>
      </c>
      <c r="P875" s="11" t="s">
        <v>80</v>
      </c>
      <c r="Q875" s="11" t="s">
        <v>99</v>
      </c>
      <c r="R875" s="11" t="s">
        <v>639</v>
      </c>
      <c r="S875" s="11" t="s">
        <v>2718</v>
      </c>
      <c r="T875" s="116" t="s">
        <v>10</v>
      </c>
      <c r="U875" s="88"/>
      <c r="V875" s="51">
        <v>45517</v>
      </c>
      <c r="W875" s="97" t="s">
        <v>1577</v>
      </c>
      <c r="X875" s="135" t="str">
        <f>VLOOKUP(Table1[[#This Row],[AMZ ID]],[1]Roster_1787503287932!$D$2:$AU$1370,25,0)</f>
        <v>Not Present</v>
      </c>
      <c r="Y875" s="135">
        <f>VLOOKUP(Table1[[#This Row],[AMZ ID]],[1]Roster_1787503287932!$D$2:$AM$1370,35,0)</f>
        <v>0</v>
      </c>
    </row>
    <row r="876" spans="1:25" ht="13" customHeight="1">
      <c r="A876" s="11">
        <v>870</v>
      </c>
      <c r="B876" s="92">
        <v>206015628</v>
      </c>
      <c r="C876" s="47" t="s">
        <v>932</v>
      </c>
      <c r="D876" s="89" t="s">
        <v>933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32</v>
      </c>
      <c r="K876" s="49" t="s">
        <v>76</v>
      </c>
      <c r="L876" s="49" t="s">
        <v>95</v>
      </c>
      <c r="M876" s="49" t="s">
        <v>77</v>
      </c>
      <c r="N876" s="49" t="s">
        <v>79</v>
      </c>
      <c r="O876" s="49" t="s">
        <v>37</v>
      </c>
      <c r="P876" s="11" t="s">
        <v>80</v>
      </c>
      <c r="Q876" s="11" t="s">
        <v>81</v>
      </c>
      <c r="R876" s="11" t="s">
        <v>647</v>
      </c>
      <c r="S876" s="11" t="s">
        <v>1798</v>
      </c>
      <c r="T876" s="116" t="s">
        <v>1</v>
      </c>
      <c r="U876" s="88"/>
      <c r="V876" s="51">
        <v>45922</v>
      </c>
      <c r="W876" s="97" t="s">
        <v>1577</v>
      </c>
      <c r="X876" s="135" t="str">
        <f>VLOOKUP(Table1[[#This Row],[AMZ ID]],[1]Roster_1787503287932!$D$2:$AU$1370,25,0)</f>
        <v>Present</v>
      </c>
      <c r="Y876" s="135">
        <f>VLOOKUP(Table1[[#This Row],[AMZ ID]],[1]Roster_1787503287932!$D$2:$AM$1370,35,0)</f>
        <v>0</v>
      </c>
    </row>
    <row r="877" spans="1:25" ht="13" customHeight="1">
      <c r="A877" s="11">
        <v>871</v>
      </c>
      <c r="B877" s="47">
        <v>204011579</v>
      </c>
      <c r="C877" s="89" t="s">
        <v>2784</v>
      </c>
      <c r="D877" s="11" t="s">
        <v>2785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85</v>
      </c>
      <c r="M877" s="49" t="s">
        <v>88</v>
      </c>
      <c r="N877" s="49" t="s">
        <v>86</v>
      </c>
      <c r="O877" s="49" t="s">
        <v>37</v>
      </c>
      <c r="P877" s="11" t="s">
        <v>80</v>
      </c>
      <c r="Q877" s="11" t="s">
        <v>90</v>
      </c>
      <c r="R877" s="49" t="s">
        <v>1066</v>
      </c>
      <c r="S877" s="11" t="s">
        <v>2749</v>
      </c>
      <c r="T877" s="116" t="s">
        <v>1</v>
      </c>
      <c r="U877" s="88"/>
      <c r="V877" s="51">
        <v>45551</v>
      </c>
      <c r="W877" s="97" t="s">
        <v>1577</v>
      </c>
      <c r="X877" s="135" t="str">
        <f>VLOOKUP(Table1[[#This Row],[AMZ ID]],[1]Roster_1787503287932!$D$2:$AU$1370,25,0)</f>
        <v>Present</v>
      </c>
      <c r="Y877" s="135">
        <f>VLOOKUP(Table1[[#This Row],[AMZ ID]],[1]Roster_1787503287932!$D$2:$AM$1370,35,0)</f>
        <v>0</v>
      </c>
    </row>
    <row r="878" spans="1:25" ht="13" customHeight="1">
      <c r="A878" s="11">
        <v>872</v>
      </c>
      <c r="B878" s="47">
        <v>206607036</v>
      </c>
      <c r="C878" s="89" t="s">
        <v>2092</v>
      </c>
      <c r="D878" s="11" t="s">
        <v>2093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84</v>
      </c>
      <c r="M878" s="49" t="s">
        <v>85</v>
      </c>
      <c r="N878" s="48" t="s">
        <v>89</v>
      </c>
      <c r="O878" s="49" t="s">
        <v>37</v>
      </c>
      <c r="P878" s="11" t="s">
        <v>80</v>
      </c>
      <c r="Q878" s="11" t="s">
        <v>96</v>
      </c>
      <c r="R878" s="11" t="s">
        <v>627</v>
      </c>
      <c r="S878" s="11" t="s">
        <v>628</v>
      </c>
      <c r="T878" s="116" t="s">
        <v>1</v>
      </c>
      <c r="U878" s="88"/>
      <c r="V878" s="51">
        <v>46048</v>
      </c>
      <c r="W878" s="97" t="s">
        <v>1577</v>
      </c>
      <c r="X878" s="135" t="str">
        <f>VLOOKUP(Table1[[#This Row],[AMZ ID]],[1]Roster_1787503287932!$D$2:$AU$1370,25,0)</f>
        <v>Present</v>
      </c>
      <c r="Y878" s="135">
        <f>VLOOKUP(Table1[[#This Row],[AMZ ID]],[1]Roster_1787503287932!$D$2:$AM$1370,35,0)</f>
        <v>0</v>
      </c>
    </row>
    <row r="879" spans="1:25" ht="13" customHeight="1">
      <c r="A879" s="11">
        <v>873</v>
      </c>
      <c r="B879" s="47">
        <v>205853575</v>
      </c>
      <c r="C879" s="89" t="s">
        <v>934</v>
      </c>
      <c r="D879" s="11" t="s">
        <v>935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92</v>
      </c>
      <c r="M879" s="49" t="s">
        <v>84</v>
      </c>
      <c r="N879" s="48" t="s">
        <v>89</v>
      </c>
      <c r="O879" s="49" t="s">
        <v>37</v>
      </c>
      <c r="P879" s="11" t="s">
        <v>80</v>
      </c>
      <c r="Q879" s="11" t="s">
        <v>96</v>
      </c>
      <c r="R879" s="49" t="s">
        <v>631</v>
      </c>
      <c r="S879" s="11" t="s">
        <v>632</v>
      </c>
      <c r="T879" s="116" t="s">
        <v>1</v>
      </c>
      <c r="U879" s="88"/>
      <c r="V879" s="51">
        <v>45894</v>
      </c>
      <c r="W879" s="97" t="s">
        <v>1577</v>
      </c>
      <c r="X879" s="135" t="str">
        <f>VLOOKUP(Table1[[#This Row],[AMZ ID]],[1]Roster_1787503287932!$D$2:$AU$1370,25,0)</f>
        <v>Present</v>
      </c>
      <c r="Y879" s="135">
        <f>VLOOKUP(Table1[[#This Row],[AMZ ID]],[1]Roster_1787503287932!$D$2:$AM$1370,35,0)</f>
        <v>0</v>
      </c>
    </row>
    <row r="880" spans="1:25" ht="13" customHeight="1">
      <c r="A880" s="11">
        <v>874</v>
      </c>
      <c r="B880" s="47">
        <v>203285820</v>
      </c>
      <c r="C880" s="89" t="s">
        <v>936</v>
      </c>
      <c r="D880" s="47" t="s">
        <v>937</v>
      </c>
      <c r="E880" s="47" t="s">
        <v>31</v>
      </c>
      <c r="F880" s="48" t="s">
        <v>74</v>
      </c>
      <c r="G880" s="11" t="s">
        <v>64</v>
      </c>
      <c r="H880" s="11" t="s">
        <v>75</v>
      </c>
      <c r="I880" s="47">
        <v>1299</v>
      </c>
      <c r="J880" s="49" t="s">
        <v>39</v>
      </c>
      <c r="K880" s="49" t="s">
        <v>76</v>
      </c>
      <c r="L880" s="49" t="s">
        <v>84</v>
      </c>
      <c r="M880" s="49" t="s">
        <v>85</v>
      </c>
      <c r="N880" s="49" t="s">
        <v>79</v>
      </c>
      <c r="O880" s="49" t="s">
        <v>37</v>
      </c>
      <c r="P880" s="11" t="s">
        <v>80</v>
      </c>
      <c r="Q880" s="47" t="s">
        <v>81</v>
      </c>
      <c r="R880" s="11" t="s">
        <v>631</v>
      </c>
      <c r="S880" s="11" t="s">
        <v>632</v>
      </c>
      <c r="T880" s="116" t="s">
        <v>1</v>
      </c>
      <c r="U880" s="88"/>
      <c r="V880" s="51">
        <v>45561</v>
      </c>
      <c r="W880" s="97" t="s">
        <v>1576</v>
      </c>
      <c r="X880" s="135" t="str">
        <f>VLOOKUP(Table1[[#This Row],[AMZ ID]],[1]Roster_1787503287932!$D$2:$AU$1370,25,0)</f>
        <v>Present</v>
      </c>
      <c r="Y880" s="135">
        <f>VLOOKUP(Table1[[#This Row],[AMZ ID]],[1]Roster_1787503287932!$D$2:$AM$1370,35,0)</f>
        <v>0</v>
      </c>
    </row>
    <row r="881" spans="1:25" ht="13" customHeight="1">
      <c r="A881" s="11">
        <v>875</v>
      </c>
      <c r="B881" s="47">
        <v>205853580</v>
      </c>
      <c r="C881" s="89" t="s">
        <v>938</v>
      </c>
      <c r="D881" s="11" t="s">
        <v>939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36</v>
      </c>
      <c r="M881" s="49" t="s">
        <v>92</v>
      </c>
      <c r="N881" s="48" t="s">
        <v>79</v>
      </c>
      <c r="O881" s="49" t="s">
        <v>37</v>
      </c>
      <c r="P881" s="11" t="s">
        <v>80</v>
      </c>
      <c r="Q881" s="11" t="s">
        <v>96</v>
      </c>
      <c r="R881" s="11" t="s">
        <v>1066</v>
      </c>
      <c r="S881" s="11" t="s">
        <v>2717</v>
      </c>
      <c r="T881" s="116" t="s">
        <v>1</v>
      </c>
      <c r="U881" s="88"/>
      <c r="V881" s="51">
        <v>45894</v>
      </c>
      <c r="W881" s="97" t="s">
        <v>1577</v>
      </c>
      <c r="X881" s="135" t="str">
        <f>VLOOKUP(Table1[[#This Row],[AMZ ID]],[1]Roster_1787503287932!$D$2:$AU$1370,25,0)</f>
        <v>Present</v>
      </c>
      <c r="Y881" s="135">
        <f>VLOOKUP(Table1[[#This Row],[AMZ ID]],[1]Roster_1787503287932!$D$2:$AM$1370,35,0)</f>
        <v>0</v>
      </c>
    </row>
    <row r="882" spans="1:25" ht="13" customHeight="1">
      <c r="A882" s="11">
        <v>876</v>
      </c>
      <c r="B882" s="47">
        <v>206902845</v>
      </c>
      <c r="C882" s="89" t="s">
        <v>1879</v>
      </c>
      <c r="D882" s="11" t="s">
        <v>1880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1290</v>
      </c>
      <c r="J882" s="49" t="s">
        <v>39</v>
      </c>
      <c r="K882" s="49" t="s">
        <v>76</v>
      </c>
      <c r="L882" s="49" t="s">
        <v>92</v>
      </c>
      <c r="M882" s="49" t="s">
        <v>84</v>
      </c>
      <c r="N882" s="48" t="s">
        <v>89</v>
      </c>
      <c r="O882" s="49" t="s">
        <v>37</v>
      </c>
      <c r="P882" s="11" t="s">
        <v>80</v>
      </c>
      <c r="Q882" s="11" t="s">
        <v>90</v>
      </c>
      <c r="R882" s="11" t="s">
        <v>647</v>
      </c>
      <c r="S882" s="11" t="s">
        <v>1798</v>
      </c>
      <c r="T882" s="116" t="s">
        <v>1</v>
      </c>
      <c r="U882" s="88"/>
      <c r="V882" s="51">
        <v>46030</v>
      </c>
      <c r="W882" s="97" t="s">
        <v>1577</v>
      </c>
      <c r="X882" s="135" t="str">
        <f>VLOOKUP(Table1[[#This Row],[AMZ ID]],[1]Roster_1787503287932!$D$2:$AU$1370,25,0)</f>
        <v>Present</v>
      </c>
      <c r="Y882" s="135">
        <f>VLOOKUP(Table1[[#This Row],[AMZ ID]],[1]Roster_1787503287932!$D$2:$AM$1370,35,0)</f>
        <v>0</v>
      </c>
    </row>
    <row r="883" spans="1:25" ht="13" customHeight="1">
      <c r="A883" s="11">
        <v>877</v>
      </c>
      <c r="B883" s="92">
        <v>204967041</v>
      </c>
      <c r="C883" s="47" t="s">
        <v>940</v>
      </c>
      <c r="D883" s="89" t="s">
        <v>941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32</v>
      </c>
      <c r="K883" s="49" t="s">
        <v>76</v>
      </c>
      <c r="L883" s="49" t="s">
        <v>77</v>
      </c>
      <c r="M883" s="49" t="s">
        <v>78</v>
      </c>
      <c r="N883" s="48" t="s">
        <v>86</v>
      </c>
      <c r="O883" s="49" t="s">
        <v>37</v>
      </c>
      <c r="P883" s="11" t="s">
        <v>80</v>
      </c>
      <c r="Q883" s="11" t="s">
        <v>90</v>
      </c>
      <c r="R883" s="11" t="s">
        <v>647</v>
      </c>
      <c r="S883" s="11" t="s">
        <v>1798</v>
      </c>
      <c r="T883" s="116" t="s">
        <v>10</v>
      </c>
      <c r="U883" s="88"/>
      <c r="V883" s="51">
        <v>45719</v>
      </c>
      <c r="W883" s="97" t="s">
        <v>1577</v>
      </c>
      <c r="X883" s="135" t="str">
        <f>VLOOKUP(Table1[[#This Row],[AMZ ID]],[1]Roster_1787503287932!$D$2:$AU$1370,25,0)</f>
        <v>Not Present</v>
      </c>
      <c r="Y883" s="135">
        <f>VLOOKUP(Table1[[#This Row],[AMZ ID]],[1]Roster_1787503287932!$D$2:$AM$1370,35,0)</f>
        <v>0</v>
      </c>
    </row>
    <row r="884" spans="1:25" ht="13" customHeight="1">
      <c r="A884" s="11">
        <v>878</v>
      </c>
      <c r="B884" s="92">
        <v>203512666</v>
      </c>
      <c r="C884" s="47" t="s">
        <v>942</v>
      </c>
      <c r="D884" s="89" t="s">
        <v>943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88</v>
      </c>
      <c r="M884" s="49" t="s">
        <v>95</v>
      </c>
      <c r="N884" s="48" t="s">
        <v>79</v>
      </c>
      <c r="O884" s="49" t="s">
        <v>37</v>
      </c>
      <c r="P884" s="11" t="s">
        <v>80</v>
      </c>
      <c r="Q884" s="11" t="s">
        <v>81</v>
      </c>
      <c r="R884" s="11" t="s">
        <v>647</v>
      </c>
      <c r="S884" s="11" t="s">
        <v>1798</v>
      </c>
      <c r="T884" s="116" t="s">
        <v>1</v>
      </c>
      <c r="U884" s="88"/>
      <c r="V884" s="51">
        <v>45463</v>
      </c>
      <c r="W884" s="97" t="s">
        <v>1579</v>
      </c>
      <c r="X884" s="135" t="str">
        <f>VLOOKUP(Table1[[#This Row],[AMZ ID]],[1]Roster_1787503287932!$D$2:$AU$1370,25,0)</f>
        <v>Present</v>
      </c>
      <c r="Y884" s="135">
        <f>VLOOKUP(Table1[[#This Row],[AMZ ID]],[1]Roster_1787503287932!$D$2:$AM$1370,35,0)</f>
        <v>0</v>
      </c>
    </row>
    <row r="885" spans="1:25" ht="13" customHeight="1">
      <c r="A885" s="11">
        <v>879</v>
      </c>
      <c r="B885" s="47">
        <v>204009978</v>
      </c>
      <c r="C885" s="89" t="s">
        <v>2786</v>
      </c>
      <c r="D885" s="11" t="s">
        <v>2787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95</v>
      </c>
      <c r="M885" s="49" t="s">
        <v>77</v>
      </c>
      <c r="N885" s="48" t="s">
        <v>86</v>
      </c>
      <c r="O885" s="49" t="s">
        <v>37</v>
      </c>
      <c r="P885" s="11" t="s">
        <v>80</v>
      </c>
      <c r="Q885" s="11" t="s">
        <v>90</v>
      </c>
      <c r="R885" s="11" t="s">
        <v>647</v>
      </c>
      <c r="S885" s="11" t="s">
        <v>2739</v>
      </c>
      <c r="T885" s="116" t="s">
        <v>7</v>
      </c>
      <c r="U885" s="88"/>
      <c r="V885" s="51">
        <v>45551</v>
      </c>
      <c r="W885" s="97" t="s">
        <v>1577</v>
      </c>
      <c r="X885" s="135" t="str">
        <f>VLOOKUP(Table1[[#This Row],[AMZ ID]],[1]Roster_1787503287932!$D$2:$AU$1370,25,0)</f>
        <v>Not Present</v>
      </c>
      <c r="Y885" s="135" t="str">
        <f>VLOOKUP(Table1[[#This Row],[AMZ ID]],[1]Roster_1787503287932!$D$2:$AM$1370,35,0)</f>
        <v>Carry Forwarded Annual Leave</v>
      </c>
    </row>
    <row r="886" spans="1:25" ht="13" customHeight="1">
      <c r="A886" s="11">
        <v>880</v>
      </c>
      <c r="B886" s="47">
        <v>203850879</v>
      </c>
      <c r="C886" s="89" t="s">
        <v>2349</v>
      </c>
      <c r="D886" s="11" t="s">
        <v>2350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32</v>
      </c>
      <c r="K886" s="49" t="s">
        <v>76</v>
      </c>
      <c r="L886" s="49" t="s">
        <v>95</v>
      </c>
      <c r="M886" s="49" t="s">
        <v>77</v>
      </c>
      <c r="N886" s="48" t="s">
        <v>86</v>
      </c>
      <c r="O886" s="49" t="s">
        <v>37</v>
      </c>
      <c r="P886" s="11" t="s">
        <v>80</v>
      </c>
      <c r="Q886" s="11" t="s">
        <v>90</v>
      </c>
      <c r="R886" s="11" t="s">
        <v>2845</v>
      </c>
      <c r="S886" s="11" t="s">
        <v>2846</v>
      </c>
      <c r="T886" s="116" t="s">
        <v>1</v>
      </c>
      <c r="U886" s="88"/>
      <c r="V886" s="51">
        <v>45524</v>
      </c>
      <c r="W886" s="97" t="s">
        <v>1577</v>
      </c>
      <c r="X886" s="135" t="str">
        <f>VLOOKUP(Table1[[#This Row],[AMZ ID]],[1]Roster_1787503287932!$D$2:$AU$1370,25,0)</f>
        <v>Present</v>
      </c>
      <c r="Y886" s="135">
        <f>VLOOKUP(Table1[[#This Row],[AMZ ID]],[1]Roster_1787503287932!$D$2:$AM$1370,35,0)</f>
        <v>0</v>
      </c>
    </row>
    <row r="887" spans="1:25" ht="13" customHeight="1">
      <c r="A887" s="11">
        <v>881</v>
      </c>
      <c r="B887" s="92">
        <v>203993431</v>
      </c>
      <c r="C887" s="47" t="s">
        <v>2788</v>
      </c>
      <c r="D887" s="89" t="s">
        <v>2789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39</v>
      </c>
      <c r="K887" s="49" t="s">
        <v>76</v>
      </c>
      <c r="L887" s="49" t="s">
        <v>77</v>
      </c>
      <c r="M887" s="49" t="s">
        <v>78</v>
      </c>
      <c r="N887" s="48" t="s">
        <v>89</v>
      </c>
      <c r="O887" s="49" t="s">
        <v>37</v>
      </c>
      <c r="P887" s="11" t="s">
        <v>80</v>
      </c>
      <c r="Q887" s="11" t="s">
        <v>90</v>
      </c>
      <c r="R887" s="11" t="s">
        <v>2845</v>
      </c>
      <c r="S887" s="11" t="s">
        <v>2846</v>
      </c>
      <c r="T887" s="116" t="s">
        <v>10</v>
      </c>
      <c r="U887" s="88"/>
      <c r="V887" s="51">
        <v>45547</v>
      </c>
      <c r="W887" s="97" t="s">
        <v>1577</v>
      </c>
      <c r="X887" s="135" t="str">
        <f>VLOOKUP(Table1[[#This Row],[AMZ ID]],[1]Roster_1787503287932!$D$2:$AU$1370,25,0)</f>
        <v>Not Present</v>
      </c>
      <c r="Y887" s="135">
        <f>VLOOKUP(Table1[[#This Row],[AMZ ID]],[1]Roster_1787503287932!$D$2:$AM$1370,35,0)</f>
        <v>0</v>
      </c>
    </row>
    <row r="888" spans="1:25" ht="13" customHeight="1">
      <c r="A888" s="11">
        <v>882</v>
      </c>
      <c r="B888" s="47">
        <v>203521131</v>
      </c>
      <c r="C888" s="89" t="s">
        <v>418</v>
      </c>
      <c r="D888" s="11" t="s">
        <v>419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32</v>
      </c>
      <c r="K888" s="49" t="s">
        <v>76</v>
      </c>
      <c r="L888" s="49" t="s">
        <v>77</v>
      </c>
      <c r="M888" s="49" t="s">
        <v>78</v>
      </c>
      <c r="N888" s="48" t="s">
        <v>79</v>
      </c>
      <c r="O888" s="49" t="s">
        <v>35</v>
      </c>
      <c r="P888" s="11" t="s">
        <v>80</v>
      </c>
      <c r="Q888" s="11" t="s">
        <v>81</v>
      </c>
      <c r="R888" s="11" t="s">
        <v>224</v>
      </c>
      <c r="S888" s="11" t="s">
        <v>2715</v>
      </c>
      <c r="T888" s="116" t="s">
        <v>10</v>
      </c>
      <c r="U888" s="88"/>
      <c r="V888" s="51">
        <v>45463</v>
      </c>
      <c r="W888" s="97" t="s">
        <v>1573</v>
      </c>
      <c r="X888" s="135" t="str">
        <f>VLOOKUP(Table1[[#This Row],[AMZ ID]],[1]Roster_1787503287932!$D$2:$AU$1370,25,0)</f>
        <v>Not Present</v>
      </c>
      <c r="Y888" s="135" t="str">
        <f>VLOOKUP(Table1[[#This Row],[AMZ ID]],[1]Roster_1787503287932!$D$2:$AM$1370,35,0)</f>
        <v>Annual Leave</v>
      </c>
    </row>
    <row r="889" spans="1:25" ht="13" customHeight="1">
      <c r="A889" s="11">
        <v>883</v>
      </c>
      <c r="B889" s="47">
        <v>206250876</v>
      </c>
      <c r="C889" s="89" t="s">
        <v>1651</v>
      </c>
      <c r="D889" s="11" t="s">
        <v>1627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32</v>
      </c>
      <c r="K889" s="49" t="s">
        <v>76</v>
      </c>
      <c r="L889" s="49" t="s">
        <v>92</v>
      </c>
      <c r="M889" s="49" t="s">
        <v>84</v>
      </c>
      <c r="N889" s="49" t="s">
        <v>79</v>
      </c>
      <c r="O889" s="49" t="s">
        <v>37</v>
      </c>
      <c r="P889" s="11" t="s">
        <v>80</v>
      </c>
      <c r="Q889" s="11" t="s">
        <v>81</v>
      </c>
      <c r="R889" s="49" t="s">
        <v>1066</v>
      </c>
      <c r="S889" s="11" t="s">
        <v>2717</v>
      </c>
      <c r="T889" s="116" t="s">
        <v>1</v>
      </c>
      <c r="U889" s="88"/>
      <c r="V889" s="51">
        <v>45943</v>
      </c>
      <c r="W889" s="97" t="s">
        <v>1577</v>
      </c>
      <c r="X889" s="135" t="str">
        <f>VLOOKUP(Table1[[#This Row],[AMZ ID]],[1]Roster_1787503287932!$D$2:$AU$1370,25,0)</f>
        <v>Present</v>
      </c>
      <c r="Y889" s="135">
        <f>VLOOKUP(Table1[[#This Row],[AMZ ID]],[1]Roster_1787503287932!$D$2:$AM$1370,35,0)</f>
        <v>0</v>
      </c>
    </row>
    <row r="890" spans="1:25" ht="13" customHeight="1">
      <c r="A890" s="11">
        <v>884</v>
      </c>
      <c r="B890" s="47">
        <v>202198840</v>
      </c>
      <c r="C890" s="89" t="s">
        <v>946</v>
      </c>
      <c r="D890" s="11" t="s">
        <v>947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84</v>
      </c>
      <c r="M890" s="49" t="s">
        <v>85</v>
      </c>
      <c r="N890" s="48" t="s">
        <v>86</v>
      </c>
      <c r="O890" s="49" t="s">
        <v>37</v>
      </c>
      <c r="P890" s="11" t="s">
        <v>80</v>
      </c>
      <c r="Q890" s="11" t="s">
        <v>87</v>
      </c>
      <c r="R890" s="11" t="s">
        <v>627</v>
      </c>
      <c r="S890" s="11" t="s">
        <v>628</v>
      </c>
      <c r="T890" s="116" t="s">
        <v>1</v>
      </c>
      <c r="U890" s="88"/>
      <c r="V890" s="51">
        <v>45586</v>
      </c>
      <c r="W890" s="97" t="s">
        <v>1576</v>
      </c>
      <c r="X890" s="135" t="str">
        <f>VLOOKUP(Table1[[#This Row],[AMZ ID]],[1]Roster_1787503287932!$D$2:$AU$1370,25,0)</f>
        <v>Present</v>
      </c>
      <c r="Y890" s="135">
        <f>VLOOKUP(Table1[[#This Row],[AMZ ID]],[1]Roster_1787503287932!$D$2:$AM$1370,35,0)</f>
        <v>0</v>
      </c>
    </row>
    <row r="891" spans="1:25" ht="13" customHeight="1">
      <c r="A891" s="11">
        <v>885</v>
      </c>
      <c r="B891" s="47">
        <v>206850963</v>
      </c>
      <c r="C891" s="89" t="s">
        <v>1807</v>
      </c>
      <c r="D891" s="11" t="s">
        <v>1808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87" t="s">
        <v>32</v>
      </c>
      <c r="K891" s="49" t="s">
        <v>76</v>
      </c>
      <c r="L891" s="49" t="s">
        <v>77</v>
      </c>
      <c r="M891" s="49" t="s">
        <v>78</v>
      </c>
      <c r="N891" s="49" t="s">
        <v>89</v>
      </c>
      <c r="O891" s="49" t="s">
        <v>37</v>
      </c>
      <c r="P891" s="11" t="s">
        <v>80</v>
      </c>
      <c r="Q891" s="11" t="s">
        <v>90</v>
      </c>
      <c r="R891" s="49" t="s">
        <v>2845</v>
      </c>
      <c r="S891" s="11" t="s">
        <v>2846</v>
      </c>
      <c r="T891" s="116" t="s">
        <v>10</v>
      </c>
      <c r="U891" s="88"/>
      <c r="V891" s="51">
        <v>46013</v>
      </c>
      <c r="W891" s="97" t="s">
        <v>1577</v>
      </c>
      <c r="X891" s="135" t="str">
        <f>VLOOKUP(Table1[[#This Row],[AMZ ID]],[1]Roster_1787503287932!$D$2:$AU$1370,25,0)</f>
        <v>Not Present</v>
      </c>
      <c r="Y891" s="135">
        <f>VLOOKUP(Table1[[#This Row],[AMZ ID]],[1]Roster_1787503287932!$D$2:$AM$1370,35,0)</f>
        <v>0</v>
      </c>
    </row>
    <row r="892" spans="1:25" ht="13" customHeight="1">
      <c r="A892" s="11">
        <v>886</v>
      </c>
      <c r="B892" s="47">
        <v>203512669</v>
      </c>
      <c r="C892" s="89" t="s">
        <v>948</v>
      </c>
      <c r="D892" s="11" t="s">
        <v>949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87" t="s">
        <v>32</v>
      </c>
      <c r="K892" s="49" t="s">
        <v>76</v>
      </c>
      <c r="L892" s="49" t="s">
        <v>84</v>
      </c>
      <c r="M892" s="49" t="s">
        <v>85</v>
      </c>
      <c r="N892" s="49" t="s">
        <v>79</v>
      </c>
      <c r="O892" s="49" t="s">
        <v>37</v>
      </c>
      <c r="P892" s="11" t="s">
        <v>80</v>
      </c>
      <c r="Q892" s="11" t="s">
        <v>81</v>
      </c>
      <c r="R892" s="11" t="s">
        <v>1066</v>
      </c>
      <c r="S892" s="11" t="s">
        <v>2717</v>
      </c>
      <c r="T892" s="116" t="s">
        <v>1</v>
      </c>
      <c r="U892" s="88"/>
      <c r="V892" s="51">
        <v>45463</v>
      </c>
      <c r="W892" s="97" t="s">
        <v>1579</v>
      </c>
      <c r="X892" s="135" t="str">
        <f>VLOOKUP(Table1[[#This Row],[AMZ ID]],[1]Roster_1787503287932!$D$2:$AU$1370,25,0)</f>
        <v>Present</v>
      </c>
      <c r="Y892" s="135">
        <f>VLOOKUP(Table1[[#This Row],[AMZ ID]],[1]Roster_1787503287932!$D$2:$AM$1370,35,0)</f>
        <v>0</v>
      </c>
    </row>
    <row r="893" spans="1:25" ht="13" customHeight="1">
      <c r="A893" s="11">
        <v>887</v>
      </c>
      <c r="B893" s="47">
        <v>204319796</v>
      </c>
      <c r="C893" s="89" t="s">
        <v>950</v>
      </c>
      <c r="D893" s="11" t="s">
        <v>951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84</v>
      </c>
      <c r="M893" s="49" t="s">
        <v>85</v>
      </c>
      <c r="N893" s="48" t="s">
        <v>86</v>
      </c>
      <c r="O893" s="49" t="s">
        <v>37</v>
      </c>
      <c r="P893" s="11" t="s">
        <v>80</v>
      </c>
      <c r="Q893" s="11" t="s">
        <v>87</v>
      </c>
      <c r="R893" s="49" t="s">
        <v>1066</v>
      </c>
      <c r="S893" s="11" t="s">
        <v>2717</v>
      </c>
      <c r="T893" s="116" t="s">
        <v>1</v>
      </c>
      <c r="U893" s="88"/>
      <c r="V893" s="51">
        <v>45589</v>
      </c>
      <c r="W893" s="97" t="s">
        <v>1579</v>
      </c>
      <c r="X893" s="135" t="str">
        <f>VLOOKUP(Table1[[#This Row],[AMZ ID]],[1]Roster_1787503287932!$D$2:$AU$1370,25,0)</f>
        <v>Present</v>
      </c>
      <c r="Y893" s="135">
        <f>VLOOKUP(Table1[[#This Row],[AMZ ID]],[1]Roster_1787503287932!$D$2:$AM$1370,35,0)</f>
        <v>0</v>
      </c>
    </row>
    <row r="894" spans="1:25" ht="13" customHeight="1">
      <c r="A894" s="11">
        <v>888</v>
      </c>
      <c r="B894" s="47">
        <v>204011576</v>
      </c>
      <c r="C894" s="89" t="s">
        <v>2790</v>
      </c>
      <c r="D894" s="11" t="s">
        <v>2791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39</v>
      </c>
      <c r="K894" s="49" t="s">
        <v>76</v>
      </c>
      <c r="L894" s="49" t="s">
        <v>84</v>
      </c>
      <c r="M894" s="49" t="s">
        <v>85</v>
      </c>
      <c r="N894" s="48" t="s">
        <v>2742</v>
      </c>
      <c r="O894" s="49" t="s">
        <v>37</v>
      </c>
      <c r="P894" s="11" t="s">
        <v>80</v>
      </c>
      <c r="Q894" s="11" t="s">
        <v>90</v>
      </c>
      <c r="R894" s="49" t="s">
        <v>1066</v>
      </c>
      <c r="S894" s="11" t="s">
        <v>2749</v>
      </c>
      <c r="T894" s="116" t="s">
        <v>1</v>
      </c>
      <c r="U894" s="88"/>
      <c r="V894" s="51">
        <v>45789</v>
      </c>
      <c r="W894" s="97" t="s">
        <v>1577</v>
      </c>
      <c r="X894" s="135" t="str">
        <f>VLOOKUP(Table1[[#This Row],[AMZ ID]],[1]Roster_1787503287932!$D$2:$AU$1370,25,0)</f>
        <v>Present</v>
      </c>
      <c r="Y894" s="135">
        <f>VLOOKUP(Table1[[#This Row],[AMZ ID]],[1]Roster_1787503287932!$D$2:$AM$1370,35,0)</f>
        <v>0</v>
      </c>
    </row>
    <row r="895" spans="1:25" ht="13" customHeight="1">
      <c r="A895" s="11">
        <v>889</v>
      </c>
      <c r="B895" s="47">
        <v>204882473</v>
      </c>
      <c r="C895" s="90" t="s">
        <v>2792</v>
      </c>
      <c r="D895" s="11" t="s">
        <v>2793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85</v>
      </c>
      <c r="M895" s="49" t="s">
        <v>88</v>
      </c>
      <c r="N895" s="49" t="s">
        <v>86</v>
      </c>
      <c r="O895" s="49" t="s">
        <v>37</v>
      </c>
      <c r="P895" s="11" t="s">
        <v>80</v>
      </c>
      <c r="Q895" s="11" t="s">
        <v>90</v>
      </c>
      <c r="R895" s="11" t="s">
        <v>647</v>
      </c>
      <c r="S895" s="11" t="s">
        <v>2739</v>
      </c>
      <c r="T895" s="116" t="s">
        <v>1</v>
      </c>
      <c r="U895" s="88"/>
      <c r="V895" s="51">
        <v>45789</v>
      </c>
      <c r="W895" s="97" t="s">
        <v>1577</v>
      </c>
      <c r="X895" s="135" t="str">
        <f>VLOOKUP(Table1[[#This Row],[AMZ ID]],[1]Roster_1787503287932!$D$2:$AU$1370,25,0)</f>
        <v>Present</v>
      </c>
      <c r="Y895" s="135">
        <f>VLOOKUP(Table1[[#This Row],[AMZ ID]],[1]Roster_1787503287932!$D$2:$AM$1370,35,0)</f>
        <v>0</v>
      </c>
    </row>
    <row r="896" spans="1:25" ht="13" customHeight="1">
      <c r="A896" s="11">
        <v>890</v>
      </c>
      <c r="B896" s="92">
        <v>106268190</v>
      </c>
      <c r="C896" s="47" t="s">
        <v>952</v>
      </c>
      <c r="D896" s="89" t="s">
        <v>953</v>
      </c>
      <c r="E896" s="48" t="s">
        <v>34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36</v>
      </c>
      <c r="M896" s="49" t="s">
        <v>92</v>
      </c>
      <c r="N896" s="48" t="s">
        <v>108</v>
      </c>
      <c r="O896" s="49" t="s">
        <v>37</v>
      </c>
      <c r="P896" s="11" t="s">
        <v>80</v>
      </c>
      <c r="Q896" s="11" t="s">
        <v>98</v>
      </c>
      <c r="R896" s="11" t="s">
        <v>627</v>
      </c>
      <c r="S896" s="11" t="s">
        <v>628</v>
      </c>
      <c r="T896" s="116" t="s">
        <v>1</v>
      </c>
      <c r="U896" s="88" t="s">
        <v>3018</v>
      </c>
      <c r="V896" s="51">
        <v>44757</v>
      </c>
      <c r="W896" s="97" t="s">
        <v>1579</v>
      </c>
      <c r="X896" s="135" t="str">
        <f>VLOOKUP(Table1[[#This Row],[AMZ ID]],[1]Roster_1787503287932!$D$2:$AU$1370,25,0)</f>
        <v>Present</v>
      </c>
      <c r="Y896" s="135">
        <f>VLOOKUP(Table1[[#This Row],[AMZ ID]],[1]Roster_1787503287932!$D$2:$AM$1370,35,0)</f>
        <v>0</v>
      </c>
    </row>
    <row r="897" spans="1:25" ht="13" customHeight="1">
      <c r="A897" s="11">
        <v>891</v>
      </c>
      <c r="B897" s="92">
        <v>203908351</v>
      </c>
      <c r="C897" s="47" t="s">
        <v>954</v>
      </c>
      <c r="D897" s="89" t="s">
        <v>955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95</v>
      </c>
      <c r="M897" s="49" t="s">
        <v>77</v>
      </c>
      <c r="N897" s="48" t="s">
        <v>79</v>
      </c>
      <c r="O897" s="49" t="s">
        <v>37</v>
      </c>
      <c r="P897" s="11" t="s">
        <v>80</v>
      </c>
      <c r="Q897" s="11" t="s">
        <v>81</v>
      </c>
      <c r="R897" s="11" t="s">
        <v>2719</v>
      </c>
      <c r="S897" s="11" t="s">
        <v>642</v>
      </c>
      <c r="T897" s="116" t="s">
        <v>1</v>
      </c>
      <c r="U897" s="88"/>
      <c r="V897" s="51">
        <v>45537</v>
      </c>
      <c r="W897" s="97" t="s">
        <v>1577</v>
      </c>
      <c r="X897" s="135" t="str">
        <f>VLOOKUP(Table1[[#This Row],[AMZ ID]],[1]Roster_1787503287932!$D$2:$AU$1370,25,0)</f>
        <v>Present</v>
      </c>
      <c r="Y897" s="135">
        <f>VLOOKUP(Table1[[#This Row],[AMZ ID]],[1]Roster_1787503287932!$D$2:$AM$1370,35,0)</f>
        <v>0</v>
      </c>
    </row>
    <row r="898" spans="1:25" ht="13" customHeight="1">
      <c r="A898" s="11">
        <v>892</v>
      </c>
      <c r="B898" s="47">
        <v>205236898</v>
      </c>
      <c r="C898" s="89" t="s">
        <v>2794</v>
      </c>
      <c r="D898" s="11" t="s">
        <v>2795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95</v>
      </c>
      <c r="M898" s="49" t="s">
        <v>77</v>
      </c>
      <c r="N898" s="48" t="s">
        <v>86</v>
      </c>
      <c r="O898" s="49" t="s">
        <v>37</v>
      </c>
      <c r="P898" s="11" t="s">
        <v>80</v>
      </c>
      <c r="Q898" s="11" t="s">
        <v>90</v>
      </c>
      <c r="R898" s="49" t="s">
        <v>1066</v>
      </c>
      <c r="S898" s="11" t="s">
        <v>2749</v>
      </c>
      <c r="T898" s="116" t="s">
        <v>1</v>
      </c>
      <c r="U898" s="88"/>
      <c r="V898" s="51">
        <v>45789</v>
      </c>
      <c r="W898" s="97" t="s">
        <v>1577</v>
      </c>
      <c r="X898" s="135" t="str">
        <f>VLOOKUP(Table1[[#This Row],[AMZ ID]],[1]Roster_1787503287932!$D$2:$AU$1370,25,0)</f>
        <v>Present</v>
      </c>
      <c r="Y898" s="135">
        <f>VLOOKUP(Table1[[#This Row],[AMZ ID]],[1]Roster_1787503287932!$D$2:$AM$1370,35,0)</f>
        <v>0</v>
      </c>
    </row>
    <row r="899" spans="1:25" ht="13" customHeight="1">
      <c r="A899" s="11">
        <v>893</v>
      </c>
      <c r="B899" s="47">
        <v>203850878</v>
      </c>
      <c r="C899" s="89" t="s">
        <v>956</v>
      </c>
      <c r="D899" s="11" t="s">
        <v>957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88</v>
      </c>
      <c r="M899" s="49" t="s">
        <v>95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49" t="s">
        <v>647</v>
      </c>
      <c r="S899" s="11" t="s">
        <v>1798</v>
      </c>
      <c r="T899" s="116" t="s">
        <v>1</v>
      </c>
      <c r="U899" s="88"/>
      <c r="V899" s="51">
        <v>45524</v>
      </c>
      <c r="W899" s="97" t="s">
        <v>1577</v>
      </c>
      <c r="X899" s="135" t="str">
        <f>VLOOKUP(Table1[[#This Row],[AMZ ID]],[1]Roster_1787503287932!$D$2:$AU$1370,25,0)</f>
        <v>Present</v>
      </c>
      <c r="Y899" s="135">
        <f>VLOOKUP(Table1[[#This Row],[AMZ ID]],[1]Roster_1787503287932!$D$2:$AM$1370,35,0)</f>
        <v>0</v>
      </c>
    </row>
    <row r="900" spans="1:25" ht="13" customHeight="1">
      <c r="A900" s="11">
        <v>894</v>
      </c>
      <c r="B900" s="47">
        <v>203850881</v>
      </c>
      <c r="C900" s="89" t="s">
        <v>958</v>
      </c>
      <c r="D900" s="11" t="s">
        <v>959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95</v>
      </c>
      <c r="M900" s="49" t="s">
        <v>77</v>
      </c>
      <c r="N900" s="49" t="s">
        <v>89</v>
      </c>
      <c r="O900" s="49" t="s">
        <v>37</v>
      </c>
      <c r="P900" s="11" t="s">
        <v>80</v>
      </c>
      <c r="Q900" s="11" t="s">
        <v>90</v>
      </c>
      <c r="R900" s="49" t="s">
        <v>647</v>
      </c>
      <c r="S900" s="11" t="s">
        <v>1798</v>
      </c>
      <c r="T900" s="116" t="s">
        <v>1</v>
      </c>
      <c r="U900" s="88"/>
      <c r="V900" s="51">
        <v>45524</v>
      </c>
      <c r="W900" s="97" t="s">
        <v>1577</v>
      </c>
      <c r="X900" s="135" t="str">
        <f>VLOOKUP(Table1[[#This Row],[AMZ ID]],[1]Roster_1787503287932!$D$2:$AU$1370,25,0)</f>
        <v>Present</v>
      </c>
      <c r="Y900" s="135">
        <f>VLOOKUP(Table1[[#This Row],[AMZ ID]],[1]Roster_1787503287932!$D$2:$AM$1370,35,0)</f>
        <v>0</v>
      </c>
    </row>
    <row r="901" spans="1:25" ht="13" customHeight="1">
      <c r="A901" s="11">
        <v>895</v>
      </c>
      <c r="B901" s="47">
        <v>203331877</v>
      </c>
      <c r="C901" s="89" t="s">
        <v>960</v>
      </c>
      <c r="D901" s="47" t="s">
        <v>961</v>
      </c>
      <c r="E901" s="47" t="s">
        <v>31</v>
      </c>
      <c r="F901" s="48" t="s">
        <v>74</v>
      </c>
      <c r="G901" s="11" t="s">
        <v>64</v>
      </c>
      <c r="H901" s="11" t="s">
        <v>75</v>
      </c>
      <c r="I901" s="47">
        <v>1299</v>
      </c>
      <c r="J901" s="49" t="s">
        <v>39</v>
      </c>
      <c r="K901" s="49" t="s">
        <v>76</v>
      </c>
      <c r="L901" s="49" t="s">
        <v>78</v>
      </c>
      <c r="M901" s="49" t="s">
        <v>92</v>
      </c>
      <c r="N901" s="49" t="s">
        <v>79</v>
      </c>
      <c r="O901" s="49" t="s">
        <v>37</v>
      </c>
      <c r="P901" s="11" t="s">
        <v>80</v>
      </c>
      <c r="Q901" s="47" t="s">
        <v>81</v>
      </c>
      <c r="R901" s="49" t="s">
        <v>631</v>
      </c>
      <c r="S901" s="47" t="s">
        <v>632</v>
      </c>
      <c r="T901" s="116" t="s">
        <v>10</v>
      </c>
      <c r="U901" s="88"/>
      <c r="V901" s="51">
        <v>45537</v>
      </c>
      <c r="W901" s="97" t="s">
        <v>1578</v>
      </c>
      <c r="X901" s="135" t="str">
        <f>VLOOKUP(Table1[[#This Row],[AMZ ID]],[1]Roster_1787503287932!$D$2:$AU$1370,25,0)</f>
        <v>Not Present</v>
      </c>
      <c r="Y901" s="135">
        <f>VLOOKUP(Table1[[#This Row],[AMZ ID]],[1]Roster_1787503287932!$D$2:$AM$1370,35,0)</f>
        <v>0</v>
      </c>
    </row>
    <row r="902" spans="1:25" ht="13" customHeight="1">
      <c r="A902" s="11">
        <v>896</v>
      </c>
      <c r="B902" s="47">
        <v>206607038</v>
      </c>
      <c r="C902" s="89" t="s">
        <v>2094</v>
      </c>
      <c r="D902" s="11" t="s">
        <v>2095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84</v>
      </c>
      <c r="M902" s="49" t="s">
        <v>85</v>
      </c>
      <c r="N902" s="48" t="s">
        <v>89</v>
      </c>
      <c r="O902" s="49" t="s">
        <v>37</v>
      </c>
      <c r="P902" s="11" t="s">
        <v>80</v>
      </c>
      <c r="Q902" s="11" t="s">
        <v>96</v>
      </c>
      <c r="R902" s="49" t="s">
        <v>627</v>
      </c>
      <c r="S902" s="11" t="s">
        <v>628</v>
      </c>
      <c r="T902" s="116" t="s">
        <v>1</v>
      </c>
      <c r="U902" s="88"/>
      <c r="V902" s="51">
        <v>46048</v>
      </c>
      <c r="W902" s="97" t="s">
        <v>1577</v>
      </c>
      <c r="X902" s="135" t="str">
        <f>VLOOKUP(Table1[[#This Row],[AMZ ID]],[1]Roster_1787503287932!$D$2:$AU$1370,25,0)</f>
        <v>Present</v>
      </c>
      <c r="Y902" s="135">
        <f>VLOOKUP(Table1[[#This Row],[AMZ ID]],[1]Roster_1787503287932!$D$2:$AM$1370,35,0)</f>
        <v>0</v>
      </c>
    </row>
    <row r="903" spans="1:25" ht="13" customHeight="1">
      <c r="A903" s="11">
        <v>897</v>
      </c>
      <c r="B903" s="47">
        <v>205257125</v>
      </c>
      <c r="C903" s="89" t="s">
        <v>2084</v>
      </c>
      <c r="D903" s="11" t="s">
        <v>2085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78</v>
      </c>
      <c r="M903" s="49" t="s">
        <v>92</v>
      </c>
      <c r="N903" s="48" t="s">
        <v>89</v>
      </c>
      <c r="O903" s="49" t="s">
        <v>37</v>
      </c>
      <c r="P903" s="11" t="s">
        <v>80</v>
      </c>
      <c r="Q903" s="11" t="s">
        <v>96</v>
      </c>
      <c r="R903" s="49" t="s">
        <v>631</v>
      </c>
      <c r="S903" s="11" t="s">
        <v>632</v>
      </c>
      <c r="T903" s="116" t="s">
        <v>10</v>
      </c>
      <c r="U903" s="88"/>
      <c r="V903" s="51">
        <v>46048</v>
      </c>
      <c r="W903" s="97" t="s">
        <v>1577</v>
      </c>
      <c r="X903" s="135" t="str">
        <f>VLOOKUP(Table1[[#This Row],[AMZ ID]],[1]Roster_1787503287932!$D$2:$AU$1370,25,0)</f>
        <v>Not Present</v>
      </c>
      <c r="Y903" s="135">
        <f>VLOOKUP(Table1[[#This Row],[AMZ ID]],[1]Roster_1787503287932!$D$2:$AM$1370,35,0)</f>
        <v>0</v>
      </c>
    </row>
    <row r="904" spans="1:25" ht="13" customHeight="1">
      <c r="A904" s="11">
        <v>898</v>
      </c>
      <c r="B904" s="11">
        <v>204228019</v>
      </c>
      <c r="C904" s="89" t="s">
        <v>962</v>
      </c>
      <c r="D904" s="11" t="s">
        <v>963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32</v>
      </c>
      <c r="K904" s="49" t="s">
        <v>76</v>
      </c>
      <c r="L904" s="49" t="s">
        <v>84</v>
      </c>
      <c r="M904" s="49" t="s">
        <v>85</v>
      </c>
      <c r="N904" s="11" t="s">
        <v>86</v>
      </c>
      <c r="O904" s="11" t="s">
        <v>37</v>
      </c>
      <c r="P904" s="11" t="s">
        <v>80</v>
      </c>
      <c r="Q904" s="11" t="s">
        <v>90</v>
      </c>
      <c r="R904" s="11" t="s">
        <v>647</v>
      </c>
      <c r="S904" s="11" t="s">
        <v>1798</v>
      </c>
      <c r="T904" s="116" t="s">
        <v>1</v>
      </c>
      <c r="U904" s="88"/>
      <c r="V904" s="51">
        <v>45684</v>
      </c>
      <c r="W904" s="102" t="s">
        <v>1577</v>
      </c>
      <c r="X904" s="135" t="str">
        <f>VLOOKUP(Table1[[#This Row],[AMZ ID]],[1]Roster_1787503287932!$D$2:$AU$1370,25,0)</f>
        <v>Present</v>
      </c>
      <c r="Y904" s="135">
        <f>VLOOKUP(Table1[[#This Row],[AMZ ID]],[1]Roster_1787503287932!$D$2:$AM$1370,35,0)</f>
        <v>0</v>
      </c>
    </row>
    <row r="905" spans="1:25" ht="13" customHeight="1">
      <c r="A905" s="11">
        <v>899</v>
      </c>
      <c r="B905" s="47">
        <v>204117681</v>
      </c>
      <c r="C905" s="89" t="s">
        <v>964</v>
      </c>
      <c r="D905" s="11" t="s">
        <v>965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39</v>
      </c>
      <c r="K905" s="49" t="s">
        <v>76</v>
      </c>
      <c r="L905" s="49" t="s">
        <v>77</v>
      </c>
      <c r="M905" s="49" t="s">
        <v>78</v>
      </c>
      <c r="N905" s="48" t="s">
        <v>86</v>
      </c>
      <c r="O905" s="49" t="s">
        <v>37</v>
      </c>
      <c r="P905" s="11" t="s">
        <v>80</v>
      </c>
      <c r="Q905" s="11" t="s">
        <v>87</v>
      </c>
      <c r="R905" s="49" t="s">
        <v>627</v>
      </c>
      <c r="S905" s="11" t="s">
        <v>628</v>
      </c>
      <c r="T905" s="116" t="s">
        <v>10</v>
      </c>
      <c r="U905" s="88"/>
      <c r="V905" s="51">
        <v>45561</v>
      </c>
      <c r="W905" s="97" t="s">
        <v>1577</v>
      </c>
      <c r="X905" s="135" t="str">
        <f>VLOOKUP(Table1[[#This Row],[AMZ ID]],[1]Roster_1787503287932!$D$2:$AU$1370,25,0)</f>
        <v>Not Present</v>
      </c>
      <c r="Y905" s="135">
        <f>VLOOKUP(Table1[[#This Row],[AMZ ID]],[1]Roster_1787503287932!$D$2:$AM$1370,35,0)</f>
        <v>0</v>
      </c>
    </row>
    <row r="906" spans="1:25" ht="13" customHeight="1">
      <c r="A906" s="11">
        <v>900</v>
      </c>
      <c r="B906" s="47">
        <v>205257122</v>
      </c>
      <c r="C906" s="89" t="s">
        <v>2072</v>
      </c>
      <c r="D906" s="11" t="s">
        <v>2073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32</v>
      </c>
      <c r="K906" s="49" t="s">
        <v>76</v>
      </c>
      <c r="L906" s="49" t="s">
        <v>77</v>
      </c>
      <c r="M906" s="49" t="s">
        <v>78</v>
      </c>
      <c r="N906" s="48" t="s">
        <v>89</v>
      </c>
      <c r="O906" s="49" t="s">
        <v>37</v>
      </c>
      <c r="P906" s="11" t="s">
        <v>80</v>
      </c>
      <c r="Q906" s="11" t="s">
        <v>96</v>
      </c>
      <c r="R906" s="49" t="s">
        <v>2844</v>
      </c>
      <c r="S906" s="11" t="s">
        <v>2716</v>
      </c>
      <c r="T906" s="116" t="s">
        <v>10</v>
      </c>
      <c r="U906" s="88"/>
      <c r="V906" s="51">
        <v>46048</v>
      </c>
      <c r="W906" s="97" t="s">
        <v>1577</v>
      </c>
      <c r="X906" s="135" t="str">
        <f>VLOOKUP(Table1[[#This Row],[AMZ ID]],[1]Roster_1787503287932!$D$2:$AU$1370,25,0)</f>
        <v>Not Present</v>
      </c>
      <c r="Y906" s="135">
        <f>VLOOKUP(Table1[[#This Row],[AMZ ID]],[1]Roster_1787503287932!$D$2:$AM$1370,35,0)</f>
        <v>0</v>
      </c>
    </row>
    <row r="907" spans="1:25" ht="13" customHeight="1">
      <c r="A907" s="11">
        <v>901</v>
      </c>
      <c r="B907" s="47">
        <v>203850880</v>
      </c>
      <c r="C907" s="89" t="s">
        <v>2796</v>
      </c>
      <c r="D907" s="11" t="s">
        <v>2797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92</v>
      </c>
      <c r="M907" s="49" t="s">
        <v>84</v>
      </c>
      <c r="N907" s="48" t="s">
        <v>86</v>
      </c>
      <c r="O907" s="49" t="s">
        <v>37</v>
      </c>
      <c r="P907" s="11" t="s">
        <v>80</v>
      </c>
      <c r="Q907" s="11" t="s">
        <v>90</v>
      </c>
      <c r="R907" s="11" t="s">
        <v>1066</v>
      </c>
      <c r="S907" s="11" t="s">
        <v>2749</v>
      </c>
      <c r="T907" s="116" t="s">
        <v>1</v>
      </c>
      <c r="U907" s="88"/>
      <c r="V907" s="51">
        <v>45524</v>
      </c>
      <c r="W907" s="97" t="s">
        <v>1577</v>
      </c>
      <c r="X907" s="135" t="str">
        <f>VLOOKUP(Table1[[#This Row],[AMZ ID]],[1]Roster_1787503287932!$D$2:$AU$1370,25,0)</f>
        <v>Present</v>
      </c>
      <c r="Y907" s="135">
        <f>VLOOKUP(Table1[[#This Row],[AMZ ID]],[1]Roster_1787503287932!$D$2:$AM$1370,35,0)</f>
        <v>0</v>
      </c>
    </row>
    <row r="908" spans="1:25" ht="13" customHeight="1">
      <c r="A908" s="11">
        <v>902</v>
      </c>
      <c r="B908" s="47">
        <v>204072308</v>
      </c>
      <c r="C908" s="89" t="s">
        <v>2798</v>
      </c>
      <c r="D908" s="11" t="s">
        <v>2799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39</v>
      </c>
      <c r="K908" s="49" t="s">
        <v>76</v>
      </c>
      <c r="L908" s="49" t="s">
        <v>95</v>
      </c>
      <c r="M908" s="49" t="s">
        <v>77</v>
      </c>
      <c r="N908" s="48" t="s">
        <v>86</v>
      </c>
      <c r="O908" s="49" t="s">
        <v>37</v>
      </c>
      <c r="P908" s="11" t="s">
        <v>80</v>
      </c>
      <c r="Q908" s="11" t="s">
        <v>90</v>
      </c>
      <c r="R908" s="49" t="s">
        <v>2845</v>
      </c>
      <c r="S908" s="11" t="s">
        <v>2846</v>
      </c>
      <c r="T908" s="116" t="s">
        <v>1</v>
      </c>
      <c r="U908" s="88"/>
      <c r="V908" s="51">
        <v>45558</v>
      </c>
      <c r="W908" s="97" t="s">
        <v>1577</v>
      </c>
      <c r="X908" s="135" t="str">
        <f>VLOOKUP(Table1[[#This Row],[AMZ ID]],[1]Roster_1787503287932!$D$2:$AU$1370,25,0)</f>
        <v>Present</v>
      </c>
      <c r="Y908" s="135">
        <f>VLOOKUP(Table1[[#This Row],[AMZ ID]],[1]Roster_1787503287932!$D$2:$AM$1370,35,0)</f>
        <v>0</v>
      </c>
    </row>
    <row r="909" spans="1:25" ht="13" customHeight="1">
      <c r="A909" s="11">
        <v>903</v>
      </c>
      <c r="B909" s="92">
        <v>204095806</v>
      </c>
      <c r="C909" s="47" t="s">
        <v>966</v>
      </c>
      <c r="D909" s="89" t="s">
        <v>967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8" t="s">
        <v>86</v>
      </c>
      <c r="O909" s="49" t="s">
        <v>37</v>
      </c>
      <c r="P909" s="11" t="s">
        <v>80</v>
      </c>
      <c r="Q909" s="11" t="s">
        <v>87</v>
      </c>
      <c r="R909" s="11" t="s">
        <v>647</v>
      </c>
      <c r="S909" s="11" t="s">
        <v>1798</v>
      </c>
      <c r="T909" s="116" t="s">
        <v>1</v>
      </c>
      <c r="U909" s="88"/>
      <c r="V909" s="51">
        <v>45561</v>
      </c>
      <c r="W909" s="97" t="s">
        <v>1577</v>
      </c>
      <c r="X909" s="135" t="str">
        <f>VLOOKUP(Table1[[#This Row],[AMZ ID]],[1]Roster_1787503287932!$D$2:$AU$1370,25,0)</f>
        <v>Present</v>
      </c>
      <c r="Y909" s="135">
        <f>VLOOKUP(Table1[[#This Row],[AMZ ID]],[1]Roster_1787503287932!$D$2:$AM$1370,35,0)</f>
        <v>0</v>
      </c>
    </row>
    <row r="910" spans="1:25" ht="13" customHeight="1">
      <c r="A910" s="11">
        <v>904</v>
      </c>
      <c r="B910" s="47">
        <v>206137340</v>
      </c>
      <c r="C910" s="89" t="s">
        <v>968</v>
      </c>
      <c r="D910" s="11" t="s">
        <v>969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92</v>
      </c>
      <c r="M910" s="49" t="s">
        <v>84</v>
      </c>
      <c r="N910" s="48" t="s">
        <v>79</v>
      </c>
      <c r="O910" s="49" t="s">
        <v>37</v>
      </c>
      <c r="P910" s="11" t="s">
        <v>80</v>
      </c>
      <c r="Q910" s="11" t="s">
        <v>81</v>
      </c>
      <c r="R910" s="49" t="s">
        <v>627</v>
      </c>
      <c r="S910" s="11" t="s">
        <v>628</v>
      </c>
      <c r="T910" s="116" t="s">
        <v>1</v>
      </c>
      <c r="U910" s="88"/>
      <c r="V910" s="51">
        <v>45929</v>
      </c>
      <c r="W910" s="97" t="s">
        <v>1577</v>
      </c>
      <c r="X910" s="135" t="str">
        <f>VLOOKUP(Table1[[#This Row],[AMZ ID]],[1]Roster_1787503287932!$D$2:$AU$1370,25,0)</f>
        <v>Present</v>
      </c>
      <c r="Y910" s="135">
        <f>VLOOKUP(Table1[[#This Row],[AMZ ID]],[1]Roster_1787503287932!$D$2:$AM$1370,35,0)</f>
        <v>0</v>
      </c>
    </row>
    <row r="911" spans="1:25" ht="13" customHeight="1">
      <c r="A911" s="11">
        <v>905</v>
      </c>
      <c r="B911" s="47">
        <v>204010440</v>
      </c>
      <c r="C911" s="89" t="s">
        <v>970</v>
      </c>
      <c r="D911" s="11" t="s">
        <v>971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95</v>
      </c>
      <c r="M911" s="49" t="s">
        <v>77</v>
      </c>
      <c r="N911" s="48" t="s">
        <v>89</v>
      </c>
      <c r="O911" s="49" t="s">
        <v>37</v>
      </c>
      <c r="P911" s="11" t="s">
        <v>80</v>
      </c>
      <c r="Q911" s="11" t="s">
        <v>90</v>
      </c>
      <c r="R911" s="49" t="s">
        <v>647</v>
      </c>
      <c r="S911" s="11" t="s">
        <v>1798</v>
      </c>
      <c r="T911" s="116" t="s">
        <v>1</v>
      </c>
      <c r="U911" s="88"/>
      <c r="V911" s="51">
        <v>45894</v>
      </c>
      <c r="W911" s="97" t="s">
        <v>1577</v>
      </c>
      <c r="X911" s="135" t="str">
        <f>VLOOKUP(Table1[[#This Row],[AMZ ID]],[1]Roster_1787503287932!$D$2:$AU$1370,25,0)</f>
        <v>Present</v>
      </c>
      <c r="Y911" s="135">
        <f>VLOOKUP(Table1[[#This Row],[AMZ ID]],[1]Roster_1787503287932!$D$2:$AM$1370,35,0)</f>
        <v>0</v>
      </c>
    </row>
    <row r="912" spans="1:25" ht="13" customHeight="1">
      <c r="A912" s="11">
        <v>906</v>
      </c>
      <c r="B912" s="47">
        <v>206930331</v>
      </c>
      <c r="C912" s="89" t="s">
        <v>2881</v>
      </c>
      <c r="D912" s="11" t="s">
        <v>2882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78</v>
      </c>
      <c r="M912" s="49" t="s">
        <v>92</v>
      </c>
      <c r="N912" s="48" t="s">
        <v>89</v>
      </c>
      <c r="O912" s="49" t="s">
        <v>37</v>
      </c>
      <c r="P912" s="11" t="s">
        <v>80</v>
      </c>
      <c r="Q912" s="11" t="s">
        <v>96</v>
      </c>
      <c r="R912" s="49" t="s">
        <v>1066</v>
      </c>
      <c r="S912" s="11" t="s">
        <v>2717</v>
      </c>
      <c r="T912" s="116" t="s">
        <v>10</v>
      </c>
      <c r="U912" s="88"/>
      <c r="V912" s="51">
        <v>46238</v>
      </c>
      <c r="W912" s="97" t="s">
        <v>1577</v>
      </c>
      <c r="X912" s="135" t="str">
        <f>VLOOKUP(Table1[[#This Row],[AMZ ID]],[1]Roster_1787503287932!$D$2:$AU$1370,25,0)</f>
        <v>Not Present</v>
      </c>
      <c r="Y912" s="135">
        <f>VLOOKUP(Table1[[#This Row],[AMZ ID]],[1]Roster_1787503287932!$D$2:$AM$1370,35,0)</f>
        <v>0</v>
      </c>
    </row>
    <row r="913" spans="1:25" ht="13" customHeight="1">
      <c r="A913" s="11">
        <v>907</v>
      </c>
      <c r="B913" s="47">
        <v>206846698</v>
      </c>
      <c r="C913" s="89" t="s">
        <v>1825</v>
      </c>
      <c r="D913" s="11" t="s">
        <v>1826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88</v>
      </c>
      <c r="M913" s="49" t="s">
        <v>95</v>
      </c>
      <c r="N913" s="48" t="s">
        <v>89</v>
      </c>
      <c r="O913" s="49" t="s">
        <v>37</v>
      </c>
      <c r="P913" s="11" t="s">
        <v>80</v>
      </c>
      <c r="Q913" s="11" t="s">
        <v>90</v>
      </c>
      <c r="R913" s="49" t="s">
        <v>2719</v>
      </c>
      <c r="S913" s="11" t="s">
        <v>642</v>
      </c>
      <c r="T913" s="116" t="s">
        <v>1</v>
      </c>
      <c r="U913" s="88"/>
      <c r="V913" s="51">
        <v>46013</v>
      </c>
      <c r="W913" s="97" t="s">
        <v>1577</v>
      </c>
      <c r="X913" s="135" t="str">
        <f>VLOOKUP(Table1[[#This Row],[AMZ ID]],[1]Roster_1787503287932!$D$2:$AU$1370,25,0)</f>
        <v>Present</v>
      </c>
      <c r="Y913" s="135">
        <f>VLOOKUP(Table1[[#This Row],[AMZ ID]],[1]Roster_1787503287932!$D$2:$AM$1370,35,0)</f>
        <v>0</v>
      </c>
    </row>
    <row r="914" spans="1:25" ht="13" customHeight="1">
      <c r="A914" s="11">
        <v>908</v>
      </c>
      <c r="B914" s="47">
        <v>202436104</v>
      </c>
      <c r="C914" s="89" t="s">
        <v>972</v>
      </c>
      <c r="D914" s="11" t="s">
        <v>973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32</v>
      </c>
      <c r="K914" s="49" t="s">
        <v>76</v>
      </c>
      <c r="L914" s="49" t="s">
        <v>92</v>
      </c>
      <c r="M914" s="49" t="s">
        <v>84</v>
      </c>
      <c r="N914" s="48" t="s">
        <v>86</v>
      </c>
      <c r="O914" s="49" t="s">
        <v>37</v>
      </c>
      <c r="P914" s="11" t="s">
        <v>80</v>
      </c>
      <c r="Q914" s="11" t="s">
        <v>87</v>
      </c>
      <c r="R914" s="49" t="s">
        <v>627</v>
      </c>
      <c r="S914" s="11" t="s">
        <v>628</v>
      </c>
      <c r="T914" s="116" t="s">
        <v>1</v>
      </c>
      <c r="U914" s="88"/>
      <c r="V914" s="51">
        <v>45586</v>
      </c>
      <c r="W914" s="97" t="s">
        <v>1578</v>
      </c>
      <c r="X914" s="135" t="str">
        <f>VLOOKUP(Table1[[#This Row],[AMZ ID]],[1]Roster_1787503287932!$D$2:$AU$1370,25,0)</f>
        <v>Present</v>
      </c>
      <c r="Y914" s="135">
        <f>VLOOKUP(Table1[[#This Row],[AMZ ID]],[1]Roster_1787503287932!$D$2:$AM$1370,35,0)</f>
        <v>0</v>
      </c>
    </row>
    <row r="915" spans="1:25" ht="13" customHeight="1">
      <c r="A915" s="11">
        <v>909</v>
      </c>
      <c r="B915" s="47">
        <v>203965179</v>
      </c>
      <c r="C915" s="89" t="s">
        <v>974</v>
      </c>
      <c r="D915" s="11" t="s">
        <v>975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95</v>
      </c>
      <c r="M915" s="49" t="s">
        <v>77</v>
      </c>
      <c r="N915" s="48" t="s">
        <v>79</v>
      </c>
      <c r="O915" s="49" t="s">
        <v>37</v>
      </c>
      <c r="P915" s="11" t="s">
        <v>80</v>
      </c>
      <c r="Q915" s="11" t="s">
        <v>96</v>
      </c>
      <c r="R915" s="49" t="s">
        <v>647</v>
      </c>
      <c r="S915" s="11" t="s">
        <v>1798</v>
      </c>
      <c r="T915" s="116" t="s">
        <v>1</v>
      </c>
      <c r="U915" s="88"/>
      <c r="V915" s="51">
        <v>45544</v>
      </c>
      <c r="W915" s="97" t="s">
        <v>1577</v>
      </c>
      <c r="X915" s="135" t="str">
        <f>VLOOKUP(Table1[[#This Row],[AMZ ID]],[1]Roster_1787503287932!$D$2:$AU$1370,25,0)</f>
        <v>Present</v>
      </c>
      <c r="Y915" s="135">
        <f>VLOOKUP(Table1[[#This Row],[AMZ ID]],[1]Roster_1787503287932!$D$2:$AM$1370,35,0)</f>
        <v>0</v>
      </c>
    </row>
    <row r="916" spans="1:25" ht="13" customHeight="1">
      <c r="A916" s="11">
        <v>910</v>
      </c>
      <c r="B916" s="47">
        <v>206136718</v>
      </c>
      <c r="C916" s="89" t="s">
        <v>2911</v>
      </c>
      <c r="D916" s="11" t="s">
        <v>2912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84</v>
      </c>
      <c r="M916" s="49" t="s">
        <v>85</v>
      </c>
      <c r="N916" s="48" t="s">
        <v>89</v>
      </c>
      <c r="O916" s="49" t="s">
        <v>37</v>
      </c>
      <c r="P916" s="11" t="s">
        <v>80</v>
      </c>
      <c r="Q916" s="11" t="s">
        <v>96</v>
      </c>
      <c r="R916" s="11" t="s">
        <v>1066</v>
      </c>
      <c r="S916" s="11" t="s">
        <v>2717</v>
      </c>
      <c r="T916" s="116" t="s">
        <v>1</v>
      </c>
      <c r="U916" s="88"/>
      <c r="V916" s="51">
        <v>46239</v>
      </c>
      <c r="W916" s="97" t="s">
        <v>1579</v>
      </c>
      <c r="X916" s="135" t="str">
        <f>VLOOKUP(Table1[[#This Row],[AMZ ID]],[1]Roster_1787503287932!$D$2:$AU$1370,25,0)</f>
        <v>Present</v>
      </c>
      <c r="Y916" s="135">
        <f>VLOOKUP(Table1[[#This Row],[AMZ ID]],[1]Roster_1787503287932!$D$2:$AM$1370,35,0)</f>
        <v>0</v>
      </c>
    </row>
    <row r="917" spans="1:25" ht="13" customHeight="1">
      <c r="A917" s="11">
        <v>911</v>
      </c>
      <c r="B917" s="47">
        <v>206200811</v>
      </c>
      <c r="C917" s="90" t="s">
        <v>2840</v>
      </c>
      <c r="D917" s="11" t="s">
        <v>2841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77</v>
      </c>
      <c r="M917" s="49" t="s">
        <v>78</v>
      </c>
      <c r="N917" s="49" t="s">
        <v>89</v>
      </c>
      <c r="O917" s="49" t="s">
        <v>37</v>
      </c>
      <c r="P917" s="11" t="s">
        <v>80</v>
      </c>
      <c r="Q917" s="11" t="s">
        <v>81</v>
      </c>
      <c r="R917" s="11" t="s">
        <v>2719</v>
      </c>
      <c r="S917" s="11" t="s">
        <v>642</v>
      </c>
      <c r="T917" s="116" t="s">
        <v>10</v>
      </c>
      <c r="U917" s="88"/>
      <c r="V917" s="51">
        <v>46226</v>
      </c>
      <c r="W917" s="97" t="s">
        <v>1577</v>
      </c>
      <c r="X917" s="135" t="str">
        <f>VLOOKUP(Table1[[#This Row],[AMZ ID]],[1]Roster_1787503287932!$D$2:$AU$1370,25,0)</f>
        <v>Not Present</v>
      </c>
      <c r="Y917" s="135">
        <f>VLOOKUP(Table1[[#This Row],[AMZ ID]],[1]Roster_1787503287932!$D$2:$AM$1370,35,0)</f>
        <v>0</v>
      </c>
    </row>
    <row r="918" spans="1:25" ht="13" customHeight="1">
      <c r="A918" s="11">
        <v>912</v>
      </c>
      <c r="B918" s="47">
        <v>204890369</v>
      </c>
      <c r="C918" s="89" t="s">
        <v>976</v>
      </c>
      <c r="D918" s="11" t="s">
        <v>977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1290</v>
      </c>
      <c r="J918" s="49" t="s">
        <v>39</v>
      </c>
      <c r="K918" s="49" t="s">
        <v>76</v>
      </c>
      <c r="L918" s="49" t="s">
        <v>36</v>
      </c>
      <c r="M918" s="49" t="s">
        <v>92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49" t="s">
        <v>647</v>
      </c>
      <c r="S918" s="11" t="s">
        <v>1798</v>
      </c>
      <c r="T918" s="116" t="s">
        <v>1</v>
      </c>
      <c r="U918" s="88"/>
      <c r="V918" s="51">
        <v>45691</v>
      </c>
      <c r="W918" s="97" t="s">
        <v>1577</v>
      </c>
      <c r="X918" s="135" t="str">
        <f>VLOOKUP(Table1[[#This Row],[AMZ ID]],[1]Roster_1787503287932!$D$2:$AU$1370,25,0)</f>
        <v>Present</v>
      </c>
      <c r="Y918" s="135">
        <f>VLOOKUP(Table1[[#This Row],[AMZ ID]],[1]Roster_1787503287932!$D$2:$AM$1370,35,0)</f>
        <v>0</v>
      </c>
    </row>
    <row r="919" spans="1:25" ht="13" customHeight="1">
      <c r="A919" s="11">
        <v>913</v>
      </c>
      <c r="B919" s="47">
        <v>203522217</v>
      </c>
      <c r="C919" s="89" t="s">
        <v>978</v>
      </c>
      <c r="D919" s="11" t="s">
        <v>979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92</v>
      </c>
      <c r="M919" s="49" t="s">
        <v>84</v>
      </c>
      <c r="N919" s="49" t="s">
        <v>86</v>
      </c>
      <c r="O919" s="48" t="s">
        <v>37</v>
      </c>
      <c r="P919" s="48" t="s">
        <v>80</v>
      </c>
      <c r="Q919" s="11" t="s">
        <v>99</v>
      </c>
      <c r="R919" s="11" t="s">
        <v>627</v>
      </c>
      <c r="S919" s="11" t="s">
        <v>628</v>
      </c>
      <c r="T919" s="116" t="s">
        <v>1</v>
      </c>
      <c r="U919" s="88"/>
      <c r="V919" s="51">
        <v>45463</v>
      </c>
      <c r="W919" s="97" t="s">
        <v>1579</v>
      </c>
      <c r="X919" s="135" t="str">
        <f>VLOOKUP(Table1[[#This Row],[AMZ ID]],[1]Roster_1787503287932!$D$2:$AU$1370,25,0)</f>
        <v>Present</v>
      </c>
      <c r="Y919" s="135">
        <f>VLOOKUP(Table1[[#This Row],[AMZ ID]],[1]Roster_1787503287932!$D$2:$AM$1370,35,0)</f>
        <v>0</v>
      </c>
    </row>
    <row r="920" spans="1:25" ht="13" customHeight="1">
      <c r="A920" s="11">
        <v>914</v>
      </c>
      <c r="B920" s="47">
        <v>104033275</v>
      </c>
      <c r="C920" s="89" t="s">
        <v>980</v>
      </c>
      <c r="D920" s="11" t="s">
        <v>981</v>
      </c>
      <c r="E920" s="48" t="s">
        <v>34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32</v>
      </c>
      <c r="K920" s="49" t="s">
        <v>76</v>
      </c>
      <c r="L920" s="49" t="s">
        <v>36</v>
      </c>
      <c r="M920" s="49" t="s">
        <v>92</v>
      </c>
      <c r="N920" s="48" t="s">
        <v>108</v>
      </c>
      <c r="O920" s="49" t="s">
        <v>37</v>
      </c>
      <c r="P920" s="11" t="s">
        <v>80</v>
      </c>
      <c r="Q920" s="11" t="s">
        <v>98</v>
      </c>
      <c r="R920" s="49" t="s">
        <v>647</v>
      </c>
      <c r="S920" s="11" t="s">
        <v>1798</v>
      </c>
      <c r="T920" s="116" t="s">
        <v>1</v>
      </c>
      <c r="U920" s="88" t="s">
        <v>3017</v>
      </c>
      <c r="V920" s="51">
        <v>44067</v>
      </c>
      <c r="W920" s="97" t="s">
        <v>1579</v>
      </c>
      <c r="X920" s="135" t="str">
        <f>VLOOKUP(Table1[[#This Row],[AMZ ID]],[1]Roster_1787503287932!$D$2:$AU$1370,25,0)</f>
        <v>Present</v>
      </c>
      <c r="Y920" s="135">
        <f>VLOOKUP(Table1[[#This Row],[AMZ ID]],[1]Roster_1787503287932!$D$2:$AM$1370,35,0)</f>
        <v>0</v>
      </c>
    </row>
    <row r="921" spans="1:25" ht="13" customHeight="1">
      <c r="A921" s="11">
        <v>915</v>
      </c>
      <c r="B921" s="47">
        <v>204864410</v>
      </c>
      <c r="C921" s="89" t="s">
        <v>2408</v>
      </c>
      <c r="D921" s="11" t="s">
        <v>2409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78</v>
      </c>
      <c r="M921" s="49" t="s">
        <v>92</v>
      </c>
      <c r="N921" s="48" t="s">
        <v>86</v>
      </c>
      <c r="O921" s="49" t="s">
        <v>37</v>
      </c>
      <c r="P921" s="11" t="s">
        <v>80</v>
      </c>
      <c r="Q921" s="11" t="s">
        <v>90</v>
      </c>
      <c r="R921" s="49" t="s">
        <v>647</v>
      </c>
      <c r="S921" s="11" t="s">
        <v>1798</v>
      </c>
      <c r="T921" s="116" t="s">
        <v>10</v>
      </c>
      <c r="U921" s="88"/>
      <c r="V921" s="51">
        <v>45685</v>
      </c>
      <c r="W921" s="97" t="s">
        <v>1577</v>
      </c>
      <c r="X921" s="135" t="str">
        <f>VLOOKUP(Table1[[#This Row],[AMZ ID]],[1]Roster_1787503287932!$D$2:$AU$1370,25,0)</f>
        <v>Not Present</v>
      </c>
      <c r="Y921" s="135">
        <f>VLOOKUP(Table1[[#This Row],[AMZ ID]],[1]Roster_1787503287932!$D$2:$AM$1370,35,0)</f>
        <v>0</v>
      </c>
    </row>
    <row r="922" spans="1:25" ht="13" customHeight="1">
      <c r="A922" s="11">
        <v>916</v>
      </c>
      <c r="B922" s="47">
        <v>203908896</v>
      </c>
      <c r="C922" s="89" t="s">
        <v>2800</v>
      </c>
      <c r="D922" s="11" t="s">
        <v>2801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39</v>
      </c>
      <c r="K922" s="49" t="s">
        <v>76</v>
      </c>
      <c r="L922" s="49" t="s">
        <v>95</v>
      </c>
      <c r="M922" s="49" t="s">
        <v>77</v>
      </c>
      <c r="N922" s="49" t="s">
        <v>86</v>
      </c>
      <c r="O922" s="49" t="s">
        <v>37</v>
      </c>
      <c r="P922" s="11" t="s">
        <v>80</v>
      </c>
      <c r="Q922" s="11" t="s">
        <v>90</v>
      </c>
      <c r="R922" s="49" t="s">
        <v>1066</v>
      </c>
      <c r="S922" s="11" t="s">
        <v>2749</v>
      </c>
      <c r="T922" s="116" t="s">
        <v>1</v>
      </c>
      <c r="U922" s="88"/>
      <c r="V922" s="51">
        <v>45789</v>
      </c>
      <c r="W922" s="97" t="s">
        <v>1577</v>
      </c>
      <c r="X922" s="135" t="str">
        <f>VLOOKUP(Table1[[#This Row],[AMZ ID]],[1]Roster_1787503287932!$D$2:$AU$1370,25,0)</f>
        <v>Present</v>
      </c>
      <c r="Y922" s="135">
        <f>VLOOKUP(Table1[[#This Row],[AMZ ID]],[1]Roster_1787503287932!$D$2:$AM$1370,35,0)</f>
        <v>0</v>
      </c>
    </row>
    <row r="923" spans="1:25" ht="13" customHeight="1">
      <c r="A923" s="11">
        <v>917</v>
      </c>
      <c r="B923" s="47">
        <v>103900839</v>
      </c>
      <c r="C923" s="89" t="s">
        <v>982</v>
      </c>
      <c r="D923" s="11" t="s">
        <v>983</v>
      </c>
      <c r="E923" s="48" t="s">
        <v>34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84</v>
      </c>
      <c r="M923" s="49" t="s">
        <v>85</v>
      </c>
      <c r="N923" s="48" t="s">
        <v>108</v>
      </c>
      <c r="O923" s="49" t="s">
        <v>37</v>
      </c>
      <c r="P923" s="11" t="s">
        <v>80</v>
      </c>
      <c r="Q923" s="11" t="s">
        <v>98</v>
      </c>
      <c r="R923" s="11" t="s">
        <v>2719</v>
      </c>
      <c r="S923" s="11" t="s">
        <v>642</v>
      </c>
      <c r="T923" s="116" t="s">
        <v>1</v>
      </c>
      <c r="U923" s="88"/>
      <c r="V923" s="51">
        <v>44831</v>
      </c>
      <c r="W923" s="97" t="s">
        <v>1577</v>
      </c>
      <c r="X923" s="135" t="str">
        <f>VLOOKUP(Table1[[#This Row],[AMZ ID]],[1]Roster_1787503287932!$D$2:$AU$1370,25,0)</f>
        <v>Present</v>
      </c>
      <c r="Y923" s="135">
        <f>VLOOKUP(Table1[[#This Row],[AMZ ID]],[1]Roster_1787503287932!$D$2:$AM$1370,35,0)</f>
        <v>0</v>
      </c>
    </row>
    <row r="924" spans="1:25" ht="13" customHeight="1">
      <c r="A924" s="11">
        <v>918</v>
      </c>
      <c r="B924" s="47">
        <v>204882814</v>
      </c>
      <c r="C924" s="89" t="s">
        <v>2410</v>
      </c>
      <c r="D924" s="11" t="s">
        <v>2411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39</v>
      </c>
      <c r="K924" s="49" t="s">
        <v>76</v>
      </c>
      <c r="L924" s="49" t="s">
        <v>84</v>
      </c>
      <c r="M924" s="49" t="s">
        <v>85</v>
      </c>
      <c r="N924" s="48" t="s">
        <v>86</v>
      </c>
      <c r="O924" s="49" t="s">
        <v>37</v>
      </c>
      <c r="P924" s="11" t="s">
        <v>80</v>
      </c>
      <c r="Q924" s="11" t="s">
        <v>90</v>
      </c>
      <c r="R924" s="11" t="s">
        <v>627</v>
      </c>
      <c r="S924" s="11" t="s">
        <v>628</v>
      </c>
      <c r="T924" s="116" t="s">
        <v>7</v>
      </c>
      <c r="U924" s="88" t="s">
        <v>3024</v>
      </c>
      <c r="V924" s="51">
        <v>45691</v>
      </c>
      <c r="W924" s="97" t="s">
        <v>1577</v>
      </c>
      <c r="X924" s="135" t="str">
        <f>VLOOKUP(Table1[[#This Row],[AMZ ID]],[1]Roster_1787503287932!$D$2:$AU$1370,25,0)</f>
        <v>Not Present</v>
      </c>
      <c r="Y924" s="135">
        <f>VLOOKUP(Table1[[#This Row],[AMZ ID]],[1]Roster_1787503287932!$D$2:$AM$1370,35,0)</f>
        <v>0</v>
      </c>
    </row>
    <row r="925" spans="1:25" ht="13" customHeight="1">
      <c r="A925" s="11">
        <v>919</v>
      </c>
      <c r="B925" s="47">
        <v>203737012</v>
      </c>
      <c r="C925" s="89" t="s">
        <v>984</v>
      </c>
      <c r="D925" s="11" t="s">
        <v>985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32</v>
      </c>
      <c r="K925" s="49" t="s">
        <v>76</v>
      </c>
      <c r="L925" s="49" t="s">
        <v>84</v>
      </c>
      <c r="M925" s="49" t="s">
        <v>85</v>
      </c>
      <c r="N925" s="48" t="s">
        <v>79</v>
      </c>
      <c r="O925" s="49" t="s">
        <v>37</v>
      </c>
      <c r="P925" s="11" t="s">
        <v>80</v>
      </c>
      <c r="Q925" s="11" t="s">
        <v>81</v>
      </c>
      <c r="R925" s="11" t="s">
        <v>647</v>
      </c>
      <c r="S925" s="11" t="s">
        <v>1798</v>
      </c>
      <c r="T925" s="116" t="s">
        <v>1</v>
      </c>
      <c r="U925" s="88"/>
      <c r="V925" s="51">
        <v>45502</v>
      </c>
      <c r="W925" s="97" t="s">
        <v>1577</v>
      </c>
      <c r="X925" s="135" t="str">
        <f>VLOOKUP(Table1[[#This Row],[AMZ ID]],[1]Roster_1787503287932!$D$2:$AU$1370,25,0)</f>
        <v>Present</v>
      </c>
      <c r="Y925" s="135">
        <f>VLOOKUP(Table1[[#This Row],[AMZ ID]],[1]Roster_1787503287932!$D$2:$AM$1370,35,0)</f>
        <v>0</v>
      </c>
    </row>
    <row r="926" spans="1:25" ht="13" customHeight="1">
      <c r="A926" s="11">
        <v>920</v>
      </c>
      <c r="B926" s="47">
        <v>106301305</v>
      </c>
      <c r="C926" s="89" t="s">
        <v>986</v>
      </c>
      <c r="D926" s="11" t="s">
        <v>987</v>
      </c>
      <c r="E926" s="48" t="s">
        <v>34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95</v>
      </c>
      <c r="M926" s="49" t="s">
        <v>77</v>
      </c>
      <c r="N926" s="49" t="s">
        <v>108</v>
      </c>
      <c r="O926" s="49" t="s">
        <v>37</v>
      </c>
      <c r="P926" s="11" t="s">
        <v>80</v>
      </c>
      <c r="Q926" s="11" t="s">
        <v>98</v>
      </c>
      <c r="R926" s="11" t="s">
        <v>647</v>
      </c>
      <c r="S926" s="11" t="s">
        <v>1798</v>
      </c>
      <c r="T926" s="116" t="s">
        <v>1</v>
      </c>
      <c r="U926" s="88"/>
      <c r="V926" s="51">
        <v>44839</v>
      </c>
      <c r="W926" s="97" t="s">
        <v>1577</v>
      </c>
      <c r="X926" s="135" t="str">
        <f>VLOOKUP(Table1[[#This Row],[AMZ ID]],[1]Roster_1787503287932!$D$2:$AU$1370,25,0)</f>
        <v>Present</v>
      </c>
      <c r="Y926" s="135">
        <f>VLOOKUP(Table1[[#This Row],[AMZ ID]],[1]Roster_1787503287932!$D$2:$AM$1370,35,0)</f>
        <v>0</v>
      </c>
    </row>
    <row r="927" spans="1:25" ht="13" customHeight="1">
      <c r="A927" s="11">
        <v>921</v>
      </c>
      <c r="B927" s="47">
        <v>203993521</v>
      </c>
      <c r="C927" s="89" t="s">
        <v>2412</v>
      </c>
      <c r="D927" s="11" t="s">
        <v>2413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77</v>
      </c>
      <c r="M927" s="49" t="s">
        <v>78</v>
      </c>
      <c r="N927" s="48" t="s">
        <v>86</v>
      </c>
      <c r="O927" s="49" t="s">
        <v>37</v>
      </c>
      <c r="P927" s="11" t="s">
        <v>80</v>
      </c>
      <c r="Q927" s="11" t="s">
        <v>90</v>
      </c>
      <c r="R927" s="49" t="s">
        <v>627</v>
      </c>
      <c r="S927" s="11" t="s">
        <v>628</v>
      </c>
      <c r="T927" s="116" t="s">
        <v>10</v>
      </c>
      <c r="U927" s="88"/>
      <c r="V927" s="51">
        <v>45547</v>
      </c>
      <c r="W927" s="97" t="s">
        <v>1577</v>
      </c>
      <c r="X927" s="135" t="str">
        <f>VLOOKUP(Table1[[#This Row],[AMZ ID]],[1]Roster_1787503287932!$D$2:$AU$1370,25,0)</f>
        <v>Not Present</v>
      </c>
      <c r="Y927" s="135">
        <f>VLOOKUP(Table1[[#This Row],[AMZ ID]],[1]Roster_1787503287932!$D$2:$AM$1370,35,0)</f>
        <v>0</v>
      </c>
    </row>
    <row r="928" spans="1:25" ht="13" customHeight="1">
      <c r="A928" s="11">
        <v>922</v>
      </c>
      <c r="B928" s="47">
        <v>206239216</v>
      </c>
      <c r="C928" s="89" t="s">
        <v>1652</v>
      </c>
      <c r="D928" s="11" t="s">
        <v>1620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32</v>
      </c>
      <c r="K928" s="49" t="s">
        <v>76</v>
      </c>
      <c r="L928" s="49" t="s">
        <v>88</v>
      </c>
      <c r="M928" s="49" t="s">
        <v>95</v>
      </c>
      <c r="N928" s="48" t="s">
        <v>79</v>
      </c>
      <c r="O928" s="49" t="s">
        <v>37</v>
      </c>
      <c r="P928" s="11" t="s">
        <v>80</v>
      </c>
      <c r="Q928" s="11" t="s">
        <v>81</v>
      </c>
      <c r="R928" s="49" t="s">
        <v>2719</v>
      </c>
      <c r="S928" s="11" t="s">
        <v>642</v>
      </c>
      <c r="T928" s="116" t="s">
        <v>1</v>
      </c>
      <c r="U928" s="88"/>
      <c r="V928" s="51">
        <v>45943</v>
      </c>
      <c r="W928" s="97" t="s">
        <v>1576</v>
      </c>
      <c r="X928" s="135" t="str">
        <f>VLOOKUP(Table1[[#This Row],[AMZ ID]],[1]Roster_1787503287932!$D$2:$AU$1370,25,0)</f>
        <v>Present</v>
      </c>
      <c r="Y928" s="135">
        <f>VLOOKUP(Table1[[#This Row],[AMZ ID]],[1]Roster_1787503287932!$D$2:$AM$1370,35,0)</f>
        <v>0</v>
      </c>
    </row>
    <row r="929" spans="1:25" ht="13" customHeight="1">
      <c r="A929" s="11">
        <v>923</v>
      </c>
      <c r="B929" s="47">
        <v>206074988</v>
      </c>
      <c r="C929" s="89" t="s">
        <v>988</v>
      </c>
      <c r="D929" s="11" t="s">
        <v>989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39</v>
      </c>
      <c r="K929" s="49" t="s">
        <v>76</v>
      </c>
      <c r="L929" s="49" t="s">
        <v>77</v>
      </c>
      <c r="M929" s="49" t="s">
        <v>78</v>
      </c>
      <c r="N929" s="49" t="s">
        <v>79</v>
      </c>
      <c r="O929" s="49" t="s">
        <v>37</v>
      </c>
      <c r="P929" s="11" t="s">
        <v>80</v>
      </c>
      <c r="Q929" s="11" t="s">
        <v>81</v>
      </c>
      <c r="R929" s="11" t="s">
        <v>631</v>
      </c>
      <c r="S929" s="11" t="s">
        <v>632</v>
      </c>
      <c r="T929" s="116" t="s">
        <v>10</v>
      </c>
      <c r="U929" s="88"/>
      <c r="V929" s="51">
        <v>45922</v>
      </c>
      <c r="W929" s="97" t="s">
        <v>1577</v>
      </c>
      <c r="X929" s="135" t="str">
        <f>VLOOKUP(Table1[[#This Row],[AMZ ID]],[1]Roster_1787503287932!$D$2:$AU$1370,25,0)</f>
        <v>Not Present</v>
      </c>
      <c r="Y929" s="135">
        <f>VLOOKUP(Table1[[#This Row],[AMZ ID]],[1]Roster_1787503287932!$D$2:$AM$1370,35,0)</f>
        <v>0</v>
      </c>
    </row>
    <row r="930" spans="1:25" ht="13" customHeight="1">
      <c r="A930" s="11">
        <v>924</v>
      </c>
      <c r="B930" s="47">
        <v>205275634</v>
      </c>
      <c r="C930" s="89" t="s">
        <v>2062</v>
      </c>
      <c r="D930" s="11" t="s">
        <v>2063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32</v>
      </c>
      <c r="K930" s="49" t="s">
        <v>76</v>
      </c>
      <c r="L930" s="49" t="s">
        <v>95</v>
      </c>
      <c r="M930" s="49" t="s">
        <v>77</v>
      </c>
      <c r="N930" s="48" t="s">
        <v>89</v>
      </c>
      <c r="O930" s="49" t="s">
        <v>37</v>
      </c>
      <c r="P930" s="11" t="s">
        <v>80</v>
      </c>
      <c r="Q930" s="11" t="s">
        <v>96</v>
      </c>
      <c r="R930" s="11" t="s">
        <v>2845</v>
      </c>
      <c r="S930" s="11" t="s">
        <v>2846</v>
      </c>
      <c r="T930" s="116" t="s">
        <v>1</v>
      </c>
      <c r="U930" s="88"/>
      <c r="V930" s="51">
        <v>46048</v>
      </c>
      <c r="W930" s="97" t="s">
        <v>1577</v>
      </c>
      <c r="X930" s="135" t="str">
        <f>VLOOKUP(Table1[[#This Row],[AMZ ID]],[1]Roster_1787503287932!$D$2:$AU$1370,25,0)</f>
        <v>Present</v>
      </c>
      <c r="Y930" s="135">
        <f>VLOOKUP(Table1[[#This Row],[AMZ ID]],[1]Roster_1787503287932!$D$2:$AM$1370,35,0)</f>
        <v>0</v>
      </c>
    </row>
    <row r="931" spans="1:25" ht="13" customHeight="1">
      <c r="A931" s="11">
        <v>925</v>
      </c>
      <c r="B931" s="47">
        <v>203342033</v>
      </c>
      <c r="C931" s="89" t="s">
        <v>990</v>
      </c>
      <c r="D931" s="11" t="s">
        <v>991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78</v>
      </c>
      <c r="M931" s="49" t="s">
        <v>92</v>
      </c>
      <c r="N931" s="48" t="s">
        <v>86</v>
      </c>
      <c r="O931" s="49" t="s">
        <v>37</v>
      </c>
      <c r="P931" s="11" t="s">
        <v>80</v>
      </c>
      <c r="Q931" s="11" t="s">
        <v>99</v>
      </c>
      <c r="R931" s="49" t="s">
        <v>647</v>
      </c>
      <c r="S931" s="11" t="s">
        <v>1798</v>
      </c>
      <c r="T931" s="116" t="s">
        <v>10</v>
      </c>
      <c r="U931" s="88"/>
      <c r="V931" s="51">
        <v>45432</v>
      </c>
      <c r="W931" s="97" t="s">
        <v>1579</v>
      </c>
      <c r="X931" s="135" t="str">
        <f>VLOOKUP(Table1[[#This Row],[AMZ ID]],[1]Roster_1787503287932!$D$2:$AU$1370,25,0)</f>
        <v>Not Present</v>
      </c>
      <c r="Y931" s="135">
        <f>VLOOKUP(Table1[[#This Row],[AMZ ID]],[1]Roster_1787503287932!$D$2:$AM$1370,35,0)</f>
        <v>0</v>
      </c>
    </row>
    <row r="932" spans="1:25" ht="13" customHeight="1">
      <c r="A932" s="11">
        <v>926</v>
      </c>
      <c r="B932" s="77">
        <v>206897646</v>
      </c>
      <c r="C932" s="91" t="s">
        <v>1887</v>
      </c>
      <c r="D932" s="75" t="s">
        <v>1888</v>
      </c>
      <c r="E932" s="76" t="s">
        <v>31</v>
      </c>
      <c r="F932" s="76" t="s">
        <v>74</v>
      </c>
      <c r="G932" s="75" t="s">
        <v>64</v>
      </c>
      <c r="H932" s="11" t="s">
        <v>75</v>
      </c>
      <c r="I932" s="75">
        <v>1290</v>
      </c>
      <c r="J932" s="49" t="s">
        <v>39</v>
      </c>
      <c r="K932" s="49" t="s">
        <v>76</v>
      </c>
      <c r="L932" s="49" t="s">
        <v>77</v>
      </c>
      <c r="M932" s="49" t="s">
        <v>78</v>
      </c>
      <c r="N932" s="48" t="s">
        <v>89</v>
      </c>
      <c r="O932" s="73" t="s">
        <v>37</v>
      </c>
      <c r="P932" s="75" t="s">
        <v>80</v>
      </c>
      <c r="Q932" s="75" t="s">
        <v>81</v>
      </c>
      <c r="R932" s="11" t="s">
        <v>1066</v>
      </c>
      <c r="S932" s="75" t="s">
        <v>2717</v>
      </c>
      <c r="T932" s="116" t="s">
        <v>10</v>
      </c>
      <c r="U932" s="88"/>
      <c r="V932" s="51">
        <v>46030</v>
      </c>
      <c r="W932" s="97" t="s">
        <v>1577</v>
      </c>
      <c r="X932" s="135" t="str">
        <f>VLOOKUP(Table1[[#This Row],[AMZ ID]],[1]Roster_1787503287932!$D$2:$AU$1370,25,0)</f>
        <v>Not Present</v>
      </c>
      <c r="Y932" s="135">
        <f>VLOOKUP(Table1[[#This Row],[AMZ ID]],[1]Roster_1787503287932!$D$2:$AM$1370,35,0)</f>
        <v>0</v>
      </c>
    </row>
    <row r="933" spans="1:25" ht="13" customHeight="1">
      <c r="A933" s="11">
        <v>927</v>
      </c>
      <c r="B933" s="47">
        <v>203468750</v>
      </c>
      <c r="C933" s="89" t="s">
        <v>992</v>
      </c>
      <c r="D933" s="47" t="s">
        <v>993</v>
      </c>
      <c r="E933" s="47" t="s">
        <v>31</v>
      </c>
      <c r="F933" s="47" t="s">
        <v>74</v>
      </c>
      <c r="G933" s="47" t="s">
        <v>64</v>
      </c>
      <c r="H933" s="47" t="s">
        <v>75</v>
      </c>
      <c r="I933" s="47">
        <v>1299</v>
      </c>
      <c r="J933" s="49" t="s">
        <v>32</v>
      </c>
      <c r="K933" s="49" t="s">
        <v>76</v>
      </c>
      <c r="L933" s="49" t="s">
        <v>85</v>
      </c>
      <c r="M933" s="49" t="s">
        <v>88</v>
      </c>
      <c r="N933" s="48" t="s">
        <v>79</v>
      </c>
      <c r="O933" s="47" t="s">
        <v>37</v>
      </c>
      <c r="P933" s="47" t="s">
        <v>80</v>
      </c>
      <c r="Q933" s="47" t="s">
        <v>81</v>
      </c>
      <c r="R933" s="11" t="s">
        <v>647</v>
      </c>
      <c r="S933" s="47" t="s">
        <v>1798</v>
      </c>
      <c r="T933" s="116" t="s">
        <v>1</v>
      </c>
      <c r="U933" s="88"/>
      <c r="V933" s="51">
        <v>45456</v>
      </c>
      <c r="W933" s="97" t="s">
        <v>1579</v>
      </c>
      <c r="X933" s="135" t="str">
        <f>VLOOKUP(Table1[[#This Row],[AMZ ID]],[1]Roster_1787503287932!$D$2:$AU$1370,25,0)</f>
        <v>Present</v>
      </c>
      <c r="Y933" s="135">
        <f>VLOOKUP(Table1[[#This Row],[AMZ ID]],[1]Roster_1787503287932!$D$2:$AM$1370,35,0)</f>
        <v>0</v>
      </c>
    </row>
    <row r="934" spans="1:25" ht="13" customHeight="1">
      <c r="A934" s="11">
        <v>928</v>
      </c>
      <c r="B934" s="47">
        <v>204138118</v>
      </c>
      <c r="C934" s="89" t="s">
        <v>994</v>
      </c>
      <c r="D934" s="11" t="s">
        <v>995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85</v>
      </c>
      <c r="M934" s="49" t="s">
        <v>88</v>
      </c>
      <c r="N934" s="48" t="s">
        <v>86</v>
      </c>
      <c r="O934" s="49" t="s">
        <v>37</v>
      </c>
      <c r="P934" s="11" t="s">
        <v>80</v>
      </c>
      <c r="Q934" s="11" t="s">
        <v>87</v>
      </c>
      <c r="R934" s="11" t="s">
        <v>647</v>
      </c>
      <c r="S934" s="11" t="s">
        <v>1798</v>
      </c>
      <c r="T934" s="116" t="s">
        <v>1</v>
      </c>
      <c r="U934" s="88"/>
      <c r="V934" s="51">
        <v>45565</v>
      </c>
      <c r="W934" s="97" t="s">
        <v>1579</v>
      </c>
      <c r="X934" s="135" t="str">
        <f>VLOOKUP(Table1[[#This Row],[AMZ ID]],[1]Roster_1787503287932!$D$2:$AU$1370,25,0)</f>
        <v>Present</v>
      </c>
      <c r="Y934" s="135">
        <f>VLOOKUP(Table1[[#This Row],[AMZ ID]],[1]Roster_1787503287932!$D$2:$AM$1370,35,0)</f>
        <v>0</v>
      </c>
    </row>
    <row r="935" spans="1:25" ht="13" customHeight="1">
      <c r="A935" s="11">
        <v>929</v>
      </c>
      <c r="B935" s="47">
        <v>206348052</v>
      </c>
      <c r="C935" s="89" t="s">
        <v>1696</v>
      </c>
      <c r="D935" s="11" t="s">
        <v>1697</v>
      </c>
      <c r="E935" s="48" t="s">
        <v>31</v>
      </c>
      <c r="F935" s="48" t="s">
        <v>74</v>
      </c>
      <c r="G935" s="11" t="s">
        <v>65</v>
      </c>
      <c r="H935" s="11" t="s">
        <v>1332</v>
      </c>
      <c r="I935" s="11">
        <v>1181</v>
      </c>
      <c r="J935" s="49" t="s">
        <v>32</v>
      </c>
      <c r="K935" s="49" t="s">
        <v>76</v>
      </c>
      <c r="L935" s="49" t="s">
        <v>84</v>
      </c>
      <c r="M935" s="49" t="s">
        <v>85</v>
      </c>
      <c r="N935" s="48" t="s">
        <v>89</v>
      </c>
      <c r="O935" s="49" t="s">
        <v>68</v>
      </c>
      <c r="P935" s="11" t="s">
        <v>80</v>
      </c>
      <c r="Q935" s="11" t="s">
        <v>90</v>
      </c>
      <c r="R935" s="11" t="s">
        <v>1336</v>
      </c>
      <c r="S935" s="11" t="s">
        <v>1337</v>
      </c>
      <c r="T935" s="116" t="s">
        <v>1</v>
      </c>
      <c r="U935" s="88"/>
      <c r="V935" s="51">
        <v>45957</v>
      </c>
      <c r="W935" s="97" t="s">
        <v>68</v>
      </c>
      <c r="X935" s="135" t="str">
        <f>VLOOKUP(Table1[[#This Row],[AMZ ID]],[1]Roster_1787503287932!$D$2:$AU$1370,25,0)</f>
        <v>Present</v>
      </c>
      <c r="Y935" s="135">
        <f>VLOOKUP(Table1[[#This Row],[AMZ ID]],[1]Roster_1787503287932!$D$2:$AM$1370,35,0)</f>
        <v>0</v>
      </c>
    </row>
    <row r="936" spans="1:25" ht="13" customHeight="1">
      <c r="A936" s="11">
        <v>930</v>
      </c>
      <c r="B936" s="47">
        <v>203468753</v>
      </c>
      <c r="C936" s="89" t="s">
        <v>996</v>
      </c>
      <c r="D936" s="11" t="s">
        <v>997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95</v>
      </c>
      <c r="M936" s="49" t="s">
        <v>77</v>
      </c>
      <c r="N936" s="49" t="s">
        <v>79</v>
      </c>
      <c r="O936" s="49" t="s">
        <v>37</v>
      </c>
      <c r="P936" s="11" t="s">
        <v>80</v>
      </c>
      <c r="Q936" s="11" t="s">
        <v>81</v>
      </c>
      <c r="R936" s="11" t="s">
        <v>1066</v>
      </c>
      <c r="S936" s="11" t="s">
        <v>2717</v>
      </c>
      <c r="T936" s="116" t="s">
        <v>7</v>
      </c>
      <c r="U936" s="88" t="s">
        <v>3015</v>
      </c>
      <c r="V936" s="51">
        <v>45456</v>
      </c>
      <c r="W936" s="97" t="s">
        <v>1579</v>
      </c>
      <c r="X936" s="135" t="str">
        <f>VLOOKUP(Table1[[#This Row],[AMZ ID]],[1]Roster_1787503287932!$D$2:$AU$1370,25,0)</f>
        <v>Not Present</v>
      </c>
      <c r="Y936" s="135" t="str">
        <f>VLOOKUP(Table1[[#This Row],[AMZ ID]],[1]Roster_1787503287932!$D$2:$AM$1370,35,0)</f>
        <v>Annual Leave</v>
      </c>
    </row>
    <row r="937" spans="1:25" ht="13" customHeight="1">
      <c r="A937" s="11">
        <v>931</v>
      </c>
      <c r="B937" s="47">
        <v>203851105</v>
      </c>
      <c r="C937" s="89" t="s">
        <v>998</v>
      </c>
      <c r="D937" s="11" t="s">
        <v>999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95</v>
      </c>
      <c r="M937" s="49" t="s">
        <v>77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49" t="s">
        <v>631</v>
      </c>
      <c r="S937" s="11" t="s">
        <v>632</v>
      </c>
      <c r="T937" s="116" t="s">
        <v>1</v>
      </c>
      <c r="U937" s="88"/>
      <c r="V937" s="51">
        <v>45524</v>
      </c>
      <c r="W937" s="97" t="s">
        <v>1579</v>
      </c>
      <c r="X937" s="135" t="str">
        <f>VLOOKUP(Table1[[#This Row],[AMZ ID]],[1]Roster_1787503287932!$D$2:$AU$1370,25,0)</f>
        <v>Present</v>
      </c>
      <c r="Y937" s="135">
        <f>VLOOKUP(Table1[[#This Row],[AMZ ID]],[1]Roster_1787503287932!$D$2:$AM$1370,35,0)</f>
        <v>0</v>
      </c>
    </row>
    <row r="938" spans="1:25" ht="13" customHeight="1">
      <c r="A938" s="11">
        <v>932</v>
      </c>
      <c r="B938" s="47">
        <v>204072311</v>
      </c>
      <c r="C938" s="89" t="s">
        <v>1000</v>
      </c>
      <c r="D938" s="11" t="s">
        <v>1001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92</v>
      </c>
      <c r="M938" s="49" t="s">
        <v>84</v>
      </c>
      <c r="N938" s="48" t="s">
        <v>86</v>
      </c>
      <c r="O938" s="49" t="s">
        <v>37</v>
      </c>
      <c r="P938" s="11" t="s">
        <v>80</v>
      </c>
      <c r="Q938" s="11" t="s">
        <v>90</v>
      </c>
      <c r="R938" s="11" t="s">
        <v>631</v>
      </c>
      <c r="S938" s="11" t="s">
        <v>632</v>
      </c>
      <c r="T938" s="116" t="s">
        <v>1</v>
      </c>
      <c r="U938" s="88"/>
      <c r="V938" s="51">
        <v>45558</v>
      </c>
      <c r="W938" s="97" t="s">
        <v>1577</v>
      </c>
      <c r="X938" s="135" t="str">
        <f>VLOOKUP(Table1[[#This Row],[AMZ ID]],[1]Roster_1787503287932!$D$2:$AU$1370,25,0)</f>
        <v>Present</v>
      </c>
      <c r="Y938" s="135">
        <f>VLOOKUP(Table1[[#This Row],[AMZ ID]],[1]Roster_1787503287932!$D$2:$AM$1370,35,0)</f>
        <v>0</v>
      </c>
    </row>
    <row r="939" spans="1:25" ht="13" customHeight="1">
      <c r="A939" s="11">
        <v>933</v>
      </c>
      <c r="B939" s="47">
        <v>205853578</v>
      </c>
      <c r="C939" s="89" t="s">
        <v>1002</v>
      </c>
      <c r="D939" s="11" t="s">
        <v>1003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85</v>
      </c>
      <c r="M939" s="49" t="s">
        <v>88</v>
      </c>
      <c r="N939" s="49" t="s">
        <v>89</v>
      </c>
      <c r="O939" s="49" t="s">
        <v>37</v>
      </c>
      <c r="P939" s="11" t="s">
        <v>80</v>
      </c>
      <c r="Q939" s="11" t="s">
        <v>96</v>
      </c>
      <c r="R939" s="49" t="s">
        <v>1066</v>
      </c>
      <c r="S939" s="49" t="s">
        <v>2717</v>
      </c>
      <c r="T939" s="116" t="s">
        <v>1</v>
      </c>
      <c r="U939" s="88"/>
      <c r="V939" s="51">
        <v>45894</v>
      </c>
      <c r="W939" s="97" t="s">
        <v>1577</v>
      </c>
      <c r="X939" s="135" t="str">
        <f>VLOOKUP(Table1[[#This Row],[AMZ ID]],[1]Roster_1787503287932!$D$2:$AU$1370,25,0)</f>
        <v>Present</v>
      </c>
      <c r="Y939" s="135">
        <f>VLOOKUP(Table1[[#This Row],[AMZ ID]],[1]Roster_1787503287932!$D$2:$AM$1370,35,0)</f>
        <v>0</v>
      </c>
    </row>
    <row r="940" spans="1:25" ht="13" customHeight="1">
      <c r="A940" s="11">
        <v>934</v>
      </c>
      <c r="B940" s="47">
        <v>204117684</v>
      </c>
      <c r="C940" s="89" t="s">
        <v>1004</v>
      </c>
      <c r="D940" s="11" t="s">
        <v>1005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32</v>
      </c>
      <c r="K940" s="49" t="s">
        <v>76</v>
      </c>
      <c r="L940" s="49" t="s">
        <v>84</v>
      </c>
      <c r="M940" s="49" t="s">
        <v>85</v>
      </c>
      <c r="N940" s="49" t="s">
        <v>86</v>
      </c>
      <c r="O940" s="49" t="s">
        <v>37</v>
      </c>
      <c r="P940" s="11" t="s">
        <v>80</v>
      </c>
      <c r="Q940" s="11" t="s">
        <v>87</v>
      </c>
      <c r="R940" s="11" t="s">
        <v>627</v>
      </c>
      <c r="S940" s="11" t="s">
        <v>628</v>
      </c>
      <c r="T940" s="116" t="s">
        <v>4</v>
      </c>
      <c r="U940" s="88"/>
      <c r="V940" s="51">
        <v>45561</v>
      </c>
      <c r="W940" s="97" t="s">
        <v>1577</v>
      </c>
      <c r="X940" s="135" t="str">
        <f>VLOOKUP(Table1[[#This Row],[AMZ ID]],[1]Roster_1787503287932!$D$2:$AU$1370,25,0)</f>
        <v>Not Present</v>
      </c>
      <c r="Y940" s="135">
        <f>VLOOKUP(Table1[[#This Row],[AMZ ID]],[1]Roster_1787503287932!$D$2:$AM$1370,35,0)</f>
        <v>0</v>
      </c>
    </row>
    <row r="941" spans="1:25" ht="13" customHeight="1">
      <c r="A941" s="11">
        <v>935</v>
      </c>
      <c r="B941" s="47">
        <v>203881696</v>
      </c>
      <c r="C941" s="89" t="s">
        <v>1006</v>
      </c>
      <c r="D941" s="11" t="s">
        <v>1007</v>
      </c>
      <c r="E941" s="11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92</v>
      </c>
      <c r="M941" s="49" t="s">
        <v>84</v>
      </c>
      <c r="N941" s="49" t="s">
        <v>79</v>
      </c>
      <c r="O941" s="49" t="s">
        <v>37</v>
      </c>
      <c r="P941" s="11" t="s">
        <v>80</v>
      </c>
      <c r="Q941" s="11" t="s">
        <v>81</v>
      </c>
      <c r="R941" s="49" t="s">
        <v>647</v>
      </c>
      <c r="S941" s="11" t="s">
        <v>1798</v>
      </c>
      <c r="T941" s="116" t="s">
        <v>1</v>
      </c>
      <c r="U941" s="88"/>
      <c r="V941" s="51">
        <v>45530</v>
      </c>
      <c r="W941" s="97" t="s">
        <v>1579</v>
      </c>
      <c r="X941" s="135" t="str">
        <f>VLOOKUP(Table1[[#This Row],[AMZ ID]],[1]Roster_1787503287932!$D$2:$AU$1370,25,0)</f>
        <v>Present</v>
      </c>
      <c r="Y941" s="135">
        <f>VLOOKUP(Table1[[#This Row],[AMZ ID]],[1]Roster_1787503287932!$D$2:$AM$1370,35,0)</f>
        <v>0</v>
      </c>
    </row>
    <row r="942" spans="1:25" ht="13" customHeight="1">
      <c r="A942" s="11">
        <v>936</v>
      </c>
      <c r="B942" s="47">
        <v>206200000</v>
      </c>
      <c r="C942" s="89" t="s">
        <v>1594</v>
      </c>
      <c r="D942" s="11" t="s">
        <v>1588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32</v>
      </c>
      <c r="K942" s="49" t="s">
        <v>76</v>
      </c>
      <c r="L942" s="49" t="s">
        <v>85</v>
      </c>
      <c r="M942" s="49" t="s">
        <v>88</v>
      </c>
      <c r="N942" s="48" t="s">
        <v>89</v>
      </c>
      <c r="O942" s="49" t="s">
        <v>37</v>
      </c>
      <c r="P942" s="11" t="s">
        <v>80</v>
      </c>
      <c r="Q942" s="11" t="s">
        <v>81</v>
      </c>
      <c r="R942" s="11" t="s">
        <v>2719</v>
      </c>
      <c r="S942" s="11" t="s">
        <v>642</v>
      </c>
      <c r="T942" s="116" t="s">
        <v>1</v>
      </c>
      <c r="U942" s="88"/>
      <c r="V942" s="51">
        <v>45936</v>
      </c>
      <c r="W942" s="97" t="s">
        <v>1577</v>
      </c>
      <c r="X942" s="135" t="str">
        <f>VLOOKUP(Table1[[#This Row],[AMZ ID]],[1]Roster_1787503287932!$D$2:$AU$1370,25,0)</f>
        <v>Present</v>
      </c>
      <c r="Y942" s="135">
        <f>VLOOKUP(Table1[[#This Row],[AMZ ID]],[1]Roster_1787503287932!$D$2:$AM$1370,35,0)</f>
        <v>0</v>
      </c>
    </row>
    <row r="943" spans="1:25" ht="13" customHeight="1">
      <c r="A943" s="11">
        <v>937</v>
      </c>
      <c r="B943" s="47">
        <v>204138115</v>
      </c>
      <c r="C943" s="89" t="s">
        <v>1008</v>
      </c>
      <c r="D943" s="11" t="s">
        <v>1009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32</v>
      </c>
      <c r="K943" s="49" t="s">
        <v>76</v>
      </c>
      <c r="L943" s="49" t="s">
        <v>78</v>
      </c>
      <c r="M943" s="49" t="s">
        <v>92</v>
      </c>
      <c r="N943" s="49" t="s">
        <v>86</v>
      </c>
      <c r="O943" s="49" t="s">
        <v>37</v>
      </c>
      <c r="P943" s="11" t="s">
        <v>80</v>
      </c>
      <c r="Q943" s="11" t="s">
        <v>87</v>
      </c>
      <c r="R943" s="49" t="s">
        <v>2845</v>
      </c>
      <c r="S943" s="49" t="s">
        <v>2846</v>
      </c>
      <c r="T943" s="116" t="s">
        <v>10</v>
      </c>
      <c r="U943" s="88"/>
      <c r="V943" s="51">
        <v>45565</v>
      </c>
      <c r="W943" s="97" t="s">
        <v>1577</v>
      </c>
      <c r="X943" s="135" t="str">
        <f>VLOOKUP(Table1[[#This Row],[AMZ ID]],[1]Roster_1787503287932!$D$2:$AU$1370,25,0)</f>
        <v>Not Present</v>
      </c>
      <c r="Y943" s="135">
        <f>VLOOKUP(Table1[[#This Row],[AMZ ID]],[1]Roster_1787503287932!$D$2:$AM$1370,35,0)</f>
        <v>0</v>
      </c>
    </row>
    <row r="944" spans="1:25" ht="13" customHeight="1">
      <c r="A944" s="11">
        <v>938</v>
      </c>
      <c r="B944" s="47">
        <v>204967052</v>
      </c>
      <c r="C944" s="89" t="s">
        <v>1010</v>
      </c>
      <c r="D944" s="11" t="s">
        <v>1011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84</v>
      </c>
      <c r="M944" s="49" t="s">
        <v>85</v>
      </c>
      <c r="N944" s="48" t="s">
        <v>86</v>
      </c>
      <c r="O944" s="49" t="s">
        <v>37</v>
      </c>
      <c r="P944" s="11" t="s">
        <v>80</v>
      </c>
      <c r="Q944" s="11" t="s">
        <v>90</v>
      </c>
      <c r="R944" s="49" t="s">
        <v>647</v>
      </c>
      <c r="S944" s="11" t="s">
        <v>1798</v>
      </c>
      <c r="T944" s="116" t="s">
        <v>1</v>
      </c>
      <c r="U944" s="88"/>
      <c r="V944" s="51">
        <v>45719</v>
      </c>
      <c r="W944" s="97" t="s">
        <v>1577</v>
      </c>
      <c r="X944" s="135" t="str">
        <f>VLOOKUP(Table1[[#This Row],[AMZ ID]],[1]Roster_1787503287932!$D$2:$AU$1370,25,0)</f>
        <v>Present</v>
      </c>
      <c r="Y944" s="135">
        <f>VLOOKUP(Table1[[#This Row],[AMZ ID]],[1]Roster_1787503287932!$D$2:$AM$1370,35,0)</f>
        <v>0</v>
      </c>
    </row>
    <row r="945" spans="1:25" ht="13" customHeight="1">
      <c r="A945" s="11">
        <v>939</v>
      </c>
      <c r="B945" s="47">
        <v>103020246</v>
      </c>
      <c r="C945" s="90" t="s">
        <v>1012</v>
      </c>
      <c r="D945" s="11" t="s">
        <v>1013</v>
      </c>
      <c r="E945" s="48" t="s">
        <v>34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9" t="s">
        <v>108</v>
      </c>
      <c r="O945" s="49" t="s">
        <v>37</v>
      </c>
      <c r="P945" s="11" t="s">
        <v>80</v>
      </c>
      <c r="Q945" s="11" t="s">
        <v>98</v>
      </c>
      <c r="R945" s="11" t="s">
        <v>631</v>
      </c>
      <c r="S945" s="11" t="s">
        <v>632</v>
      </c>
      <c r="T945" s="116" t="s">
        <v>10</v>
      </c>
      <c r="U945" s="88"/>
      <c r="V945" s="51">
        <v>43058</v>
      </c>
      <c r="W945" s="97" t="s">
        <v>1579</v>
      </c>
      <c r="X945" s="135" t="str">
        <f>VLOOKUP(Table1[[#This Row],[AMZ ID]],[1]Roster_1787503287932!$D$2:$AU$1370,25,0)</f>
        <v>Not Present</v>
      </c>
      <c r="Y945" s="135">
        <f>VLOOKUP(Table1[[#This Row],[AMZ ID]],[1]Roster_1787503287932!$D$2:$AM$1370,35,0)</f>
        <v>0</v>
      </c>
    </row>
    <row r="946" spans="1:25" ht="13" customHeight="1">
      <c r="A946" s="11">
        <v>940</v>
      </c>
      <c r="B946" s="47">
        <v>206348054</v>
      </c>
      <c r="C946" s="89" t="s">
        <v>2450</v>
      </c>
      <c r="D946" s="11" t="s">
        <v>2451</v>
      </c>
      <c r="E946" s="48" t="s">
        <v>31</v>
      </c>
      <c r="F946" s="48" t="s">
        <v>74</v>
      </c>
      <c r="G946" s="11" t="s">
        <v>65</v>
      </c>
      <c r="H946" s="11" t="s">
        <v>1332</v>
      </c>
      <c r="I946" s="11">
        <v>1181</v>
      </c>
      <c r="J946" s="49" t="s">
        <v>32</v>
      </c>
      <c r="K946" s="49" t="s">
        <v>76</v>
      </c>
      <c r="L946" s="49" t="s">
        <v>85</v>
      </c>
      <c r="M946" s="49" t="s">
        <v>88</v>
      </c>
      <c r="N946" s="48" t="s">
        <v>89</v>
      </c>
      <c r="O946" s="49" t="s">
        <v>68</v>
      </c>
      <c r="P946" s="11" t="s">
        <v>80</v>
      </c>
      <c r="Q946" s="11" t="s">
        <v>90</v>
      </c>
      <c r="R946" s="11" t="s">
        <v>1336</v>
      </c>
      <c r="S946" s="11" t="s">
        <v>1337</v>
      </c>
      <c r="T946" s="116" t="s">
        <v>1</v>
      </c>
      <c r="U946" s="88"/>
      <c r="V946" s="51">
        <v>45957</v>
      </c>
      <c r="W946" s="97" t="s">
        <v>68</v>
      </c>
      <c r="X946" s="135" t="str">
        <f>VLOOKUP(Table1[[#This Row],[AMZ ID]],[1]Roster_1787503287932!$D$2:$AU$1370,25,0)</f>
        <v>Present</v>
      </c>
      <c r="Y946" s="135">
        <f>VLOOKUP(Table1[[#This Row],[AMZ ID]],[1]Roster_1787503287932!$D$2:$AM$1370,35,0)</f>
        <v>0</v>
      </c>
    </row>
    <row r="947" spans="1:25" ht="13" customHeight="1">
      <c r="A947" s="11">
        <v>941</v>
      </c>
      <c r="B947" s="47">
        <v>203512951</v>
      </c>
      <c r="C947" s="89" t="s">
        <v>1016</v>
      </c>
      <c r="D947" s="11" t="s">
        <v>1017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77</v>
      </c>
      <c r="M947" s="49" t="s">
        <v>78</v>
      </c>
      <c r="N947" s="49" t="s">
        <v>79</v>
      </c>
      <c r="O947" s="49" t="s">
        <v>37</v>
      </c>
      <c r="P947" s="11" t="s">
        <v>80</v>
      </c>
      <c r="Q947" s="11" t="s">
        <v>81</v>
      </c>
      <c r="R947" s="49" t="s">
        <v>2845</v>
      </c>
      <c r="S947" s="11" t="s">
        <v>2846</v>
      </c>
      <c r="T947" s="116" t="s">
        <v>10</v>
      </c>
      <c r="U947" s="88"/>
      <c r="V947" s="51">
        <v>45463</v>
      </c>
      <c r="W947" s="97" t="s">
        <v>1577</v>
      </c>
      <c r="X947" s="135" t="str">
        <f>VLOOKUP(Table1[[#This Row],[AMZ ID]],[1]Roster_1787503287932!$D$2:$AU$1370,25,0)</f>
        <v>Not Present</v>
      </c>
      <c r="Y947" s="135">
        <f>VLOOKUP(Table1[[#This Row],[AMZ ID]],[1]Roster_1787503287932!$D$2:$AM$1370,35,0)</f>
        <v>0</v>
      </c>
    </row>
    <row r="948" spans="1:25" ht="13" customHeight="1">
      <c r="A948" s="11">
        <v>942</v>
      </c>
      <c r="B948" s="47">
        <v>113167122</v>
      </c>
      <c r="C948" s="89" t="s">
        <v>1018</v>
      </c>
      <c r="D948" s="11" t="s">
        <v>1019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84</v>
      </c>
      <c r="M948" s="49" t="s">
        <v>85</v>
      </c>
      <c r="N948" s="49" t="s">
        <v>86</v>
      </c>
      <c r="O948" s="49" t="s">
        <v>37</v>
      </c>
      <c r="P948" s="11" t="s">
        <v>80</v>
      </c>
      <c r="Q948" s="11" t="s">
        <v>87</v>
      </c>
      <c r="R948" s="49" t="s">
        <v>1066</v>
      </c>
      <c r="S948" s="11" t="s">
        <v>2717</v>
      </c>
      <c r="T948" s="116" t="s">
        <v>1</v>
      </c>
      <c r="U948" s="88"/>
      <c r="V948" s="51">
        <v>45586</v>
      </c>
      <c r="W948" s="97" t="s">
        <v>1576</v>
      </c>
      <c r="X948" s="135" t="str">
        <f>VLOOKUP(Table1[[#This Row],[AMZ ID]],[1]Roster_1787503287932!$D$2:$AU$1370,25,0)</f>
        <v>Present</v>
      </c>
      <c r="Y948" s="135">
        <f>VLOOKUP(Table1[[#This Row],[AMZ ID]],[1]Roster_1787503287932!$D$2:$AM$1370,35,0)</f>
        <v>0</v>
      </c>
    </row>
    <row r="949" spans="1:25" ht="13" customHeight="1">
      <c r="A949" s="11">
        <v>943</v>
      </c>
      <c r="B949" s="47">
        <v>203908895</v>
      </c>
      <c r="C949" s="89" t="s">
        <v>1020</v>
      </c>
      <c r="D949" s="11" t="s">
        <v>1021</v>
      </c>
      <c r="E949" s="11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85</v>
      </c>
      <c r="M949" s="49" t="s">
        <v>88</v>
      </c>
      <c r="N949" s="49" t="s">
        <v>89</v>
      </c>
      <c r="O949" s="49" t="s">
        <v>37</v>
      </c>
      <c r="P949" s="11" t="s">
        <v>80</v>
      </c>
      <c r="Q949" s="11" t="s">
        <v>90</v>
      </c>
      <c r="R949" s="11" t="s">
        <v>631</v>
      </c>
      <c r="S949" s="11" t="s">
        <v>632</v>
      </c>
      <c r="T949" s="116" t="s">
        <v>1</v>
      </c>
      <c r="U949" s="88"/>
      <c r="V949" s="51">
        <v>45537</v>
      </c>
      <c r="W949" s="97" t="s">
        <v>1577</v>
      </c>
      <c r="X949" s="135" t="str">
        <f>VLOOKUP(Table1[[#This Row],[AMZ ID]],[1]Roster_1787503287932!$D$2:$AU$1370,25,0)</f>
        <v>Present</v>
      </c>
      <c r="Y949" s="135">
        <f>VLOOKUP(Table1[[#This Row],[AMZ ID]],[1]Roster_1787503287932!$D$2:$AM$1370,35,0)</f>
        <v>0</v>
      </c>
    </row>
    <row r="950" spans="1:25" ht="13" customHeight="1">
      <c r="A950" s="11">
        <v>944</v>
      </c>
      <c r="B950" s="47">
        <v>206250609</v>
      </c>
      <c r="C950" s="89" t="s">
        <v>1653</v>
      </c>
      <c r="D950" s="11" t="s">
        <v>1621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32</v>
      </c>
      <c r="K950" s="49" t="s">
        <v>76</v>
      </c>
      <c r="L950" s="49" t="s">
        <v>77</v>
      </c>
      <c r="M950" s="49" t="s">
        <v>78</v>
      </c>
      <c r="N950" s="48" t="s">
        <v>79</v>
      </c>
      <c r="O950" s="49" t="s">
        <v>37</v>
      </c>
      <c r="P950" s="11" t="s">
        <v>80</v>
      </c>
      <c r="Q950" s="11" t="s">
        <v>81</v>
      </c>
      <c r="R950" s="11" t="s">
        <v>2719</v>
      </c>
      <c r="S950" s="11" t="s">
        <v>642</v>
      </c>
      <c r="T950" s="116" t="s">
        <v>10</v>
      </c>
      <c r="U950" s="88"/>
      <c r="V950" s="51">
        <v>45943</v>
      </c>
      <c r="W950" s="97" t="s">
        <v>1576</v>
      </c>
      <c r="X950" s="135" t="str">
        <f>VLOOKUP(Table1[[#This Row],[AMZ ID]],[1]Roster_1787503287932!$D$2:$AU$1370,25,0)</f>
        <v>Not Present</v>
      </c>
      <c r="Y950" s="135">
        <f>VLOOKUP(Table1[[#This Row],[AMZ ID]],[1]Roster_1787503287932!$D$2:$AM$1370,35,0)</f>
        <v>0</v>
      </c>
    </row>
    <row r="951" spans="1:25" ht="13" customHeight="1">
      <c r="A951" s="11">
        <v>945</v>
      </c>
      <c r="B951" s="47">
        <v>203851001</v>
      </c>
      <c r="C951" s="89" t="s">
        <v>1022</v>
      </c>
      <c r="D951" s="11" t="s">
        <v>1023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77</v>
      </c>
      <c r="M951" s="49" t="s">
        <v>78</v>
      </c>
      <c r="N951" s="49" t="s">
        <v>79</v>
      </c>
      <c r="O951" s="49" t="s">
        <v>37</v>
      </c>
      <c r="P951" s="11" t="s">
        <v>80</v>
      </c>
      <c r="Q951" s="11" t="s">
        <v>81</v>
      </c>
      <c r="R951" s="11" t="s">
        <v>2845</v>
      </c>
      <c r="S951" s="11" t="s">
        <v>2846</v>
      </c>
      <c r="T951" s="116" t="s">
        <v>10</v>
      </c>
      <c r="U951" s="88"/>
      <c r="V951" s="51">
        <v>45544</v>
      </c>
      <c r="W951" s="97" t="s">
        <v>1577</v>
      </c>
      <c r="X951" s="135" t="str">
        <f>VLOOKUP(Table1[[#This Row],[AMZ ID]],[1]Roster_1787503287932!$D$2:$AU$1370,25,0)</f>
        <v>Not Present</v>
      </c>
      <c r="Y951" s="135">
        <f>VLOOKUP(Table1[[#This Row],[AMZ ID]],[1]Roster_1787503287932!$D$2:$AM$1370,35,0)</f>
        <v>0</v>
      </c>
    </row>
    <row r="952" spans="1:25" ht="13" customHeight="1">
      <c r="A952" s="11">
        <v>946</v>
      </c>
      <c r="B952" s="47">
        <v>206604501</v>
      </c>
      <c r="C952" s="89" t="s">
        <v>2070</v>
      </c>
      <c r="D952" s="11" t="s">
        <v>2071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39</v>
      </c>
      <c r="K952" s="49" t="s">
        <v>76</v>
      </c>
      <c r="L952" s="49" t="s">
        <v>92</v>
      </c>
      <c r="M952" s="49" t="s">
        <v>84</v>
      </c>
      <c r="N952" s="48" t="s">
        <v>89</v>
      </c>
      <c r="O952" s="49" t="s">
        <v>37</v>
      </c>
      <c r="P952" s="11" t="s">
        <v>80</v>
      </c>
      <c r="Q952" s="11" t="s">
        <v>96</v>
      </c>
      <c r="R952" s="49" t="s">
        <v>2719</v>
      </c>
      <c r="S952" s="11" t="s">
        <v>642</v>
      </c>
      <c r="T952" s="116" t="s">
        <v>1</v>
      </c>
      <c r="U952" s="88"/>
      <c r="V952" s="51">
        <v>46048</v>
      </c>
      <c r="W952" s="97" t="s">
        <v>1577</v>
      </c>
      <c r="X952" s="135" t="str">
        <f>VLOOKUP(Table1[[#This Row],[AMZ ID]],[1]Roster_1787503287932!$D$2:$AU$1370,25,0)</f>
        <v>Present</v>
      </c>
      <c r="Y952" s="135">
        <f>VLOOKUP(Table1[[#This Row],[AMZ ID]],[1]Roster_1787503287932!$D$2:$AM$1370,35,0)</f>
        <v>0</v>
      </c>
    </row>
    <row r="953" spans="1:25" ht="13" customHeight="1">
      <c r="A953" s="11">
        <v>947</v>
      </c>
      <c r="B953" s="47">
        <v>205853581</v>
      </c>
      <c r="C953" s="89" t="s">
        <v>1024</v>
      </c>
      <c r="D953" s="11" t="s">
        <v>1025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85</v>
      </c>
      <c r="M953" s="49" t="s">
        <v>88</v>
      </c>
      <c r="N953" s="48" t="s">
        <v>79</v>
      </c>
      <c r="O953" s="49" t="s">
        <v>37</v>
      </c>
      <c r="P953" s="11" t="s">
        <v>80</v>
      </c>
      <c r="Q953" s="11" t="s">
        <v>96</v>
      </c>
      <c r="R953" s="11" t="s">
        <v>1066</v>
      </c>
      <c r="S953" s="11" t="s">
        <v>2717</v>
      </c>
      <c r="T953" s="116" t="s">
        <v>1</v>
      </c>
      <c r="U953" s="88"/>
      <c r="V953" s="51">
        <v>45894</v>
      </c>
      <c r="W953" s="97" t="s">
        <v>1577</v>
      </c>
      <c r="X953" s="135" t="str">
        <f>VLOOKUP(Table1[[#This Row],[AMZ ID]],[1]Roster_1787503287932!$D$2:$AU$1370,25,0)</f>
        <v>Present</v>
      </c>
      <c r="Y953" s="135">
        <f>VLOOKUP(Table1[[#This Row],[AMZ ID]],[1]Roster_1787503287932!$D$2:$AM$1370,35,0)</f>
        <v>0</v>
      </c>
    </row>
    <row r="954" spans="1:25" ht="13" customHeight="1">
      <c r="A954" s="11">
        <v>948</v>
      </c>
      <c r="B954" s="47">
        <v>206889907</v>
      </c>
      <c r="C954" s="89" t="s">
        <v>1837</v>
      </c>
      <c r="D954" s="11" t="s">
        <v>1838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77</v>
      </c>
      <c r="M954" s="49" t="s">
        <v>78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11" t="s">
        <v>627</v>
      </c>
      <c r="S954" s="11" t="s">
        <v>628</v>
      </c>
      <c r="T954" s="116" t="s">
        <v>10</v>
      </c>
      <c r="U954" s="88"/>
      <c r="V954" s="51">
        <v>46027</v>
      </c>
      <c r="W954" s="97" t="s">
        <v>1577</v>
      </c>
      <c r="X954" s="135" t="str">
        <f>VLOOKUP(Table1[[#This Row],[AMZ ID]],[1]Roster_1787503287932!$D$2:$AU$1370,25,0)</f>
        <v>Not Present</v>
      </c>
      <c r="Y954" s="135">
        <f>VLOOKUP(Table1[[#This Row],[AMZ ID]],[1]Roster_1787503287932!$D$2:$AM$1370,35,0)</f>
        <v>0</v>
      </c>
    </row>
    <row r="955" spans="1:25" ht="13" customHeight="1">
      <c r="A955" s="11">
        <v>949</v>
      </c>
      <c r="B955" s="92">
        <v>204138496</v>
      </c>
      <c r="C955" s="47" t="s">
        <v>1026</v>
      </c>
      <c r="D955" s="89" t="s">
        <v>1027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95</v>
      </c>
      <c r="M955" s="49" t="s">
        <v>77</v>
      </c>
      <c r="N955" s="48" t="s">
        <v>79</v>
      </c>
      <c r="O955" s="49" t="s">
        <v>37</v>
      </c>
      <c r="P955" s="11" t="s">
        <v>80</v>
      </c>
      <c r="Q955" s="11" t="s">
        <v>81</v>
      </c>
      <c r="R955" s="11" t="s">
        <v>627</v>
      </c>
      <c r="S955" s="11" t="s">
        <v>628</v>
      </c>
      <c r="T955" s="116" t="s">
        <v>7</v>
      </c>
      <c r="U955" s="88"/>
      <c r="V955" s="51">
        <v>45565</v>
      </c>
      <c r="W955" s="97" t="s">
        <v>1577</v>
      </c>
      <c r="X955" s="135" t="str">
        <f>VLOOKUP(Table1[[#This Row],[AMZ ID]],[1]Roster_1787503287932!$D$2:$AU$1370,25,0)</f>
        <v>Not Present</v>
      </c>
      <c r="Y955" s="135">
        <f>VLOOKUP(Table1[[#This Row],[AMZ ID]],[1]Roster_1787503287932!$D$2:$AM$1370,35,0)</f>
        <v>0</v>
      </c>
    </row>
    <row r="956" spans="1:25" ht="13" customHeight="1">
      <c r="A956" s="11">
        <v>950</v>
      </c>
      <c r="B956" s="47">
        <v>205275961</v>
      </c>
      <c r="C956" s="89" t="s">
        <v>1378</v>
      </c>
      <c r="D956" s="11" t="s">
        <v>1379</v>
      </c>
      <c r="E956" s="103" t="s">
        <v>31</v>
      </c>
      <c r="F956" s="48" t="s">
        <v>74</v>
      </c>
      <c r="G956" s="11" t="s">
        <v>65</v>
      </c>
      <c r="H956" s="11" t="s">
        <v>1332</v>
      </c>
      <c r="I956" s="11">
        <v>1181</v>
      </c>
      <c r="J956" s="49" t="s">
        <v>32</v>
      </c>
      <c r="K956" s="49" t="s">
        <v>76</v>
      </c>
      <c r="L956" s="49" t="s">
        <v>88</v>
      </c>
      <c r="M956" s="49" t="s">
        <v>95</v>
      </c>
      <c r="N956" s="49" t="s">
        <v>89</v>
      </c>
      <c r="O956" s="49" t="s">
        <v>68</v>
      </c>
      <c r="P956" s="49" t="s">
        <v>80</v>
      </c>
      <c r="Q956" s="49" t="s">
        <v>90</v>
      </c>
      <c r="R956" s="49" t="s">
        <v>1336</v>
      </c>
      <c r="S956" s="49" t="s">
        <v>1337</v>
      </c>
      <c r="T956" s="116" t="s">
        <v>1</v>
      </c>
      <c r="U956" s="88"/>
      <c r="V956" s="51">
        <v>45796</v>
      </c>
      <c r="W956" s="97" t="s">
        <v>68</v>
      </c>
      <c r="X956" s="135" t="str">
        <f>VLOOKUP(Table1[[#This Row],[AMZ ID]],[1]Roster_1787503287932!$D$2:$AU$1370,25,0)</f>
        <v>Present</v>
      </c>
      <c r="Y956" s="135">
        <f>VLOOKUP(Table1[[#This Row],[AMZ ID]],[1]Roster_1787503287932!$D$2:$AM$1370,35,0)</f>
        <v>0</v>
      </c>
    </row>
    <row r="957" spans="1:25" ht="13" customHeight="1">
      <c r="A957" s="11">
        <v>951</v>
      </c>
      <c r="B957" s="47">
        <v>203879776</v>
      </c>
      <c r="C957" s="89" t="s">
        <v>1028</v>
      </c>
      <c r="D957" s="11" t="s">
        <v>1029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77</v>
      </c>
      <c r="M957" s="49" t="s">
        <v>78</v>
      </c>
      <c r="N957" s="48" t="s">
        <v>86</v>
      </c>
      <c r="O957" s="49" t="s">
        <v>37</v>
      </c>
      <c r="P957" s="11" t="s">
        <v>80</v>
      </c>
      <c r="Q957" s="11" t="s">
        <v>99</v>
      </c>
      <c r="R957" s="11" t="s">
        <v>647</v>
      </c>
      <c r="S957" s="11" t="s">
        <v>1798</v>
      </c>
      <c r="T957" s="116" t="s">
        <v>10</v>
      </c>
      <c r="U957" s="88"/>
      <c r="V957" s="51">
        <v>45558</v>
      </c>
      <c r="W957" s="97" t="s">
        <v>1576</v>
      </c>
      <c r="X957" s="135" t="str">
        <f>VLOOKUP(Table1[[#This Row],[AMZ ID]],[1]Roster_1787503287932!$D$2:$AU$1370,25,0)</f>
        <v>Not Present</v>
      </c>
      <c r="Y957" s="135">
        <f>VLOOKUP(Table1[[#This Row],[AMZ ID]],[1]Roster_1787503287932!$D$2:$AM$1370,35,0)</f>
        <v>0</v>
      </c>
    </row>
    <row r="958" spans="1:25" ht="13" customHeight="1">
      <c r="A958" s="11">
        <v>952</v>
      </c>
      <c r="B958" s="47">
        <v>204975662</v>
      </c>
      <c r="C958" s="89" t="s">
        <v>2078</v>
      </c>
      <c r="D958" s="11" t="s">
        <v>2079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95</v>
      </c>
      <c r="M958" s="49" t="s">
        <v>77</v>
      </c>
      <c r="N958" s="48" t="s">
        <v>89</v>
      </c>
      <c r="O958" s="49" t="s">
        <v>37</v>
      </c>
      <c r="P958" s="11" t="s">
        <v>80</v>
      </c>
      <c r="Q958" s="11" t="s">
        <v>96</v>
      </c>
      <c r="R958" s="49" t="s">
        <v>2844</v>
      </c>
      <c r="S958" s="11" t="s">
        <v>2716</v>
      </c>
      <c r="T958" s="116" t="s">
        <v>1</v>
      </c>
      <c r="U958" s="88"/>
      <c r="V958" s="51">
        <v>46048</v>
      </c>
      <c r="W958" s="97" t="s">
        <v>1577</v>
      </c>
      <c r="X958" s="135" t="str">
        <f>VLOOKUP(Table1[[#This Row],[AMZ ID]],[1]Roster_1787503287932!$D$2:$AU$1370,25,0)</f>
        <v>Present</v>
      </c>
      <c r="Y958" s="135">
        <f>VLOOKUP(Table1[[#This Row],[AMZ ID]],[1]Roster_1787503287932!$D$2:$AM$1370,35,0)</f>
        <v>0</v>
      </c>
    </row>
    <row r="959" spans="1:25" ht="13" customHeight="1">
      <c r="A959" s="11">
        <v>953</v>
      </c>
      <c r="B959" s="47">
        <v>206886515</v>
      </c>
      <c r="C959" s="89" t="s">
        <v>1839</v>
      </c>
      <c r="D959" s="11" t="s">
        <v>1840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77</v>
      </c>
      <c r="M959" s="49" t="s">
        <v>78</v>
      </c>
      <c r="N959" s="48" t="s">
        <v>89</v>
      </c>
      <c r="O959" s="49" t="s">
        <v>37</v>
      </c>
      <c r="P959" s="11" t="s">
        <v>80</v>
      </c>
      <c r="Q959" s="11" t="s">
        <v>96</v>
      </c>
      <c r="R959" s="11" t="s">
        <v>627</v>
      </c>
      <c r="S959" s="11" t="s">
        <v>628</v>
      </c>
      <c r="T959" s="116" t="s">
        <v>10</v>
      </c>
      <c r="U959" s="88"/>
      <c r="V959" s="51">
        <v>46027</v>
      </c>
      <c r="W959" s="97" t="s">
        <v>1577</v>
      </c>
      <c r="X959" s="135" t="str">
        <f>VLOOKUP(Table1[[#This Row],[AMZ ID]],[1]Roster_1787503287932!$D$2:$AU$1370,25,0)</f>
        <v>Not Present</v>
      </c>
      <c r="Y959" s="135">
        <f>VLOOKUP(Table1[[#This Row],[AMZ ID]],[1]Roster_1787503287932!$D$2:$AM$1370,35,0)</f>
        <v>0</v>
      </c>
    </row>
    <row r="960" spans="1:25" ht="13" customHeight="1">
      <c r="A960" s="11">
        <v>954</v>
      </c>
      <c r="B960" s="47">
        <v>206192541</v>
      </c>
      <c r="C960" s="89" t="s">
        <v>1613</v>
      </c>
      <c r="D960" s="11" t="s">
        <v>1606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95</v>
      </c>
      <c r="M960" s="49" t="s">
        <v>77</v>
      </c>
      <c r="N960" s="48" t="s">
        <v>89</v>
      </c>
      <c r="O960" s="49" t="s">
        <v>37</v>
      </c>
      <c r="P960" s="11" t="s">
        <v>80</v>
      </c>
      <c r="Q960" s="11" t="s">
        <v>96</v>
      </c>
      <c r="R960" s="11" t="s">
        <v>627</v>
      </c>
      <c r="S960" s="11" t="s">
        <v>628</v>
      </c>
      <c r="T960" s="116" t="s">
        <v>1</v>
      </c>
      <c r="U960" s="88"/>
      <c r="V960" s="51">
        <v>45936</v>
      </c>
      <c r="W960" s="97" t="s">
        <v>1577</v>
      </c>
      <c r="X960" s="135" t="str">
        <f>VLOOKUP(Table1[[#This Row],[AMZ ID]],[1]Roster_1787503287932!$D$2:$AU$1370,25,0)</f>
        <v>Present</v>
      </c>
      <c r="Y960" s="135">
        <f>VLOOKUP(Table1[[#This Row],[AMZ ID]],[1]Roster_1787503287932!$D$2:$AM$1370,35,0)</f>
        <v>0</v>
      </c>
    </row>
    <row r="961" spans="1:25" ht="13" customHeight="1">
      <c r="A961" s="11">
        <v>955</v>
      </c>
      <c r="B961" s="47">
        <v>206192271</v>
      </c>
      <c r="C961" s="89" t="s">
        <v>1612</v>
      </c>
      <c r="D961" s="11" t="s">
        <v>1605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89</v>
      </c>
      <c r="O961" s="49" t="s">
        <v>37</v>
      </c>
      <c r="P961" s="11" t="s">
        <v>80</v>
      </c>
      <c r="Q961" s="11" t="s">
        <v>96</v>
      </c>
      <c r="R961" s="49" t="s">
        <v>627</v>
      </c>
      <c r="S961" s="11" t="s">
        <v>628</v>
      </c>
      <c r="T961" s="116" t="s">
        <v>1</v>
      </c>
      <c r="U961" s="88"/>
      <c r="V961" s="51">
        <v>45936</v>
      </c>
      <c r="W961" s="97" t="s">
        <v>1577</v>
      </c>
      <c r="X961" s="135" t="str">
        <f>VLOOKUP(Table1[[#This Row],[AMZ ID]],[1]Roster_1787503287932!$D$2:$AU$1370,25,0)</f>
        <v>Present</v>
      </c>
      <c r="Y961" s="135">
        <f>VLOOKUP(Table1[[#This Row],[AMZ ID]],[1]Roster_1787503287932!$D$2:$AM$1370,35,0)</f>
        <v>0</v>
      </c>
    </row>
    <row r="962" spans="1:25" ht="13" customHeight="1">
      <c r="A962" s="11">
        <v>956</v>
      </c>
      <c r="B962" s="92">
        <v>206886636</v>
      </c>
      <c r="C962" s="47" t="s">
        <v>1841</v>
      </c>
      <c r="D962" s="89" t="s">
        <v>1842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78</v>
      </c>
      <c r="M962" s="49" t="s">
        <v>92</v>
      </c>
      <c r="N962" s="49" t="s">
        <v>89</v>
      </c>
      <c r="O962" s="49" t="s">
        <v>37</v>
      </c>
      <c r="P962" s="11" t="s">
        <v>80</v>
      </c>
      <c r="Q962" s="11" t="s">
        <v>96</v>
      </c>
      <c r="R962" s="101" t="s">
        <v>1066</v>
      </c>
      <c r="S962" s="11" t="s">
        <v>2717</v>
      </c>
      <c r="T962" s="116" t="s">
        <v>10</v>
      </c>
      <c r="U962" s="88"/>
      <c r="V962" s="51">
        <v>46027</v>
      </c>
      <c r="W962" s="97" t="s">
        <v>1577</v>
      </c>
      <c r="X962" s="135" t="str">
        <f>VLOOKUP(Table1[[#This Row],[AMZ ID]],[1]Roster_1787503287932!$D$2:$AU$1370,25,0)</f>
        <v>Not Present</v>
      </c>
      <c r="Y962" s="135">
        <f>VLOOKUP(Table1[[#This Row],[AMZ ID]],[1]Roster_1787503287932!$D$2:$AM$1370,35,0)</f>
        <v>0</v>
      </c>
    </row>
    <row r="963" spans="1:25" ht="13" customHeight="1">
      <c r="A963" s="11">
        <v>957</v>
      </c>
      <c r="B963" s="47">
        <v>201857481</v>
      </c>
      <c r="C963" s="89" t="s">
        <v>1030</v>
      </c>
      <c r="D963" s="11" t="s">
        <v>1031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85</v>
      </c>
      <c r="M963" s="49" t="s">
        <v>88</v>
      </c>
      <c r="N963" s="48" t="s">
        <v>86</v>
      </c>
      <c r="O963" s="49" t="s">
        <v>37</v>
      </c>
      <c r="P963" s="11" t="s">
        <v>80</v>
      </c>
      <c r="Q963" s="11" t="s">
        <v>87</v>
      </c>
      <c r="R963" s="49" t="s">
        <v>627</v>
      </c>
      <c r="S963" s="11" t="s">
        <v>628</v>
      </c>
      <c r="T963" s="116" t="s">
        <v>4</v>
      </c>
      <c r="U963" s="88"/>
      <c r="V963" s="51">
        <v>45586</v>
      </c>
      <c r="W963" s="97" t="s">
        <v>1576</v>
      </c>
      <c r="X963" s="135" t="str">
        <f>VLOOKUP(Table1[[#This Row],[AMZ ID]],[1]Roster_1787503287932!$D$2:$AU$1370,25,0)</f>
        <v>Not Present</v>
      </c>
      <c r="Y963" s="135">
        <f>VLOOKUP(Table1[[#This Row],[AMZ ID]],[1]Roster_1787503287932!$D$2:$AM$1370,35,0)</f>
        <v>0</v>
      </c>
    </row>
    <row r="964" spans="1:25" ht="13" customHeight="1">
      <c r="A964" s="11">
        <v>958</v>
      </c>
      <c r="B964" s="47">
        <v>204011575</v>
      </c>
      <c r="C964" s="89" t="s">
        <v>2414</v>
      </c>
      <c r="D964" s="11" t="s">
        <v>2415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32</v>
      </c>
      <c r="K964" s="49" t="s">
        <v>76</v>
      </c>
      <c r="L964" s="49" t="s">
        <v>92</v>
      </c>
      <c r="M964" s="49" t="s">
        <v>84</v>
      </c>
      <c r="N964" s="48" t="s">
        <v>89</v>
      </c>
      <c r="O964" s="49" t="s">
        <v>37</v>
      </c>
      <c r="P964" s="11" t="s">
        <v>80</v>
      </c>
      <c r="Q964" s="11" t="s">
        <v>90</v>
      </c>
      <c r="R964" s="49" t="s">
        <v>639</v>
      </c>
      <c r="S964" s="11" t="s">
        <v>2718</v>
      </c>
      <c r="T964" s="116" t="s">
        <v>1</v>
      </c>
      <c r="U964" s="88"/>
      <c r="V964" s="51">
        <v>45551</v>
      </c>
      <c r="W964" s="97" t="s">
        <v>1578</v>
      </c>
      <c r="X964" s="135" t="str">
        <f>VLOOKUP(Table1[[#This Row],[AMZ ID]],[1]Roster_1787503287932!$D$2:$AU$1370,25,0)</f>
        <v>Present</v>
      </c>
      <c r="Y964" s="135">
        <f>VLOOKUP(Table1[[#This Row],[AMZ ID]],[1]Roster_1787503287932!$D$2:$AM$1370,35,0)</f>
        <v>0</v>
      </c>
    </row>
    <row r="965" spans="1:25" ht="13" customHeight="1">
      <c r="A965" s="11">
        <v>959</v>
      </c>
      <c r="B965" s="47">
        <v>112851838</v>
      </c>
      <c r="C965" s="89" t="s">
        <v>2211</v>
      </c>
      <c r="D965" s="11" t="s">
        <v>2212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95</v>
      </c>
      <c r="M965" s="49" t="s">
        <v>77</v>
      </c>
      <c r="N965" s="48" t="s">
        <v>86</v>
      </c>
      <c r="O965" s="49" t="s">
        <v>37</v>
      </c>
      <c r="P965" s="11" t="s">
        <v>80</v>
      </c>
      <c r="Q965" s="11" t="s">
        <v>87</v>
      </c>
      <c r="R965" s="49" t="s">
        <v>627</v>
      </c>
      <c r="S965" s="11" t="s">
        <v>628</v>
      </c>
      <c r="T965" s="116" t="s">
        <v>1</v>
      </c>
      <c r="U965" s="88"/>
      <c r="V965" s="51">
        <v>45586</v>
      </c>
      <c r="W965" s="97" t="s">
        <v>1576</v>
      </c>
      <c r="X965" s="135" t="str">
        <f>VLOOKUP(Table1[[#This Row],[AMZ ID]],[1]Roster_1787503287932!$D$2:$AU$1370,25,0)</f>
        <v>Present</v>
      </c>
      <c r="Y965" s="135">
        <f>VLOOKUP(Table1[[#This Row],[AMZ ID]],[1]Roster_1787503287932!$D$2:$AM$1370,35,0)</f>
        <v>0</v>
      </c>
    </row>
    <row r="966" spans="1:25" ht="13" customHeight="1">
      <c r="A966" s="11">
        <v>960</v>
      </c>
      <c r="B966" s="47">
        <v>204116441</v>
      </c>
      <c r="C966" s="89" t="s">
        <v>1032</v>
      </c>
      <c r="D966" s="11" t="s">
        <v>1033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85</v>
      </c>
      <c r="M966" s="49" t="s">
        <v>88</v>
      </c>
      <c r="N966" s="48" t="s">
        <v>86</v>
      </c>
      <c r="O966" s="49" t="s">
        <v>37</v>
      </c>
      <c r="P966" s="11" t="s">
        <v>80</v>
      </c>
      <c r="Q966" s="11" t="s">
        <v>87</v>
      </c>
      <c r="R966" s="49" t="s">
        <v>1066</v>
      </c>
      <c r="S966" s="11" t="s">
        <v>2717</v>
      </c>
      <c r="T966" s="116" t="s">
        <v>1</v>
      </c>
      <c r="U966" s="88"/>
      <c r="V966" s="51">
        <v>45561</v>
      </c>
      <c r="W966" s="97" t="s">
        <v>1576</v>
      </c>
      <c r="X966" s="135" t="str">
        <f>VLOOKUP(Table1[[#This Row],[AMZ ID]],[1]Roster_1787503287932!$D$2:$AU$1370,25,0)</f>
        <v>Present</v>
      </c>
      <c r="Y966" s="135">
        <f>VLOOKUP(Table1[[#This Row],[AMZ ID]],[1]Roster_1787503287932!$D$2:$AM$1370,35,0)</f>
        <v>0</v>
      </c>
    </row>
    <row r="967" spans="1:25" ht="13" customHeight="1">
      <c r="A967" s="11">
        <v>961</v>
      </c>
      <c r="B967" s="47">
        <v>206136721</v>
      </c>
      <c r="C967" s="89" t="s">
        <v>1034</v>
      </c>
      <c r="D967" s="11" t="s">
        <v>1035</v>
      </c>
      <c r="E967" s="11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77</v>
      </c>
      <c r="M967" s="49" t="s">
        <v>78</v>
      </c>
      <c r="N967" s="49" t="s">
        <v>89</v>
      </c>
      <c r="O967" s="49" t="s">
        <v>37</v>
      </c>
      <c r="P967" s="11" t="s">
        <v>80</v>
      </c>
      <c r="Q967" s="11" t="s">
        <v>81</v>
      </c>
      <c r="R967" s="11" t="s">
        <v>631</v>
      </c>
      <c r="S967" s="11" t="s">
        <v>632</v>
      </c>
      <c r="T967" s="116" t="s">
        <v>10</v>
      </c>
      <c r="U967" s="88"/>
      <c r="V967" s="51">
        <v>45929</v>
      </c>
      <c r="W967" s="97" t="s">
        <v>1577</v>
      </c>
      <c r="X967" s="135" t="str">
        <f>VLOOKUP(Table1[[#This Row],[AMZ ID]],[1]Roster_1787503287932!$D$2:$AU$1370,25,0)</f>
        <v>Not Present</v>
      </c>
      <c r="Y967" s="135">
        <f>VLOOKUP(Table1[[#This Row],[AMZ ID]],[1]Roster_1787503287932!$D$2:$AM$1370,35,0)</f>
        <v>0</v>
      </c>
    </row>
    <row r="968" spans="1:25" ht="13" customHeight="1">
      <c r="A968" s="11">
        <v>962</v>
      </c>
      <c r="B968" s="47">
        <v>204072300</v>
      </c>
      <c r="C968" s="89" t="s">
        <v>2802</v>
      </c>
      <c r="D968" s="11" t="s">
        <v>2803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84</v>
      </c>
      <c r="M968" s="49" t="s">
        <v>85</v>
      </c>
      <c r="N968" s="48" t="s">
        <v>86</v>
      </c>
      <c r="O968" s="49" t="s">
        <v>37</v>
      </c>
      <c r="P968" s="11" t="s">
        <v>80</v>
      </c>
      <c r="Q968" s="11" t="s">
        <v>90</v>
      </c>
      <c r="R968" s="49" t="s">
        <v>2845</v>
      </c>
      <c r="S968" s="11" t="s">
        <v>2846</v>
      </c>
      <c r="T968" s="116" t="s">
        <v>1</v>
      </c>
      <c r="U968" s="88"/>
      <c r="V968" s="51">
        <v>45558</v>
      </c>
      <c r="W968" s="97" t="s">
        <v>1577</v>
      </c>
      <c r="X968" s="135" t="str">
        <f>VLOOKUP(Table1[[#This Row],[AMZ ID]],[1]Roster_1787503287932!$D$2:$AU$1370,25,0)</f>
        <v>Present</v>
      </c>
      <c r="Y968" s="135">
        <f>VLOOKUP(Table1[[#This Row],[AMZ ID]],[1]Roster_1787503287932!$D$2:$AM$1370,35,0)</f>
        <v>0</v>
      </c>
    </row>
    <row r="969" spans="1:25" ht="13" customHeight="1">
      <c r="A969" s="11">
        <v>963</v>
      </c>
      <c r="B969" s="47">
        <v>206886737</v>
      </c>
      <c r="C969" s="89" t="s">
        <v>1843</v>
      </c>
      <c r="D969" s="11" t="s">
        <v>1844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78</v>
      </c>
      <c r="M969" s="49" t="s">
        <v>92</v>
      </c>
      <c r="N969" s="48" t="s">
        <v>89</v>
      </c>
      <c r="O969" s="49" t="s">
        <v>37</v>
      </c>
      <c r="P969" s="11" t="s">
        <v>80</v>
      </c>
      <c r="Q969" s="11" t="s">
        <v>96</v>
      </c>
      <c r="R969" s="11" t="s">
        <v>1066</v>
      </c>
      <c r="S969" s="11" t="s">
        <v>2717</v>
      </c>
      <c r="T969" s="116" t="s">
        <v>10</v>
      </c>
      <c r="U969" s="88"/>
      <c r="V969" s="51">
        <v>46027</v>
      </c>
      <c r="W969" s="97" t="s">
        <v>1577</v>
      </c>
      <c r="X969" s="135" t="str">
        <f>VLOOKUP(Table1[[#This Row],[AMZ ID]],[1]Roster_1787503287932!$D$2:$AU$1370,25,0)</f>
        <v>Not Present</v>
      </c>
      <c r="Y969" s="135">
        <f>VLOOKUP(Table1[[#This Row],[AMZ ID]],[1]Roster_1787503287932!$D$2:$AM$1370,35,0)</f>
        <v>0</v>
      </c>
    </row>
    <row r="970" spans="1:25" ht="13" customHeight="1">
      <c r="A970" s="11">
        <v>964</v>
      </c>
      <c r="B970" s="47">
        <v>203965605</v>
      </c>
      <c r="C970" s="89" t="s">
        <v>1036</v>
      </c>
      <c r="D970" s="11" t="s">
        <v>1037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32</v>
      </c>
      <c r="K970" s="49" t="s">
        <v>76</v>
      </c>
      <c r="L970" s="49" t="s">
        <v>78</v>
      </c>
      <c r="M970" s="49" t="s">
        <v>92</v>
      </c>
      <c r="N970" s="49" t="s">
        <v>86</v>
      </c>
      <c r="O970" s="49" t="s">
        <v>37</v>
      </c>
      <c r="P970" s="11" t="s">
        <v>80</v>
      </c>
      <c r="Q970" s="11" t="s">
        <v>99</v>
      </c>
      <c r="R970" s="49" t="s">
        <v>639</v>
      </c>
      <c r="S970" s="11" t="s">
        <v>2718</v>
      </c>
      <c r="T970" s="116" t="s">
        <v>10</v>
      </c>
      <c r="U970" s="88"/>
      <c r="V970" s="51">
        <v>45544</v>
      </c>
      <c r="W970" s="97" t="s">
        <v>1577</v>
      </c>
      <c r="X970" s="135" t="str">
        <f>VLOOKUP(Table1[[#This Row],[AMZ ID]],[1]Roster_1787503287932!$D$2:$AU$1370,25,0)</f>
        <v>Not Present</v>
      </c>
      <c r="Y970" s="135">
        <f>VLOOKUP(Table1[[#This Row],[AMZ ID]],[1]Roster_1787503287932!$D$2:$AM$1370,35,0)</f>
        <v>0</v>
      </c>
    </row>
    <row r="971" spans="1:25" ht="13" customHeight="1">
      <c r="A971" s="11">
        <v>965</v>
      </c>
      <c r="B971" s="47">
        <v>203965410</v>
      </c>
      <c r="C971" s="89" t="s">
        <v>1038</v>
      </c>
      <c r="D971" s="11" t="s">
        <v>1039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95</v>
      </c>
      <c r="M971" s="49" t="s">
        <v>77</v>
      </c>
      <c r="N971" s="48" t="s">
        <v>79</v>
      </c>
      <c r="O971" s="49" t="s">
        <v>37</v>
      </c>
      <c r="P971" s="11" t="s">
        <v>80</v>
      </c>
      <c r="Q971" s="11" t="s">
        <v>81</v>
      </c>
      <c r="R971" s="11" t="s">
        <v>647</v>
      </c>
      <c r="S971" s="11" t="s">
        <v>1798</v>
      </c>
      <c r="T971" s="116" t="s">
        <v>1</v>
      </c>
      <c r="U971" s="88"/>
      <c r="V971" s="51">
        <v>45544</v>
      </c>
      <c r="W971" s="97" t="s">
        <v>1577</v>
      </c>
      <c r="X971" s="135" t="str">
        <f>VLOOKUP(Table1[[#This Row],[AMZ ID]],[1]Roster_1787503287932!$D$2:$AU$1370,25,0)</f>
        <v>Present</v>
      </c>
      <c r="Y971" s="135">
        <f>VLOOKUP(Table1[[#This Row],[AMZ ID]],[1]Roster_1787503287932!$D$2:$AM$1370,35,0)</f>
        <v>0</v>
      </c>
    </row>
    <row r="972" spans="1:25" ht="13" customHeight="1">
      <c r="A972" s="11">
        <v>966</v>
      </c>
      <c r="B972" s="47">
        <v>202419640</v>
      </c>
      <c r="C972" s="89" t="s">
        <v>1040</v>
      </c>
      <c r="D972" s="11" t="s">
        <v>1041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78</v>
      </c>
      <c r="M972" s="49" t="s">
        <v>92</v>
      </c>
      <c r="N972" s="49" t="s">
        <v>86</v>
      </c>
      <c r="O972" s="49" t="s">
        <v>37</v>
      </c>
      <c r="P972" s="11" t="s">
        <v>80</v>
      </c>
      <c r="Q972" s="11" t="s">
        <v>87</v>
      </c>
      <c r="R972" s="11" t="s">
        <v>631</v>
      </c>
      <c r="S972" s="11" t="s">
        <v>632</v>
      </c>
      <c r="T972" s="116" t="s">
        <v>10</v>
      </c>
      <c r="U972" s="88"/>
      <c r="V972" s="51">
        <v>45561</v>
      </c>
      <c r="W972" s="97" t="s">
        <v>1578</v>
      </c>
      <c r="X972" s="135" t="str">
        <f>VLOOKUP(Table1[[#This Row],[AMZ ID]],[1]Roster_1787503287932!$D$2:$AU$1370,25,0)</f>
        <v>Not Present</v>
      </c>
      <c r="Y972" s="135">
        <f>VLOOKUP(Table1[[#This Row],[AMZ ID]],[1]Roster_1787503287932!$D$2:$AM$1370,35,0)</f>
        <v>0</v>
      </c>
    </row>
    <row r="973" spans="1:25" ht="13" customHeight="1">
      <c r="A973" s="11">
        <v>967</v>
      </c>
      <c r="B973" s="47">
        <v>204138114</v>
      </c>
      <c r="C973" s="89" t="s">
        <v>1042</v>
      </c>
      <c r="D973" s="79" t="s">
        <v>1043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32</v>
      </c>
      <c r="K973" s="49" t="s">
        <v>76</v>
      </c>
      <c r="L973" s="49" t="s">
        <v>95</v>
      </c>
      <c r="M973" s="49" t="s">
        <v>77</v>
      </c>
      <c r="N973" s="48" t="s">
        <v>86</v>
      </c>
      <c r="O973" s="49" t="s">
        <v>37</v>
      </c>
      <c r="P973" s="11" t="s">
        <v>80</v>
      </c>
      <c r="Q973" s="74" t="s">
        <v>87</v>
      </c>
      <c r="R973" s="11" t="s">
        <v>631</v>
      </c>
      <c r="S973" s="11" t="s">
        <v>632</v>
      </c>
      <c r="T973" s="116" t="s">
        <v>1</v>
      </c>
      <c r="U973" s="88"/>
      <c r="V973" s="51">
        <v>45565</v>
      </c>
      <c r="W973" s="97" t="s">
        <v>1577</v>
      </c>
      <c r="X973" s="135" t="str">
        <f>VLOOKUP(Table1[[#This Row],[AMZ ID]],[1]Roster_1787503287932!$D$2:$AU$1370,25,0)</f>
        <v>Present</v>
      </c>
      <c r="Y973" s="135">
        <f>VLOOKUP(Table1[[#This Row],[AMZ ID]],[1]Roster_1787503287932!$D$2:$AM$1370,35,0)</f>
        <v>0</v>
      </c>
    </row>
    <row r="974" spans="1:25" ht="13" customHeight="1">
      <c r="A974" s="11">
        <v>968</v>
      </c>
      <c r="B974" s="47">
        <v>203965009</v>
      </c>
      <c r="C974" s="89" t="s">
        <v>1044</v>
      </c>
      <c r="D974" s="79" t="s">
        <v>1045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32</v>
      </c>
      <c r="K974" s="49" t="s">
        <v>76</v>
      </c>
      <c r="L974" s="49" t="s">
        <v>88</v>
      </c>
      <c r="M974" s="49" t="s">
        <v>95</v>
      </c>
      <c r="N974" s="49" t="s">
        <v>86</v>
      </c>
      <c r="O974" s="49" t="s">
        <v>37</v>
      </c>
      <c r="P974" s="11" t="s">
        <v>80</v>
      </c>
      <c r="Q974" s="11" t="s">
        <v>99</v>
      </c>
      <c r="R974" s="11" t="s">
        <v>627</v>
      </c>
      <c r="S974" s="11" t="s">
        <v>628</v>
      </c>
      <c r="T974" s="116" t="s">
        <v>1</v>
      </c>
      <c r="U974" s="88"/>
      <c r="V974" s="51">
        <v>45544</v>
      </c>
      <c r="W974" s="97" t="s">
        <v>1577</v>
      </c>
      <c r="X974" s="135" t="str">
        <f>VLOOKUP(Table1[[#This Row],[AMZ ID]],[1]Roster_1787503287932!$D$2:$AU$1370,25,0)</f>
        <v>Present</v>
      </c>
      <c r="Y974" s="135">
        <f>VLOOKUP(Table1[[#This Row],[AMZ ID]],[1]Roster_1787503287932!$D$2:$AM$1370,35,0)</f>
        <v>0</v>
      </c>
    </row>
    <row r="975" spans="1:25" ht="13" customHeight="1">
      <c r="A975" s="11">
        <v>969</v>
      </c>
      <c r="B975" s="47">
        <v>205280538</v>
      </c>
      <c r="C975" s="89" t="s">
        <v>2804</v>
      </c>
      <c r="D975" s="79" t="s">
        <v>2805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77</v>
      </c>
      <c r="M975" s="49" t="s">
        <v>78</v>
      </c>
      <c r="N975" s="48" t="s">
        <v>89</v>
      </c>
      <c r="O975" s="49" t="s">
        <v>37</v>
      </c>
      <c r="P975" s="11" t="s">
        <v>80</v>
      </c>
      <c r="Q975" s="11" t="s">
        <v>96</v>
      </c>
      <c r="R975" s="11" t="s">
        <v>627</v>
      </c>
      <c r="S975" s="11" t="s">
        <v>628</v>
      </c>
      <c r="T975" s="116" t="s">
        <v>10</v>
      </c>
      <c r="U975" s="88"/>
      <c r="V975" s="51">
        <v>46048</v>
      </c>
      <c r="W975" s="97" t="s">
        <v>1576</v>
      </c>
      <c r="X975" s="135" t="str">
        <f>VLOOKUP(Table1[[#This Row],[AMZ ID]],[1]Roster_1787503287932!$D$2:$AU$1370,25,0)</f>
        <v>Not Present</v>
      </c>
      <c r="Y975" s="135">
        <f>VLOOKUP(Table1[[#This Row],[AMZ ID]],[1]Roster_1787503287932!$D$2:$AM$1370,35,0)</f>
        <v>0</v>
      </c>
    </row>
    <row r="976" spans="1:25" ht="13" customHeight="1">
      <c r="A976" s="11">
        <v>970</v>
      </c>
      <c r="B976" s="47">
        <v>204053439</v>
      </c>
      <c r="C976" s="89" t="s">
        <v>1046</v>
      </c>
      <c r="D976" s="79" t="s">
        <v>1047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95</v>
      </c>
      <c r="M976" s="49" t="s">
        <v>77</v>
      </c>
      <c r="N976" s="48" t="s">
        <v>86</v>
      </c>
      <c r="O976" s="49" t="s">
        <v>37</v>
      </c>
      <c r="P976" s="11" t="s">
        <v>80</v>
      </c>
      <c r="Q976" s="11" t="s">
        <v>99</v>
      </c>
      <c r="R976" s="49" t="s">
        <v>647</v>
      </c>
      <c r="S976" s="11" t="s">
        <v>1798</v>
      </c>
      <c r="T976" s="116" t="s">
        <v>1</v>
      </c>
      <c r="U976" s="88"/>
      <c r="V976" s="51">
        <v>45558</v>
      </c>
      <c r="W976" s="97" t="s">
        <v>1576</v>
      </c>
      <c r="X976" s="135" t="str">
        <f>VLOOKUP(Table1[[#This Row],[AMZ ID]],[1]Roster_1787503287932!$D$2:$AU$1370,25,0)</f>
        <v>Present</v>
      </c>
      <c r="Y976" s="135">
        <f>VLOOKUP(Table1[[#This Row],[AMZ ID]],[1]Roster_1787503287932!$D$2:$AM$1370,35,0)</f>
        <v>0</v>
      </c>
    </row>
    <row r="977" spans="1:25" ht="13" customHeight="1">
      <c r="A977" s="11">
        <v>971</v>
      </c>
      <c r="B977" s="47">
        <v>203800778</v>
      </c>
      <c r="C977" s="89" t="s">
        <v>1048</v>
      </c>
      <c r="D977" s="95" t="s">
        <v>1049</v>
      </c>
      <c r="E977" s="47" t="s">
        <v>31</v>
      </c>
      <c r="F977" s="48" t="s">
        <v>74</v>
      </c>
      <c r="G977" s="11" t="s">
        <v>64</v>
      </c>
      <c r="H977" s="11" t="s">
        <v>75</v>
      </c>
      <c r="I977" s="47">
        <v>1299</v>
      </c>
      <c r="J977" s="49" t="s">
        <v>39</v>
      </c>
      <c r="K977" s="49" t="s">
        <v>76</v>
      </c>
      <c r="L977" s="49" t="s">
        <v>36</v>
      </c>
      <c r="M977" s="49" t="s">
        <v>92</v>
      </c>
      <c r="N977" s="49" t="s">
        <v>86</v>
      </c>
      <c r="O977" s="49" t="s">
        <v>37</v>
      </c>
      <c r="P977" s="11" t="s">
        <v>80</v>
      </c>
      <c r="Q977" s="78" t="s">
        <v>90</v>
      </c>
      <c r="R977" s="11" t="s">
        <v>627</v>
      </c>
      <c r="S977" s="11" t="s">
        <v>628</v>
      </c>
      <c r="T977" s="116" t="s">
        <v>1</v>
      </c>
      <c r="U977" s="88"/>
      <c r="V977" s="51">
        <v>45684</v>
      </c>
      <c r="W977" s="97" t="s">
        <v>1576</v>
      </c>
      <c r="X977" s="135" t="str">
        <f>VLOOKUP(Table1[[#This Row],[AMZ ID]],[1]Roster_1787503287932!$D$2:$AU$1370,25,0)</f>
        <v>Present</v>
      </c>
      <c r="Y977" s="135">
        <f>VLOOKUP(Table1[[#This Row],[AMZ ID]],[1]Roster_1787503287932!$D$2:$AM$1370,35,0)</f>
        <v>0</v>
      </c>
    </row>
    <row r="978" spans="1:25" ht="13" customHeight="1">
      <c r="A978" s="11">
        <v>972</v>
      </c>
      <c r="B978" s="47">
        <v>203965008</v>
      </c>
      <c r="C978" s="89" t="s">
        <v>1050</v>
      </c>
      <c r="D978" s="79" t="s">
        <v>1051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39</v>
      </c>
      <c r="K978" s="49" t="s">
        <v>76</v>
      </c>
      <c r="L978" s="49" t="s">
        <v>95</v>
      </c>
      <c r="M978" s="49" t="s">
        <v>77</v>
      </c>
      <c r="N978" s="48" t="s">
        <v>86</v>
      </c>
      <c r="O978" s="49" t="s">
        <v>37</v>
      </c>
      <c r="P978" s="11" t="s">
        <v>80</v>
      </c>
      <c r="Q978" s="11" t="s">
        <v>99</v>
      </c>
      <c r="R978" s="49" t="s">
        <v>647</v>
      </c>
      <c r="S978" s="11" t="s">
        <v>1798</v>
      </c>
      <c r="T978" s="116" t="s">
        <v>1</v>
      </c>
      <c r="U978" s="88"/>
      <c r="V978" s="51">
        <v>45544</v>
      </c>
      <c r="W978" s="97" t="s">
        <v>1577</v>
      </c>
      <c r="X978" s="135" t="str">
        <f>VLOOKUP(Table1[[#This Row],[AMZ ID]],[1]Roster_1787503287932!$D$2:$AU$1370,25,0)</f>
        <v>Present</v>
      </c>
      <c r="Y978" s="135">
        <f>VLOOKUP(Table1[[#This Row],[AMZ ID]],[1]Roster_1787503287932!$D$2:$AM$1370,35,0)</f>
        <v>0</v>
      </c>
    </row>
    <row r="979" spans="1:25" ht="13" customHeight="1">
      <c r="A979" s="11">
        <v>973</v>
      </c>
      <c r="B979" s="47">
        <v>203880400</v>
      </c>
      <c r="C979" s="89" t="s">
        <v>1052</v>
      </c>
      <c r="D979" s="79" t="s">
        <v>1053</v>
      </c>
      <c r="E979" s="48" t="s">
        <v>31</v>
      </c>
      <c r="F979" s="48" t="s">
        <v>74</v>
      </c>
      <c r="G979" s="48" t="s">
        <v>64</v>
      </c>
      <c r="H979" s="48" t="s">
        <v>75</v>
      </c>
      <c r="I979" s="11">
        <v>1299</v>
      </c>
      <c r="J979" s="49" t="s">
        <v>39</v>
      </c>
      <c r="K979" s="49" t="s">
        <v>76</v>
      </c>
      <c r="L979" s="49" t="s">
        <v>92</v>
      </c>
      <c r="M979" s="49" t="s">
        <v>84</v>
      </c>
      <c r="N979" s="49" t="s">
        <v>79</v>
      </c>
      <c r="O979" s="48" t="s">
        <v>37</v>
      </c>
      <c r="P979" s="48" t="s">
        <v>80</v>
      </c>
      <c r="Q979" s="11" t="s">
        <v>81</v>
      </c>
      <c r="R979" s="11" t="s">
        <v>647</v>
      </c>
      <c r="S979" s="11" t="s">
        <v>1798</v>
      </c>
      <c r="T979" s="116" t="s">
        <v>1</v>
      </c>
      <c r="U979" s="88"/>
      <c r="V979" s="51">
        <v>45530</v>
      </c>
      <c r="W979" s="97" t="s">
        <v>1577</v>
      </c>
      <c r="X979" s="135" t="str">
        <f>VLOOKUP(Table1[[#This Row],[AMZ ID]],[1]Roster_1787503287932!$D$2:$AU$1370,25,0)</f>
        <v>Present</v>
      </c>
      <c r="Y979" s="135">
        <f>VLOOKUP(Table1[[#This Row],[AMZ ID]],[1]Roster_1787503287932!$D$2:$AM$1370,35,0)</f>
        <v>0</v>
      </c>
    </row>
    <row r="980" spans="1:25" ht="13" customHeight="1">
      <c r="A980" s="11">
        <v>974</v>
      </c>
      <c r="B980" s="92">
        <v>206886735</v>
      </c>
      <c r="C980" s="47" t="s">
        <v>1845</v>
      </c>
      <c r="D980" s="96" t="s">
        <v>1846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32</v>
      </c>
      <c r="K980" s="49" t="s">
        <v>76</v>
      </c>
      <c r="L980" s="49" t="s">
        <v>85</v>
      </c>
      <c r="M980" s="49" t="s">
        <v>88</v>
      </c>
      <c r="N980" s="49" t="s">
        <v>89</v>
      </c>
      <c r="O980" s="49" t="s">
        <v>37</v>
      </c>
      <c r="P980" s="11" t="s">
        <v>80</v>
      </c>
      <c r="Q980" s="11" t="s">
        <v>96</v>
      </c>
      <c r="R980" s="11" t="s">
        <v>1066</v>
      </c>
      <c r="S980" s="11" t="s">
        <v>2717</v>
      </c>
      <c r="T980" s="116" t="s">
        <v>4</v>
      </c>
      <c r="U980" s="88"/>
      <c r="V980" s="51">
        <v>46027</v>
      </c>
      <c r="W980" s="97" t="s">
        <v>1577</v>
      </c>
      <c r="X980" s="135" t="str">
        <f>VLOOKUP(Table1[[#This Row],[AMZ ID]],[1]Roster_1787503287932!$D$2:$AU$1370,25,0)</f>
        <v>Not Present</v>
      </c>
      <c r="Y980" s="135">
        <f>VLOOKUP(Table1[[#This Row],[AMZ ID]],[1]Roster_1787503287932!$D$2:$AM$1370,35,0)</f>
        <v>0</v>
      </c>
    </row>
    <row r="981" spans="1:25" ht="13" customHeight="1">
      <c r="A981" s="11">
        <v>975</v>
      </c>
      <c r="B981" s="47">
        <v>205997633</v>
      </c>
      <c r="C981" s="89" t="s">
        <v>1054</v>
      </c>
      <c r="D981" s="79" t="s">
        <v>1055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39</v>
      </c>
      <c r="K981" s="49" t="s">
        <v>76</v>
      </c>
      <c r="L981" s="49" t="s">
        <v>88</v>
      </c>
      <c r="M981" s="49" t="s">
        <v>95</v>
      </c>
      <c r="N981" s="48" t="s">
        <v>79</v>
      </c>
      <c r="O981" s="49" t="s">
        <v>37</v>
      </c>
      <c r="P981" s="11" t="s">
        <v>80</v>
      </c>
      <c r="Q981" s="11" t="s">
        <v>81</v>
      </c>
      <c r="R981" s="49" t="s">
        <v>647</v>
      </c>
      <c r="S981" s="47" t="s">
        <v>1798</v>
      </c>
      <c r="T981" s="116" t="s">
        <v>1</v>
      </c>
      <c r="U981" s="88"/>
      <c r="V981" s="51">
        <v>45915</v>
      </c>
      <c r="W981" s="97" t="s">
        <v>1577</v>
      </c>
      <c r="X981" s="135" t="str">
        <f>VLOOKUP(Table1[[#This Row],[AMZ ID]],[1]Roster_1787503287932!$D$2:$AU$1370,25,0)</f>
        <v>Present</v>
      </c>
      <c r="Y981" s="135">
        <f>VLOOKUP(Table1[[#This Row],[AMZ ID]],[1]Roster_1787503287932!$D$2:$AM$1370,35,0)</f>
        <v>0</v>
      </c>
    </row>
    <row r="982" spans="1:25" ht="13" customHeight="1">
      <c r="A982" s="11">
        <v>976</v>
      </c>
      <c r="B982" s="47">
        <v>113433097</v>
      </c>
      <c r="C982" s="89" t="s">
        <v>1056</v>
      </c>
      <c r="D982" s="79" t="s">
        <v>1057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32</v>
      </c>
      <c r="K982" s="49" t="s">
        <v>76</v>
      </c>
      <c r="L982" s="49" t="s">
        <v>84</v>
      </c>
      <c r="M982" s="49" t="s">
        <v>85</v>
      </c>
      <c r="N982" s="48" t="s">
        <v>86</v>
      </c>
      <c r="O982" s="49" t="s">
        <v>37</v>
      </c>
      <c r="P982" s="11" t="s">
        <v>80</v>
      </c>
      <c r="Q982" s="11" t="s">
        <v>99</v>
      </c>
      <c r="R982" s="11" t="s">
        <v>1066</v>
      </c>
      <c r="S982" s="11" t="s">
        <v>2717</v>
      </c>
      <c r="T982" s="116" t="s">
        <v>4</v>
      </c>
      <c r="U982" s="88"/>
      <c r="V982" s="51">
        <v>45537</v>
      </c>
      <c r="W982" s="97" t="s">
        <v>1577</v>
      </c>
      <c r="X982" s="135" t="str">
        <f>VLOOKUP(Table1[[#This Row],[AMZ ID]],[1]Roster_1787503287932!$D$2:$AU$1370,25,0)</f>
        <v>Not Present</v>
      </c>
      <c r="Y982" s="135">
        <f>VLOOKUP(Table1[[#This Row],[AMZ ID]],[1]Roster_1787503287932!$D$2:$AM$1370,35,0)</f>
        <v>0</v>
      </c>
    </row>
    <row r="983" spans="1:25" ht="13" customHeight="1">
      <c r="A983" s="11">
        <v>977</v>
      </c>
      <c r="B983" s="47">
        <v>205845295</v>
      </c>
      <c r="C983" s="89" t="s">
        <v>1058</v>
      </c>
      <c r="D983" s="79" t="s">
        <v>1059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39</v>
      </c>
      <c r="K983" s="49" t="s">
        <v>76</v>
      </c>
      <c r="L983" s="49" t="s">
        <v>84</v>
      </c>
      <c r="M983" s="49" t="s">
        <v>85</v>
      </c>
      <c r="N983" s="48" t="s">
        <v>89</v>
      </c>
      <c r="O983" s="49" t="s">
        <v>37</v>
      </c>
      <c r="P983" s="11" t="s">
        <v>80</v>
      </c>
      <c r="Q983" s="11" t="s">
        <v>90</v>
      </c>
      <c r="R983" s="49" t="s">
        <v>627</v>
      </c>
      <c r="S983" s="11" t="s">
        <v>628</v>
      </c>
      <c r="T983" s="116" t="s">
        <v>1</v>
      </c>
      <c r="U983" s="88"/>
      <c r="V983" s="51">
        <v>45894</v>
      </c>
      <c r="W983" s="97" t="s">
        <v>1576</v>
      </c>
      <c r="X983" s="135" t="str">
        <f>VLOOKUP(Table1[[#This Row],[AMZ ID]],[1]Roster_1787503287932!$D$2:$AU$1370,25,0)</f>
        <v>Present</v>
      </c>
      <c r="Y983" s="135">
        <f>VLOOKUP(Table1[[#This Row],[AMZ ID]],[1]Roster_1787503287932!$D$2:$AM$1370,35,0)</f>
        <v>0</v>
      </c>
    </row>
    <row r="984" spans="1:25" ht="13" customHeight="1">
      <c r="A984" s="11">
        <v>978</v>
      </c>
      <c r="B984" s="47">
        <v>203850876</v>
      </c>
      <c r="C984" s="89" t="s">
        <v>2351</v>
      </c>
      <c r="D984" s="79" t="s">
        <v>2352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32</v>
      </c>
      <c r="K984" s="49" t="s">
        <v>76</v>
      </c>
      <c r="L984" s="49" t="s">
        <v>95</v>
      </c>
      <c r="M984" s="49" t="s">
        <v>77</v>
      </c>
      <c r="N984" s="48" t="s">
        <v>86</v>
      </c>
      <c r="O984" s="49" t="s">
        <v>37</v>
      </c>
      <c r="P984" s="11" t="s">
        <v>80</v>
      </c>
      <c r="Q984" s="11" t="s">
        <v>90</v>
      </c>
      <c r="R984" s="11" t="s">
        <v>1066</v>
      </c>
      <c r="S984" s="11" t="s">
        <v>2717</v>
      </c>
      <c r="T984" s="116" t="s">
        <v>1</v>
      </c>
      <c r="U984" s="88"/>
      <c r="V984" s="51">
        <v>45524</v>
      </c>
      <c r="W984" s="97" t="s">
        <v>1577</v>
      </c>
      <c r="X984" s="135" t="str">
        <f>VLOOKUP(Table1[[#This Row],[AMZ ID]],[1]Roster_1787503287932!$D$2:$AU$1370,25,0)</f>
        <v>Present</v>
      </c>
      <c r="Y984" s="135">
        <f>VLOOKUP(Table1[[#This Row],[AMZ ID]],[1]Roster_1787503287932!$D$2:$AM$1370,35,0)</f>
        <v>0</v>
      </c>
    </row>
    <row r="985" spans="1:25" ht="13" customHeight="1">
      <c r="A985" s="11">
        <v>979</v>
      </c>
      <c r="B985" s="47">
        <v>203594431</v>
      </c>
      <c r="C985" s="89" t="s">
        <v>439</v>
      </c>
      <c r="D985" s="79" t="s">
        <v>1948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32</v>
      </c>
      <c r="K985" s="49" t="s">
        <v>76</v>
      </c>
      <c r="L985" s="49" t="s">
        <v>78</v>
      </c>
      <c r="M985" s="49" t="s">
        <v>92</v>
      </c>
      <c r="N985" s="49" t="s">
        <v>89</v>
      </c>
      <c r="O985" s="49" t="s">
        <v>67</v>
      </c>
      <c r="P985" s="11" t="s">
        <v>80</v>
      </c>
      <c r="Q985" s="11" t="s">
        <v>81</v>
      </c>
      <c r="R985" s="11" t="s">
        <v>2711</v>
      </c>
      <c r="S985" s="11" t="s">
        <v>2712</v>
      </c>
      <c r="T985" s="116" t="s">
        <v>10</v>
      </c>
      <c r="U985" s="88"/>
      <c r="V985" s="51">
        <v>45915</v>
      </c>
      <c r="W985" s="102" t="s">
        <v>1568</v>
      </c>
      <c r="X985" s="135" t="str">
        <f>VLOOKUP(Table1[[#This Row],[AMZ ID]],[1]Roster_1787503287932!$D$2:$AU$1370,25,0)</f>
        <v>Not Present</v>
      </c>
      <c r="Y985" s="135" t="str">
        <f>VLOOKUP(Table1[[#This Row],[AMZ ID]],[1]Roster_1787503287932!$D$2:$AM$1370,35,0)</f>
        <v>Annual Leave</v>
      </c>
    </row>
    <row r="986" spans="1:25" ht="13" customHeight="1">
      <c r="A986" s="11">
        <v>980</v>
      </c>
      <c r="B986" s="47">
        <v>206491328</v>
      </c>
      <c r="C986" s="89" t="s">
        <v>2877</v>
      </c>
      <c r="D986" s="79" t="s">
        <v>2878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88</v>
      </c>
      <c r="M986" s="49" t="s">
        <v>95</v>
      </c>
      <c r="N986" s="49" t="s">
        <v>89</v>
      </c>
      <c r="O986" s="48" t="s">
        <v>37</v>
      </c>
      <c r="P986" s="48" t="s">
        <v>80</v>
      </c>
      <c r="Q986" s="11" t="s">
        <v>96</v>
      </c>
      <c r="R986" s="49" t="s">
        <v>1066</v>
      </c>
      <c r="S986" s="11" t="s">
        <v>2717</v>
      </c>
      <c r="T986" s="116" t="s">
        <v>1</v>
      </c>
      <c r="U986" s="88"/>
      <c r="V986" s="51">
        <v>46238</v>
      </c>
      <c r="W986" s="97" t="s">
        <v>1577</v>
      </c>
      <c r="X986" s="135" t="str">
        <f>VLOOKUP(Table1[[#This Row],[AMZ ID]],[1]Roster_1787503287932!$D$2:$AU$1370,25,0)</f>
        <v>Present</v>
      </c>
      <c r="Y986" s="135">
        <f>VLOOKUP(Table1[[#This Row],[AMZ ID]],[1]Roster_1787503287932!$D$2:$AM$1370,35,0)</f>
        <v>0</v>
      </c>
    </row>
    <row r="987" spans="1:25" ht="13" customHeight="1">
      <c r="A987" s="11">
        <v>981</v>
      </c>
      <c r="B987" s="47">
        <v>204013683</v>
      </c>
      <c r="C987" s="89" t="s">
        <v>1060</v>
      </c>
      <c r="D987" s="79" t="s">
        <v>1061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88</v>
      </c>
      <c r="M987" s="49" t="s">
        <v>95</v>
      </c>
      <c r="N987" s="48" t="s">
        <v>79</v>
      </c>
      <c r="O987" s="49" t="s">
        <v>37</v>
      </c>
      <c r="P987" s="11" t="s">
        <v>80</v>
      </c>
      <c r="Q987" s="11" t="s">
        <v>81</v>
      </c>
      <c r="R987" s="49" t="s">
        <v>1066</v>
      </c>
      <c r="S987" s="11" t="s">
        <v>2717</v>
      </c>
      <c r="T987" s="116" t="s">
        <v>1</v>
      </c>
      <c r="U987" s="88"/>
      <c r="V987" s="51">
        <v>45551</v>
      </c>
      <c r="W987" s="97" t="s">
        <v>1576</v>
      </c>
      <c r="X987" s="135" t="str">
        <f>VLOOKUP(Table1[[#This Row],[AMZ ID]],[1]Roster_1787503287932!$D$2:$AU$1370,25,0)</f>
        <v>Present</v>
      </c>
      <c r="Y987" s="135">
        <f>VLOOKUP(Table1[[#This Row],[AMZ ID]],[1]Roster_1787503287932!$D$2:$AM$1370,35,0)</f>
        <v>0</v>
      </c>
    </row>
    <row r="988" spans="1:25" ht="13" customHeight="1">
      <c r="A988" s="11">
        <v>982</v>
      </c>
      <c r="B988" s="47">
        <v>205872523</v>
      </c>
      <c r="C988" s="89" t="s">
        <v>1062</v>
      </c>
      <c r="D988" s="79" t="s">
        <v>1063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32</v>
      </c>
      <c r="K988" s="49" t="s">
        <v>76</v>
      </c>
      <c r="L988" s="49" t="s">
        <v>95</v>
      </c>
      <c r="M988" s="49" t="s">
        <v>77</v>
      </c>
      <c r="N988" s="48" t="s">
        <v>89</v>
      </c>
      <c r="O988" s="49" t="s">
        <v>37</v>
      </c>
      <c r="P988" s="11" t="s">
        <v>80</v>
      </c>
      <c r="Q988" s="11" t="s">
        <v>90</v>
      </c>
      <c r="R988" s="11" t="s">
        <v>631</v>
      </c>
      <c r="S988" s="11" t="s">
        <v>632</v>
      </c>
      <c r="T988" s="116" t="s">
        <v>1</v>
      </c>
      <c r="U988" s="88"/>
      <c r="V988" s="51">
        <v>45894</v>
      </c>
      <c r="W988" s="97" t="s">
        <v>1577</v>
      </c>
      <c r="X988" s="135" t="str">
        <f>VLOOKUP(Table1[[#This Row],[AMZ ID]],[1]Roster_1787503287932!$D$2:$AU$1370,25,0)</f>
        <v>Present</v>
      </c>
      <c r="Y988" s="135">
        <f>VLOOKUP(Table1[[#This Row],[AMZ ID]],[1]Roster_1787503287932!$D$2:$AM$1370,35,0)</f>
        <v>0</v>
      </c>
    </row>
    <row r="989" spans="1:25" ht="13" customHeight="1">
      <c r="A989" s="11">
        <v>983</v>
      </c>
      <c r="B989" s="47">
        <v>113090848</v>
      </c>
      <c r="C989" s="89" t="s">
        <v>1064</v>
      </c>
      <c r="D989" s="79" t="s">
        <v>1065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78</v>
      </c>
      <c r="M989" s="49" t="s">
        <v>92</v>
      </c>
      <c r="N989" s="48" t="s">
        <v>86</v>
      </c>
      <c r="O989" s="49" t="s">
        <v>37</v>
      </c>
      <c r="P989" s="11" t="s">
        <v>80</v>
      </c>
      <c r="Q989" s="11" t="s">
        <v>87</v>
      </c>
      <c r="R989" s="11" t="s">
        <v>631</v>
      </c>
      <c r="S989" s="11" t="s">
        <v>632</v>
      </c>
      <c r="T989" s="116" t="s">
        <v>10</v>
      </c>
      <c r="U989" s="88"/>
      <c r="V989" s="51">
        <v>45586</v>
      </c>
      <c r="W989" s="97" t="s">
        <v>1576</v>
      </c>
      <c r="X989" s="135" t="str">
        <f>VLOOKUP(Table1[[#This Row],[AMZ ID]],[1]Roster_1787503287932!$D$2:$AU$1370,25,0)</f>
        <v>Not Present</v>
      </c>
      <c r="Y989" s="135">
        <f>VLOOKUP(Table1[[#This Row],[AMZ ID]],[1]Roster_1787503287932!$D$2:$AM$1370,35,0)</f>
        <v>0</v>
      </c>
    </row>
    <row r="990" spans="1:25" ht="13" customHeight="1">
      <c r="A990" s="11">
        <v>984</v>
      </c>
      <c r="B990" s="47">
        <v>109808062</v>
      </c>
      <c r="C990" s="89" t="s">
        <v>1067</v>
      </c>
      <c r="D990" s="79" t="s">
        <v>1068</v>
      </c>
      <c r="E990" s="48" t="s">
        <v>34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95</v>
      </c>
      <c r="M990" s="49" t="s">
        <v>77</v>
      </c>
      <c r="N990" s="48" t="s">
        <v>108</v>
      </c>
      <c r="O990" s="49" t="s">
        <v>37</v>
      </c>
      <c r="P990" s="11" t="s">
        <v>80</v>
      </c>
      <c r="Q990" s="11" t="s">
        <v>98</v>
      </c>
      <c r="R990" s="11" t="s">
        <v>647</v>
      </c>
      <c r="S990" s="11" t="s">
        <v>1798</v>
      </c>
      <c r="T990" s="116" t="s">
        <v>1</v>
      </c>
      <c r="U990" s="88"/>
      <c r="V990" s="51">
        <v>44782</v>
      </c>
      <c r="W990" s="97" t="s">
        <v>1578</v>
      </c>
      <c r="X990" s="135" t="str">
        <f>VLOOKUP(Table1[[#This Row],[AMZ ID]],[1]Roster_1787503287932!$D$2:$AU$1370,25,0)</f>
        <v>Present</v>
      </c>
      <c r="Y990" s="135">
        <f>VLOOKUP(Table1[[#This Row],[AMZ ID]],[1]Roster_1787503287932!$D$2:$AM$1370,35,0)</f>
        <v>0</v>
      </c>
    </row>
    <row r="991" spans="1:25" ht="13" customHeight="1">
      <c r="A991" s="11">
        <v>985</v>
      </c>
      <c r="B991" s="11">
        <v>206850965</v>
      </c>
      <c r="C991" s="89" t="s">
        <v>1809</v>
      </c>
      <c r="D991" s="79" t="s">
        <v>1810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32</v>
      </c>
      <c r="K991" s="49" t="s">
        <v>76</v>
      </c>
      <c r="L991" s="49" t="s">
        <v>95</v>
      </c>
      <c r="M991" s="49" t="s">
        <v>77</v>
      </c>
      <c r="N991" s="49" t="s">
        <v>89</v>
      </c>
      <c r="O991" s="49" t="s">
        <v>37</v>
      </c>
      <c r="P991" s="11" t="s">
        <v>80</v>
      </c>
      <c r="Q991" s="2" t="s">
        <v>90</v>
      </c>
      <c r="R991" s="11" t="s">
        <v>2845</v>
      </c>
      <c r="S991" s="54" t="s">
        <v>2846</v>
      </c>
      <c r="T991" s="116" t="s">
        <v>1</v>
      </c>
      <c r="U991" s="88"/>
      <c r="V991" s="51">
        <v>46013</v>
      </c>
      <c r="W991" s="97" t="s">
        <v>1577</v>
      </c>
      <c r="X991" s="135" t="str">
        <f>VLOOKUP(Table1[[#This Row],[AMZ ID]],[1]Roster_1787503287932!$D$2:$AU$1370,25,0)</f>
        <v>Present</v>
      </c>
      <c r="Y991" s="135">
        <f>VLOOKUP(Table1[[#This Row],[AMZ ID]],[1]Roster_1787503287932!$D$2:$AM$1370,35,0)</f>
        <v>0</v>
      </c>
    </row>
    <row r="992" spans="1:25" ht="13" customHeight="1">
      <c r="A992" s="11">
        <v>986</v>
      </c>
      <c r="B992" s="47">
        <v>113090891</v>
      </c>
      <c r="C992" s="89" t="s">
        <v>1069</v>
      </c>
      <c r="D992" s="11" t="s">
        <v>1070</v>
      </c>
      <c r="E992" s="103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32</v>
      </c>
      <c r="K992" s="49" t="s">
        <v>76</v>
      </c>
      <c r="L992" s="49" t="s">
        <v>84</v>
      </c>
      <c r="M992" s="49" t="s">
        <v>85</v>
      </c>
      <c r="N992" s="49" t="s">
        <v>86</v>
      </c>
      <c r="O992" s="49" t="s">
        <v>37</v>
      </c>
      <c r="P992" s="49" t="s">
        <v>80</v>
      </c>
      <c r="Q992" s="49" t="s">
        <v>87</v>
      </c>
      <c r="R992" s="11" t="s">
        <v>647</v>
      </c>
      <c r="S992" s="49" t="s">
        <v>1798</v>
      </c>
      <c r="T992" s="116" t="s">
        <v>1</v>
      </c>
      <c r="U992" s="88"/>
      <c r="V992" s="51">
        <v>45589</v>
      </c>
      <c r="W992" s="97" t="s">
        <v>1577</v>
      </c>
      <c r="X992" s="135" t="str">
        <f>VLOOKUP(Table1[[#This Row],[AMZ ID]],[1]Roster_1787503287932!$D$2:$AU$1370,25,0)</f>
        <v>Present</v>
      </c>
      <c r="Y992" s="135">
        <f>VLOOKUP(Table1[[#This Row],[AMZ ID]],[1]Roster_1787503287932!$D$2:$AM$1370,35,0)</f>
        <v>0</v>
      </c>
    </row>
    <row r="993" spans="1:25" ht="13" customHeight="1">
      <c r="A993" s="11">
        <v>987</v>
      </c>
      <c r="B993" s="47">
        <v>103909188</v>
      </c>
      <c r="C993" s="89" t="s">
        <v>1071</v>
      </c>
      <c r="D993" s="11" t="s">
        <v>1072</v>
      </c>
      <c r="E993" s="48" t="s">
        <v>34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32</v>
      </c>
      <c r="K993" s="49" t="s">
        <v>76</v>
      </c>
      <c r="L993" s="49" t="s">
        <v>85</v>
      </c>
      <c r="M993" s="49" t="s">
        <v>88</v>
      </c>
      <c r="N993" s="49" t="s">
        <v>97</v>
      </c>
      <c r="O993" s="49" t="s">
        <v>37</v>
      </c>
      <c r="P993" s="11" t="s">
        <v>80</v>
      </c>
      <c r="Q993" s="11" t="s">
        <v>98</v>
      </c>
      <c r="R993" s="11" t="s">
        <v>1066</v>
      </c>
      <c r="S993" s="11" t="s">
        <v>2717</v>
      </c>
      <c r="T993" s="116" t="s">
        <v>1</v>
      </c>
      <c r="U993" s="88"/>
      <c r="V993" s="51">
        <v>44067</v>
      </c>
      <c r="W993" s="97" t="s">
        <v>1581</v>
      </c>
      <c r="X993" s="135" t="str">
        <f>VLOOKUP(Table1[[#This Row],[AMZ ID]],[1]Roster_1787503287932!$D$2:$AU$1370,25,0)</f>
        <v>Present</v>
      </c>
      <c r="Y993" s="135">
        <f>VLOOKUP(Table1[[#This Row],[AMZ ID]],[1]Roster_1787503287932!$D$2:$AM$1370,35,0)</f>
        <v>0</v>
      </c>
    </row>
    <row r="994" spans="1:25" ht="13" customHeight="1">
      <c r="A994" s="11">
        <v>988</v>
      </c>
      <c r="B994" s="11">
        <v>203736256</v>
      </c>
      <c r="C994" s="89" t="s">
        <v>2806</v>
      </c>
      <c r="D994" s="11" t="s">
        <v>2807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39</v>
      </c>
      <c r="K994" s="49" t="s">
        <v>76</v>
      </c>
      <c r="L994" s="49" t="s">
        <v>77</v>
      </c>
      <c r="M994" s="49" t="s">
        <v>78</v>
      </c>
      <c r="N994" s="11" t="s">
        <v>89</v>
      </c>
      <c r="O994" s="11" t="s">
        <v>37</v>
      </c>
      <c r="P994" s="11" t="s">
        <v>80</v>
      </c>
      <c r="Q994" s="11" t="s">
        <v>90</v>
      </c>
      <c r="R994" s="11" t="s">
        <v>627</v>
      </c>
      <c r="S994" s="11" t="s">
        <v>628</v>
      </c>
      <c r="T994" s="116" t="s">
        <v>10</v>
      </c>
      <c r="U994" s="88"/>
      <c r="V994" s="51">
        <v>45691</v>
      </c>
      <c r="W994" s="102" t="s">
        <v>1577</v>
      </c>
      <c r="X994" s="135" t="str">
        <f>VLOOKUP(Table1[[#This Row],[AMZ ID]],[1]Roster_1787503287932!$D$2:$AU$1370,25,0)</f>
        <v>Not Present</v>
      </c>
      <c r="Y994" s="135">
        <f>VLOOKUP(Table1[[#This Row],[AMZ ID]],[1]Roster_1787503287932!$D$2:$AM$1370,35,0)</f>
        <v>0</v>
      </c>
    </row>
    <row r="995" spans="1:25" ht="13" customHeight="1">
      <c r="A995" s="11">
        <v>989</v>
      </c>
      <c r="B995" s="47">
        <v>107117479</v>
      </c>
      <c r="C995" s="89" t="s">
        <v>1073</v>
      </c>
      <c r="D995" s="11" t="s">
        <v>1074</v>
      </c>
      <c r="E995" s="48" t="s">
        <v>34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36</v>
      </c>
      <c r="M995" s="49" t="s">
        <v>92</v>
      </c>
      <c r="N995" s="48" t="s">
        <v>97</v>
      </c>
      <c r="O995" s="49" t="s">
        <v>37</v>
      </c>
      <c r="P995" s="11" t="s">
        <v>80</v>
      </c>
      <c r="Q995" s="11" t="s">
        <v>98</v>
      </c>
      <c r="R995" s="11" t="s">
        <v>647</v>
      </c>
      <c r="S995" s="11" t="s">
        <v>1798</v>
      </c>
      <c r="T995" s="116" t="s">
        <v>1</v>
      </c>
      <c r="U995" s="88"/>
      <c r="V995" s="51">
        <v>44782</v>
      </c>
      <c r="W995" s="97" t="s">
        <v>1581</v>
      </c>
      <c r="X995" s="135" t="str">
        <f>VLOOKUP(Table1[[#This Row],[AMZ ID]],[1]Roster_1787503287932!$D$2:$AU$1370,25,0)</f>
        <v>Present</v>
      </c>
      <c r="Y995" s="135">
        <f>VLOOKUP(Table1[[#This Row],[AMZ ID]],[1]Roster_1787503287932!$D$2:$AM$1370,35,0)</f>
        <v>0</v>
      </c>
    </row>
    <row r="996" spans="1:25" ht="13" customHeight="1">
      <c r="A996" s="11">
        <v>990</v>
      </c>
      <c r="B996" s="47">
        <v>203908331</v>
      </c>
      <c r="C996" s="89" t="s">
        <v>1075</v>
      </c>
      <c r="D996" s="11" t="s">
        <v>1076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92</v>
      </c>
      <c r="M996" s="49" t="s">
        <v>84</v>
      </c>
      <c r="N996" s="48" t="s">
        <v>86</v>
      </c>
      <c r="O996" s="49" t="s">
        <v>37</v>
      </c>
      <c r="P996" s="11" t="s">
        <v>80</v>
      </c>
      <c r="Q996" s="11" t="s">
        <v>90</v>
      </c>
      <c r="R996" s="49" t="s">
        <v>1066</v>
      </c>
      <c r="S996" s="11" t="s">
        <v>2717</v>
      </c>
      <c r="T996" s="116" t="s">
        <v>1</v>
      </c>
      <c r="U996" s="88"/>
      <c r="V996" s="51">
        <v>45537</v>
      </c>
      <c r="W996" s="97" t="s">
        <v>1578</v>
      </c>
      <c r="X996" s="135" t="str">
        <f>VLOOKUP(Table1[[#This Row],[AMZ ID]],[1]Roster_1787503287932!$D$2:$AU$1370,25,0)</f>
        <v>Present</v>
      </c>
      <c r="Y996" s="135">
        <f>VLOOKUP(Table1[[#This Row],[AMZ ID]],[1]Roster_1787503287932!$D$2:$AM$1370,35,0)</f>
        <v>0</v>
      </c>
    </row>
    <row r="997" spans="1:25" ht="13" customHeight="1">
      <c r="A997" s="11">
        <v>991</v>
      </c>
      <c r="B997" s="47">
        <v>204094492</v>
      </c>
      <c r="C997" s="89" t="s">
        <v>1077</v>
      </c>
      <c r="D997" s="11" t="s">
        <v>1078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95</v>
      </c>
      <c r="M997" s="49" t="s">
        <v>77</v>
      </c>
      <c r="N997" s="48" t="s">
        <v>86</v>
      </c>
      <c r="O997" s="49" t="s">
        <v>37</v>
      </c>
      <c r="P997" s="11" t="s">
        <v>80</v>
      </c>
      <c r="Q997" s="11" t="s">
        <v>87</v>
      </c>
      <c r="R997" s="11" t="s">
        <v>647</v>
      </c>
      <c r="S997" s="11" t="s">
        <v>1798</v>
      </c>
      <c r="T997" s="116" t="s">
        <v>1</v>
      </c>
      <c r="U997" s="88"/>
      <c r="V997" s="51">
        <v>45561</v>
      </c>
      <c r="W997" s="97" t="s">
        <v>1577</v>
      </c>
      <c r="X997" s="135" t="str">
        <f>VLOOKUP(Table1[[#This Row],[AMZ ID]],[1]Roster_1787503287932!$D$2:$AU$1370,25,0)</f>
        <v>Present</v>
      </c>
      <c r="Y997" s="135">
        <f>VLOOKUP(Table1[[#This Row],[AMZ ID]],[1]Roster_1787503287932!$D$2:$AM$1370,35,0)</f>
        <v>0</v>
      </c>
    </row>
    <row r="998" spans="1:25" ht="13" customHeight="1">
      <c r="A998" s="11">
        <v>992</v>
      </c>
      <c r="B998" s="47">
        <v>203850900</v>
      </c>
      <c r="C998" s="89" t="s">
        <v>2416</v>
      </c>
      <c r="D998" s="11" t="s">
        <v>2417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92</v>
      </c>
      <c r="M998" s="49" t="s">
        <v>84</v>
      </c>
      <c r="N998" s="48" t="s">
        <v>86</v>
      </c>
      <c r="O998" s="49" t="s">
        <v>37</v>
      </c>
      <c r="P998" s="11" t="s">
        <v>80</v>
      </c>
      <c r="Q998" s="11" t="s">
        <v>90</v>
      </c>
      <c r="R998" s="49" t="s">
        <v>1066</v>
      </c>
      <c r="S998" s="11" t="s">
        <v>2717</v>
      </c>
      <c r="T998" s="116" t="s">
        <v>1</v>
      </c>
      <c r="U998" s="88"/>
      <c r="V998" s="51">
        <v>45524</v>
      </c>
      <c r="W998" s="97" t="s">
        <v>1577</v>
      </c>
      <c r="X998" s="135" t="str">
        <f>VLOOKUP(Table1[[#This Row],[AMZ ID]],[1]Roster_1787503287932!$D$2:$AU$1370,25,0)</f>
        <v>Present</v>
      </c>
      <c r="Y998" s="135">
        <f>VLOOKUP(Table1[[#This Row],[AMZ ID]],[1]Roster_1787503287932!$D$2:$AM$1370,35,0)</f>
        <v>0</v>
      </c>
    </row>
    <row r="999" spans="1:25" ht="13" customHeight="1">
      <c r="A999" s="11">
        <v>993</v>
      </c>
      <c r="B999" s="47">
        <v>206926476</v>
      </c>
      <c r="C999" s="89" t="s">
        <v>2005</v>
      </c>
      <c r="D999" s="11" t="s">
        <v>2013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88</v>
      </c>
      <c r="M999" s="49" t="s">
        <v>95</v>
      </c>
      <c r="N999" s="48" t="s">
        <v>89</v>
      </c>
      <c r="O999" s="49" t="s">
        <v>37</v>
      </c>
      <c r="P999" s="11" t="s">
        <v>80</v>
      </c>
      <c r="Q999" s="11" t="s">
        <v>90</v>
      </c>
      <c r="R999" s="49" t="s">
        <v>2719</v>
      </c>
      <c r="S999" s="11" t="s">
        <v>642</v>
      </c>
      <c r="T999" s="116" t="s">
        <v>1</v>
      </c>
      <c r="U999" s="88"/>
      <c r="V999" s="51">
        <v>46037</v>
      </c>
      <c r="W999" s="97" t="s">
        <v>1577</v>
      </c>
      <c r="X999" s="135" t="str">
        <f>VLOOKUP(Table1[[#This Row],[AMZ ID]],[1]Roster_1787503287932!$D$2:$AU$1370,25,0)</f>
        <v>Present</v>
      </c>
      <c r="Y999" s="135">
        <f>VLOOKUP(Table1[[#This Row],[AMZ ID]],[1]Roster_1787503287932!$D$2:$AM$1370,35,0)</f>
        <v>0</v>
      </c>
    </row>
    <row r="1000" spans="1:25" ht="13" customHeight="1">
      <c r="A1000" s="11">
        <v>994</v>
      </c>
      <c r="B1000" s="47">
        <v>206491343</v>
      </c>
      <c r="C1000" s="89" t="s">
        <v>2863</v>
      </c>
      <c r="D1000" s="11" t="s">
        <v>2864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92</v>
      </c>
      <c r="M1000" s="49" t="s">
        <v>84</v>
      </c>
      <c r="N1000" s="48" t="s">
        <v>89</v>
      </c>
      <c r="O1000" s="49" t="s">
        <v>37</v>
      </c>
      <c r="P1000" s="11" t="s">
        <v>80</v>
      </c>
      <c r="Q1000" s="11" t="s">
        <v>96</v>
      </c>
      <c r="R1000" s="49" t="s">
        <v>1066</v>
      </c>
      <c r="S1000" s="11" t="s">
        <v>2717</v>
      </c>
      <c r="T1000" s="116" t="s">
        <v>1</v>
      </c>
      <c r="U1000" s="88"/>
      <c r="V1000" s="51">
        <v>46238</v>
      </c>
      <c r="W1000" s="97" t="s">
        <v>1578</v>
      </c>
      <c r="X1000" s="135" t="str">
        <f>VLOOKUP(Table1[[#This Row],[AMZ ID]],[1]Roster_1787503287932!$D$2:$AU$1370,25,0)</f>
        <v>Present</v>
      </c>
      <c r="Y1000" s="135">
        <f>VLOOKUP(Table1[[#This Row],[AMZ ID]],[1]Roster_1787503287932!$D$2:$AM$1370,35,0)</f>
        <v>0</v>
      </c>
    </row>
    <row r="1001" spans="1:25" ht="13" customHeight="1">
      <c r="A1001" s="11">
        <v>995</v>
      </c>
      <c r="B1001" s="47">
        <v>206853791</v>
      </c>
      <c r="C1001" s="89" t="s">
        <v>1867</v>
      </c>
      <c r="D1001" s="11" t="s">
        <v>1868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88</v>
      </c>
      <c r="M1001" s="49" t="s">
        <v>95</v>
      </c>
      <c r="N1001" s="48" t="s">
        <v>89</v>
      </c>
      <c r="O1001" s="49" t="s">
        <v>37</v>
      </c>
      <c r="P1001" s="11" t="s">
        <v>80</v>
      </c>
      <c r="Q1001" s="11" t="s">
        <v>90</v>
      </c>
      <c r="R1001" s="49" t="s">
        <v>647</v>
      </c>
      <c r="S1001" s="11" t="s">
        <v>1798</v>
      </c>
      <c r="T1001" s="116" t="s">
        <v>1</v>
      </c>
      <c r="U1001" s="88"/>
      <c r="V1001" s="51">
        <v>46030</v>
      </c>
      <c r="W1001" s="97" t="s">
        <v>1577</v>
      </c>
      <c r="X1001" s="135" t="str">
        <f>VLOOKUP(Table1[[#This Row],[AMZ ID]],[1]Roster_1787503287932!$D$2:$AU$1370,25,0)</f>
        <v>Present</v>
      </c>
      <c r="Y1001" s="135">
        <f>VLOOKUP(Table1[[#This Row],[AMZ ID]],[1]Roster_1787503287932!$D$2:$AM$1370,35,0)</f>
        <v>0</v>
      </c>
    </row>
    <row r="1002" spans="1:25" ht="13" customHeight="1">
      <c r="A1002" s="11">
        <v>996</v>
      </c>
      <c r="B1002" s="47">
        <v>205252357</v>
      </c>
      <c r="C1002" s="89" t="s">
        <v>2859</v>
      </c>
      <c r="D1002" s="11" t="s">
        <v>2860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77</v>
      </c>
      <c r="M1002" s="49" t="s">
        <v>78</v>
      </c>
      <c r="N1002" s="49" t="s">
        <v>89</v>
      </c>
      <c r="O1002" s="49" t="s">
        <v>37</v>
      </c>
      <c r="P1002" s="11" t="s">
        <v>80</v>
      </c>
      <c r="Q1002" s="11" t="s">
        <v>96</v>
      </c>
      <c r="R1002" s="11" t="s">
        <v>1066</v>
      </c>
      <c r="S1002" s="11" t="s">
        <v>2717</v>
      </c>
      <c r="T1002" s="116" t="s">
        <v>10</v>
      </c>
      <c r="U1002" s="88"/>
      <c r="V1002" s="51">
        <v>46238</v>
      </c>
      <c r="W1002" s="97" t="s">
        <v>1578</v>
      </c>
      <c r="X1002" s="135" t="str">
        <f>VLOOKUP(Table1[[#This Row],[AMZ ID]],[1]Roster_1787503287932!$D$2:$AU$1370,25,0)</f>
        <v>Not Present</v>
      </c>
      <c r="Y1002" s="135">
        <f>VLOOKUP(Table1[[#This Row],[AMZ ID]],[1]Roster_1787503287932!$D$2:$AM$1370,35,0)</f>
        <v>0</v>
      </c>
    </row>
    <row r="1003" spans="1:25" ht="13" customHeight="1">
      <c r="A1003" s="11">
        <v>997</v>
      </c>
      <c r="B1003" s="47">
        <v>203736773</v>
      </c>
      <c r="C1003" s="89" t="s">
        <v>1079</v>
      </c>
      <c r="D1003" s="11" t="s">
        <v>1080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32</v>
      </c>
      <c r="K1003" s="49" t="s">
        <v>76</v>
      </c>
      <c r="L1003" s="49" t="s">
        <v>92</v>
      </c>
      <c r="M1003" s="49" t="s">
        <v>84</v>
      </c>
      <c r="N1003" s="48" t="s">
        <v>86</v>
      </c>
      <c r="O1003" s="49" t="s">
        <v>37</v>
      </c>
      <c r="P1003" s="11" t="s">
        <v>80</v>
      </c>
      <c r="Q1003" s="11" t="s">
        <v>99</v>
      </c>
      <c r="R1003" s="11" t="s">
        <v>647</v>
      </c>
      <c r="S1003" s="11" t="s">
        <v>1798</v>
      </c>
      <c r="T1003" s="116" t="s">
        <v>1</v>
      </c>
      <c r="U1003" s="88"/>
      <c r="V1003" s="51">
        <v>45502</v>
      </c>
      <c r="W1003" s="97" t="s">
        <v>1577</v>
      </c>
      <c r="X1003" s="135" t="str">
        <f>VLOOKUP(Table1[[#This Row],[AMZ ID]],[1]Roster_1787503287932!$D$2:$AU$1370,25,0)</f>
        <v>Present</v>
      </c>
      <c r="Y1003" s="135" t="str">
        <f>VLOOKUP(Table1[[#This Row],[AMZ ID]],[1]Roster_1787503287932!$D$2:$AM$1370,35,0)</f>
        <v>Carry Forwarded Annual Leave</v>
      </c>
    </row>
    <row r="1004" spans="1:25" ht="13" customHeight="1">
      <c r="A1004" s="11">
        <v>998</v>
      </c>
      <c r="B1004" s="47">
        <v>204013730</v>
      </c>
      <c r="C1004" s="89" t="s">
        <v>1081</v>
      </c>
      <c r="D1004" s="11" t="s">
        <v>1082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85</v>
      </c>
      <c r="M1004" s="49" t="s">
        <v>88</v>
      </c>
      <c r="N1004" s="49" t="s">
        <v>79</v>
      </c>
      <c r="O1004" s="49" t="s">
        <v>37</v>
      </c>
      <c r="P1004" s="11" t="s">
        <v>80</v>
      </c>
      <c r="Q1004" s="11" t="s">
        <v>81</v>
      </c>
      <c r="R1004" s="11" t="s">
        <v>1066</v>
      </c>
      <c r="S1004" s="11" t="s">
        <v>2717</v>
      </c>
      <c r="T1004" s="116" t="s">
        <v>1</v>
      </c>
      <c r="U1004" s="88"/>
      <c r="V1004" s="51">
        <v>45551</v>
      </c>
      <c r="W1004" s="97" t="s">
        <v>1577</v>
      </c>
      <c r="X1004" s="135" t="str">
        <f>VLOOKUP(Table1[[#This Row],[AMZ ID]],[1]Roster_1787503287932!$D$2:$AU$1370,25,0)</f>
        <v>Present</v>
      </c>
      <c r="Y1004" s="135">
        <f>VLOOKUP(Table1[[#This Row],[AMZ ID]],[1]Roster_1787503287932!$D$2:$AM$1370,35,0)</f>
        <v>0</v>
      </c>
    </row>
    <row r="1005" spans="1:25" ht="13" customHeight="1">
      <c r="A1005" s="11">
        <v>999</v>
      </c>
      <c r="B1005" s="47">
        <v>106268183</v>
      </c>
      <c r="C1005" s="89" t="s">
        <v>1083</v>
      </c>
      <c r="D1005" s="11" t="s">
        <v>1084</v>
      </c>
      <c r="E1005" s="48" t="s">
        <v>34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39</v>
      </c>
      <c r="K1005" s="49" t="s">
        <v>76</v>
      </c>
      <c r="L1005" s="49" t="s">
        <v>95</v>
      </c>
      <c r="M1005" s="49" t="s">
        <v>77</v>
      </c>
      <c r="N1005" s="48" t="s">
        <v>97</v>
      </c>
      <c r="O1005" s="49" t="s">
        <v>37</v>
      </c>
      <c r="P1005" s="11" t="s">
        <v>80</v>
      </c>
      <c r="Q1005" s="11" t="s">
        <v>98</v>
      </c>
      <c r="R1005" s="49" t="s">
        <v>2844</v>
      </c>
      <c r="S1005" s="11" t="s">
        <v>2716</v>
      </c>
      <c r="T1005" s="116" t="s">
        <v>1</v>
      </c>
      <c r="U1005" s="88"/>
      <c r="V1005" s="51">
        <v>44831</v>
      </c>
      <c r="W1005" s="97" t="s">
        <v>1581</v>
      </c>
      <c r="X1005" s="135" t="str">
        <f>VLOOKUP(Table1[[#This Row],[AMZ ID]],[1]Roster_1787503287932!$D$2:$AU$1370,25,0)</f>
        <v>Present</v>
      </c>
      <c r="Y1005" s="135">
        <f>VLOOKUP(Table1[[#This Row],[AMZ ID]],[1]Roster_1787503287932!$D$2:$AM$1370,35,0)</f>
        <v>0</v>
      </c>
    </row>
    <row r="1006" spans="1:25" ht="13" customHeight="1">
      <c r="A1006" s="11">
        <v>1000</v>
      </c>
      <c r="B1006" s="47">
        <v>206240253</v>
      </c>
      <c r="C1006" s="89" t="s">
        <v>2879</v>
      </c>
      <c r="D1006" s="11" t="s">
        <v>2880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77</v>
      </c>
      <c r="M1006" s="49" t="s">
        <v>78</v>
      </c>
      <c r="N1006" s="49" t="s">
        <v>89</v>
      </c>
      <c r="O1006" s="49" t="s">
        <v>37</v>
      </c>
      <c r="P1006" s="11" t="s">
        <v>80</v>
      </c>
      <c r="Q1006" s="11" t="s">
        <v>96</v>
      </c>
      <c r="R1006" s="49" t="s">
        <v>1066</v>
      </c>
      <c r="S1006" s="11" t="s">
        <v>2717</v>
      </c>
      <c r="T1006" s="116" t="s">
        <v>10</v>
      </c>
      <c r="U1006" s="88"/>
      <c r="V1006" s="51">
        <v>46238</v>
      </c>
      <c r="W1006" s="97" t="s">
        <v>1577</v>
      </c>
      <c r="X1006" s="135" t="str">
        <f>VLOOKUP(Table1[[#This Row],[AMZ ID]],[1]Roster_1787503287932!$D$2:$AU$1370,25,0)</f>
        <v>Not Present</v>
      </c>
      <c r="Y1006" s="135">
        <f>VLOOKUP(Table1[[#This Row],[AMZ ID]],[1]Roster_1787503287932!$D$2:$AM$1370,35,0)</f>
        <v>0</v>
      </c>
    </row>
    <row r="1007" spans="1:25" ht="13" customHeight="1">
      <c r="A1007" s="11">
        <v>1001</v>
      </c>
      <c r="B1007" s="47">
        <v>203965449</v>
      </c>
      <c r="C1007" s="89" t="s">
        <v>1085</v>
      </c>
      <c r="D1007" s="11" t="s">
        <v>1086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32</v>
      </c>
      <c r="K1007" s="49" t="s">
        <v>76</v>
      </c>
      <c r="L1007" s="49" t="s">
        <v>77</v>
      </c>
      <c r="M1007" s="49" t="s">
        <v>78</v>
      </c>
      <c r="N1007" s="49" t="s">
        <v>79</v>
      </c>
      <c r="O1007" s="49" t="s">
        <v>37</v>
      </c>
      <c r="P1007" s="11" t="s">
        <v>80</v>
      </c>
      <c r="Q1007" s="11" t="s">
        <v>81</v>
      </c>
      <c r="R1007" s="11" t="s">
        <v>639</v>
      </c>
      <c r="S1007" s="11" t="s">
        <v>2718</v>
      </c>
      <c r="T1007" s="116" t="s">
        <v>10</v>
      </c>
      <c r="U1007" s="88"/>
      <c r="V1007" s="51">
        <v>45544</v>
      </c>
      <c r="W1007" s="97" t="s">
        <v>1578</v>
      </c>
      <c r="X1007" s="135" t="str">
        <f>VLOOKUP(Table1[[#This Row],[AMZ ID]],[1]Roster_1787503287932!$D$2:$AU$1370,25,0)</f>
        <v>Not Present</v>
      </c>
      <c r="Y1007" s="135">
        <f>VLOOKUP(Table1[[#This Row],[AMZ ID]],[1]Roster_1787503287932!$D$2:$AM$1370,35,0)</f>
        <v>0</v>
      </c>
    </row>
    <row r="1008" spans="1:25" ht="13" customHeight="1">
      <c r="A1008" s="11">
        <v>1002</v>
      </c>
      <c r="B1008" s="47">
        <v>205938163</v>
      </c>
      <c r="C1008" s="89" t="s">
        <v>2196</v>
      </c>
      <c r="D1008" s="11" t="s">
        <v>2197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39</v>
      </c>
      <c r="K1008" s="49" t="s">
        <v>76</v>
      </c>
      <c r="L1008" s="49" t="s">
        <v>78</v>
      </c>
      <c r="M1008" s="49" t="s">
        <v>92</v>
      </c>
      <c r="N1008" s="48" t="s">
        <v>89</v>
      </c>
      <c r="O1008" s="49" t="s">
        <v>37</v>
      </c>
      <c r="P1008" s="11" t="s">
        <v>80</v>
      </c>
      <c r="Q1008" s="11" t="s">
        <v>96</v>
      </c>
      <c r="R1008" s="11" t="s">
        <v>1066</v>
      </c>
      <c r="S1008" s="11" t="s">
        <v>2717</v>
      </c>
      <c r="T1008" s="116" t="s">
        <v>10</v>
      </c>
      <c r="U1008" s="88"/>
      <c r="V1008" s="51">
        <v>46051</v>
      </c>
      <c r="W1008" s="97" t="s">
        <v>1577</v>
      </c>
      <c r="X1008" s="135" t="str">
        <f>VLOOKUP(Table1[[#This Row],[AMZ ID]],[1]Roster_1787503287932!$D$2:$AU$1370,25,0)</f>
        <v>Not Present</v>
      </c>
      <c r="Y1008" s="135">
        <f>VLOOKUP(Table1[[#This Row],[AMZ ID]],[1]Roster_1787503287932!$D$2:$AM$1370,35,0)</f>
        <v>0</v>
      </c>
    </row>
    <row r="1009" spans="1:25" ht="13" customHeight="1">
      <c r="A1009" s="11">
        <v>1003</v>
      </c>
      <c r="B1009" s="47">
        <v>205279080</v>
      </c>
      <c r="C1009" s="89" t="s">
        <v>2144</v>
      </c>
      <c r="D1009" s="11" t="s">
        <v>2145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84</v>
      </c>
      <c r="M1009" s="49" t="s">
        <v>85</v>
      </c>
      <c r="N1009" s="48" t="s">
        <v>79</v>
      </c>
      <c r="O1009" s="49" t="s">
        <v>37</v>
      </c>
      <c r="P1009" s="11" t="s">
        <v>80</v>
      </c>
      <c r="Q1009" s="11" t="s">
        <v>96</v>
      </c>
      <c r="R1009" s="49" t="s">
        <v>631</v>
      </c>
      <c r="S1009" s="11" t="s">
        <v>632</v>
      </c>
      <c r="T1009" s="116" t="s">
        <v>1</v>
      </c>
      <c r="U1009" s="88"/>
      <c r="V1009" s="51">
        <v>46048</v>
      </c>
      <c r="W1009" s="97" t="s">
        <v>1577</v>
      </c>
      <c r="X1009" s="135" t="str">
        <f>VLOOKUP(Table1[[#This Row],[AMZ ID]],[1]Roster_1787503287932!$D$2:$AU$1370,25,0)</f>
        <v>Present</v>
      </c>
      <c r="Y1009" s="135">
        <f>VLOOKUP(Table1[[#This Row],[AMZ ID]],[1]Roster_1787503287932!$D$2:$AM$1370,35,0)</f>
        <v>0</v>
      </c>
    </row>
    <row r="1010" spans="1:25" ht="13.5" customHeight="1">
      <c r="A1010" s="11">
        <v>1004</v>
      </c>
      <c r="B1010" s="92">
        <v>206004601</v>
      </c>
      <c r="C1010" s="47" t="s">
        <v>1087</v>
      </c>
      <c r="D1010" s="89" t="s">
        <v>1088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32</v>
      </c>
      <c r="K1010" s="49" t="s">
        <v>76</v>
      </c>
      <c r="L1010" s="49" t="s">
        <v>85</v>
      </c>
      <c r="M1010" s="49" t="s">
        <v>88</v>
      </c>
      <c r="N1010" s="48" t="s">
        <v>89</v>
      </c>
      <c r="O1010" s="49" t="s">
        <v>37</v>
      </c>
      <c r="P1010" s="11" t="s">
        <v>80</v>
      </c>
      <c r="Q1010" s="11" t="s">
        <v>81</v>
      </c>
      <c r="R1010" s="11" t="s">
        <v>639</v>
      </c>
      <c r="S1010" s="11" t="s">
        <v>2718</v>
      </c>
      <c r="T1010" s="116" t="s">
        <v>3</v>
      </c>
      <c r="U1010" s="88"/>
      <c r="V1010" s="51">
        <v>45915</v>
      </c>
      <c r="W1010" s="97" t="s">
        <v>1577</v>
      </c>
      <c r="X1010" s="135" t="str">
        <f>VLOOKUP(Table1[[#This Row],[AMZ ID]],[1]Roster_1787503287932!$D$2:$AU$1370,25,0)</f>
        <v>Not Present</v>
      </c>
      <c r="Y1010" s="135">
        <f>VLOOKUP(Table1[[#This Row],[AMZ ID]],[1]Roster_1787503287932!$D$2:$AM$1370,35,0)</f>
        <v>0</v>
      </c>
    </row>
    <row r="1011" spans="1:25" ht="13" customHeight="1">
      <c r="A1011" s="11">
        <v>1005</v>
      </c>
      <c r="B1011" s="47">
        <v>205853892</v>
      </c>
      <c r="C1011" s="89" t="s">
        <v>2836</v>
      </c>
      <c r="D1011" s="11" t="s">
        <v>2837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78</v>
      </c>
      <c r="M1011" s="49" t="s">
        <v>92</v>
      </c>
      <c r="N1011" s="48" t="s">
        <v>89</v>
      </c>
      <c r="O1011" s="49" t="s">
        <v>37</v>
      </c>
      <c r="P1011" s="11" t="s">
        <v>80</v>
      </c>
      <c r="Q1011" s="11" t="s">
        <v>96</v>
      </c>
      <c r="R1011" s="11" t="s">
        <v>627</v>
      </c>
      <c r="S1011" s="11" t="s">
        <v>628</v>
      </c>
      <c r="T1011" s="116" t="s">
        <v>10</v>
      </c>
      <c r="U1011" s="88"/>
      <c r="V1011" s="51">
        <v>46226</v>
      </c>
      <c r="W1011" s="97" t="s">
        <v>1577</v>
      </c>
      <c r="X1011" s="135" t="str">
        <f>VLOOKUP(Table1[[#This Row],[AMZ ID]],[1]Roster_1787503287932!$D$2:$AU$1370,25,0)</f>
        <v>Not Present</v>
      </c>
      <c r="Y1011" s="135">
        <f>VLOOKUP(Table1[[#This Row],[AMZ ID]],[1]Roster_1787503287932!$D$2:$AM$1370,35,0)</f>
        <v>0</v>
      </c>
    </row>
    <row r="1012" spans="1:25" ht="13" customHeight="1">
      <c r="A1012" s="11">
        <v>1006</v>
      </c>
      <c r="B1012" s="47">
        <v>206006416</v>
      </c>
      <c r="C1012" s="89" t="s">
        <v>229</v>
      </c>
      <c r="D1012" s="11" t="s">
        <v>230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32</v>
      </c>
      <c r="K1012" s="49" t="s">
        <v>76</v>
      </c>
      <c r="L1012" s="49" t="s">
        <v>78</v>
      </c>
      <c r="M1012" s="49" t="s">
        <v>92</v>
      </c>
      <c r="N1012" s="48" t="s">
        <v>79</v>
      </c>
      <c r="O1012" s="49" t="s">
        <v>35</v>
      </c>
      <c r="P1012" s="11" t="s">
        <v>80</v>
      </c>
      <c r="Q1012" s="11" t="s">
        <v>81</v>
      </c>
      <c r="R1012" s="11" t="s">
        <v>231</v>
      </c>
      <c r="S1012" s="11" t="s">
        <v>1753</v>
      </c>
      <c r="T1012" s="116" t="s">
        <v>10</v>
      </c>
      <c r="U1012" s="88"/>
      <c r="V1012" s="51">
        <v>45915</v>
      </c>
      <c r="W1012" s="97" t="s">
        <v>1573</v>
      </c>
      <c r="X1012" s="135" t="str">
        <f>VLOOKUP(Table1[[#This Row],[AMZ ID]],[1]Roster_1787503287932!$D$2:$AU$1370,25,0)</f>
        <v>Not Present</v>
      </c>
      <c r="Y1012" s="135" t="str">
        <f>VLOOKUP(Table1[[#This Row],[AMZ ID]],[1]Roster_1787503287932!$D$2:$AM$1370,35,0)</f>
        <v>Annual Leave</v>
      </c>
    </row>
    <row r="1013" spans="1:25" ht="13" customHeight="1">
      <c r="A1013" s="11">
        <v>1007</v>
      </c>
      <c r="B1013" s="47">
        <v>203965010</v>
      </c>
      <c r="C1013" s="89" t="s">
        <v>1091</v>
      </c>
      <c r="D1013" s="11" t="s">
        <v>1092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88</v>
      </c>
      <c r="M1013" s="49" t="s">
        <v>95</v>
      </c>
      <c r="N1013" s="49" t="s">
        <v>86</v>
      </c>
      <c r="O1013" s="49" t="s">
        <v>37</v>
      </c>
      <c r="P1013" s="11" t="s">
        <v>80</v>
      </c>
      <c r="Q1013" s="11" t="s">
        <v>99</v>
      </c>
      <c r="R1013" s="49" t="s">
        <v>647</v>
      </c>
      <c r="S1013" s="11" t="s">
        <v>1798</v>
      </c>
      <c r="T1013" s="116" t="s">
        <v>1</v>
      </c>
      <c r="U1013" s="88"/>
      <c r="V1013" s="51">
        <v>45544</v>
      </c>
      <c r="W1013" s="97" t="s">
        <v>1577</v>
      </c>
      <c r="X1013" s="135" t="str">
        <f>VLOOKUP(Table1[[#This Row],[AMZ ID]],[1]Roster_1787503287932!$D$2:$AU$1370,25,0)</f>
        <v>Present</v>
      </c>
      <c r="Y1013" s="135">
        <f>VLOOKUP(Table1[[#This Row],[AMZ ID]],[1]Roster_1787503287932!$D$2:$AM$1370,35,0)</f>
        <v>0</v>
      </c>
    </row>
    <row r="1014" spans="1:25" ht="13" customHeight="1">
      <c r="A1014" s="11">
        <v>1008</v>
      </c>
      <c r="B1014" s="47">
        <v>204095809</v>
      </c>
      <c r="C1014" s="89" t="s">
        <v>1093</v>
      </c>
      <c r="D1014" s="11" t="s">
        <v>1094</v>
      </c>
      <c r="E1014" s="11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95</v>
      </c>
      <c r="M1014" s="49" t="s">
        <v>77</v>
      </c>
      <c r="N1014" s="49" t="s">
        <v>86</v>
      </c>
      <c r="O1014" s="49" t="s">
        <v>37</v>
      </c>
      <c r="P1014" s="11" t="s">
        <v>80</v>
      </c>
      <c r="Q1014" s="11" t="s">
        <v>87</v>
      </c>
      <c r="R1014" s="11" t="s">
        <v>631</v>
      </c>
      <c r="S1014" s="11" t="s">
        <v>632</v>
      </c>
      <c r="T1014" s="116" t="s">
        <v>1</v>
      </c>
      <c r="U1014" s="88"/>
      <c r="V1014" s="51">
        <v>45561</v>
      </c>
      <c r="W1014" s="97" t="s">
        <v>1577</v>
      </c>
      <c r="X1014" s="135" t="str">
        <f>VLOOKUP(Table1[[#This Row],[AMZ ID]],[1]Roster_1787503287932!$D$2:$AU$1370,25,0)</f>
        <v>Present</v>
      </c>
      <c r="Y1014" s="135">
        <f>VLOOKUP(Table1[[#This Row],[AMZ ID]],[1]Roster_1787503287932!$D$2:$AM$1370,35,0)</f>
        <v>0</v>
      </c>
    </row>
    <row r="1015" spans="1:25" ht="13" customHeight="1">
      <c r="A1015" s="11">
        <v>1009</v>
      </c>
      <c r="B1015" s="47">
        <v>203965493</v>
      </c>
      <c r="C1015" s="89" t="s">
        <v>541</v>
      </c>
      <c r="D1015" s="11" t="s">
        <v>542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32</v>
      </c>
      <c r="K1015" s="49" t="s">
        <v>76</v>
      </c>
      <c r="L1015" s="49" t="s">
        <v>77</v>
      </c>
      <c r="M1015" s="49" t="s">
        <v>78</v>
      </c>
      <c r="N1015" s="48" t="s">
        <v>79</v>
      </c>
      <c r="O1015" s="49" t="s">
        <v>35</v>
      </c>
      <c r="P1015" s="11" t="s">
        <v>80</v>
      </c>
      <c r="Q1015" s="11" t="s">
        <v>81</v>
      </c>
      <c r="R1015" s="11" t="s">
        <v>225</v>
      </c>
      <c r="S1015" s="11" t="s">
        <v>226</v>
      </c>
      <c r="T1015" s="116" t="s">
        <v>10</v>
      </c>
      <c r="U1015" s="88"/>
      <c r="V1015" s="51">
        <v>45544</v>
      </c>
      <c r="W1015" s="97" t="s">
        <v>1573</v>
      </c>
      <c r="X1015" s="135" t="str">
        <f>VLOOKUP(Table1[[#This Row],[AMZ ID]],[1]Roster_1787503287932!$D$2:$AU$1370,25,0)</f>
        <v>Not Present</v>
      </c>
      <c r="Y1015" s="135" t="str">
        <f>VLOOKUP(Table1[[#This Row],[AMZ ID]],[1]Roster_1787503287932!$D$2:$AM$1370,35,0)</f>
        <v>Annual Leave</v>
      </c>
    </row>
    <row r="1016" spans="1:25" ht="13" customHeight="1">
      <c r="A1016" s="11">
        <v>1010</v>
      </c>
      <c r="B1016" s="47">
        <v>203965178</v>
      </c>
      <c r="C1016" s="89" t="s">
        <v>1097</v>
      </c>
      <c r="D1016" s="11" t="s">
        <v>1098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77</v>
      </c>
      <c r="M1016" s="49" t="s">
        <v>78</v>
      </c>
      <c r="N1016" s="48" t="s">
        <v>79</v>
      </c>
      <c r="O1016" s="49" t="s">
        <v>37</v>
      </c>
      <c r="P1016" s="11" t="s">
        <v>80</v>
      </c>
      <c r="Q1016" s="11" t="s">
        <v>81</v>
      </c>
      <c r="R1016" s="49" t="s">
        <v>647</v>
      </c>
      <c r="S1016" s="11" t="s">
        <v>1798</v>
      </c>
      <c r="T1016" s="116" t="s">
        <v>10</v>
      </c>
      <c r="U1016" s="88"/>
      <c r="V1016" s="51">
        <v>45544</v>
      </c>
      <c r="W1016" s="97" t="s">
        <v>1577</v>
      </c>
      <c r="X1016" s="135" t="str">
        <f>VLOOKUP(Table1[[#This Row],[AMZ ID]],[1]Roster_1787503287932!$D$2:$AU$1370,25,0)</f>
        <v>Not Present</v>
      </c>
      <c r="Y1016" s="135">
        <f>VLOOKUP(Table1[[#This Row],[AMZ ID]],[1]Roster_1787503287932!$D$2:$AM$1370,35,0)</f>
        <v>0</v>
      </c>
    </row>
    <row r="1017" spans="1:25" ht="13" customHeight="1">
      <c r="A1017" s="11">
        <v>1011</v>
      </c>
      <c r="B1017" s="47">
        <v>206128578</v>
      </c>
      <c r="C1017" s="89" t="s">
        <v>2865</v>
      </c>
      <c r="D1017" s="47" t="s">
        <v>2866</v>
      </c>
      <c r="E1017" s="47" t="s">
        <v>31</v>
      </c>
      <c r="F1017" s="48" t="s">
        <v>74</v>
      </c>
      <c r="G1017" s="11" t="s">
        <v>64</v>
      </c>
      <c r="H1017" s="11" t="s">
        <v>75</v>
      </c>
      <c r="I1017" s="47">
        <v>1299</v>
      </c>
      <c r="J1017" s="49" t="s">
        <v>39</v>
      </c>
      <c r="K1017" s="49" t="s">
        <v>76</v>
      </c>
      <c r="L1017" s="49" t="s">
        <v>84</v>
      </c>
      <c r="M1017" s="49" t="s">
        <v>85</v>
      </c>
      <c r="N1017" s="49" t="s">
        <v>89</v>
      </c>
      <c r="O1017" s="49" t="s">
        <v>37</v>
      </c>
      <c r="P1017" s="11" t="s">
        <v>80</v>
      </c>
      <c r="Q1017" s="47" t="s">
        <v>96</v>
      </c>
      <c r="R1017" s="11" t="s">
        <v>1066</v>
      </c>
      <c r="S1017" s="11" t="s">
        <v>2717</v>
      </c>
      <c r="T1017" s="116" t="s">
        <v>1</v>
      </c>
      <c r="U1017" s="88"/>
      <c r="V1017" s="51">
        <v>46238</v>
      </c>
      <c r="W1017" s="97" t="s">
        <v>1578</v>
      </c>
      <c r="X1017" s="135" t="str">
        <f>VLOOKUP(Table1[[#This Row],[AMZ ID]],[1]Roster_1787503287932!$D$2:$AU$1370,25,0)</f>
        <v>Present</v>
      </c>
      <c r="Y1017" s="135">
        <f>VLOOKUP(Table1[[#This Row],[AMZ ID]],[1]Roster_1787503287932!$D$2:$AM$1370,35,0)</f>
        <v>0</v>
      </c>
    </row>
    <row r="1018" spans="1:25" ht="13" customHeight="1">
      <c r="A1018" s="11">
        <v>1012</v>
      </c>
      <c r="B1018" s="47">
        <v>203993303</v>
      </c>
      <c r="C1018" s="89" t="s">
        <v>1099</v>
      </c>
      <c r="D1018" s="11" t="s">
        <v>1100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78</v>
      </c>
      <c r="M1018" s="49" t="s">
        <v>92</v>
      </c>
      <c r="N1018" s="48" t="s">
        <v>79</v>
      </c>
      <c r="O1018" s="49" t="s">
        <v>37</v>
      </c>
      <c r="P1018" s="11" t="s">
        <v>80</v>
      </c>
      <c r="Q1018" s="11" t="s">
        <v>81</v>
      </c>
      <c r="R1018" s="11" t="s">
        <v>627</v>
      </c>
      <c r="S1018" s="11" t="s">
        <v>628</v>
      </c>
      <c r="T1018" s="116" t="s">
        <v>10</v>
      </c>
      <c r="U1018" s="88"/>
      <c r="V1018" s="51">
        <v>45547</v>
      </c>
      <c r="W1018" s="97" t="s">
        <v>1577</v>
      </c>
      <c r="X1018" s="135" t="str">
        <f>VLOOKUP(Table1[[#This Row],[AMZ ID]],[1]Roster_1787503287932!$D$2:$AU$1370,25,0)</f>
        <v>Not Present</v>
      </c>
      <c r="Y1018" s="135">
        <f>VLOOKUP(Table1[[#This Row],[AMZ ID]],[1]Roster_1787503287932!$D$2:$AM$1370,35,0)</f>
        <v>0</v>
      </c>
    </row>
    <row r="1019" spans="1:25" ht="13" customHeight="1">
      <c r="A1019" s="11">
        <v>1013</v>
      </c>
      <c r="B1019" s="47">
        <v>204053437</v>
      </c>
      <c r="C1019" s="89" t="s">
        <v>1101</v>
      </c>
      <c r="D1019" s="11" t="s">
        <v>1102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32</v>
      </c>
      <c r="K1019" s="49" t="s">
        <v>76</v>
      </c>
      <c r="L1019" s="49" t="s">
        <v>95</v>
      </c>
      <c r="M1019" s="49" t="s">
        <v>77</v>
      </c>
      <c r="N1019" s="48" t="s">
        <v>86</v>
      </c>
      <c r="O1019" s="49" t="s">
        <v>37</v>
      </c>
      <c r="P1019" s="11" t="s">
        <v>80</v>
      </c>
      <c r="Q1019" s="11" t="s">
        <v>99</v>
      </c>
      <c r="R1019" s="11" t="s">
        <v>647</v>
      </c>
      <c r="S1019" s="11" t="s">
        <v>1798</v>
      </c>
      <c r="T1019" s="116" t="s">
        <v>1</v>
      </c>
      <c r="U1019" s="88"/>
      <c r="V1019" s="51">
        <v>45558</v>
      </c>
      <c r="W1019" s="97" t="s">
        <v>1576</v>
      </c>
      <c r="X1019" s="135" t="str">
        <f>VLOOKUP(Table1[[#This Row],[AMZ ID]],[1]Roster_1787503287932!$D$2:$AU$1370,25,0)</f>
        <v>Present</v>
      </c>
      <c r="Y1019" s="135">
        <f>VLOOKUP(Table1[[#This Row],[AMZ ID]],[1]Roster_1787503287932!$D$2:$AM$1370,35,0)</f>
        <v>0</v>
      </c>
    </row>
    <row r="1020" spans="1:25" ht="13" customHeight="1">
      <c r="A1020" s="11">
        <v>1014</v>
      </c>
      <c r="B1020" s="47">
        <v>206137333</v>
      </c>
      <c r="C1020" s="89" t="s">
        <v>1103</v>
      </c>
      <c r="D1020" s="11" t="s">
        <v>1104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32</v>
      </c>
      <c r="K1020" s="49" t="s">
        <v>76</v>
      </c>
      <c r="L1020" s="49" t="s">
        <v>84</v>
      </c>
      <c r="M1020" s="49" t="s">
        <v>85</v>
      </c>
      <c r="N1020" s="48" t="s">
        <v>89</v>
      </c>
      <c r="O1020" s="49" t="s">
        <v>37</v>
      </c>
      <c r="P1020" s="11" t="s">
        <v>80</v>
      </c>
      <c r="Q1020" s="11" t="s">
        <v>81</v>
      </c>
      <c r="R1020" s="11" t="s">
        <v>631</v>
      </c>
      <c r="S1020" s="11" t="s">
        <v>632</v>
      </c>
      <c r="T1020" s="116" t="s">
        <v>1</v>
      </c>
      <c r="U1020" s="88"/>
      <c r="V1020" s="51">
        <v>45929</v>
      </c>
      <c r="W1020" s="97" t="s">
        <v>1577</v>
      </c>
      <c r="X1020" s="135" t="str">
        <f>VLOOKUP(Table1[[#This Row],[AMZ ID]],[1]Roster_1787503287932!$D$2:$AU$1370,25,0)</f>
        <v>Present</v>
      </c>
      <c r="Y1020" s="135">
        <f>VLOOKUP(Table1[[#This Row],[AMZ ID]],[1]Roster_1787503287932!$D$2:$AM$1370,35,0)</f>
        <v>0</v>
      </c>
    </row>
    <row r="1021" spans="1:25" ht="13" customHeight="1">
      <c r="A1021" s="11">
        <v>1015</v>
      </c>
      <c r="B1021" s="47">
        <v>205996135</v>
      </c>
      <c r="C1021" s="89" t="s">
        <v>1105</v>
      </c>
      <c r="D1021" s="11" t="s">
        <v>1106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77</v>
      </c>
      <c r="M1021" s="49" t="s">
        <v>78</v>
      </c>
      <c r="N1021" s="48" t="s">
        <v>79</v>
      </c>
      <c r="O1021" s="49" t="s">
        <v>37</v>
      </c>
      <c r="P1021" s="11" t="s">
        <v>80</v>
      </c>
      <c r="Q1021" s="11" t="s">
        <v>81</v>
      </c>
      <c r="R1021" s="49" t="s">
        <v>631</v>
      </c>
      <c r="S1021" s="11" t="s">
        <v>632</v>
      </c>
      <c r="T1021" s="116" t="s">
        <v>10</v>
      </c>
      <c r="U1021" s="88"/>
      <c r="V1021" s="51">
        <v>45915</v>
      </c>
      <c r="W1021" s="97" t="s">
        <v>1577</v>
      </c>
      <c r="X1021" s="135" t="str">
        <f>VLOOKUP(Table1[[#This Row],[AMZ ID]],[1]Roster_1787503287932!$D$2:$AU$1370,25,0)</f>
        <v>Not Present</v>
      </c>
      <c r="Y1021" s="135">
        <f>VLOOKUP(Table1[[#This Row],[AMZ ID]],[1]Roster_1787503287932!$D$2:$AM$1370,35,0)</f>
        <v>0</v>
      </c>
    </row>
    <row r="1022" spans="1:25" ht="13" customHeight="1">
      <c r="A1022" s="11">
        <v>1016</v>
      </c>
      <c r="B1022" s="92">
        <v>204890370</v>
      </c>
      <c r="C1022" s="47" t="s">
        <v>1107</v>
      </c>
      <c r="D1022" s="89" t="s">
        <v>1108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1290</v>
      </c>
      <c r="J1022" s="49" t="s">
        <v>39</v>
      </c>
      <c r="K1022" s="49" t="s">
        <v>76</v>
      </c>
      <c r="L1022" s="49" t="s">
        <v>92</v>
      </c>
      <c r="M1022" s="49" t="s">
        <v>84</v>
      </c>
      <c r="N1022" s="49" t="s">
        <v>89</v>
      </c>
      <c r="O1022" s="49" t="s">
        <v>37</v>
      </c>
      <c r="P1022" s="11" t="s">
        <v>80</v>
      </c>
      <c r="Q1022" s="11" t="s">
        <v>90</v>
      </c>
      <c r="R1022" s="11" t="s">
        <v>1066</v>
      </c>
      <c r="S1022" s="11" t="s">
        <v>2717</v>
      </c>
      <c r="T1022" s="116" t="s">
        <v>1</v>
      </c>
      <c r="U1022" s="88"/>
      <c r="V1022" s="51">
        <v>45691</v>
      </c>
      <c r="W1022" s="97" t="s">
        <v>1577</v>
      </c>
      <c r="X1022" s="135" t="str">
        <f>VLOOKUP(Table1[[#This Row],[AMZ ID]],[1]Roster_1787503287932!$D$2:$AU$1370,25,0)</f>
        <v>Present</v>
      </c>
      <c r="Y1022" s="135">
        <f>VLOOKUP(Table1[[#This Row],[AMZ ID]],[1]Roster_1787503287932!$D$2:$AM$1370,35,0)</f>
        <v>0</v>
      </c>
    </row>
    <row r="1023" spans="1:25" ht="13" customHeight="1">
      <c r="A1023" s="11">
        <v>1017</v>
      </c>
      <c r="B1023" s="47">
        <v>203851108</v>
      </c>
      <c r="C1023" s="89" t="s">
        <v>1109</v>
      </c>
      <c r="D1023" s="11" t="s">
        <v>1110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84</v>
      </c>
      <c r="M1023" s="49" t="s">
        <v>85</v>
      </c>
      <c r="N1023" s="49" t="s">
        <v>79</v>
      </c>
      <c r="O1023" s="49" t="s">
        <v>37</v>
      </c>
      <c r="P1023" s="11" t="s">
        <v>80</v>
      </c>
      <c r="Q1023" s="11" t="s">
        <v>81</v>
      </c>
      <c r="R1023" s="49" t="s">
        <v>627</v>
      </c>
      <c r="S1023" s="11" t="s">
        <v>628</v>
      </c>
      <c r="T1023" s="116" t="s">
        <v>1</v>
      </c>
      <c r="U1023" s="88"/>
      <c r="V1023" s="51">
        <v>45524</v>
      </c>
      <c r="W1023" s="97" t="s">
        <v>1579</v>
      </c>
      <c r="X1023" s="135" t="str">
        <f>VLOOKUP(Table1[[#This Row],[AMZ ID]],[1]Roster_1787503287932!$D$2:$AU$1370,25,0)</f>
        <v>Present</v>
      </c>
      <c r="Y1023" s="135">
        <f>VLOOKUP(Table1[[#This Row],[AMZ ID]],[1]Roster_1787503287932!$D$2:$AM$1370,35,0)</f>
        <v>0</v>
      </c>
    </row>
    <row r="1024" spans="1:25" ht="13" customHeight="1">
      <c r="A1024" s="11">
        <v>1018</v>
      </c>
      <c r="B1024" s="47">
        <v>203468310</v>
      </c>
      <c r="C1024" s="89" t="s">
        <v>289</v>
      </c>
      <c r="D1024" s="11" t="s">
        <v>290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32</v>
      </c>
      <c r="K1024" s="49" t="s">
        <v>76</v>
      </c>
      <c r="L1024" s="49" t="s">
        <v>78</v>
      </c>
      <c r="M1024" s="49" t="s">
        <v>92</v>
      </c>
      <c r="N1024" s="49" t="s">
        <v>79</v>
      </c>
      <c r="O1024" s="49" t="s">
        <v>35</v>
      </c>
      <c r="P1024" s="11" t="s">
        <v>80</v>
      </c>
      <c r="Q1024" s="11" t="s">
        <v>81</v>
      </c>
      <c r="R1024" s="11" t="s">
        <v>225</v>
      </c>
      <c r="S1024" s="11" t="s">
        <v>226</v>
      </c>
      <c r="T1024" s="116" t="s">
        <v>10</v>
      </c>
      <c r="U1024" s="88"/>
      <c r="V1024" s="51">
        <v>45456</v>
      </c>
      <c r="W1024" s="97" t="s">
        <v>1570</v>
      </c>
      <c r="X1024" s="135" t="str">
        <f>VLOOKUP(Table1[[#This Row],[AMZ ID]],[1]Roster_1787503287932!$D$2:$AU$1370,25,0)</f>
        <v>Not Present</v>
      </c>
      <c r="Y1024" s="135">
        <f>VLOOKUP(Table1[[#This Row],[AMZ ID]],[1]Roster_1787503287932!$D$2:$AM$1370,35,0)</f>
        <v>0</v>
      </c>
    </row>
    <row r="1025" spans="1:25" ht="13" customHeight="1">
      <c r="A1025" s="11">
        <v>1019</v>
      </c>
      <c r="B1025" s="47">
        <v>206137338</v>
      </c>
      <c r="C1025" s="89" t="s">
        <v>1113</v>
      </c>
      <c r="D1025" s="11" t="s">
        <v>1114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39</v>
      </c>
      <c r="K1025" s="49" t="s">
        <v>76</v>
      </c>
      <c r="L1025" s="49" t="s">
        <v>77</v>
      </c>
      <c r="M1025" s="49" t="s">
        <v>78</v>
      </c>
      <c r="N1025" s="48" t="s">
        <v>89</v>
      </c>
      <c r="O1025" s="49" t="s">
        <v>37</v>
      </c>
      <c r="P1025" s="11" t="s">
        <v>80</v>
      </c>
      <c r="Q1025" s="11" t="s">
        <v>81</v>
      </c>
      <c r="R1025" s="11" t="s">
        <v>631</v>
      </c>
      <c r="S1025" s="11" t="s">
        <v>632</v>
      </c>
      <c r="T1025" s="116" t="s">
        <v>10</v>
      </c>
      <c r="U1025" s="88"/>
      <c r="V1025" s="51">
        <v>45929</v>
      </c>
      <c r="W1025" s="97" t="s">
        <v>1577</v>
      </c>
      <c r="X1025" s="135" t="str">
        <f>VLOOKUP(Table1[[#This Row],[AMZ ID]],[1]Roster_1787503287932!$D$2:$AU$1370,25,0)</f>
        <v>Not Present</v>
      </c>
      <c r="Y1025" s="135" t="str">
        <f>VLOOKUP(Table1[[#This Row],[AMZ ID]],[1]Roster_1787503287932!$D$2:$AM$1370,35,0)</f>
        <v>Annual Leave</v>
      </c>
    </row>
    <row r="1026" spans="1:25" ht="13" customHeight="1">
      <c r="A1026" s="11">
        <v>1020</v>
      </c>
      <c r="B1026" s="47">
        <v>206129614</v>
      </c>
      <c r="C1026" s="89" t="s">
        <v>1115</v>
      </c>
      <c r="D1026" s="11" t="s">
        <v>1116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32</v>
      </c>
      <c r="K1026" s="49" t="s">
        <v>76</v>
      </c>
      <c r="L1026" s="49" t="s">
        <v>88</v>
      </c>
      <c r="M1026" s="49" t="s">
        <v>95</v>
      </c>
      <c r="N1026" s="49" t="s">
        <v>79</v>
      </c>
      <c r="O1026" s="49" t="s">
        <v>37</v>
      </c>
      <c r="P1026" s="11" t="s">
        <v>80</v>
      </c>
      <c r="Q1026" s="11" t="s">
        <v>81</v>
      </c>
      <c r="R1026" s="49" t="s">
        <v>2845</v>
      </c>
      <c r="S1026" s="11" t="s">
        <v>2846</v>
      </c>
      <c r="T1026" s="116" t="s">
        <v>1</v>
      </c>
      <c r="U1026" s="88"/>
      <c r="V1026" s="51">
        <v>45929</v>
      </c>
      <c r="W1026" s="97" t="s">
        <v>1577</v>
      </c>
      <c r="X1026" s="135" t="str">
        <f>VLOOKUP(Table1[[#This Row],[AMZ ID]],[1]Roster_1787503287932!$D$2:$AU$1370,25,0)</f>
        <v>Present</v>
      </c>
      <c r="Y1026" s="135">
        <f>VLOOKUP(Table1[[#This Row],[AMZ ID]],[1]Roster_1787503287932!$D$2:$AM$1370,35,0)</f>
        <v>0</v>
      </c>
    </row>
    <row r="1027" spans="1:25" ht="13" customHeight="1">
      <c r="A1027" s="11">
        <v>1021</v>
      </c>
      <c r="B1027" s="47">
        <v>204890373</v>
      </c>
      <c r="C1027" s="89" t="s">
        <v>1117</v>
      </c>
      <c r="D1027" s="11" t="s">
        <v>1118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1290</v>
      </c>
      <c r="J1027" s="49" t="s">
        <v>39</v>
      </c>
      <c r="K1027" s="49" t="s">
        <v>76</v>
      </c>
      <c r="L1027" s="49" t="s">
        <v>84</v>
      </c>
      <c r="M1027" s="49" t="s">
        <v>85</v>
      </c>
      <c r="N1027" s="48" t="s">
        <v>86</v>
      </c>
      <c r="O1027" s="49" t="s">
        <v>37</v>
      </c>
      <c r="P1027" s="11" t="s">
        <v>80</v>
      </c>
      <c r="Q1027" s="11" t="s">
        <v>90</v>
      </c>
      <c r="R1027" s="49" t="s">
        <v>627</v>
      </c>
      <c r="S1027" s="11" t="s">
        <v>628</v>
      </c>
      <c r="T1027" s="116" t="s">
        <v>1</v>
      </c>
      <c r="U1027" s="88"/>
      <c r="V1027" s="51">
        <v>45691</v>
      </c>
      <c r="W1027" s="97" t="s">
        <v>1577</v>
      </c>
      <c r="X1027" s="135" t="str">
        <f>VLOOKUP(Table1[[#This Row],[AMZ ID]],[1]Roster_1787503287932!$D$2:$AU$1370,25,0)</f>
        <v>Present</v>
      </c>
      <c r="Y1027" s="135">
        <f>VLOOKUP(Table1[[#This Row],[AMZ ID]],[1]Roster_1787503287932!$D$2:$AM$1370,35,0)</f>
        <v>0</v>
      </c>
    </row>
    <row r="1028" spans="1:25" ht="13" customHeight="1">
      <c r="A1028" s="11">
        <v>1022</v>
      </c>
      <c r="B1028" s="47">
        <v>205845553</v>
      </c>
      <c r="C1028" s="89" t="s">
        <v>2808</v>
      </c>
      <c r="D1028" s="11" t="s">
        <v>2809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77</v>
      </c>
      <c r="M1028" s="49" t="s">
        <v>78</v>
      </c>
      <c r="N1028" s="48" t="s">
        <v>86</v>
      </c>
      <c r="O1028" s="49" t="s">
        <v>37</v>
      </c>
      <c r="P1028" s="11" t="s">
        <v>80</v>
      </c>
      <c r="Q1028" s="11" t="s">
        <v>90</v>
      </c>
      <c r="R1028" s="11" t="s">
        <v>627</v>
      </c>
      <c r="S1028" s="11" t="s">
        <v>628</v>
      </c>
      <c r="T1028" s="116" t="s">
        <v>10</v>
      </c>
      <c r="U1028" s="88"/>
      <c r="V1028" s="51">
        <v>45894</v>
      </c>
      <c r="W1028" s="97" t="s">
        <v>1576</v>
      </c>
      <c r="X1028" s="135" t="str">
        <f>VLOOKUP(Table1[[#This Row],[AMZ ID]],[1]Roster_1787503287932!$D$2:$AU$1370,25,0)</f>
        <v>Not Present</v>
      </c>
      <c r="Y1028" s="135">
        <f>VLOOKUP(Table1[[#This Row],[AMZ ID]],[1]Roster_1787503287932!$D$2:$AM$1370,35,0)</f>
        <v>0</v>
      </c>
    </row>
    <row r="1029" spans="1:25" ht="13" customHeight="1">
      <c r="A1029" s="11">
        <v>1023</v>
      </c>
      <c r="B1029" s="47">
        <v>206239769</v>
      </c>
      <c r="C1029" s="89" t="s">
        <v>1654</v>
      </c>
      <c r="D1029" s="11" t="s">
        <v>1628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77</v>
      </c>
      <c r="M1029" s="49" t="s">
        <v>78</v>
      </c>
      <c r="N1029" s="48" t="s">
        <v>86</v>
      </c>
      <c r="O1029" s="49" t="s">
        <v>37</v>
      </c>
      <c r="P1029" s="11" t="s">
        <v>80</v>
      </c>
      <c r="Q1029" s="11" t="s">
        <v>90</v>
      </c>
      <c r="R1029" s="49" t="s">
        <v>2845</v>
      </c>
      <c r="S1029" s="11" t="s">
        <v>2846</v>
      </c>
      <c r="T1029" s="116" t="s">
        <v>10</v>
      </c>
      <c r="U1029" s="88"/>
      <c r="V1029" s="51">
        <v>45943</v>
      </c>
      <c r="W1029" s="97" t="s">
        <v>1569</v>
      </c>
      <c r="X1029" s="135" t="str">
        <f>VLOOKUP(Table1[[#This Row],[AMZ ID]],[1]Roster_1787503287932!$D$2:$AU$1370,25,0)</f>
        <v>Not Present</v>
      </c>
      <c r="Y1029" s="135">
        <f>VLOOKUP(Table1[[#This Row],[AMZ ID]],[1]Roster_1787503287932!$D$2:$AM$1370,35,0)</f>
        <v>0</v>
      </c>
    </row>
    <row r="1030" spans="1:25" ht="13" customHeight="1">
      <c r="A1030" s="11">
        <v>1024</v>
      </c>
      <c r="B1030" s="47">
        <v>203850899</v>
      </c>
      <c r="C1030" s="89" t="s">
        <v>1119</v>
      </c>
      <c r="D1030" s="11" t="s">
        <v>1120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39</v>
      </c>
      <c r="K1030" s="49" t="s">
        <v>76</v>
      </c>
      <c r="L1030" s="49" t="s">
        <v>78</v>
      </c>
      <c r="M1030" s="49" t="s">
        <v>92</v>
      </c>
      <c r="N1030" s="48" t="s">
        <v>86</v>
      </c>
      <c r="O1030" s="49" t="s">
        <v>37</v>
      </c>
      <c r="P1030" s="11" t="s">
        <v>80</v>
      </c>
      <c r="Q1030" s="11" t="s">
        <v>90</v>
      </c>
      <c r="R1030" s="11" t="s">
        <v>627</v>
      </c>
      <c r="S1030" s="11" t="s">
        <v>628</v>
      </c>
      <c r="T1030" s="116" t="s">
        <v>10</v>
      </c>
      <c r="U1030" s="88"/>
      <c r="V1030" s="51">
        <v>45524</v>
      </c>
      <c r="W1030" s="97" t="s">
        <v>1577</v>
      </c>
      <c r="X1030" s="135" t="str">
        <f>VLOOKUP(Table1[[#This Row],[AMZ ID]],[1]Roster_1787503287932!$D$2:$AU$1370,25,0)</f>
        <v>Not Present</v>
      </c>
      <c r="Y1030" s="135">
        <f>VLOOKUP(Table1[[#This Row],[AMZ ID]],[1]Roster_1787503287932!$D$2:$AM$1370,35,0)</f>
        <v>0</v>
      </c>
    </row>
    <row r="1031" spans="1:25" ht="13" customHeight="1">
      <c r="A1031" s="11">
        <v>1025</v>
      </c>
      <c r="B1031" s="47">
        <v>206239755</v>
      </c>
      <c r="C1031" s="89" t="s">
        <v>1640</v>
      </c>
      <c r="D1031" s="11" t="s">
        <v>1635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92</v>
      </c>
      <c r="M1031" s="49" t="s">
        <v>84</v>
      </c>
      <c r="N1031" s="48" t="s">
        <v>89</v>
      </c>
      <c r="O1031" s="49" t="s">
        <v>37</v>
      </c>
      <c r="P1031" s="11" t="s">
        <v>80</v>
      </c>
      <c r="Q1031" s="11" t="s">
        <v>90</v>
      </c>
      <c r="R1031" s="11" t="s">
        <v>627</v>
      </c>
      <c r="S1031" s="11" t="s">
        <v>628</v>
      </c>
      <c r="T1031" s="116" t="s">
        <v>1</v>
      </c>
      <c r="U1031" s="88"/>
      <c r="V1031" s="51">
        <v>45943</v>
      </c>
      <c r="W1031" s="97" t="s">
        <v>1576</v>
      </c>
      <c r="X1031" s="135" t="str">
        <f>VLOOKUP(Table1[[#This Row],[AMZ ID]],[1]Roster_1787503287932!$D$2:$AU$1370,25,0)</f>
        <v>Present</v>
      </c>
      <c r="Y1031" s="135">
        <f>VLOOKUP(Table1[[#This Row],[AMZ ID]],[1]Roster_1787503287932!$D$2:$AM$1370,35,0)</f>
        <v>0</v>
      </c>
    </row>
    <row r="1032" spans="1:25" ht="13" customHeight="1">
      <c r="A1032" s="11">
        <v>1026</v>
      </c>
      <c r="B1032" s="47">
        <v>206868000</v>
      </c>
      <c r="C1032" s="89" t="s">
        <v>2849</v>
      </c>
      <c r="D1032" s="11" t="s">
        <v>2850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78</v>
      </c>
      <c r="M1032" s="49" t="s">
        <v>92</v>
      </c>
      <c r="N1032" s="48" t="s">
        <v>89</v>
      </c>
      <c r="O1032" s="49" t="s">
        <v>37</v>
      </c>
      <c r="P1032" s="11" t="s">
        <v>80</v>
      </c>
      <c r="Q1032" s="11" t="s">
        <v>81</v>
      </c>
      <c r="R1032" s="11" t="s">
        <v>631</v>
      </c>
      <c r="S1032" s="11" t="s">
        <v>632</v>
      </c>
      <c r="T1032" s="116" t="s">
        <v>10</v>
      </c>
      <c r="U1032" s="88"/>
      <c r="V1032" s="51">
        <v>46238</v>
      </c>
      <c r="W1032" s="97" t="s">
        <v>1579</v>
      </c>
      <c r="X1032" s="135" t="str">
        <f>VLOOKUP(Table1[[#This Row],[AMZ ID]],[1]Roster_1787503287932!$D$2:$AU$1370,25,0)</f>
        <v>Not Present</v>
      </c>
      <c r="Y1032" s="135">
        <f>VLOOKUP(Table1[[#This Row],[AMZ ID]],[1]Roster_1787503287932!$D$2:$AM$1370,35,0)</f>
        <v>0</v>
      </c>
    </row>
    <row r="1033" spans="1:25" ht="13" customHeight="1">
      <c r="A1033" s="11">
        <v>1027</v>
      </c>
      <c r="B1033" s="47">
        <v>206890219</v>
      </c>
      <c r="C1033" s="89" t="s">
        <v>1847</v>
      </c>
      <c r="D1033" s="11" t="s">
        <v>1848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77</v>
      </c>
      <c r="M1033" s="49" t="s">
        <v>78</v>
      </c>
      <c r="N1033" s="48" t="s">
        <v>89</v>
      </c>
      <c r="O1033" s="49" t="s">
        <v>37</v>
      </c>
      <c r="P1033" s="11" t="s">
        <v>80</v>
      </c>
      <c r="Q1033" s="11" t="s">
        <v>96</v>
      </c>
      <c r="R1033" s="11" t="s">
        <v>1066</v>
      </c>
      <c r="S1033" s="11" t="s">
        <v>2717</v>
      </c>
      <c r="T1033" s="116" t="s">
        <v>10</v>
      </c>
      <c r="U1033" s="88"/>
      <c r="V1033" s="51">
        <v>46027</v>
      </c>
      <c r="W1033" s="97" t="s">
        <v>1577</v>
      </c>
      <c r="X1033" s="135" t="str">
        <f>VLOOKUP(Table1[[#This Row],[AMZ ID]],[1]Roster_1787503287932!$D$2:$AU$1370,25,0)</f>
        <v>Not Present</v>
      </c>
      <c r="Y1033" s="135">
        <f>VLOOKUP(Table1[[#This Row],[AMZ ID]],[1]Roster_1787503287932!$D$2:$AM$1370,35,0)</f>
        <v>0</v>
      </c>
    </row>
    <row r="1034" spans="1:25" ht="13" customHeight="1">
      <c r="A1034" s="11">
        <v>1028</v>
      </c>
      <c r="B1034" s="47">
        <v>204117683</v>
      </c>
      <c r="C1034" s="89" t="s">
        <v>1121</v>
      </c>
      <c r="D1034" s="11" t="s">
        <v>1122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39</v>
      </c>
      <c r="K1034" s="49" t="s">
        <v>76</v>
      </c>
      <c r="L1034" s="49" t="s">
        <v>85</v>
      </c>
      <c r="M1034" s="49" t="s">
        <v>88</v>
      </c>
      <c r="N1034" s="48" t="s">
        <v>86</v>
      </c>
      <c r="O1034" s="49" t="s">
        <v>37</v>
      </c>
      <c r="P1034" s="11" t="s">
        <v>80</v>
      </c>
      <c r="Q1034" s="11" t="s">
        <v>87</v>
      </c>
      <c r="R1034" s="11" t="s">
        <v>631</v>
      </c>
      <c r="S1034" s="11" t="s">
        <v>632</v>
      </c>
      <c r="T1034" s="116" t="s">
        <v>1</v>
      </c>
      <c r="U1034" s="88"/>
      <c r="V1034" s="51">
        <v>45561</v>
      </c>
      <c r="W1034" s="97" t="s">
        <v>1577</v>
      </c>
      <c r="X1034" s="135" t="str">
        <f>VLOOKUP(Table1[[#This Row],[AMZ ID]],[1]Roster_1787503287932!$D$2:$AU$1370,25,0)</f>
        <v>Present</v>
      </c>
      <c r="Y1034" s="135">
        <f>VLOOKUP(Table1[[#This Row],[AMZ ID]],[1]Roster_1787503287932!$D$2:$AM$1370,35,0)</f>
        <v>0</v>
      </c>
    </row>
    <row r="1035" spans="1:25" ht="13" customHeight="1">
      <c r="A1035" s="11">
        <v>1029</v>
      </c>
      <c r="B1035" s="47">
        <v>203341966</v>
      </c>
      <c r="C1035" s="89" t="s">
        <v>1123</v>
      </c>
      <c r="D1035" s="11" t="s">
        <v>1124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78</v>
      </c>
      <c r="M1035" s="49" t="s">
        <v>92</v>
      </c>
      <c r="N1035" s="48" t="s">
        <v>86</v>
      </c>
      <c r="O1035" s="49" t="s">
        <v>37</v>
      </c>
      <c r="P1035" s="11" t="s">
        <v>80</v>
      </c>
      <c r="Q1035" s="11" t="s">
        <v>99</v>
      </c>
      <c r="R1035" s="49" t="s">
        <v>647</v>
      </c>
      <c r="S1035" s="11" t="s">
        <v>1798</v>
      </c>
      <c r="T1035" s="116" t="s">
        <v>10</v>
      </c>
      <c r="U1035" s="88"/>
      <c r="V1035" s="51">
        <v>45432</v>
      </c>
      <c r="W1035" s="97" t="s">
        <v>1577</v>
      </c>
      <c r="X1035" s="135" t="str">
        <f>VLOOKUP(Table1[[#This Row],[AMZ ID]],[1]Roster_1787503287932!$D$2:$AU$1370,25,0)</f>
        <v>Not Present</v>
      </c>
      <c r="Y1035" s="135">
        <f>VLOOKUP(Table1[[#This Row],[AMZ ID]],[1]Roster_1787503287932!$D$2:$AM$1370,35,0)</f>
        <v>0</v>
      </c>
    </row>
    <row r="1036" spans="1:25" ht="13" customHeight="1">
      <c r="A1036" s="11">
        <v>1030</v>
      </c>
      <c r="B1036" s="47">
        <v>203965495</v>
      </c>
      <c r="C1036" s="89" t="s">
        <v>297</v>
      </c>
      <c r="D1036" s="11" t="s">
        <v>298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78</v>
      </c>
      <c r="M1036" s="49" t="s">
        <v>92</v>
      </c>
      <c r="N1036" s="48" t="s">
        <v>79</v>
      </c>
      <c r="O1036" s="49" t="s">
        <v>35</v>
      </c>
      <c r="P1036" s="11" t="s">
        <v>80</v>
      </c>
      <c r="Q1036" s="11" t="s">
        <v>81</v>
      </c>
      <c r="R1036" s="11" t="s">
        <v>224</v>
      </c>
      <c r="S1036" s="11" t="s">
        <v>2715</v>
      </c>
      <c r="T1036" s="116" t="s">
        <v>10</v>
      </c>
      <c r="U1036" s="88"/>
      <c r="V1036" s="51">
        <v>45544</v>
      </c>
      <c r="W1036" s="97" t="s">
        <v>1573</v>
      </c>
      <c r="X1036" s="135" t="str">
        <f>VLOOKUP(Table1[[#This Row],[AMZ ID]],[1]Roster_1787503287932!$D$2:$AU$1370,25,0)</f>
        <v>Not Present</v>
      </c>
      <c r="Y1036" s="135">
        <f>VLOOKUP(Table1[[#This Row],[AMZ ID]],[1]Roster_1787503287932!$D$2:$AM$1370,35,0)</f>
        <v>0</v>
      </c>
    </row>
    <row r="1037" spans="1:25" ht="13" customHeight="1">
      <c r="A1037" s="11">
        <v>1031</v>
      </c>
      <c r="B1037" s="47">
        <v>203965406</v>
      </c>
      <c r="C1037" s="89" t="s">
        <v>1127</v>
      </c>
      <c r="D1037" s="11" t="s">
        <v>1128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84</v>
      </c>
      <c r="M1037" s="49" t="s">
        <v>85</v>
      </c>
      <c r="N1037" s="48" t="s">
        <v>79</v>
      </c>
      <c r="O1037" s="49" t="s">
        <v>37</v>
      </c>
      <c r="P1037" s="11" t="s">
        <v>80</v>
      </c>
      <c r="Q1037" s="11" t="s">
        <v>81</v>
      </c>
      <c r="R1037" s="11" t="s">
        <v>1066</v>
      </c>
      <c r="S1037" s="11" t="s">
        <v>2717</v>
      </c>
      <c r="T1037" s="116" t="s">
        <v>1</v>
      </c>
      <c r="U1037" s="88"/>
      <c r="V1037" s="51">
        <v>45544</v>
      </c>
      <c r="W1037" s="97" t="s">
        <v>1577</v>
      </c>
      <c r="X1037" s="135" t="str">
        <f>VLOOKUP(Table1[[#This Row],[AMZ ID]],[1]Roster_1787503287932!$D$2:$AU$1370,25,0)</f>
        <v>Present</v>
      </c>
      <c r="Y1037" s="135">
        <f>VLOOKUP(Table1[[#This Row],[AMZ ID]],[1]Roster_1787503287932!$D$2:$AM$1370,35,0)</f>
        <v>0</v>
      </c>
    </row>
    <row r="1038" spans="1:25" ht="13" customHeight="1">
      <c r="A1038" s="11">
        <v>1032</v>
      </c>
      <c r="B1038" s="47">
        <v>203850901</v>
      </c>
      <c r="C1038" s="89" t="s">
        <v>1129</v>
      </c>
      <c r="D1038" s="11" t="s">
        <v>1130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78</v>
      </c>
      <c r="M1038" s="49" t="s">
        <v>92</v>
      </c>
      <c r="N1038" s="48" t="s">
        <v>86</v>
      </c>
      <c r="O1038" s="49" t="s">
        <v>37</v>
      </c>
      <c r="P1038" s="11" t="s">
        <v>80</v>
      </c>
      <c r="Q1038" s="11" t="s">
        <v>90</v>
      </c>
      <c r="R1038" s="11" t="s">
        <v>1066</v>
      </c>
      <c r="S1038" s="11" t="s">
        <v>2717</v>
      </c>
      <c r="T1038" s="116" t="s">
        <v>10</v>
      </c>
      <c r="U1038" s="88"/>
      <c r="V1038" s="51">
        <v>45524</v>
      </c>
      <c r="W1038" s="97" t="s">
        <v>1577</v>
      </c>
      <c r="X1038" s="135" t="str">
        <f>VLOOKUP(Table1[[#This Row],[AMZ ID]],[1]Roster_1787503287932!$D$2:$AU$1370,25,0)</f>
        <v>Not Present</v>
      </c>
      <c r="Y1038" s="135">
        <f>VLOOKUP(Table1[[#This Row],[AMZ ID]],[1]Roster_1787503287932!$D$2:$AM$1370,35,0)</f>
        <v>0</v>
      </c>
    </row>
    <row r="1039" spans="1:25" ht="13" customHeight="1">
      <c r="A1039" s="11">
        <v>1033</v>
      </c>
      <c r="B1039" s="47">
        <v>203851104</v>
      </c>
      <c r="C1039" s="89" t="s">
        <v>1131</v>
      </c>
      <c r="D1039" s="11" t="s">
        <v>1132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36</v>
      </c>
      <c r="M1039" s="49" t="s">
        <v>92</v>
      </c>
      <c r="N1039" s="48" t="s">
        <v>79</v>
      </c>
      <c r="O1039" s="49" t="s">
        <v>37</v>
      </c>
      <c r="P1039" s="11" t="s">
        <v>80</v>
      </c>
      <c r="Q1039" s="11" t="s">
        <v>81</v>
      </c>
      <c r="R1039" s="49" t="s">
        <v>2845</v>
      </c>
      <c r="S1039" s="11" t="s">
        <v>2846</v>
      </c>
      <c r="T1039" s="116" t="s">
        <v>1</v>
      </c>
      <c r="U1039" s="88" t="s">
        <v>3018</v>
      </c>
      <c r="V1039" s="51">
        <v>45524</v>
      </c>
      <c r="W1039" s="97" t="s">
        <v>1579</v>
      </c>
      <c r="X1039" s="135" t="str">
        <f>VLOOKUP(Table1[[#This Row],[AMZ ID]],[1]Roster_1787503287932!$D$2:$AU$1370,25,0)</f>
        <v>Present</v>
      </c>
      <c r="Y1039" s="135">
        <f>VLOOKUP(Table1[[#This Row],[AMZ ID]],[1]Roster_1787503287932!$D$2:$AM$1370,35,0)</f>
        <v>0</v>
      </c>
    </row>
    <row r="1040" spans="1:25" ht="13" customHeight="1">
      <c r="A1040" s="11">
        <v>1034</v>
      </c>
      <c r="B1040" s="47">
        <v>206873556</v>
      </c>
      <c r="C1040" s="89" t="s">
        <v>1760</v>
      </c>
      <c r="D1040" s="11" t="s">
        <v>1761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78</v>
      </c>
      <c r="M1040" s="49" t="s">
        <v>92</v>
      </c>
      <c r="N1040" s="48" t="s">
        <v>89</v>
      </c>
      <c r="O1040" s="49" t="s">
        <v>35</v>
      </c>
      <c r="P1040" s="11" t="s">
        <v>80</v>
      </c>
      <c r="Q1040" s="11" t="s">
        <v>81</v>
      </c>
      <c r="R1040" s="11" t="s">
        <v>225</v>
      </c>
      <c r="S1040" s="11" t="s">
        <v>226</v>
      </c>
      <c r="T1040" s="116" t="s">
        <v>10</v>
      </c>
      <c r="U1040" s="88"/>
      <c r="V1040" s="51">
        <v>46020</v>
      </c>
      <c r="W1040" s="97" t="s">
        <v>1572</v>
      </c>
      <c r="X1040" s="135" t="str">
        <f>VLOOKUP(Table1[[#This Row],[AMZ ID]],[1]Roster_1787503287932!$D$2:$AU$1370,25,0)</f>
        <v>Not Present</v>
      </c>
      <c r="Y1040" s="135" t="str">
        <f>VLOOKUP(Table1[[#This Row],[AMZ ID]],[1]Roster_1787503287932!$D$2:$AM$1370,35,0)</f>
        <v>Annual Leave</v>
      </c>
    </row>
    <row r="1041" spans="1:25" ht="13" customHeight="1">
      <c r="A1041" s="11">
        <v>1035</v>
      </c>
      <c r="B1041" s="47">
        <v>205845556</v>
      </c>
      <c r="C1041" s="89" t="s">
        <v>2810</v>
      </c>
      <c r="D1041" s="11" t="s">
        <v>2811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39</v>
      </c>
      <c r="K1041" s="49" t="s">
        <v>76</v>
      </c>
      <c r="L1041" s="49" t="s">
        <v>88</v>
      </c>
      <c r="M1041" s="49" t="s">
        <v>95</v>
      </c>
      <c r="N1041" s="48" t="s">
        <v>89</v>
      </c>
      <c r="O1041" s="49" t="s">
        <v>37</v>
      </c>
      <c r="P1041" s="11" t="s">
        <v>80</v>
      </c>
      <c r="Q1041" s="11" t="s">
        <v>90</v>
      </c>
      <c r="R1041" s="11" t="s">
        <v>631</v>
      </c>
      <c r="S1041" s="11" t="s">
        <v>632</v>
      </c>
      <c r="T1041" s="116" t="s">
        <v>1</v>
      </c>
      <c r="U1041" s="88"/>
      <c r="V1041" s="51">
        <v>45894</v>
      </c>
      <c r="W1041" s="97" t="s">
        <v>1577</v>
      </c>
      <c r="X1041" s="135" t="str">
        <f>VLOOKUP(Table1[[#This Row],[AMZ ID]],[1]Roster_1787503287932!$D$2:$AU$1370,25,0)</f>
        <v>Present</v>
      </c>
      <c r="Y1041" s="135">
        <f>VLOOKUP(Table1[[#This Row],[AMZ ID]],[1]Roster_1787503287932!$D$2:$AM$1370,35,0)</f>
        <v>0</v>
      </c>
    </row>
    <row r="1042" spans="1:25" ht="13" customHeight="1">
      <c r="A1042" s="11">
        <v>1036</v>
      </c>
      <c r="B1042" s="47">
        <v>206200807</v>
      </c>
      <c r="C1042" s="89" t="s">
        <v>1596</v>
      </c>
      <c r="D1042" s="11" t="s">
        <v>1590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78</v>
      </c>
      <c r="M1042" s="49" t="s">
        <v>92</v>
      </c>
      <c r="N1042" s="49" t="s">
        <v>89</v>
      </c>
      <c r="O1042" s="49" t="s">
        <v>37</v>
      </c>
      <c r="P1042" s="11" t="s">
        <v>80</v>
      </c>
      <c r="Q1042" s="11" t="s">
        <v>81</v>
      </c>
      <c r="R1042" s="49" t="s">
        <v>2719</v>
      </c>
      <c r="S1042" s="11" t="s">
        <v>642</v>
      </c>
      <c r="T1042" s="116" t="s">
        <v>10</v>
      </c>
      <c r="U1042" s="88"/>
      <c r="V1042" s="51">
        <v>45936</v>
      </c>
      <c r="W1042" s="97" t="s">
        <v>1577</v>
      </c>
      <c r="X1042" s="135" t="str">
        <f>VLOOKUP(Table1[[#This Row],[AMZ ID]],[1]Roster_1787503287932!$D$2:$AU$1370,25,0)</f>
        <v>Not Present</v>
      </c>
      <c r="Y1042" s="135">
        <f>VLOOKUP(Table1[[#This Row],[AMZ ID]],[1]Roster_1787503287932!$D$2:$AM$1370,35,0)</f>
        <v>0</v>
      </c>
    </row>
    <row r="1043" spans="1:25" ht="13" customHeight="1">
      <c r="A1043" s="11">
        <v>1037</v>
      </c>
      <c r="B1043" s="47">
        <v>206072868</v>
      </c>
      <c r="C1043" s="89" t="s">
        <v>383</v>
      </c>
      <c r="D1043" s="47" t="s">
        <v>384</v>
      </c>
      <c r="E1043" s="47" t="s">
        <v>31</v>
      </c>
      <c r="F1043" s="47" t="s">
        <v>74</v>
      </c>
      <c r="G1043" s="47" t="s">
        <v>64</v>
      </c>
      <c r="H1043" s="47" t="s">
        <v>75</v>
      </c>
      <c r="I1043" s="47">
        <v>1299</v>
      </c>
      <c r="J1043" s="49" t="s">
        <v>32</v>
      </c>
      <c r="K1043" s="49" t="s">
        <v>76</v>
      </c>
      <c r="L1043" s="49" t="s">
        <v>85</v>
      </c>
      <c r="M1043" s="49" t="s">
        <v>88</v>
      </c>
      <c r="N1043" s="49" t="s">
        <v>89</v>
      </c>
      <c r="O1043" s="47" t="s">
        <v>35</v>
      </c>
      <c r="P1043" s="47" t="s">
        <v>80</v>
      </c>
      <c r="Q1043" s="47" t="s">
        <v>81</v>
      </c>
      <c r="R1043" s="11" t="s">
        <v>231</v>
      </c>
      <c r="S1043" s="47" t="s">
        <v>1753</v>
      </c>
      <c r="T1043" s="116" t="s">
        <v>7</v>
      </c>
      <c r="U1043" s="88" t="s">
        <v>3015</v>
      </c>
      <c r="V1043" s="51">
        <v>45922</v>
      </c>
      <c r="W1043" s="132" t="s">
        <v>1573</v>
      </c>
      <c r="X1043" s="135" t="str">
        <f>VLOOKUP(Table1[[#This Row],[AMZ ID]],[1]Roster_1787503287932!$D$2:$AU$1370,25,0)</f>
        <v>Not Present</v>
      </c>
      <c r="Y1043" s="135" t="str">
        <f>VLOOKUP(Table1[[#This Row],[AMZ ID]],[1]Roster_1787503287932!$D$2:$AM$1370,35,0)</f>
        <v>Annual Leave</v>
      </c>
    </row>
    <row r="1044" spans="1:25" ht="13" customHeight="1">
      <c r="A1044" s="11">
        <v>1038</v>
      </c>
      <c r="B1044" s="47">
        <v>203881694</v>
      </c>
      <c r="C1044" s="89" t="s">
        <v>1137</v>
      </c>
      <c r="D1044" s="11" t="s">
        <v>1138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92</v>
      </c>
      <c r="M1044" s="49" t="s">
        <v>84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11" t="s">
        <v>647</v>
      </c>
      <c r="S1044" s="11" t="s">
        <v>1798</v>
      </c>
      <c r="T1044" s="116" t="s">
        <v>1</v>
      </c>
      <c r="U1044" s="88"/>
      <c r="V1044" s="51">
        <v>45530</v>
      </c>
      <c r="W1044" s="97" t="s">
        <v>1579</v>
      </c>
      <c r="X1044" s="135" t="str">
        <f>VLOOKUP(Table1[[#This Row],[AMZ ID]],[1]Roster_1787503287932!$D$2:$AU$1370,25,0)</f>
        <v>Present</v>
      </c>
      <c r="Y1044" s="135">
        <f>VLOOKUP(Table1[[#This Row],[AMZ ID]],[1]Roster_1787503287932!$D$2:$AM$1370,35,0)</f>
        <v>0</v>
      </c>
    </row>
    <row r="1045" spans="1:25" ht="13" customHeight="1">
      <c r="A1045" s="11">
        <v>1039</v>
      </c>
      <c r="B1045" s="47">
        <v>205856635</v>
      </c>
      <c r="C1045" s="89" t="s">
        <v>1139</v>
      </c>
      <c r="D1045" s="11" t="s">
        <v>1140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92</v>
      </c>
      <c r="M1045" s="49" t="s">
        <v>84</v>
      </c>
      <c r="N1045" s="48" t="s">
        <v>79</v>
      </c>
      <c r="O1045" s="49" t="s">
        <v>37</v>
      </c>
      <c r="P1045" s="11" t="s">
        <v>80</v>
      </c>
      <c r="Q1045" s="11" t="s">
        <v>96</v>
      </c>
      <c r="R1045" s="49" t="s">
        <v>627</v>
      </c>
      <c r="S1045" s="11" t="s">
        <v>628</v>
      </c>
      <c r="T1045" s="116" t="s">
        <v>1</v>
      </c>
      <c r="U1045" s="88"/>
      <c r="V1045" s="51">
        <v>45894</v>
      </c>
      <c r="W1045" s="97" t="s">
        <v>1577</v>
      </c>
      <c r="X1045" s="135" t="str">
        <f>VLOOKUP(Table1[[#This Row],[AMZ ID]],[1]Roster_1787503287932!$D$2:$AU$1370,25,0)</f>
        <v>Present</v>
      </c>
      <c r="Y1045" s="135">
        <f>VLOOKUP(Table1[[#This Row],[AMZ ID]],[1]Roster_1787503287932!$D$2:$AM$1370,35,0)</f>
        <v>0</v>
      </c>
    </row>
    <row r="1046" spans="1:25" ht="13" customHeight="1">
      <c r="A1046" s="11">
        <v>1040</v>
      </c>
      <c r="B1046" s="47">
        <v>203800780</v>
      </c>
      <c r="C1046" s="89" t="s">
        <v>1141</v>
      </c>
      <c r="D1046" s="11" t="s">
        <v>1142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92</v>
      </c>
      <c r="M1046" s="49" t="s">
        <v>84</v>
      </c>
      <c r="N1046" s="48" t="s">
        <v>86</v>
      </c>
      <c r="O1046" s="49" t="s">
        <v>37</v>
      </c>
      <c r="P1046" s="11" t="s">
        <v>80</v>
      </c>
      <c r="Q1046" s="11" t="s">
        <v>90</v>
      </c>
      <c r="R1046" s="11" t="s">
        <v>647</v>
      </c>
      <c r="S1046" s="11" t="s">
        <v>1798</v>
      </c>
      <c r="T1046" s="116" t="s">
        <v>1</v>
      </c>
      <c r="U1046" s="88"/>
      <c r="V1046" s="51">
        <v>45684</v>
      </c>
      <c r="W1046" s="97" t="s">
        <v>1576</v>
      </c>
      <c r="X1046" s="135" t="str">
        <f>VLOOKUP(Table1[[#This Row],[AMZ ID]],[1]Roster_1787503287932!$D$2:$AU$1370,25,0)</f>
        <v>Present</v>
      </c>
      <c r="Y1046" s="135">
        <f>VLOOKUP(Table1[[#This Row],[AMZ ID]],[1]Roster_1787503287932!$D$2:$AM$1370,35,0)</f>
        <v>0</v>
      </c>
    </row>
    <row r="1047" spans="1:25" ht="13" customHeight="1">
      <c r="A1047" s="11">
        <v>1041</v>
      </c>
      <c r="B1047" s="47">
        <v>204072305</v>
      </c>
      <c r="C1047" s="89" t="s">
        <v>1143</v>
      </c>
      <c r="D1047" s="11" t="s">
        <v>1144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95</v>
      </c>
      <c r="M1047" s="49" t="s">
        <v>77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49" t="s">
        <v>647</v>
      </c>
      <c r="S1047" s="11" t="s">
        <v>1798</v>
      </c>
      <c r="T1047" s="116" t="s">
        <v>1</v>
      </c>
      <c r="U1047" s="88"/>
      <c r="V1047" s="51">
        <v>45558</v>
      </c>
      <c r="W1047" s="97" t="s">
        <v>1577</v>
      </c>
      <c r="X1047" s="135" t="str">
        <f>VLOOKUP(Table1[[#This Row],[AMZ ID]],[1]Roster_1787503287932!$D$2:$AU$1370,25,0)</f>
        <v>Present</v>
      </c>
      <c r="Y1047" s="135">
        <f>VLOOKUP(Table1[[#This Row],[AMZ ID]],[1]Roster_1787503287932!$D$2:$AM$1370,35,0)</f>
        <v>0</v>
      </c>
    </row>
    <row r="1048" spans="1:25" ht="13" customHeight="1">
      <c r="A1048" s="11">
        <v>1042</v>
      </c>
      <c r="B1048" s="47">
        <v>204137711</v>
      </c>
      <c r="C1048" s="89" t="s">
        <v>1145</v>
      </c>
      <c r="D1048" s="11" t="s">
        <v>1146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88</v>
      </c>
      <c r="M1048" s="49" t="s">
        <v>95</v>
      </c>
      <c r="N1048" s="48" t="s">
        <v>86</v>
      </c>
      <c r="O1048" s="49" t="s">
        <v>37</v>
      </c>
      <c r="P1048" s="11" t="s">
        <v>80</v>
      </c>
      <c r="Q1048" s="11" t="s">
        <v>87</v>
      </c>
      <c r="R1048" s="11" t="s">
        <v>627</v>
      </c>
      <c r="S1048" s="11" t="s">
        <v>628</v>
      </c>
      <c r="T1048" s="116" t="s">
        <v>1</v>
      </c>
      <c r="U1048" s="88"/>
      <c r="V1048" s="51">
        <v>45565</v>
      </c>
      <c r="W1048" s="97" t="s">
        <v>1577</v>
      </c>
      <c r="X1048" s="135" t="str">
        <f>VLOOKUP(Table1[[#This Row],[AMZ ID]],[1]Roster_1787503287932!$D$2:$AU$1370,25,0)</f>
        <v>Present</v>
      </c>
      <c r="Y1048" s="135">
        <f>VLOOKUP(Table1[[#This Row],[AMZ ID]],[1]Roster_1787503287932!$D$2:$AM$1370,35,0)</f>
        <v>0</v>
      </c>
    </row>
    <row r="1049" spans="1:25" ht="13" customHeight="1">
      <c r="A1049" s="11">
        <v>1043</v>
      </c>
      <c r="B1049" s="47">
        <v>204013686</v>
      </c>
      <c r="C1049" s="89" t="s">
        <v>1147</v>
      </c>
      <c r="D1049" s="11" t="s">
        <v>1148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85</v>
      </c>
      <c r="M1049" s="49" t="s">
        <v>88</v>
      </c>
      <c r="N1049" s="48" t="s">
        <v>79</v>
      </c>
      <c r="O1049" s="49" t="s">
        <v>37</v>
      </c>
      <c r="P1049" s="11" t="s">
        <v>80</v>
      </c>
      <c r="Q1049" s="11" t="s">
        <v>81</v>
      </c>
      <c r="R1049" s="49" t="s">
        <v>639</v>
      </c>
      <c r="S1049" s="11" t="s">
        <v>2718</v>
      </c>
      <c r="T1049" s="116" t="s">
        <v>1</v>
      </c>
      <c r="U1049" s="88"/>
      <c r="V1049" s="51">
        <v>45551</v>
      </c>
      <c r="W1049" s="97" t="s">
        <v>1576</v>
      </c>
      <c r="X1049" s="135" t="str">
        <f>VLOOKUP(Table1[[#This Row],[AMZ ID]],[1]Roster_1787503287932!$D$2:$AU$1370,25,0)</f>
        <v>Present</v>
      </c>
      <c r="Y1049" s="135">
        <f>VLOOKUP(Table1[[#This Row],[AMZ ID]],[1]Roster_1787503287932!$D$2:$AM$1370,35,0)</f>
        <v>0</v>
      </c>
    </row>
    <row r="1050" spans="1:25" ht="13" customHeight="1">
      <c r="A1050" s="11">
        <v>1044</v>
      </c>
      <c r="B1050" s="47">
        <v>204868502</v>
      </c>
      <c r="C1050" s="89" t="s">
        <v>2418</v>
      </c>
      <c r="D1050" s="11" t="s">
        <v>2419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85</v>
      </c>
      <c r="M1050" s="49" t="s">
        <v>88</v>
      </c>
      <c r="N1050" s="48" t="s">
        <v>86</v>
      </c>
      <c r="O1050" s="49" t="s">
        <v>37</v>
      </c>
      <c r="P1050" s="11" t="s">
        <v>80</v>
      </c>
      <c r="Q1050" s="11" t="s">
        <v>90</v>
      </c>
      <c r="R1050" s="11" t="s">
        <v>1066</v>
      </c>
      <c r="S1050" s="11" t="s">
        <v>2717</v>
      </c>
      <c r="T1050" s="116" t="s">
        <v>1</v>
      </c>
      <c r="U1050" s="88"/>
      <c r="V1050" s="51">
        <v>45894</v>
      </c>
      <c r="W1050" s="97" t="s">
        <v>1577</v>
      </c>
      <c r="X1050" s="135" t="str">
        <f>VLOOKUP(Table1[[#This Row],[AMZ ID]],[1]Roster_1787503287932!$D$2:$AU$1370,25,0)</f>
        <v>Present</v>
      </c>
      <c r="Y1050" s="135">
        <f>VLOOKUP(Table1[[#This Row],[AMZ ID]],[1]Roster_1787503287932!$D$2:$AM$1370,35,0)</f>
        <v>0</v>
      </c>
    </row>
    <row r="1051" spans="1:25" ht="13" customHeight="1">
      <c r="A1051" s="11">
        <v>1045</v>
      </c>
      <c r="B1051" s="47">
        <v>203881662</v>
      </c>
      <c r="C1051" s="89" t="s">
        <v>1149</v>
      </c>
      <c r="D1051" s="11" t="s">
        <v>1150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77</v>
      </c>
      <c r="M1051" s="49" t="s">
        <v>78</v>
      </c>
      <c r="N1051" s="49" t="s">
        <v>79</v>
      </c>
      <c r="O1051" s="49" t="s">
        <v>37</v>
      </c>
      <c r="P1051" s="11" t="s">
        <v>80</v>
      </c>
      <c r="Q1051" s="11" t="s">
        <v>81</v>
      </c>
      <c r="R1051" s="11" t="s">
        <v>2845</v>
      </c>
      <c r="S1051" s="11" t="s">
        <v>2846</v>
      </c>
      <c r="T1051" s="116" t="s">
        <v>10</v>
      </c>
      <c r="U1051" s="88"/>
      <c r="V1051" s="51">
        <v>45530</v>
      </c>
      <c r="W1051" s="97" t="s">
        <v>1577</v>
      </c>
      <c r="X1051" s="135" t="str">
        <f>VLOOKUP(Table1[[#This Row],[AMZ ID]],[1]Roster_1787503287932!$D$2:$AU$1370,25,0)</f>
        <v>Not Present</v>
      </c>
      <c r="Y1051" s="135">
        <f>VLOOKUP(Table1[[#This Row],[AMZ ID]],[1]Roster_1787503287932!$D$2:$AM$1370,35,0)</f>
        <v>0</v>
      </c>
    </row>
    <row r="1052" spans="1:25" ht="13" customHeight="1">
      <c r="A1052" s="11">
        <v>1046</v>
      </c>
      <c r="B1052" s="47">
        <v>203851101</v>
      </c>
      <c r="C1052" s="89" t="s">
        <v>1151</v>
      </c>
      <c r="D1052" s="11" t="s">
        <v>1152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8" t="s">
        <v>79</v>
      </c>
      <c r="O1052" s="49" t="s">
        <v>37</v>
      </c>
      <c r="P1052" s="11" t="s">
        <v>80</v>
      </c>
      <c r="Q1052" s="11" t="s">
        <v>81</v>
      </c>
      <c r="R1052" s="49" t="s">
        <v>1066</v>
      </c>
      <c r="S1052" s="11" t="s">
        <v>2717</v>
      </c>
      <c r="T1052" s="116" t="s">
        <v>10</v>
      </c>
      <c r="U1052" s="88"/>
      <c r="V1052" s="51">
        <v>45524</v>
      </c>
      <c r="W1052" s="97" t="s">
        <v>1579</v>
      </c>
      <c r="X1052" s="135" t="str">
        <f>VLOOKUP(Table1[[#This Row],[AMZ ID]],[1]Roster_1787503287932!$D$2:$AU$1370,25,0)</f>
        <v>Not Present</v>
      </c>
      <c r="Y1052" s="135">
        <f>VLOOKUP(Table1[[#This Row],[AMZ ID]],[1]Roster_1787503287932!$D$2:$AM$1370,35,0)</f>
        <v>0</v>
      </c>
    </row>
    <row r="1053" spans="1:25" ht="13" customHeight="1">
      <c r="A1053" s="11">
        <v>1047</v>
      </c>
      <c r="B1053" s="47">
        <v>205997634</v>
      </c>
      <c r="C1053" s="89" t="s">
        <v>1153</v>
      </c>
      <c r="D1053" s="11" t="s">
        <v>1154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88</v>
      </c>
      <c r="M1053" s="49" t="s">
        <v>95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49" t="s">
        <v>1066</v>
      </c>
      <c r="S1053" s="11" t="s">
        <v>2717</v>
      </c>
      <c r="T1053" s="116" t="s">
        <v>1</v>
      </c>
      <c r="U1053" s="88"/>
      <c r="V1053" s="51">
        <v>45915</v>
      </c>
      <c r="W1053" s="97" t="s">
        <v>1577</v>
      </c>
      <c r="X1053" s="135" t="str">
        <f>VLOOKUP(Table1[[#This Row],[AMZ ID]],[1]Roster_1787503287932!$D$2:$AU$1370,25,0)</f>
        <v>Present</v>
      </c>
      <c r="Y1053" s="135">
        <f>VLOOKUP(Table1[[#This Row],[AMZ ID]],[1]Roster_1787503287932!$D$2:$AM$1370,35,0)</f>
        <v>0</v>
      </c>
    </row>
    <row r="1054" spans="1:25" ht="13" customHeight="1">
      <c r="A1054" s="11">
        <v>1048</v>
      </c>
      <c r="B1054" s="47">
        <v>204967557</v>
      </c>
      <c r="C1054" s="89" t="s">
        <v>1155</v>
      </c>
      <c r="D1054" s="11" t="s">
        <v>1156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85</v>
      </c>
      <c r="M1054" s="49" t="s">
        <v>88</v>
      </c>
      <c r="N1054" s="48" t="s">
        <v>86</v>
      </c>
      <c r="O1054" s="49" t="s">
        <v>37</v>
      </c>
      <c r="P1054" s="11" t="s">
        <v>80</v>
      </c>
      <c r="Q1054" s="11" t="s">
        <v>90</v>
      </c>
      <c r="R1054" s="11" t="s">
        <v>647</v>
      </c>
      <c r="S1054" s="11" t="s">
        <v>1798</v>
      </c>
      <c r="T1054" s="116" t="s">
        <v>1</v>
      </c>
      <c r="U1054" s="88"/>
      <c r="V1054" s="51">
        <v>45719</v>
      </c>
      <c r="W1054" s="97" t="s">
        <v>1577</v>
      </c>
      <c r="X1054" s="135" t="str">
        <f>VLOOKUP(Table1[[#This Row],[AMZ ID]],[1]Roster_1787503287932!$D$2:$AU$1370,25,0)</f>
        <v>Present</v>
      </c>
      <c r="Y1054" s="135">
        <f>VLOOKUP(Table1[[#This Row],[AMZ ID]],[1]Roster_1787503287932!$D$2:$AM$1370,35,0)</f>
        <v>0</v>
      </c>
    </row>
    <row r="1055" spans="1:25" ht="13" customHeight="1">
      <c r="A1055" s="11">
        <v>1049</v>
      </c>
      <c r="B1055" s="47">
        <v>204967039</v>
      </c>
      <c r="C1055" s="89" t="s">
        <v>1157</v>
      </c>
      <c r="D1055" s="11" t="s">
        <v>1158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77</v>
      </c>
      <c r="M1055" s="49" t="s">
        <v>78</v>
      </c>
      <c r="N1055" s="48" t="s">
        <v>86</v>
      </c>
      <c r="O1055" s="49" t="s">
        <v>37</v>
      </c>
      <c r="P1055" s="11" t="s">
        <v>80</v>
      </c>
      <c r="Q1055" s="11" t="s">
        <v>90</v>
      </c>
      <c r="R1055" s="49" t="s">
        <v>647</v>
      </c>
      <c r="S1055" s="11" t="s">
        <v>1798</v>
      </c>
      <c r="T1055" s="116" t="s">
        <v>10</v>
      </c>
      <c r="U1055" s="88"/>
      <c r="V1055" s="51">
        <v>45719</v>
      </c>
      <c r="W1055" s="97" t="s">
        <v>1577</v>
      </c>
      <c r="X1055" s="135" t="str">
        <f>VLOOKUP(Table1[[#This Row],[AMZ ID]],[1]Roster_1787503287932!$D$2:$AU$1370,25,0)</f>
        <v>Not Present</v>
      </c>
      <c r="Y1055" s="135">
        <f>VLOOKUP(Table1[[#This Row],[AMZ ID]],[1]Roster_1787503287932!$D$2:$AM$1370,35,0)</f>
        <v>0</v>
      </c>
    </row>
    <row r="1056" spans="1:25" ht="13" customHeight="1">
      <c r="A1056" s="11">
        <v>1050</v>
      </c>
      <c r="B1056" s="47">
        <v>204967145</v>
      </c>
      <c r="C1056" s="89" t="s">
        <v>1159</v>
      </c>
      <c r="D1056" s="11" t="s">
        <v>1160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92</v>
      </c>
      <c r="M1056" s="49" t="s">
        <v>84</v>
      </c>
      <c r="N1056" s="48" t="s">
        <v>86</v>
      </c>
      <c r="O1056" s="49" t="s">
        <v>37</v>
      </c>
      <c r="P1056" s="11" t="s">
        <v>80</v>
      </c>
      <c r="Q1056" s="11" t="s">
        <v>90</v>
      </c>
      <c r="R1056" s="11" t="s">
        <v>1066</v>
      </c>
      <c r="S1056" s="11" t="s">
        <v>2717</v>
      </c>
      <c r="T1056" s="116" t="s">
        <v>1</v>
      </c>
      <c r="U1056" s="88"/>
      <c r="V1056" s="51">
        <v>45719</v>
      </c>
      <c r="W1056" s="97" t="s">
        <v>1579</v>
      </c>
      <c r="X1056" s="135" t="str">
        <f>VLOOKUP(Table1[[#This Row],[AMZ ID]],[1]Roster_1787503287932!$D$2:$AU$1370,25,0)</f>
        <v>Present</v>
      </c>
      <c r="Y1056" s="135">
        <f>VLOOKUP(Table1[[#This Row],[AMZ ID]],[1]Roster_1787503287932!$D$2:$AM$1370,35,0)</f>
        <v>0</v>
      </c>
    </row>
    <row r="1057" spans="1:25" ht="13" customHeight="1">
      <c r="A1057" s="11">
        <v>1051</v>
      </c>
      <c r="B1057" s="47">
        <v>203512946</v>
      </c>
      <c r="C1057" s="89" t="s">
        <v>1161</v>
      </c>
      <c r="D1057" s="11" t="s">
        <v>1162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32</v>
      </c>
      <c r="K1057" s="49" t="s">
        <v>76</v>
      </c>
      <c r="L1057" s="49" t="s">
        <v>95</v>
      </c>
      <c r="M1057" s="49" t="s">
        <v>77</v>
      </c>
      <c r="N1057" s="48" t="s">
        <v>79</v>
      </c>
      <c r="O1057" s="49" t="s">
        <v>37</v>
      </c>
      <c r="P1057" s="11" t="s">
        <v>80</v>
      </c>
      <c r="Q1057" s="11" t="s">
        <v>81</v>
      </c>
      <c r="R1057" s="49" t="s">
        <v>2845</v>
      </c>
      <c r="S1057" s="11" t="s">
        <v>2846</v>
      </c>
      <c r="T1057" s="116" t="s">
        <v>1</v>
      </c>
      <c r="U1057" s="88"/>
      <c r="V1057" s="51">
        <v>45463</v>
      </c>
      <c r="W1057" s="97" t="s">
        <v>1577</v>
      </c>
      <c r="X1057" s="135" t="str">
        <f>VLOOKUP(Table1[[#This Row],[AMZ ID]],[1]Roster_1787503287932!$D$2:$AU$1370,25,0)</f>
        <v>Present</v>
      </c>
      <c r="Y1057" s="135">
        <f>VLOOKUP(Table1[[#This Row],[AMZ ID]],[1]Roster_1787503287932!$D$2:$AM$1370,35,0)</f>
        <v>0</v>
      </c>
    </row>
    <row r="1058" spans="1:25" ht="13" customHeight="1">
      <c r="A1058" s="11">
        <v>1052</v>
      </c>
      <c r="B1058" s="47">
        <v>202189563</v>
      </c>
      <c r="C1058" s="89" t="s">
        <v>1163</v>
      </c>
      <c r="D1058" s="11" t="s">
        <v>1164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84</v>
      </c>
      <c r="M1058" s="49" t="s">
        <v>85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49" t="s">
        <v>647</v>
      </c>
      <c r="S1058" s="11" t="s">
        <v>1798</v>
      </c>
      <c r="T1058" s="116" t="s">
        <v>1</v>
      </c>
      <c r="U1058" s="88"/>
      <c r="V1058" s="51">
        <v>45537</v>
      </c>
      <c r="W1058" s="97" t="s">
        <v>1578</v>
      </c>
      <c r="X1058" s="135" t="str">
        <f>VLOOKUP(Table1[[#This Row],[AMZ ID]],[1]Roster_1787503287932!$D$2:$AU$1370,25,0)</f>
        <v>Present</v>
      </c>
      <c r="Y1058" s="135">
        <f>VLOOKUP(Table1[[#This Row],[AMZ ID]],[1]Roster_1787503287932!$D$2:$AM$1370,35,0)</f>
        <v>0</v>
      </c>
    </row>
    <row r="1059" spans="1:25" ht="13" customHeight="1">
      <c r="A1059" s="11">
        <v>1053</v>
      </c>
      <c r="B1059" s="47">
        <v>205854084</v>
      </c>
      <c r="C1059" s="89" t="s">
        <v>1165</v>
      </c>
      <c r="D1059" s="11" t="s">
        <v>1166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96</v>
      </c>
      <c r="R1059" s="49" t="s">
        <v>631</v>
      </c>
      <c r="S1059" s="11" t="s">
        <v>632</v>
      </c>
      <c r="T1059" s="116" t="s">
        <v>1</v>
      </c>
      <c r="U1059" s="88"/>
      <c r="V1059" s="51">
        <v>45894</v>
      </c>
      <c r="W1059" s="97" t="s">
        <v>1577</v>
      </c>
      <c r="X1059" s="135" t="str">
        <f>VLOOKUP(Table1[[#This Row],[AMZ ID]],[1]Roster_1787503287932!$D$2:$AU$1370,25,0)</f>
        <v>Present</v>
      </c>
      <c r="Y1059" s="135">
        <f>VLOOKUP(Table1[[#This Row],[AMZ ID]],[1]Roster_1787503287932!$D$2:$AM$1370,35,0)</f>
        <v>0</v>
      </c>
    </row>
    <row r="1060" spans="1:25" ht="13" customHeight="1">
      <c r="A1060" s="11">
        <v>1054</v>
      </c>
      <c r="B1060" s="47">
        <v>106268302</v>
      </c>
      <c r="C1060" s="89" t="s">
        <v>1167</v>
      </c>
      <c r="D1060" s="11" t="s">
        <v>1168</v>
      </c>
      <c r="E1060" s="48" t="s">
        <v>34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95</v>
      </c>
      <c r="M1060" s="49" t="s">
        <v>77</v>
      </c>
      <c r="N1060" s="48" t="s">
        <v>97</v>
      </c>
      <c r="O1060" s="49" t="s">
        <v>37</v>
      </c>
      <c r="P1060" s="11" t="s">
        <v>80</v>
      </c>
      <c r="Q1060" s="11" t="s">
        <v>98</v>
      </c>
      <c r="R1060" s="11" t="s">
        <v>639</v>
      </c>
      <c r="S1060" s="11" t="s">
        <v>2718</v>
      </c>
      <c r="T1060" s="116" t="s">
        <v>1</v>
      </c>
      <c r="U1060" s="88"/>
      <c r="V1060" s="51">
        <v>44839</v>
      </c>
      <c r="W1060" s="97" t="s">
        <v>1581</v>
      </c>
      <c r="X1060" s="135" t="str">
        <f>VLOOKUP(Table1[[#This Row],[AMZ ID]],[1]Roster_1787503287932!$D$2:$AU$1370,25,0)</f>
        <v>Present</v>
      </c>
      <c r="Y1060" s="135">
        <f>VLOOKUP(Table1[[#This Row],[AMZ ID]],[1]Roster_1787503287932!$D$2:$AM$1370,35,0)</f>
        <v>0</v>
      </c>
    </row>
    <row r="1061" spans="1:25" ht="13" customHeight="1">
      <c r="A1061" s="11">
        <v>1055</v>
      </c>
      <c r="B1061" s="47">
        <v>206915472</v>
      </c>
      <c r="C1061" s="89" t="s">
        <v>1912</v>
      </c>
      <c r="D1061" s="11" t="s">
        <v>1906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39</v>
      </c>
      <c r="K1061" s="49" t="s">
        <v>76</v>
      </c>
      <c r="L1061" s="49" t="s">
        <v>95</v>
      </c>
      <c r="M1061" s="49" t="s">
        <v>77</v>
      </c>
      <c r="N1061" s="48" t="s">
        <v>89</v>
      </c>
      <c r="O1061" s="49" t="s">
        <v>37</v>
      </c>
      <c r="P1061" s="11" t="s">
        <v>80</v>
      </c>
      <c r="Q1061" s="11" t="s">
        <v>90</v>
      </c>
      <c r="R1061" s="11" t="s">
        <v>627</v>
      </c>
      <c r="S1061" s="11" t="s">
        <v>628</v>
      </c>
      <c r="T1061" s="116" t="s">
        <v>1</v>
      </c>
      <c r="U1061" s="88"/>
      <c r="V1061" s="51">
        <v>46034</v>
      </c>
      <c r="W1061" s="97" t="s">
        <v>1577</v>
      </c>
      <c r="X1061" s="135" t="str">
        <f>VLOOKUP(Table1[[#This Row],[AMZ ID]],[1]Roster_1787503287932!$D$2:$AU$1370,25,0)</f>
        <v>Present</v>
      </c>
      <c r="Y1061" s="135">
        <f>VLOOKUP(Table1[[#This Row],[AMZ ID]],[1]Roster_1787503287932!$D$2:$AM$1370,35,0)</f>
        <v>0</v>
      </c>
    </row>
    <row r="1062" spans="1:25" ht="13" customHeight="1">
      <c r="A1062" s="11">
        <v>1056</v>
      </c>
      <c r="B1062" s="47">
        <v>206129616</v>
      </c>
      <c r="C1062" s="89" t="s">
        <v>1169</v>
      </c>
      <c r="D1062" s="11" t="s">
        <v>1170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84</v>
      </c>
      <c r="M1062" s="49" t="s">
        <v>85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11" t="s">
        <v>647</v>
      </c>
      <c r="S1062" s="11" t="s">
        <v>1798</v>
      </c>
      <c r="T1062" s="116" t="s">
        <v>1</v>
      </c>
      <c r="U1062" s="88"/>
      <c r="V1062" s="51">
        <v>45929</v>
      </c>
      <c r="W1062" s="97" t="s">
        <v>1577</v>
      </c>
      <c r="X1062" s="135" t="str">
        <f>VLOOKUP(Table1[[#This Row],[AMZ ID]],[1]Roster_1787503287932!$D$2:$AU$1370,25,0)</f>
        <v>Present</v>
      </c>
      <c r="Y1062" s="135">
        <f>VLOOKUP(Table1[[#This Row],[AMZ ID]],[1]Roster_1787503287932!$D$2:$AM$1370,35,0)</f>
        <v>0</v>
      </c>
    </row>
    <row r="1063" spans="1:25" ht="13" customHeight="1">
      <c r="A1063" s="11">
        <v>1057</v>
      </c>
      <c r="B1063" s="47">
        <v>204951315</v>
      </c>
      <c r="C1063" s="89" t="s">
        <v>2420</v>
      </c>
      <c r="D1063" s="11" t="s">
        <v>2421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92</v>
      </c>
      <c r="M1063" s="49" t="s">
        <v>84</v>
      </c>
      <c r="N1063" s="48" t="s">
        <v>86</v>
      </c>
      <c r="O1063" s="49" t="s">
        <v>37</v>
      </c>
      <c r="P1063" s="11" t="s">
        <v>80</v>
      </c>
      <c r="Q1063" s="11" t="s">
        <v>90</v>
      </c>
      <c r="R1063" s="49" t="s">
        <v>647</v>
      </c>
      <c r="S1063" s="11" t="s">
        <v>1798</v>
      </c>
      <c r="T1063" s="116" t="s">
        <v>1</v>
      </c>
      <c r="U1063" s="88"/>
      <c r="V1063" s="51">
        <v>45719</v>
      </c>
      <c r="W1063" s="97" t="s">
        <v>1577</v>
      </c>
      <c r="X1063" s="135" t="str">
        <f>VLOOKUP(Table1[[#This Row],[AMZ ID]],[1]Roster_1787503287932!$D$2:$AU$1370,25,0)</f>
        <v>Present</v>
      </c>
      <c r="Y1063" s="135">
        <f>VLOOKUP(Table1[[#This Row],[AMZ ID]],[1]Roster_1787503287932!$D$2:$AM$1370,35,0)</f>
        <v>0</v>
      </c>
    </row>
    <row r="1064" spans="1:25" ht="13" customHeight="1">
      <c r="A1064" s="11">
        <v>1058</v>
      </c>
      <c r="B1064" s="47">
        <v>204009351</v>
      </c>
      <c r="C1064" s="89" t="s">
        <v>1171</v>
      </c>
      <c r="D1064" s="11" t="s">
        <v>1172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88</v>
      </c>
      <c r="M1064" s="49" t="s">
        <v>95</v>
      </c>
      <c r="N1064" s="48" t="s">
        <v>86</v>
      </c>
      <c r="O1064" s="49" t="s">
        <v>37</v>
      </c>
      <c r="P1064" s="11" t="s">
        <v>80</v>
      </c>
      <c r="Q1064" s="11" t="s">
        <v>90</v>
      </c>
      <c r="R1064" s="11" t="s">
        <v>647</v>
      </c>
      <c r="S1064" s="11" t="s">
        <v>1798</v>
      </c>
      <c r="T1064" s="116" t="s">
        <v>1</v>
      </c>
      <c r="U1064" s="88"/>
      <c r="V1064" s="51">
        <v>45551</v>
      </c>
      <c r="W1064" s="97" t="s">
        <v>1577</v>
      </c>
      <c r="X1064" s="135" t="str">
        <f>VLOOKUP(Table1[[#This Row],[AMZ ID]],[1]Roster_1787503287932!$D$2:$AU$1370,25,0)</f>
        <v>Present</v>
      </c>
      <c r="Y1064" s="135">
        <f>VLOOKUP(Table1[[#This Row],[AMZ ID]],[1]Roster_1787503287932!$D$2:$AM$1370,35,0)</f>
        <v>0</v>
      </c>
    </row>
    <row r="1065" spans="1:25" ht="13" customHeight="1">
      <c r="A1065" s="11">
        <v>1059</v>
      </c>
      <c r="B1065" s="47">
        <v>203512947</v>
      </c>
      <c r="C1065" s="89" t="s">
        <v>1173</v>
      </c>
      <c r="D1065" s="11" t="s">
        <v>1174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88</v>
      </c>
      <c r="M1065" s="49" t="s">
        <v>95</v>
      </c>
      <c r="N1065" s="48" t="s">
        <v>79</v>
      </c>
      <c r="O1065" s="49" t="s">
        <v>37</v>
      </c>
      <c r="P1065" s="11" t="s">
        <v>80</v>
      </c>
      <c r="Q1065" s="11" t="s">
        <v>81</v>
      </c>
      <c r="R1065" s="11" t="s">
        <v>1066</v>
      </c>
      <c r="S1065" s="11" t="s">
        <v>2717</v>
      </c>
      <c r="T1065" s="116" t="s">
        <v>1</v>
      </c>
      <c r="U1065" s="88"/>
      <c r="V1065" s="51">
        <v>45463</v>
      </c>
      <c r="W1065" s="97" t="s">
        <v>1577</v>
      </c>
      <c r="X1065" s="135" t="str">
        <f>VLOOKUP(Table1[[#This Row],[AMZ ID]],[1]Roster_1787503287932!$D$2:$AU$1370,25,0)</f>
        <v>Present</v>
      </c>
      <c r="Y1065" s="135">
        <f>VLOOKUP(Table1[[#This Row],[AMZ ID]],[1]Roster_1787503287932!$D$2:$AM$1370,35,0)</f>
        <v>0</v>
      </c>
    </row>
    <row r="1066" spans="1:25" ht="13" customHeight="1">
      <c r="A1066" s="11">
        <v>1060</v>
      </c>
      <c r="B1066" s="47">
        <v>206006426</v>
      </c>
      <c r="C1066" s="89" t="s">
        <v>1175</v>
      </c>
      <c r="D1066" s="11" t="s">
        <v>1176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77</v>
      </c>
      <c r="M1066" s="49" t="s">
        <v>78</v>
      </c>
      <c r="N1066" s="49" t="s">
        <v>79</v>
      </c>
      <c r="O1066" s="49" t="s">
        <v>37</v>
      </c>
      <c r="P1066" s="11" t="s">
        <v>80</v>
      </c>
      <c r="Q1066" s="11" t="s">
        <v>81</v>
      </c>
      <c r="R1066" s="11" t="s">
        <v>2719</v>
      </c>
      <c r="S1066" s="11" t="s">
        <v>642</v>
      </c>
      <c r="T1066" s="116" t="s">
        <v>10</v>
      </c>
      <c r="U1066" s="88"/>
      <c r="V1066" s="51">
        <v>45915</v>
      </c>
      <c r="W1066" s="97" t="s">
        <v>1577</v>
      </c>
      <c r="X1066" s="135" t="str">
        <f>VLOOKUP(Table1[[#This Row],[AMZ ID]],[1]Roster_1787503287932!$D$2:$AU$1370,25,0)</f>
        <v>Not Present</v>
      </c>
      <c r="Y1066" s="135">
        <f>VLOOKUP(Table1[[#This Row],[AMZ ID]],[1]Roster_1787503287932!$D$2:$AM$1370,35,0)</f>
        <v>0</v>
      </c>
    </row>
    <row r="1067" spans="1:25" ht="13" customHeight="1">
      <c r="A1067" s="11">
        <v>1061</v>
      </c>
      <c r="B1067" s="92">
        <v>203512670</v>
      </c>
      <c r="C1067" s="47" t="s">
        <v>732</v>
      </c>
      <c r="D1067" s="89" t="s">
        <v>733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77</v>
      </c>
      <c r="M1067" s="49" t="s">
        <v>78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11" t="s">
        <v>631</v>
      </c>
      <c r="S1067" s="11" t="s">
        <v>632</v>
      </c>
      <c r="T1067" s="116" t="s">
        <v>10</v>
      </c>
      <c r="U1067" s="88"/>
      <c r="V1067" s="51">
        <v>45463</v>
      </c>
      <c r="W1067" s="97" t="s">
        <v>1579</v>
      </c>
      <c r="X1067" s="135" t="str">
        <f>VLOOKUP(Table1[[#This Row],[AMZ ID]],[1]Roster_1787503287932!$D$2:$AU$1370,25,0)</f>
        <v>Not Present</v>
      </c>
      <c r="Y1067" s="135">
        <f>VLOOKUP(Table1[[#This Row],[AMZ ID]],[1]Roster_1787503287932!$D$2:$AM$1370,35,0)</f>
        <v>0</v>
      </c>
    </row>
    <row r="1068" spans="1:25" ht="13" customHeight="1">
      <c r="A1068" s="11">
        <v>1062</v>
      </c>
      <c r="B1068" s="47">
        <v>203522194</v>
      </c>
      <c r="C1068" s="89" t="s">
        <v>1179</v>
      </c>
      <c r="D1068" s="11" t="s">
        <v>1180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39</v>
      </c>
      <c r="K1068" s="49" t="s">
        <v>76</v>
      </c>
      <c r="L1068" s="49" t="s">
        <v>92</v>
      </c>
      <c r="M1068" s="49" t="s">
        <v>84</v>
      </c>
      <c r="N1068" s="48" t="s">
        <v>86</v>
      </c>
      <c r="O1068" s="49" t="s">
        <v>37</v>
      </c>
      <c r="P1068" s="11" t="s">
        <v>80</v>
      </c>
      <c r="Q1068" s="11" t="s">
        <v>99</v>
      </c>
      <c r="R1068" s="11" t="s">
        <v>647</v>
      </c>
      <c r="S1068" s="11" t="s">
        <v>1798</v>
      </c>
      <c r="T1068" s="116" t="s">
        <v>1</v>
      </c>
      <c r="U1068" s="88"/>
      <c r="V1068" s="51">
        <v>45463</v>
      </c>
      <c r="W1068" s="97" t="s">
        <v>1579</v>
      </c>
      <c r="X1068" s="135" t="str">
        <f>VLOOKUP(Table1[[#This Row],[AMZ ID]],[1]Roster_1787503287932!$D$2:$AU$1370,25,0)</f>
        <v>Present</v>
      </c>
      <c r="Y1068" s="135">
        <f>VLOOKUP(Table1[[#This Row],[AMZ ID]],[1]Roster_1787503287932!$D$2:$AM$1370,35,0)</f>
        <v>0</v>
      </c>
    </row>
    <row r="1069" spans="1:25" ht="13" customHeight="1">
      <c r="A1069" s="11">
        <v>1063</v>
      </c>
      <c r="B1069" s="47">
        <v>204138127</v>
      </c>
      <c r="C1069" s="89" t="s">
        <v>1181</v>
      </c>
      <c r="D1069" s="11" t="s">
        <v>1182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32</v>
      </c>
      <c r="K1069" s="49" t="s">
        <v>76</v>
      </c>
      <c r="L1069" s="49" t="s">
        <v>92</v>
      </c>
      <c r="M1069" s="49" t="s">
        <v>84</v>
      </c>
      <c r="N1069" s="48" t="s">
        <v>86</v>
      </c>
      <c r="O1069" s="49" t="s">
        <v>37</v>
      </c>
      <c r="P1069" s="11" t="s">
        <v>80</v>
      </c>
      <c r="Q1069" s="11" t="s">
        <v>87</v>
      </c>
      <c r="R1069" s="49" t="s">
        <v>639</v>
      </c>
      <c r="S1069" s="11" t="s">
        <v>2718</v>
      </c>
      <c r="T1069" s="116" t="s">
        <v>1</v>
      </c>
      <c r="U1069" s="88"/>
      <c r="V1069" s="51">
        <v>45565</v>
      </c>
      <c r="W1069" s="97" t="s">
        <v>1579</v>
      </c>
      <c r="X1069" s="135" t="str">
        <f>VLOOKUP(Table1[[#This Row],[AMZ ID]],[1]Roster_1787503287932!$D$2:$AU$1370,25,0)</f>
        <v>Present</v>
      </c>
      <c r="Y1069" s="135">
        <f>VLOOKUP(Table1[[#This Row],[AMZ ID]],[1]Roster_1787503287932!$D$2:$AM$1370,35,0)</f>
        <v>0</v>
      </c>
    </row>
    <row r="1070" spans="1:25" ht="13" customHeight="1">
      <c r="A1070" s="11">
        <v>1064</v>
      </c>
      <c r="B1070" s="47">
        <v>205996131</v>
      </c>
      <c r="C1070" s="89" t="s">
        <v>1183</v>
      </c>
      <c r="D1070" s="11" t="s">
        <v>1184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78</v>
      </c>
      <c r="M1070" s="49" t="s">
        <v>92</v>
      </c>
      <c r="N1070" s="48" t="s">
        <v>89</v>
      </c>
      <c r="O1070" s="49" t="s">
        <v>37</v>
      </c>
      <c r="P1070" s="11" t="s">
        <v>80</v>
      </c>
      <c r="Q1070" s="11" t="s">
        <v>81</v>
      </c>
      <c r="R1070" s="11" t="s">
        <v>631</v>
      </c>
      <c r="S1070" s="11" t="s">
        <v>632</v>
      </c>
      <c r="T1070" s="116" t="s">
        <v>10</v>
      </c>
      <c r="U1070" s="88"/>
      <c r="V1070" s="51">
        <v>45915</v>
      </c>
      <c r="W1070" s="97" t="s">
        <v>1577</v>
      </c>
      <c r="X1070" s="135" t="str">
        <f>VLOOKUP(Table1[[#This Row],[AMZ ID]],[1]Roster_1787503287932!$D$2:$AU$1370,25,0)</f>
        <v>Not Present</v>
      </c>
      <c r="Y1070" s="135">
        <f>VLOOKUP(Table1[[#This Row],[AMZ ID]],[1]Roster_1787503287932!$D$2:$AM$1370,35,0)</f>
        <v>0</v>
      </c>
    </row>
    <row r="1071" spans="1:25" ht="13" customHeight="1">
      <c r="A1071" s="11">
        <v>1065</v>
      </c>
      <c r="B1071" s="47">
        <v>206072874</v>
      </c>
      <c r="C1071" s="89" t="s">
        <v>1185</v>
      </c>
      <c r="D1071" s="11" t="s">
        <v>1186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92</v>
      </c>
      <c r="M1071" s="49" t="s">
        <v>84</v>
      </c>
      <c r="N1071" s="48" t="s">
        <v>79</v>
      </c>
      <c r="O1071" s="49" t="s">
        <v>37</v>
      </c>
      <c r="P1071" s="11" t="s">
        <v>80</v>
      </c>
      <c r="Q1071" s="11" t="s">
        <v>81</v>
      </c>
      <c r="R1071" s="11" t="s">
        <v>647</v>
      </c>
      <c r="S1071" s="11" t="s">
        <v>1798</v>
      </c>
      <c r="T1071" s="116" t="s">
        <v>1</v>
      </c>
      <c r="U1071" s="88"/>
      <c r="V1071" s="51">
        <v>45929</v>
      </c>
      <c r="W1071" s="97" t="s">
        <v>1577</v>
      </c>
      <c r="X1071" s="135" t="str">
        <f>VLOOKUP(Table1[[#This Row],[AMZ ID]],[1]Roster_1787503287932!$D$2:$AU$1370,25,0)</f>
        <v>Present</v>
      </c>
      <c r="Y1071" s="135">
        <f>VLOOKUP(Table1[[#This Row],[AMZ ID]],[1]Roster_1787503287932!$D$2:$AM$1370,35,0)</f>
        <v>0</v>
      </c>
    </row>
    <row r="1072" spans="1:25" ht="13" customHeight="1">
      <c r="A1072" s="11">
        <v>1066</v>
      </c>
      <c r="B1072" s="47">
        <v>203964991</v>
      </c>
      <c r="C1072" s="89" t="s">
        <v>1187</v>
      </c>
      <c r="D1072" s="11" t="s">
        <v>1188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85</v>
      </c>
      <c r="M1072" s="49" t="s">
        <v>88</v>
      </c>
      <c r="N1072" s="49" t="s">
        <v>86</v>
      </c>
      <c r="O1072" s="48" t="s">
        <v>37</v>
      </c>
      <c r="P1072" s="48" t="s">
        <v>80</v>
      </c>
      <c r="Q1072" s="11" t="s">
        <v>99</v>
      </c>
      <c r="R1072" s="49" t="s">
        <v>647</v>
      </c>
      <c r="S1072" s="11" t="s">
        <v>1798</v>
      </c>
      <c r="T1072" s="116" t="s">
        <v>1</v>
      </c>
      <c r="U1072" s="88"/>
      <c r="V1072" s="51">
        <v>45544</v>
      </c>
      <c r="W1072" s="97" t="s">
        <v>1577</v>
      </c>
      <c r="X1072" s="135" t="str">
        <f>VLOOKUP(Table1[[#This Row],[AMZ ID]],[1]Roster_1787503287932!$D$2:$AU$1370,25,0)</f>
        <v>Present</v>
      </c>
      <c r="Y1072" s="135">
        <f>VLOOKUP(Table1[[#This Row],[AMZ ID]],[1]Roster_1787503287932!$D$2:$AM$1370,35,0)</f>
        <v>0</v>
      </c>
    </row>
    <row r="1073" spans="1:25" ht="13" customHeight="1">
      <c r="A1073" s="11">
        <v>1067</v>
      </c>
      <c r="B1073" s="47">
        <v>203468747</v>
      </c>
      <c r="C1073" s="89" t="s">
        <v>1191</v>
      </c>
      <c r="D1073" s="11" t="s">
        <v>1192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95</v>
      </c>
      <c r="M1073" s="49" t="s">
        <v>77</v>
      </c>
      <c r="N1073" s="49" t="s">
        <v>79</v>
      </c>
      <c r="O1073" s="49" t="s">
        <v>37</v>
      </c>
      <c r="P1073" s="11" t="s">
        <v>80</v>
      </c>
      <c r="Q1073" s="11" t="s">
        <v>81</v>
      </c>
      <c r="R1073" s="49" t="s">
        <v>1066</v>
      </c>
      <c r="S1073" s="11" t="s">
        <v>2717</v>
      </c>
      <c r="T1073" s="116" t="s">
        <v>1</v>
      </c>
      <c r="U1073" s="88"/>
      <c r="V1073" s="51">
        <v>45456</v>
      </c>
      <c r="W1073" s="97" t="s">
        <v>1579</v>
      </c>
      <c r="X1073" s="135" t="str">
        <f>VLOOKUP(Table1[[#This Row],[AMZ ID]],[1]Roster_1787503287932!$D$2:$AU$1370,25,0)</f>
        <v>Present</v>
      </c>
      <c r="Y1073" s="135">
        <f>VLOOKUP(Table1[[#This Row],[AMZ ID]],[1]Roster_1787503287932!$D$2:$AM$1370,35,0)</f>
        <v>0</v>
      </c>
    </row>
    <row r="1074" spans="1:25" ht="13" customHeight="1">
      <c r="A1074" s="11">
        <v>1068</v>
      </c>
      <c r="B1074" s="47">
        <v>203908339</v>
      </c>
      <c r="C1074" s="89" t="s">
        <v>1193</v>
      </c>
      <c r="D1074" s="11" t="s">
        <v>1194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92</v>
      </c>
      <c r="M1074" s="49" t="s">
        <v>84</v>
      </c>
      <c r="N1074" s="49" t="s">
        <v>79</v>
      </c>
      <c r="O1074" s="49" t="s">
        <v>37</v>
      </c>
      <c r="P1074" s="11" t="s">
        <v>80</v>
      </c>
      <c r="Q1074" s="11" t="s">
        <v>81</v>
      </c>
      <c r="R1074" s="11" t="s">
        <v>647</v>
      </c>
      <c r="S1074" s="11" t="s">
        <v>1798</v>
      </c>
      <c r="T1074" s="116" t="s">
        <v>1</v>
      </c>
      <c r="U1074" s="88"/>
      <c r="V1074" s="51">
        <v>45537</v>
      </c>
      <c r="W1074" s="97" t="s">
        <v>1577</v>
      </c>
      <c r="X1074" s="135" t="str">
        <f>VLOOKUP(Table1[[#This Row],[AMZ ID]],[1]Roster_1787503287932!$D$2:$AU$1370,25,0)</f>
        <v>Present</v>
      </c>
      <c r="Y1074" s="135">
        <f>VLOOKUP(Table1[[#This Row],[AMZ ID]],[1]Roster_1787503287932!$D$2:$AM$1370,35,0)</f>
        <v>0</v>
      </c>
    </row>
    <row r="1075" spans="1:25" ht="13" customHeight="1">
      <c r="A1075" s="11">
        <v>1069</v>
      </c>
      <c r="B1075" s="47">
        <v>203850898</v>
      </c>
      <c r="C1075" s="89" t="s">
        <v>2422</v>
      </c>
      <c r="D1075" s="11" t="s">
        <v>2423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95</v>
      </c>
      <c r="M1075" s="49" t="s">
        <v>77</v>
      </c>
      <c r="N1075" s="48" t="s">
        <v>86</v>
      </c>
      <c r="O1075" s="49" t="s">
        <v>37</v>
      </c>
      <c r="P1075" s="11" t="s">
        <v>80</v>
      </c>
      <c r="Q1075" s="11" t="s">
        <v>90</v>
      </c>
      <c r="R1075" s="11" t="s">
        <v>631</v>
      </c>
      <c r="S1075" s="11" t="s">
        <v>632</v>
      </c>
      <c r="T1075" s="116" t="s">
        <v>1</v>
      </c>
      <c r="U1075" s="88"/>
      <c r="V1075" s="51">
        <v>45524</v>
      </c>
      <c r="W1075" s="97" t="s">
        <v>1577</v>
      </c>
      <c r="X1075" s="135" t="str">
        <f>VLOOKUP(Table1[[#This Row],[AMZ ID]],[1]Roster_1787503287932!$D$2:$AU$1370,25,0)</f>
        <v>Present</v>
      </c>
      <c r="Y1075" s="135">
        <f>VLOOKUP(Table1[[#This Row],[AMZ ID]],[1]Roster_1787503287932!$D$2:$AM$1370,35,0)</f>
        <v>0</v>
      </c>
    </row>
    <row r="1076" spans="1:25" ht="13" customHeight="1">
      <c r="A1076" s="11">
        <v>1070</v>
      </c>
      <c r="B1076" s="47">
        <v>204138128</v>
      </c>
      <c r="C1076" s="89" t="s">
        <v>1195</v>
      </c>
      <c r="D1076" s="11" t="s">
        <v>1196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39</v>
      </c>
      <c r="K1076" s="49" t="s">
        <v>76</v>
      </c>
      <c r="L1076" s="49" t="s">
        <v>77</v>
      </c>
      <c r="M1076" s="49" t="s">
        <v>78</v>
      </c>
      <c r="N1076" s="48" t="s">
        <v>86</v>
      </c>
      <c r="O1076" s="49" t="s">
        <v>37</v>
      </c>
      <c r="P1076" s="11" t="s">
        <v>80</v>
      </c>
      <c r="Q1076" s="11" t="s">
        <v>87</v>
      </c>
      <c r="R1076" s="49" t="s">
        <v>627</v>
      </c>
      <c r="S1076" s="11" t="s">
        <v>628</v>
      </c>
      <c r="T1076" s="116" t="s">
        <v>10</v>
      </c>
      <c r="U1076" s="88"/>
      <c r="V1076" s="51">
        <v>45565</v>
      </c>
      <c r="W1076" s="97" t="s">
        <v>1579</v>
      </c>
      <c r="X1076" s="135" t="str">
        <f>VLOOKUP(Table1[[#This Row],[AMZ ID]],[1]Roster_1787503287932!$D$2:$AU$1370,25,0)</f>
        <v>Not Present</v>
      </c>
      <c r="Y1076" s="135">
        <f>VLOOKUP(Table1[[#This Row],[AMZ ID]],[1]Roster_1787503287932!$D$2:$AM$1370,35,0)</f>
        <v>0</v>
      </c>
    </row>
    <row r="1077" spans="1:25" ht="13" customHeight="1">
      <c r="A1077" s="11">
        <v>1071</v>
      </c>
      <c r="B1077" s="47">
        <v>204094494</v>
      </c>
      <c r="C1077" s="89" t="s">
        <v>1197</v>
      </c>
      <c r="D1077" s="11" t="s">
        <v>1198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39</v>
      </c>
      <c r="K1077" s="49" t="s">
        <v>76</v>
      </c>
      <c r="L1077" s="49" t="s">
        <v>95</v>
      </c>
      <c r="M1077" s="49" t="s">
        <v>77</v>
      </c>
      <c r="N1077" s="48" t="s">
        <v>86</v>
      </c>
      <c r="O1077" s="49" t="s">
        <v>37</v>
      </c>
      <c r="P1077" s="11" t="s">
        <v>80</v>
      </c>
      <c r="Q1077" s="11" t="s">
        <v>87</v>
      </c>
      <c r="R1077" s="11" t="s">
        <v>627</v>
      </c>
      <c r="S1077" s="11" t="s">
        <v>628</v>
      </c>
      <c r="T1077" s="116" t="s">
        <v>1</v>
      </c>
      <c r="U1077" s="88"/>
      <c r="V1077" s="51">
        <v>45561</v>
      </c>
      <c r="W1077" s="97" t="s">
        <v>1578</v>
      </c>
      <c r="X1077" s="135" t="str">
        <f>VLOOKUP(Table1[[#This Row],[AMZ ID]],[1]Roster_1787503287932!$D$2:$AU$1370,25,0)</f>
        <v>Present</v>
      </c>
      <c r="Y1077" s="135">
        <f>VLOOKUP(Table1[[#This Row],[AMZ ID]],[1]Roster_1787503287932!$D$2:$AM$1370,35,0)</f>
        <v>0</v>
      </c>
    </row>
    <row r="1078" spans="1:25" ht="13" customHeight="1">
      <c r="A1078" s="11">
        <v>1072</v>
      </c>
      <c r="B1078" s="47">
        <v>203850925</v>
      </c>
      <c r="C1078" s="89" t="s">
        <v>2335</v>
      </c>
      <c r="D1078" s="11" t="s">
        <v>2336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95</v>
      </c>
      <c r="M1078" s="49" t="s">
        <v>77</v>
      </c>
      <c r="N1078" s="48" t="s">
        <v>86</v>
      </c>
      <c r="O1078" s="49" t="s">
        <v>37</v>
      </c>
      <c r="P1078" s="11" t="s">
        <v>80</v>
      </c>
      <c r="Q1078" s="11" t="s">
        <v>90</v>
      </c>
      <c r="R1078" s="49" t="s">
        <v>647</v>
      </c>
      <c r="S1078" s="11" t="s">
        <v>1798</v>
      </c>
      <c r="T1078" s="116" t="s">
        <v>1</v>
      </c>
      <c r="U1078" s="88"/>
      <c r="V1078" s="51">
        <v>45524</v>
      </c>
      <c r="W1078" s="97" t="s">
        <v>1578</v>
      </c>
      <c r="X1078" s="135" t="str">
        <f>VLOOKUP(Table1[[#This Row],[AMZ ID]],[1]Roster_1787503287932!$D$2:$AU$1370,25,0)</f>
        <v>Present</v>
      </c>
      <c r="Y1078" s="135">
        <f>VLOOKUP(Table1[[#This Row],[AMZ ID]],[1]Roster_1787503287932!$D$2:$AM$1370,35,0)</f>
        <v>0</v>
      </c>
    </row>
    <row r="1079" spans="1:25" ht="13" customHeight="1">
      <c r="A1079" s="11">
        <v>1073</v>
      </c>
      <c r="B1079" s="47">
        <v>203965457</v>
      </c>
      <c r="C1079" s="89" t="s">
        <v>1199</v>
      </c>
      <c r="D1079" s="11" t="s">
        <v>1200</v>
      </c>
      <c r="E1079" s="103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39</v>
      </c>
      <c r="K1079" s="49" t="s">
        <v>76</v>
      </c>
      <c r="L1079" s="49" t="s">
        <v>95</v>
      </c>
      <c r="M1079" s="49" t="s">
        <v>77</v>
      </c>
      <c r="N1079" s="49" t="s">
        <v>79</v>
      </c>
      <c r="O1079" s="49" t="s">
        <v>37</v>
      </c>
      <c r="P1079" s="49" t="s">
        <v>80</v>
      </c>
      <c r="Q1079" s="49" t="s">
        <v>81</v>
      </c>
      <c r="R1079" s="11" t="s">
        <v>631</v>
      </c>
      <c r="S1079" s="49" t="s">
        <v>632</v>
      </c>
      <c r="T1079" s="116" t="s">
        <v>1</v>
      </c>
      <c r="U1079" s="88"/>
      <c r="V1079" s="51">
        <v>45544</v>
      </c>
      <c r="W1079" s="97" t="s">
        <v>1577</v>
      </c>
      <c r="X1079" s="135" t="str">
        <f>VLOOKUP(Table1[[#This Row],[AMZ ID]],[1]Roster_1787503287932!$D$2:$AU$1370,25,0)</f>
        <v>Present</v>
      </c>
      <c r="Y1079" s="135">
        <f>VLOOKUP(Table1[[#This Row],[AMZ ID]],[1]Roster_1787503287932!$D$2:$AM$1370,35,0)</f>
        <v>0</v>
      </c>
    </row>
    <row r="1080" spans="1:25" ht="13" customHeight="1">
      <c r="A1080" s="11">
        <v>1074</v>
      </c>
      <c r="B1080" s="47">
        <v>204467948</v>
      </c>
      <c r="C1080" s="89" t="s">
        <v>1201</v>
      </c>
      <c r="D1080" s="11" t="s">
        <v>1202</v>
      </c>
      <c r="E1080" s="11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32</v>
      </c>
      <c r="K1080" s="49" t="s">
        <v>76</v>
      </c>
      <c r="L1080" s="49" t="s">
        <v>85</v>
      </c>
      <c r="M1080" s="49" t="s">
        <v>88</v>
      </c>
      <c r="N1080" s="49" t="s">
        <v>86</v>
      </c>
      <c r="O1080" s="49" t="s">
        <v>37</v>
      </c>
      <c r="P1080" s="11" t="s">
        <v>80</v>
      </c>
      <c r="Q1080" s="11" t="s">
        <v>87</v>
      </c>
      <c r="R1080" s="11" t="s">
        <v>1066</v>
      </c>
      <c r="S1080" s="11" t="s">
        <v>2717</v>
      </c>
      <c r="T1080" s="116" t="s">
        <v>1</v>
      </c>
      <c r="U1080" s="88"/>
      <c r="V1080" s="51">
        <v>45603</v>
      </c>
      <c r="W1080" s="97" t="s">
        <v>1577</v>
      </c>
      <c r="X1080" s="135" t="str">
        <f>VLOOKUP(Table1[[#This Row],[AMZ ID]],[1]Roster_1787503287932!$D$2:$AU$1370,25,0)</f>
        <v>Present</v>
      </c>
      <c r="Y1080" s="135">
        <f>VLOOKUP(Table1[[#This Row],[AMZ ID]],[1]Roster_1787503287932!$D$2:$AM$1370,35,0)</f>
        <v>0</v>
      </c>
    </row>
    <row r="1081" spans="1:25" ht="13" customHeight="1">
      <c r="A1081" s="11">
        <v>1075</v>
      </c>
      <c r="B1081" s="47">
        <v>201487409</v>
      </c>
      <c r="C1081" s="89" t="s">
        <v>1203</v>
      </c>
      <c r="D1081" s="11" t="s">
        <v>1204</v>
      </c>
      <c r="E1081" s="11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39</v>
      </c>
      <c r="K1081" s="49" t="s">
        <v>76</v>
      </c>
      <c r="L1081" s="49" t="s">
        <v>95</v>
      </c>
      <c r="M1081" s="49" t="s">
        <v>77</v>
      </c>
      <c r="N1081" s="49" t="s">
        <v>79</v>
      </c>
      <c r="O1081" s="49" t="s">
        <v>37</v>
      </c>
      <c r="P1081" s="11" t="s">
        <v>80</v>
      </c>
      <c r="Q1081" s="11" t="s">
        <v>81</v>
      </c>
      <c r="R1081" s="11" t="s">
        <v>631</v>
      </c>
      <c r="S1081" s="11" t="s">
        <v>632</v>
      </c>
      <c r="T1081" s="116" t="s">
        <v>1</v>
      </c>
      <c r="U1081" s="88"/>
      <c r="V1081" s="51">
        <v>45561</v>
      </c>
      <c r="W1081" s="97" t="s">
        <v>1576</v>
      </c>
      <c r="X1081" s="135" t="str">
        <f>VLOOKUP(Table1[[#This Row],[AMZ ID]],[1]Roster_1787503287932!$D$2:$AU$1370,25,0)</f>
        <v>Present</v>
      </c>
      <c r="Y1081" s="135">
        <f>VLOOKUP(Table1[[#This Row],[AMZ ID]],[1]Roster_1787503287932!$D$2:$AM$1370,35,0)</f>
        <v>0</v>
      </c>
    </row>
    <row r="1082" spans="1:25" ht="13" customHeight="1">
      <c r="A1082" s="11">
        <v>1076</v>
      </c>
      <c r="B1082" s="47">
        <v>204331928</v>
      </c>
      <c r="C1082" s="89" t="s">
        <v>1205</v>
      </c>
      <c r="D1082" s="11" t="s">
        <v>1206</v>
      </c>
      <c r="E1082" s="11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88</v>
      </c>
      <c r="M1082" s="49" t="s">
        <v>95</v>
      </c>
      <c r="N1082" s="49" t="s">
        <v>86</v>
      </c>
      <c r="O1082" s="49" t="s">
        <v>37</v>
      </c>
      <c r="P1082" s="11" t="s">
        <v>80</v>
      </c>
      <c r="Q1082" s="11" t="s">
        <v>87</v>
      </c>
      <c r="R1082" s="11" t="s">
        <v>647</v>
      </c>
      <c r="S1082" s="11" t="s">
        <v>1798</v>
      </c>
      <c r="T1082" s="116" t="s">
        <v>1</v>
      </c>
      <c r="U1082" s="88"/>
      <c r="V1082" s="51">
        <v>45589</v>
      </c>
      <c r="W1082" s="97" t="s">
        <v>1577</v>
      </c>
      <c r="X1082" s="135" t="str">
        <f>VLOOKUP(Table1[[#This Row],[AMZ ID]],[1]Roster_1787503287932!$D$2:$AU$1370,25,0)</f>
        <v>Present</v>
      </c>
      <c r="Y1082" s="135">
        <f>VLOOKUP(Table1[[#This Row],[AMZ ID]],[1]Roster_1787503287932!$D$2:$AM$1370,35,0)</f>
        <v>0</v>
      </c>
    </row>
    <row r="1083" spans="1:25" ht="13" customHeight="1">
      <c r="A1083" s="11">
        <v>1077</v>
      </c>
      <c r="B1083" s="47">
        <v>203341964</v>
      </c>
      <c r="C1083" s="89" t="s">
        <v>1207</v>
      </c>
      <c r="D1083" s="11" t="s">
        <v>1208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77</v>
      </c>
      <c r="M1083" s="49" t="s">
        <v>78</v>
      </c>
      <c r="N1083" s="49" t="s">
        <v>86</v>
      </c>
      <c r="O1083" s="48" t="s">
        <v>37</v>
      </c>
      <c r="P1083" s="48" t="s">
        <v>80</v>
      </c>
      <c r="Q1083" s="11" t="s">
        <v>99</v>
      </c>
      <c r="R1083" s="11" t="s">
        <v>1066</v>
      </c>
      <c r="S1083" s="11" t="s">
        <v>2717</v>
      </c>
      <c r="T1083" s="116" t="s">
        <v>10</v>
      </c>
      <c r="U1083" s="88"/>
      <c r="V1083" s="51">
        <v>45432</v>
      </c>
      <c r="W1083" s="97" t="s">
        <v>1577</v>
      </c>
      <c r="X1083" s="135" t="str">
        <f>VLOOKUP(Table1[[#This Row],[AMZ ID]],[1]Roster_1787503287932!$D$2:$AU$1370,25,0)</f>
        <v>Not Present</v>
      </c>
      <c r="Y1083" s="135">
        <f>VLOOKUP(Table1[[#This Row],[AMZ ID]],[1]Roster_1787503287932!$D$2:$AM$1370,35,0)</f>
        <v>0</v>
      </c>
    </row>
    <row r="1084" spans="1:25" ht="13" customHeight="1">
      <c r="A1084" s="11">
        <v>1078</v>
      </c>
      <c r="B1084" s="47">
        <v>203011024</v>
      </c>
      <c r="C1084" s="89" t="s">
        <v>1209</v>
      </c>
      <c r="D1084" s="11" t="s">
        <v>1210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95</v>
      </c>
      <c r="M1084" s="49" t="s">
        <v>77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11" t="s">
        <v>627</v>
      </c>
      <c r="S1084" s="11" t="s">
        <v>628</v>
      </c>
      <c r="T1084" s="116" t="s">
        <v>1</v>
      </c>
      <c r="U1084" s="88"/>
      <c r="V1084" s="51">
        <v>45603</v>
      </c>
      <c r="W1084" s="97" t="s">
        <v>1577</v>
      </c>
      <c r="X1084" s="135" t="str">
        <f>VLOOKUP(Table1[[#This Row],[AMZ ID]],[1]Roster_1787503287932!$D$2:$AU$1370,25,0)</f>
        <v>Present</v>
      </c>
      <c r="Y1084" s="135">
        <f>VLOOKUP(Table1[[#This Row],[AMZ ID]],[1]Roster_1787503287932!$D$2:$AM$1370,35,0)</f>
        <v>0</v>
      </c>
    </row>
    <row r="1085" spans="1:25" ht="13" customHeight="1">
      <c r="A1085" s="11">
        <v>1079</v>
      </c>
      <c r="B1085" s="47">
        <v>204172230</v>
      </c>
      <c r="C1085" s="89" t="s">
        <v>2337</v>
      </c>
      <c r="D1085" s="11" t="s">
        <v>2338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32</v>
      </c>
      <c r="K1085" s="49" t="s">
        <v>76</v>
      </c>
      <c r="L1085" s="49" t="s">
        <v>78</v>
      </c>
      <c r="M1085" s="49" t="s">
        <v>92</v>
      </c>
      <c r="N1085" s="48" t="s">
        <v>89</v>
      </c>
      <c r="O1085" s="49" t="s">
        <v>37</v>
      </c>
      <c r="P1085" s="11" t="s">
        <v>80</v>
      </c>
      <c r="Q1085" s="11" t="s">
        <v>90</v>
      </c>
      <c r="R1085" s="11" t="s">
        <v>1066</v>
      </c>
      <c r="S1085" s="11" t="s">
        <v>2717</v>
      </c>
      <c r="T1085" s="116" t="s">
        <v>10</v>
      </c>
      <c r="U1085" s="88"/>
      <c r="V1085" s="51">
        <v>45568</v>
      </c>
      <c r="W1085" s="97" t="s">
        <v>1578</v>
      </c>
      <c r="X1085" s="135" t="str">
        <f>VLOOKUP(Table1[[#This Row],[AMZ ID]],[1]Roster_1787503287932!$D$2:$AU$1370,25,0)</f>
        <v>Not Present</v>
      </c>
      <c r="Y1085" s="135">
        <f>VLOOKUP(Table1[[#This Row],[AMZ ID]],[1]Roster_1787503287932!$D$2:$AM$1370,35,0)</f>
        <v>0</v>
      </c>
    </row>
    <row r="1086" spans="1:25" ht="13" customHeight="1">
      <c r="A1086" s="11">
        <v>1080</v>
      </c>
      <c r="B1086" s="47">
        <v>203512665</v>
      </c>
      <c r="C1086" s="89" t="s">
        <v>748</v>
      </c>
      <c r="D1086" s="11" t="s">
        <v>749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88</v>
      </c>
      <c r="M1086" s="49" t="s">
        <v>95</v>
      </c>
      <c r="N1086" s="48" t="s">
        <v>79</v>
      </c>
      <c r="O1086" s="49" t="s">
        <v>37</v>
      </c>
      <c r="P1086" s="11" t="s">
        <v>80</v>
      </c>
      <c r="Q1086" s="11" t="s">
        <v>81</v>
      </c>
      <c r="R1086" s="49" t="s">
        <v>647</v>
      </c>
      <c r="S1086" s="11" t="s">
        <v>1798</v>
      </c>
      <c r="T1086" s="116" t="s">
        <v>7</v>
      </c>
      <c r="U1086" s="88" t="s">
        <v>3015</v>
      </c>
      <c r="V1086" s="51">
        <v>45463</v>
      </c>
      <c r="W1086" s="97" t="s">
        <v>1578</v>
      </c>
      <c r="X1086" s="135" t="str">
        <f>VLOOKUP(Table1[[#This Row],[AMZ ID]],[1]Roster_1787503287932!$D$2:$AU$1370,25,0)</f>
        <v>Not Present</v>
      </c>
      <c r="Y1086" s="135" t="str">
        <f>VLOOKUP(Table1[[#This Row],[AMZ ID]],[1]Roster_1787503287932!$D$2:$AM$1370,35,0)</f>
        <v>Annual Leave</v>
      </c>
    </row>
    <row r="1087" spans="1:25" ht="13" customHeight="1">
      <c r="A1087" s="11">
        <v>1081</v>
      </c>
      <c r="B1087" s="47">
        <v>203851002</v>
      </c>
      <c r="C1087" s="89" t="s">
        <v>1213</v>
      </c>
      <c r="D1087" s="11" t="s">
        <v>1214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39</v>
      </c>
      <c r="K1087" s="49" t="s">
        <v>76</v>
      </c>
      <c r="L1087" s="49" t="s">
        <v>84</v>
      </c>
      <c r="M1087" s="49" t="s">
        <v>85</v>
      </c>
      <c r="N1087" s="48" t="s">
        <v>79</v>
      </c>
      <c r="O1087" s="49" t="s">
        <v>37</v>
      </c>
      <c r="P1087" s="11" t="s">
        <v>80</v>
      </c>
      <c r="Q1087" s="11" t="s">
        <v>81</v>
      </c>
      <c r="R1087" s="11" t="s">
        <v>631</v>
      </c>
      <c r="S1087" s="11" t="s">
        <v>632</v>
      </c>
      <c r="T1087" s="116" t="s">
        <v>1</v>
      </c>
      <c r="U1087" s="88"/>
      <c r="V1087" s="51">
        <v>45524</v>
      </c>
      <c r="W1087" s="97" t="s">
        <v>1578</v>
      </c>
      <c r="X1087" s="135" t="str">
        <f>VLOOKUP(Table1[[#This Row],[AMZ ID]],[1]Roster_1787503287932!$D$2:$AU$1370,25,0)</f>
        <v>Present</v>
      </c>
      <c r="Y1087" s="135">
        <f>VLOOKUP(Table1[[#This Row],[AMZ ID]],[1]Roster_1787503287932!$D$2:$AM$1370,35,0)</f>
        <v>0</v>
      </c>
    </row>
    <row r="1088" spans="1:25" ht="13" customHeight="1">
      <c r="A1088" s="11">
        <v>1082</v>
      </c>
      <c r="B1088" s="47">
        <v>203850924</v>
      </c>
      <c r="C1088" s="89" t="s">
        <v>2353</v>
      </c>
      <c r="D1088" s="11" t="s">
        <v>2354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88</v>
      </c>
      <c r="M1088" s="49" t="s">
        <v>95</v>
      </c>
      <c r="N1088" s="48" t="s">
        <v>86</v>
      </c>
      <c r="O1088" s="49" t="s">
        <v>37</v>
      </c>
      <c r="P1088" s="11" t="s">
        <v>80</v>
      </c>
      <c r="Q1088" s="11" t="s">
        <v>90</v>
      </c>
      <c r="R1088" s="11" t="s">
        <v>647</v>
      </c>
      <c r="S1088" s="11" t="s">
        <v>1798</v>
      </c>
      <c r="T1088" s="116" t="s">
        <v>1</v>
      </c>
      <c r="U1088" s="88"/>
      <c r="V1088" s="51">
        <v>45524</v>
      </c>
      <c r="W1088" s="97" t="s">
        <v>1578</v>
      </c>
      <c r="X1088" s="135" t="str">
        <f>VLOOKUP(Table1[[#This Row],[AMZ ID]],[1]Roster_1787503287932!$D$2:$AU$1370,25,0)</f>
        <v>Present</v>
      </c>
      <c r="Y1088" s="135">
        <f>VLOOKUP(Table1[[#This Row],[AMZ ID]],[1]Roster_1787503287932!$D$2:$AM$1370,35,0)</f>
        <v>0</v>
      </c>
    </row>
    <row r="1089" spans="1:25" ht="13" customHeight="1">
      <c r="A1089" s="11">
        <v>1083</v>
      </c>
      <c r="B1089" s="47">
        <v>203850926</v>
      </c>
      <c r="C1089" s="89" t="s">
        <v>2355</v>
      </c>
      <c r="D1089" s="11" t="s">
        <v>2356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92</v>
      </c>
      <c r="M1089" s="49" t="s">
        <v>84</v>
      </c>
      <c r="N1089" s="48" t="s">
        <v>86</v>
      </c>
      <c r="O1089" s="49" t="s">
        <v>37</v>
      </c>
      <c r="P1089" s="11" t="s">
        <v>80</v>
      </c>
      <c r="Q1089" s="11" t="s">
        <v>90</v>
      </c>
      <c r="R1089" s="11" t="s">
        <v>631</v>
      </c>
      <c r="S1089" s="11" t="s">
        <v>632</v>
      </c>
      <c r="T1089" s="116" t="s">
        <v>1</v>
      </c>
      <c r="U1089" s="88"/>
      <c r="V1089" s="51">
        <v>45524</v>
      </c>
      <c r="W1089" s="97" t="s">
        <v>1578</v>
      </c>
      <c r="X1089" s="135" t="str">
        <f>VLOOKUP(Table1[[#This Row],[AMZ ID]],[1]Roster_1787503287932!$D$2:$AU$1370,25,0)</f>
        <v>Present</v>
      </c>
      <c r="Y1089" s="135">
        <f>VLOOKUP(Table1[[#This Row],[AMZ ID]],[1]Roster_1787503287932!$D$2:$AM$1370,35,0)</f>
        <v>0</v>
      </c>
    </row>
    <row r="1090" spans="1:25" ht="13" customHeight="1">
      <c r="A1090" s="11">
        <v>1084</v>
      </c>
      <c r="B1090" s="47">
        <v>203850923</v>
      </c>
      <c r="C1090" s="89" t="s">
        <v>2357</v>
      </c>
      <c r="D1090" s="11" t="s">
        <v>2358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85</v>
      </c>
      <c r="M1090" s="49" t="s">
        <v>88</v>
      </c>
      <c r="N1090" s="48" t="s">
        <v>86</v>
      </c>
      <c r="O1090" s="49" t="s">
        <v>37</v>
      </c>
      <c r="P1090" s="11" t="s">
        <v>80</v>
      </c>
      <c r="Q1090" s="11" t="s">
        <v>90</v>
      </c>
      <c r="R1090" s="11" t="s">
        <v>631</v>
      </c>
      <c r="S1090" s="11" t="s">
        <v>632</v>
      </c>
      <c r="T1090" s="116" t="s">
        <v>1</v>
      </c>
      <c r="U1090" s="88"/>
      <c r="V1090" s="51">
        <v>45524</v>
      </c>
      <c r="W1090" s="97" t="s">
        <v>1578</v>
      </c>
      <c r="X1090" s="135" t="str">
        <f>VLOOKUP(Table1[[#This Row],[AMZ ID]],[1]Roster_1787503287932!$D$2:$AU$1370,25,0)</f>
        <v>Present</v>
      </c>
      <c r="Y1090" s="135">
        <f>VLOOKUP(Table1[[#This Row],[AMZ ID]],[1]Roster_1787503287932!$D$2:$AM$1370,35,0)</f>
        <v>0</v>
      </c>
    </row>
    <row r="1091" spans="1:25" ht="13" customHeight="1">
      <c r="A1091" s="11">
        <v>1085</v>
      </c>
      <c r="B1091" s="47">
        <v>206873790</v>
      </c>
      <c r="C1091" s="89" t="s">
        <v>1865</v>
      </c>
      <c r="D1091" s="11" t="s">
        <v>1866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88</v>
      </c>
      <c r="M1091" s="49" t="s">
        <v>95</v>
      </c>
      <c r="N1091" s="48" t="s">
        <v>89</v>
      </c>
      <c r="O1091" s="49" t="s">
        <v>37</v>
      </c>
      <c r="P1091" s="11" t="s">
        <v>80</v>
      </c>
      <c r="Q1091" s="11" t="s">
        <v>90</v>
      </c>
      <c r="R1091" s="49" t="s">
        <v>647</v>
      </c>
      <c r="S1091" s="11" t="s">
        <v>1798</v>
      </c>
      <c r="T1091" s="116" t="s">
        <v>1</v>
      </c>
      <c r="U1091" s="88"/>
      <c r="V1091" s="51">
        <v>46030</v>
      </c>
      <c r="W1091" s="97" t="s">
        <v>1577</v>
      </c>
      <c r="X1091" s="135" t="str">
        <f>VLOOKUP(Table1[[#This Row],[AMZ ID]],[1]Roster_1787503287932!$D$2:$AU$1370,25,0)</f>
        <v>Present</v>
      </c>
      <c r="Y1091" s="135">
        <f>VLOOKUP(Table1[[#This Row],[AMZ ID]],[1]Roster_1787503287932!$D$2:$AM$1370,35,0)</f>
        <v>0</v>
      </c>
    </row>
    <row r="1092" spans="1:25" ht="13" customHeight="1">
      <c r="A1092" s="11">
        <v>1086</v>
      </c>
      <c r="B1092" s="47">
        <v>206015650</v>
      </c>
      <c r="C1092" s="89" t="s">
        <v>1215</v>
      </c>
      <c r="D1092" s="11" t="s">
        <v>1216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77</v>
      </c>
      <c r="M1092" s="49" t="s">
        <v>78</v>
      </c>
      <c r="N1092" s="48" t="s">
        <v>89</v>
      </c>
      <c r="O1092" s="49" t="s">
        <v>37</v>
      </c>
      <c r="P1092" s="11" t="s">
        <v>80</v>
      </c>
      <c r="Q1092" s="11" t="s">
        <v>81</v>
      </c>
      <c r="R1092" s="11" t="s">
        <v>627</v>
      </c>
      <c r="S1092" s="11" t="s">
        <v>628</v>
      </c>
      <c r="T1092" s="116" t="s">
        <v>10</v>
      </c>
      <c r="U1092" s="88"/>
      <c r="V1092" s="51">
        <v>45915</v>
      </c>
      <c r="W1092" s="97" t="s">
        <v>1577</v>
      </c>
      <c r="X1092" s="135" t="str">
        <f>VLOOKUP(Table1[[#This Row],[AMZ ID]],[1]Roster_1787503287932!$D$2:$AU$1370,25,0)</f>
        <v>Not Present</v>
      </c>
      <c r="Y1092" s="135">
        <f>VLOOKUP(Table1[[#This Row],[AMZ ID]],[1]Roster_1787503287932!$D$2:$AM$1370,35,0)</f>
        <v>0</v>
      </c>
    </row>
    <row r="1093" spans="1:25" ht="13" customHeight="1">
      <c r="A1093" s="11">
        <v>1087</v>
      </c>
      <c r="B1093" s="47">
        <v>206192232</v>
      </c>
      <c r="C1093" s="89" t="s">
        <v>2861</v>
      </c>
      <c r="D1093" s="11" t="s">
        <v>2862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39</v>
      </c>
      <c r="K1093" s="49" t="s">
        <v>76</v>
      </c>
      <c r="L1093" s="49" t="s">
        <v>78</v>
      </c>
      <c r="M1093" s="49" t="s">
        <v>92</v>
      </c>
      <c r="N1093" s="48" t="s">
        <v>89</v>
      </c>
      <c r="O1093" s="49" t="s">
        <v>37</v>
      </c>
      <c r="P1093" s="11" t="s">
        <v>80</v>
      </c>
      <c r="Q1093" s="11" t="s">
        <v>96</v>
      </c>
      <c r="R1093" s="49" t="s">
        <v>1066</v>
      </c>
      <c r="S1093" s="102" t="s">
        <v>2717</v>
      </c>
      <c r="T1093" s="116" t="s">
        <v>10</v>
      </c>
      <c r="U1093" s="88"/>
      <c r="V1093" s="51">
        <v>46238</v>
      </c>
      <c r="W1093" s="97" t="s">
        <v>1578</v>
      </c>
      <c r="X1093" s="135" t="str">
        <f>VLOOKUP(Table1[[#This Row],[AMZ ID]],[1]Roster_1787503287932!$D$2:$AU$1370,25,0)</f>
        <v>Not Present</v>
      </c>
      <c r="Y1093" s="135">
        <f>VLOOKUP(Table1[[#This Row],[AMZ ID]],[1]Roster_1787503287932!$D$2:$AM$1370,35,0)</f>
        <v>0</v>
      </c>
    </row>
    <row r="1094" spans="1:25" ht="13" customHeight="1">
      <c r="A1094" s="11">
        <v>1088</v>
      </c>
      <c r="B1094" s="47">
        <v>205854085</v>
      </c>
      <c r="C1094" s="89" t="s">
        <v>1217</v>
      </c>
      <c r="D1094" s="11" t="s">
        <v>1218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78</v>
      </c>
      <c r="M1094" s="49" t="s">
        <v>92</v>
      </c>
      <c r="N1094" s="48" t="s">
        <v>89</v>
      </c>
      <c r="O1094" s="49" t="s">
        <v>37</v>
      </c>
      <c r="P1094" s="11" t="s">
        <v>80</v>
      </c>
      <c r="Q1094" s="11" t="s">
        <v>96</v>
      </c>
      <c r="R1094" s="11" t="s">
        <v>639</v>
      </c>
      <c r="S1094" s="102" t="s">
        <v>2718</v>
      </c>
      <c r="T1094" s="116" t="s">
        <v>10</v>
      </c>
      <c r="U1094" s="88"/>
      <c r="V1094" s="51">
        <v>45894</v>
      </c>
      <c r="W1094" s="97" t="s">
        <v>1577</v>
      </c>
      <c r="X1094" s="135" t="str">
        <f>VLOOKUP(Table1[[#This Row],[AMZ ID]],[1]Roster_1787503287932!$D$2:$AU$1370,25,0)</f>
        <v>Not Present</v>
      </c>
      <c r="Y1094" s="135">
        <f>VLOOKUP(Table1[[#This Row],[AMZ ID]],[1]Roster_1787503287932!$D$2:$AM$1370,35,0)</f>
        <v>0</v>
      </c>
    </row>
    <row r="1095" spans="1:25" ht="13" customHeight="1">
      <c r="A1095" s="11">
        <v>1089</v>
      </c>
      <c r="B1095" s="47">
        <v>205996136</v>
      </c>
      <c r="C1095" s="89" t="s">
        <v>1219</v>
      </c>
      <c r="D1095" s="11" t="s">
        <v>1220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78</v>
      </c>
      <c r="M1095" s="49" t="s">
        <v>92</v>
      </c>
      <c r="N1095" s="48" t="s">
        <v>79</v>
      </c>
      <c r="O1095" s="49" t="s">
        <v>37</v>
      </c>
      <c r="P1095" s="11" t="s">
        <v>80</v>
      </c>
      <c r="Q1095" s="11" t="s">
        <v>81</v>
      </c>
      <c r="R1095" s="11" t="s">
        <v>631</v>
      </c>
      <c r="S1095" s="11" t="s">
        <v>632</v>
      </c>
      <c r="T1095" s="116" t="s">
        <v>10</v>
      </c>
      <c r="U1095" s="88"/>
      <c r="V1095" s="51">
        <v>45915</v>
      </c>
      <c r="W1095" s="97" t="s">
        <v>1577</v>
      </c>
      <c r="X1095" s="135" t="str">
        <f>VLOOKUP(Table1[[#This Row],[AMZ ID]],[1]Roster_1787503287932!$D$2:$AU$1370,25,0)</f>
        <v>Not Present</v>
      </c>
      <c r="Y1095" s="135">
        <f>VLOOKUP(Table1[[#This Row],[AMZ ID]],[1]Roster_1787503287932!$D$2:$AM$1370,35,0)</f>
        <v>0</v>
      </c>
    </row>
    <row r="1096" spans="1:25" ht="13" customHeight="1">
      <c r="A1096" s="11">
        <v>1090</v>
      </c>
      <c r="B1096" s="47">
        <v>206072876</v>
      </c>
      <c r="C1096" s="89" t="s">
        <v>404</v>
      </c>
      <c r="D1096" s="11" t="s">
        <v>405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78</v>
      </c>
      <c r="M1096" s="49" t="s">
        <v>92</v>
      </c>
      <c r="N1096" s="48" t="s">
        <v>79</v>
      </c>
      <c r="O1096" s="49" t="s">
        <v>35</v>
      </c>
      <c r="P1096" s="11" t="s">
        <v>80</v>
      </c>
      <c r="Q1096" s="11" t="s">
        <v>81</v>
      </c>
      <c r="R1096" s="11" t="s">
        <v>224</v>
      </c>
      <c r="S1096" s="102" t="s">
        <v>2715</v>
      </c>
      <c r="T1096" s="116" t="s">
        <v>10</v>
      </c>
      <c r="U1096" s="88"/>
      <c r="V1096" s="51">
        <v>45922</v>
      </c>
      <c r="W1096" s="97" t="s">
        <v>1573</v>
      </c>
      <c r="X1096" s="135" t="str">
        <f>VLOOKUP(Table1[[#This Row],[AMZ ID]],[1]Roster_1787503287932!$D$2:$AU$1370,25,0)</f>
        <v>Not Present</v>
      </c>
      <c r="Y1096" s="135">
        <f>VLOOKUP(Table1[[#This Row],[AMZ ID]],[1]Roster_1787503287932!$D$2:$AM$1370,35,0)</f>
        <v>0</v>
      </c>
    </row>
    <row r="1097" spans="1:25" ht="13" customHeight="1">
      <c r="A1097" s="11">
        <v>1091</v>
      </c>
      <c r="B1097" s="47">
        <v>204052506</v>
      </c>
      <c r="C1097" s="89" t="s">
        <v>1221</v>
      </c>
      <c r="D1097" s="11" t="s">
        <v>1222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39</v>
      </c>
      <c r="K1097" s="49" t="s">
        <v>76</v>
      </c>
      <c r="L1097" s="49" t="s">
        <v>95</v>
      </c>
      <c r="M1097" s="49" t="s">
        <v>77</v>
      </c>
      <c r="N1097" s="48" t="s">
        <v>86</v>
      </c>
      <c r="O1097" s="49" t="s">
        <v>37</v>
      </c>
      <c r="P1097" s="11" t="s">
        <v>80</v>
      </c>
      <c r="Q1097" s="11" t="s">
        <v>99</v>
      </c>
      <c r="R1097" s="49" t="s">
        <v>631</v>
      </c>
      <c r="S1097" s="102" t="s">
        <v>632</v>
      </c>
      <c r="T1097" s="116" t="s">
        <v>1</v>
      </c>
      <c r="U1097" s="88"/>
      <c r="V1097" s="51">
        <v>45561</v>
      </c>
      <c r="W1097" s="97" t="s">
        <v>1577</v>
      </c>
      <c r="X1097" s="135" t="str">
        <f>VLOOKUP(Table1[[#This Row],[AMZ ID]],[1]Roster_1787503287932!$D$2:$AU$1370,25,0)</f>
        <v>Present</v>
      </c>
      <c r="Y1097" s="135">
        <f>VLOOKUP(Table1[[#This Row],[AMZ ID]],[1]Roster_1787503287932!$D$2:$AM$1370,35,0)</f>
        <v>0</v>
      </c>
    </row>
    <row r="1098" spans="1:25" ht="13" customHeight="1">
      <c r="A1098" s="11">
        <v>1092</v>
      </c>
      <c r="B1098" s="47">
        <v>204094496</v>
      </c>
      <c r="C1098" s="89" t="s">
        <v>1223</v>
      </c>
      <c r="D1098" s="11" t="s">
        <v>1224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84</v>
      </c>
      <c r="M1098" s="49" t="s">
        <v>85</v>
      </c>
      <c r="N1098" s="48" t="s">
        <v>86</v>
      </c>
      <c r="O1098" s="49" t="s">
        <v>37</v>
      </c>
      <c r="P1098" s="11" t="s">
        <v>80</v>
      </c>
      <c r="Q1098" s="11" t="s">
        <v>87</v>
      </c>
      <c r="R1098" s="49" t="s">
        <v>647</v>
      </c>
      <c r="S1098" s="102" t="s">
        <v>1798</v>
      </c>
      <c r="T1098" s="116" t="s">
        <v>1</v>
      </c>
      <c r="U1098" s="88"/>
      <c r="V1098" s="51">
        <v>45561</v>
      </c>
      <c r="W1098" s="97" t="s">
        <v>1577</v>
      </c>
      <c r="X1098" s="135" t="str">
        <f>VLOOKUP(Table1[[#This Row],[AMZ ID]],[1]Roster_1787503287932!$D$2:$AU$1370,25,0)</f>
        <v>Present</v>
      </c>
      <c r="Y1098" s="135">
        <f>VLOOKUP(Table1[[#This Row],[AMZ ID]],[1]Roster_1787503287932!$D$2:$AM$1370,35,0)</f>
        <v>0</v>
      </c>
    </row>
    <row r="1099" spans="1:25" ht="13" customHeight="1">
      <c r="A1099" s="11">
        <v>1093</v>
      </c>
      <c r="B1099" s="47">
        <v>205252750</v>
      </c>
      <c r="C1099" s="89" t="s">
        <v>2142</v>
      </c>
      <c r="D1099" s="11" t="s">
        <v>2143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84</v>
      </c>
      <c r="M1099" s="49" t="s">
        <v>85</v>
      </c>
      <c r="N1099" s="48" t="s">
        <v>79</v>
      </c>
      <c r="O1099" s="49" t="s">
        <v>37</v>
      </c>
      <c r="P1099" s="11" t="s">
        <v>80</v>
      </c>
      <c r="Q1099" s="11" t="s">
        <v>96</v>
      </c>
      <c r="R1099" s="11" t="s">
        <v>1066</v>
      </c>
      <c r="S1099" s="102" t="s">
        <v>2717</v>
      </c>
      <c r="T1099" s="116" t="s">
        <v>1</v>
      </c>
      <c r="U1099" s="88"/>
      <c r="V1099" s="51">
        <v>46048</v>
      </c>
      <c r="W1099" s="97" t="s">
        <v>1577</v>
      </c>
      <c r="X1099" s="135" t="str">
        <f>VLOOKUP(Table1[[#This Row],[AMZ ID]],[1]Roster_1787503287932!$D$2:$AU$1370,25,0)</f>
        <v>Present</v>
      </c>
      <c r="Y1099" s="135">
        <f>VLOOKUP(Table1[[#This Row],[AMZ ID]],[1]Roster_1787503287932!$D$2:$AM$1370,35,0)</f>
        <v>0</v>
      </c>
    </row>
    <row r="1100" spans="1:25" ht="13" customHeight="1">
      <c r="A1100" s="11">
        <v>1094</v>
      </c>
      <c r="B1100" s="47">
        <v>206886635</v>
      </c>
      <c r="C1100" s="90" t="s">
        <v>1849</v>
      </c>
      <c r="D1100" s="11" t="s">
        <v>1850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92</v>
      </c>
      <c r="M1100" s="49" t="s">
        <v>84</v>
      </c>
      <c r="N1100" s="49" t="s">
        <v>89</v>
      </c>
      <c r="O1100" s="49" t="s">
        <v>37</v>
      </c>
      <c r="P1100" s="11" t="s">
        <v>80</v>
      </c>
      <c r="Q1100" s="11" t="s">
        <v>96</v>
      </c>
      <c r="R1100" s="11" t="s">
        <v>231</v>
      </c>
      <c r="S1100" s="102" t="s">
        <v>1753</v>
      </c>
      <c r="T1100" s="116" t="s">
        <v>1</v>
      </c>
      <c r="U1100" s="88"/>
      <c r="V1100" s="51">
        <v>46027</v>
      </c>
      <c r="W1100" s="97" t="s">
        <v>1577</v>
      </c>
      <c r="X1100" s="135" t="str">
        <f>VLOOKUP(Table1[[#This Row],[AMZ ID]],[1]Roster_1787503287932!$D$2:$AU$1370,25,0)</f>
        <v>Present</v>
      </c>
      <c r="Y1100" s="135">
        <f>VLOOKUP(Table1[[#This Row],[AMZ ID]],[1]Roster_1787503287932!$D$2:$AM$1370,35,0)</f>
        <v>0</v>
      </c>
    </row>
    <row r="1101" spans="1:25" ht="13" customHeight="1">
      <c r="A1101" s="11">
        <v>1095</v>
      </c>
      <c r="B1101" s="47">
        <v>206886512</v>
      </c>
      <c r="C1101" s="89" t="s">
        <v>1851</v>
      </c>
      <c r="D1101" s="11" t="s">
        <v>1852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84</v>
      </c>
      <c r="M1101" s="49" t="s">
        <v>85</v>
      </c>
      <c r="N1101" s="48" t="s">
        <v>89</v>
      </c>
      <c r="O1101" s="49" t="s">
        <v>37</v>
      </c>
      <c r="P1101" s="11" t="s">
        <v>80</v>
      </c>
      <c r="Q1101" s="11" t="s">
        <v>96</v>
      </c>
      <c r="R1101" s="49" t="s">
        <v>231</v>
      </c>
      <c r="S1101" s="102" t="s">
        <v>1753</v>
      </c>
      <c r="T1101" s="116" t="s">
        <v>1</v>
      </c>
      <c r="U1101" s="88"/>
      <c r="V1101" s="51">
        <v>46027</v>
      </c>
      <c r="W1101" s="97" t="s">
        <v>1577</v>
      </c>
      <c r="X1101" s="135" t="str">
        <f>VLOOKUP(Table1[[#This Row],[AMZ ID]],[1]Roster_1787503287932!$D$2:$AU$1370,25,0)</f>
        <v>Present</v>
      </c>
      <c r="Y1101" s="135">
        <f>VLOOKUP(Table1[[#This Row],[AMZ ID]],[1]Roster_1787503287932!$D$2:$AM$1370,35,0)</f>
        <v>0</v>
      </c>
    </row>
    <row r="1102" spans="1:25" ht="13" customHeight="1">
      <c r="A1102" s="11">
        <v>1096</v>
      </c>
      <c r="B1102" s="47">
        <v>206889908</v>
      </c>
      <c r="C1102" s="89" t="s">
        <v>1853</v>
      </c>
      <c r="D1102" s="11" t="s">
        <v>1854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85</v>
      </c>
      <c r="M1102" s="49" t="s">
        <v>88</v>
      </c>
      <c r="N1102" s="48" t="s">
        <v>89</v>
      </c>
      <c r="O1102" s="49" t="s">
        <v>37</v>
      </c>
      <c r="P1102" s="11" t="s">
        <v>80</v>
      </c>
      <c r="Q1102" s="11" t="s">
        <v>96</v>
      </c>
      <c r="R1102" s="49" t="s">
        <v>231</v>
      </c>
      <c r="S1102" s="102" t="s">
        <v>1753</v>
      </c>
      <c r="T1102" s="116" t="s">
        <v>1</v>
      </c>
      <c r="U1102" s="88"/>
      <c r="V1102" s="51">
        <v>46027</v>
      </c>
      <c r="W1102" s="97" t="s">
        <v>1577</v>
      </c>
      <c r="X1102" s="135" t="str">
        <f>VLOOKUP(Table1[[#This Row],[AMZ ID]],[1]Roster_1787503287932!$D$2:$AU$1370,25,0)</f>
        <v>Present</v>
      </c>
      <c r="Y1102" s="135">
        <f>VLOOKUP(Table1[[#This Row],[AMZ ID]],[1]Roster_1787503287932!$D$2:$AM$1370,35,0)</f>
        <v>0</v>
      </c>
    </row>
    <row r="1103" spans="1:25" ht="13" customHeight="1">
      <c r="A1103" s="11">
        <v>1097</v>
      </c>
      <c r="B1103" s="47">
        <v>206897663</v>
      </c>
      <c r="C1103" s="89" t="s">
        <v>1895</v>
      </c>
      <c r="D1103" s="11" t="s">
        <v>1896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1290</v>
      </c>
      <c r="J1103" s="49" t="s">
        <v>39</v>
      </c>
      <c r="K1103" s="49" t="s">
        <v>76</v>
      </c>
      <c r="L1103" s="49" t="s">
        <v>84</v>
      </c>
      <c r="M1103" s="49" t="s">
        <v>85</v>
      </c>
      <c r="N1103" s="49" t="s">
        <v>89</v>
      </c>
      <c r="O1103" s="49" t="s">
        <v>37</v>
      </c>
      <c r="P1103" s="11" t="s">
        <v>80</v>
      </c>
      <c r="Q1103" s="11" t="s">
        <v>81</v>
      </c>
      <c r="R1103" s="49" t="s">
        <v>1066</v>
      </c>
      <c r="S1103" s="97" t="s">
        <v>2717</v>
      </c>
      <c r="T1103" s="116" t="s">
        <v>1</v>
      </c>
      <c r="U1103" s="88"/>
      <c r="V1103" s="51">
        <v>46030</v>
      </c>
      <c r="W1103" s="97" t="s">
        <v>1578</v>
      </c>
      <c r="X1103" s="135" t="str">
        <f>VLOOKUP(Table1[[#This Row],[AMZ ID]],[1]Roster_1787503287932!$D$2:$AU$1370,25,0)</f>
        <v>Present</v>
      </c>
      <c r="Y1103" s="135">
        <f>VLOOKUP(Table1[[#This Row],[AMZ ID]],[1]Roster_1787503287932!$D$2:$AM$1370,35,0)</f>
        <v>0</v>
      </c>
    </row>
    <row r="1104" spans="1:25" ht="13" customHeight="1">
      <c r="A1104" s="11">
        <v>1098</v>
      </c>
      <c r="B1104" s="47">
        <v>204010043</v>
      </c>
      <c r="C1104" s="89" t="s">
        <v>2339</v>
      </c>
      <c r="D1104" s="11" t="s">
        <v>2340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32</v>
      </c>
      <c r="K1104" s="49" t="s">
        <v>76</v>
      </c>
      <c r="L1104" s="49" t="s">
        <v>78</v>
      </c>
      <c r="M1104" s="49" t="s">
        <v>92</v>
      </c>
      <c r="N1104" s="48" t="s">
        <v>86</v>
      </c>
      <c r="O1104" s="49" t="s">
        <v>37</v>
      </c>
      <c r="P1104" s="11" t="s">
        <v>80</v>
      </c>
      <c r="Q1104" s="11" t="s">
        <v>90</v>
      </c>
      <c r="R1104" s="49" t="s">
        <v>1066</v>
      </c>
      <c r="S1104" s="102" t="s">
        <v>2717</v>
      </c>
      <c r="T1104" s="116" t="s">
        <v>10</v>
      </c>
      <c r="U1104" s="88"/>
      <c r="V1104" s="51">
        <v>45551</v>
      </c>
      <c r="W1104" s="97" t="s">
        <v>1578</v>
      </c>
      <c r="X1104" s="135" t="str">
        <f>VLOOKUP(Table1[[#This Row],[AMZ ID]],[1]Roster_1787503287932!$D$2:$AU$1370,25,0)</f>
        <v>Not Present</v>
      </c>
      <c r="Y1104" s="135">
        <f>VLOOKUP(Table1[[#This Row],[AMZ ID]],[1]Roster_1787503287932!$D$2:$AM$1370,35,0)</f>
        <v>0</v>
      </c>
    </row>
    <row r="1105" spans="1:25" ht="13" customHeight="1">
      <c r="A1105" s="11">
        <v>1099</v>
      </c>
      <c r="B1105" s="92">
        <v>201536170</v>
      </c>
      <c r="C1105" s="47" t="s">
        <v>1225</v>
      </c>
      <c r="D1105" s="89" t="s">
        <v>1226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95</v>
      </c>
      <c r="M1105" s="49" t="s">
        <v>77</v>
      </c>
      <c r="N1105" s="49" t="s">
        <v>86</v>
      </c>
      <c r="O1105" s="49" t="s">
        <v>37</v>
      </c>
      <c r="P1105" s="11" t="s">
        <v>80</v>
      </c>
      <c r="Q1105" s="11" t="s">
        <v>87</v>
      </c>
      <c r="R1105" s="11" t="s">
        <v>647</v>
      </c>
      <c r="S1105" s="102" t="s">
        <v>1798</v>
      </c>
      <c r="T1105" s="116" t="s">
        <v>1</v>
      </c>
      <c r="U1105" s="88"/>
      <c r="V1105" s="51">
        <v>45568</v>
      </c>
      <c r="W1105" s="97" t="s">
        <v>1578</v>
      </c>
      <c r="X1105" s="135" t="str">
        <f>VLOOKUP(Table1[[#This Row],[AMZ ID]],[1]Roster_1787503287932!$D$2:$AU$1370,25,0)</f>
        <v>Present</v>
      </c>
      <c r="Y1105" s="135">
        <f>VLOOKUP(Table1[[#This Row],[AMZ ID]],[1]Roster_1787503287932!$D$2:$AM$1370,35,0)</f>
        <v>0</v>
      </c>
    </row>
    <row r="1106" spans="1:25" ht="13" customHeight="1">
      <c r="A1106" s="11">
        <v>1100</v>
      </c>
      <c r="B1106" s="47">
        <v>203342037</v>
      </c>
      <c r="C1106" s="89" t="s">
        <v>1227</v>
      </c>
      <c r="D1106" s="11" t="s">
        <v>1228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95</v>
      </c>
      <c r="M1106" s="49" t="s">
        <v>77</v>
      </c>
      <c r="N1106" s="48" t="s">
        <v>86</v>
      </c>
      <c r="O1106" s="49" t="s">
        <v>37</v>
      </c>
      <c r="P1106" s="11" t="s">
        <v>80</v>
      </c>
      <c r="Q1106" s="11" t="s">
        <v>99</v>
      </c>
      <c r="R1106" s="49" t="s">
        <v>631</v>
      </c>
      <c r="S1106" s="102" t="s">
        <v>632</v>
      </c>
      <c r="T1106" s="116" t="s">
        <v>1</v>
      </c>
      <c r="U1106" s="88"/>
      <c r="V1106" s="51">
        <v>45432</v>
      </c>
      <c r="W1106" s="97" t="s">
        <v>1577</v>
      </c>
      <c r="X1106" s="135" t="str">
        <f>VLOOKUP(Table1[[#This Row],[AMZ ID]],[1]Roster_1787503287932!$D$2:$AU$1370,25,0)</f>
        <v>Present</v>
      </c>
      <c r="Y1106" s="135">
        <f>VLOOKUP(Table1[[#This Row],[AMZ ID]],[1]Roster_1787503287932!$D$2:$AM$1370,35,0)</f>
        <v>0</v>
      </c>
    </row>
    <row r="1107" spans="1:25" ht="13" customHeight="1">
      <c r="A1107" s="11">
        <v>1101</v>
      </c>
      <c r="B1107" s="47">
        <v>206139179</v>
      </c>
      <c r="C1107" s="89" t="s">
        <v>1229</v>
      </c>
      <c r="D1107" s="11" t="s">
        <v>1230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95</v>
      </c>
      <c r="M1107" s="49" t="s">
        <v>77</v>
      </c>
      <c r="N1107" s="49" t="s">
        <v>79</v>
      </c>
      <c r="O1107" s="49" t="s">
        <v>37</v>
      </c>
      <c r="P1107" s="11" t="s">
        <v>80</v>
      </c>
      <c r="Q1107" s="11" t="s">
        <v>81</v>
      </c>
      <c r="R1107" s="11" t="s">
        <v>631</v>
      </c>
      <c r="S1107" s="102" t="s">
        <v>632</v>
      </c>
      <c r="T1107" s="116" t="s">
        <v>1</v>
      </c>
      <c r="U1107" s="88"/>
      <c r="V1107" s="51">
        <v>45929</v>
      </c>
      <c r="W1107" s="97" t="s">
        <v>1577</v>
      </c>
      <c r="X1107" s="135" t="str">
        <f>VLOOKUP(Table1[[#This Row],[AMZ ID]],[1]Roster_1787503287932!$D$2:$AU$1370,25,0)</f>
        <v>Present</v>
      </c>
      <c r="Y1107" s="135">
        <f>VLOOKUP(Table1[[#This Row],[AMZ ID]],[1]Roster_1787503287932!$D$2:$AM$1370,35,0)</f>
        <v>0</v>
      </c>
    </row>
    <row r="1108" spans="1:25" ht="13" customHeight="1">
      <c r="A1108" s="11">
        <v>1102</v>
      </c>
      <c r="B1108" s="47">
        <v>203881659</v>
      </c>
      <c r="C1108" s="89" t="s">
        <v>1231</v>
      </c>
      <c r="D1108" s="11" t="s">
        <v>1232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92</v>
      </c>
      <c r="M1108" s="49" t="s">
        <v>84</v>
      </c>
      <c r="N1108" s="49" t="s">
        <v>79</v>
      </c>
      <c r="O1108" s="49" t="s">
        <v>37</v>
      </c>
      <c r="P1108" s="11" t="s">
        <v>80</v>
      </c>
      <c r="Q1108" s="11" t="s">
        <v>81</v>
      </c>
      <c r="R1108" s="11" t="s">
        <v>631</v>
      </c>
      <c r="S1108" s="11" t="s">
        <v>632</v>
      </c>
      <c r="T1108" s="116" t="s">
        <v>1</v>
      </c>
      <c r="U1108" s="88"/>
      <c r="V1108" s="51">
        <v>45530</v>
      </c>
      <c r="W1108" s="97" t="s">
        <v>1577</v>
      </c>
      <c r="X1108" s="135" t="str">
        <f>VLOOKUP(Table1[[#This Row],[AMZ ID]],[1]Roster_1787503287932!$D$2:$AU$1370,25,0)</f>
        <v>Present</v>
      </c>
      <c r="Y1108" s="135">
        <f>VLOOKUP(Table1[[#This Row],[AMZ ID]],[1]Roster_1787503287932!$D$2:$AM$1370,35,0)</f>
        <v>0</v>
      </c>
    </row>
    <row r="1109" spans="1:25" ht="13" customHeight="1">
      <c r="A1109" s="11">
        <v>1103</v>
      </c>
      <c r="B1109" s="47">
        <v>201204303</v>
      </c>
      <c r="C1109" s="89" t="s">
        <v>1233</v>
      </c>
      <c r="D1109" s="11" t="s">
        <v>1234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32</v>
      </c>
      <c r="K1109" s="49" t="s">
        <v>76</v>
      </c>
      <c r="L1109" s="49" t="s">
        <v>85</v>
      </c>
      <c r="M1109" s="49" t="s">
        <v>88</v>
      </c>
      <c r="N1109" s="48" t="s">
        <v>79</v>
      </c>
      <c r="O1109" s="49" t="s">
        <v>37</v>
      </c>
      <c r="P1109" s="11" t="s">
        <v>80</v>
      </c>
      <c r="Q1109" s="11" t="s">
        <v>81</v>
      </c>
      <c r="R1109" s="11" t="s">
        <v>2845</v>
      </c>
      <c r="S1109" s="102" t="s">
        <v>2846</v>
      </c>
      <c r="T1109" s="116" t="s">
        <v>1</v>
      </c>
      <c r="U1109" s="88"/>
      <c r="V1109" s="51">
        <v>45544</v>
      </c>
      <c r="W1109" s="97" t="s">
        <v>1577</v>
      </c>
      <c r="X1109" s="135" t="str">
        <f>VLOOKUP(Table1[[#This Row],[AMZ ID]],[1]Roster_1787503287932!$D$2:$AU$1370,25,0)</f>
        <v>Present</v>
      </c>
      <c r="Y1109" s="135">
        <f>VLOOKUP(Table1[[#This Row],[AMZ ID]],[1]Roster_1787503287932!$D$2:$AM$1370,35,0)</f>
        <v>0</v>
      </c>
    </row>
    <row r="1110" spans="1:25" ht="13" customHeight="1">
      <c r="A1110" s="11">
        <v>1104</v>
      </c>
      <c r="B1110" s="47">
        <v>203800479</v>
      </c>
      <c r="C1110" s="89" t="s">
        <v>2424</v>
      </c>
      <c r="D1110" s="11" t="s">
        <v>2425</v>
      </c>
      <c r="E1110" s="11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77</v>
      </c>
      <c r="M1110" s="49" t="s">
        <v>78</v>
      </c>
      <c r="N1110" s="49" t="s">
        <v>86</v>
      </c>
      <c r="O1110" s="49" t="s">
        <v>37</v>
      </c>
      <c r="P1110" s="11" t="s">
        <v>80</v>
      </c>
      <c r="Q1110" s="11" t="s">
        <v>90</v>
      </c>
      <c r="R1110" s="11" t="s">
        <v>1066</v>
      </c>
      <c r="S1110" s="102" t="s">
        <v>2717</v>
      </c>
      <c r="T1110" s="116" t="s">
        <v>10</v>
      </c>
      <c r="U1110" s="88"/>
      <c r="V1110" s="51">
        <v>45516</v>
      </c>
      <c r="W1110" s="97" t="s">
        <v>1577</v>
      </c>
      <c r="X1110" s="135" t="str">
        <f>VLOOKUP(Table1[[#This Row],[AMZ ID]],[1]Roster_1787503287932!$D$2:$AU$1370,25,0)</f>
        <v>Not Present</v>
      </c>
      <c r="Y1110" s="135">
        <f>VLOOKUP(Table1[[#This Row],[AMZ ID]],[1]Roster_1787503287932!$D$2:$AM$1370,35,0)</f>
        <v>0</v>
      </c>
    </row>
    <row r="1111" spans="1:25" ht="13" customHeight="1">
      <c r="A1111" s="11">
        <v>1105</v>
      </c>
      <c r="B1111" s="47">
        <v>204868706</v>
      </c>
      <c r="C1111" s="89" t="s">
        <v>1235</v>
      </c>
      <c r="D1111" s="11" t="s">
        <v>1236</v>
      </c>
      <c r="E1111" s="11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85</v>
      </c>
      <c r="M1111" s="49" t="s">
        <v>88</v>
      </c>
      <c r="N1111" s="49" t="s">
        <v>86</v>
      </c>
      <c r="O1111" s="49" t="s">
        <v>37</v>
      </c>
      <c r="P1111" s="11" t="s">
        <v>80</v>
      </c>
      <c r="Q1111" s="11" t="s">
        <v>90</v>
      </c>
      <c r="R1111" s="11" t="s">
        <v>647</v>
      </c>
      <c r="S1111" s="102" t="s">
        <v>1798</v>
      </c>
      <c r="T1111" s="116" t="s">
        <v>1</v>
      </c>
      <c r="U1111" s="88"/>
      <c r="V1111" s="51">
        <v>45894</v>
      </c>
      <c r="W1111" s="97" t="s">
        <v>1577</v>
      </c>
      <c r="X1111" s="135" t="str">
        <f>VLOOKUP(Table1[[#This Row],[AMZ ID]],[1]Roster_1787503287932!$D$2:$AU$1370,25,0)</f>
        <v>Present</v>
      </c>
      <c r="Y1111" s="135">
        <f>VLOOKUP(Table1[[#This Row],[AMZ ID]],[1]Roster_1787503287932!$D$2:$AM$1370,35,0)</f>
        <v>0</v>
      </c>
    </row>
    <row r="1112" spans="1:25" ht="13" customHeight="1">
      <c r="A1112" s="11">
        <v>1106</v>
      </c>
      <c r="B1112" s="92">
        <v>203881695</v>
      </c>
      <c r="C1112" s="47" t="s">
        <v>1237</v>
      </c>
      <c r="D1112" s="89" t="s">
        <v>1238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88</v>
      </c>
      <c r="M1112" s="49" t="s">
        <v>95</v>
      </c>
      <c r="N1112" s="49" t="s">
        <v>79</v>
      </c>
      <c r="O1112" s="49" t="s">
        <v>37</v>
      </c>
      <c r="P1112" s="11" t="s">
        <v>80</v>
      </c>
      <c r="Q1112" s="11" t="s">
        <v>81</v>
      </c>
      <c r="R1112" s="11" t="s">
        <v>631</v>
      </c>
      <c r="S1112" s="102" t="s">
        <v>632</v>
      </c>
      <c r="T1112" s="116" t="s">
        <v>1</v>
      </c>
      <c r="U1112" s="88"/>
      <c r="V1112" s="51">
        <v>45530</v>
      </c>
      <c r="W1112" s="97" t="s">
        <v>1579</v>
      </c>
      <c r="X1112" s="135" t="str">
        <f>VLOOKUP(Table1[[#This Row],[AMZ ID]],[1]Roster_1787503287932!$D$2:$AU$1370,25,0)</f>
        <v>Present</v>
      </c>
      <c r="Y1112" s="135">
        <f>VLOOKUP(Table1[[#This Row],[AMZ ID]],[1]Roster_1787503287932!$D$2:$AM$1370,35,0)</f>
        <v>0</v>
      </c>
    </row>
    <row r="1113" spans="1:25" ht="13" customHeight="1">
      <c r="A1113" s="11">
        <v>1107</v>
      </c>
      <c r="B1113" s="47">
        <v>113366831</v>
      </c>
      <c r="C1113" s="89" t="s">
        <v>1239</v>
      </c>
      <c r="D1113" s="11" t="s">
        <v>1240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77</v>
      </c>
      <c r="M1113" s="49" t="s">
        <v>78</v>
      </c>
      <c r="N1113" s="49" t="s">
        <v>86</v>
      </c>
      <c r="O1113" s="49" t="s">
        <v>37</v>
      </c>
      <c r="P1113" s="11" t="s">
        <v>80</v>
      </c>
      <c r="Q1113" s="11" t="s">
        <v>99</v>
      </c>
      <c r="R1113" s="49" t="s">
        <v>627</v>
      </c>
      <c r="S1113" s="102" t="s">
        <v>628</v>
      </c>
      <c r="T1113" s="116" t="s">
        <v>10</v>
      </c>
      <c r="U1113" s="88"/>
      <c r="V1113" s="51">
        <v>45537</v>
      </c>
      <c r="W1113" s="97" t="s">
        <v>1577</v>
      </c>
      <c r="X1113" s="135" t="str">
        <f>VLOOKUP(Table1[[#This Row],[AMZ ID]],[1]Roster_1787503287932!$D$2:$AU$1370,25,0)</f>
        <v>Not Present</v>
      </c>
      <c r="Y1113" s="135">
        <f>VLOOKUP(Table1[[#This Row],[AMZ ID]],[1]Roster_1787503287932!$D$2:$AM$1370,35,0)</f>
        <v>0</v>
      </c>
    </row>
    <row r="1114" spans="1:25" ht="13" customHeight="1">
      <c r="A1114" s="11">
        <v>1108</v>
      </c>
      <c r="B1114" s="47">
        <v>205939862</v>
      </c>
      <c r="C1114" s="89" t="s">
        <v>2082</v>
      </c>
      <c r="D1114" s="11" t="s">
        <v>2083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78</v>
      </c>
      <c r="M1114" s="49" t="s">
        <v>92</v>
      </c>
      <c r="N1114" s="48" t="s">
        <v>89</v>
      </c>
      <c r="O1114" s="49" t="s">
        <v>37</v>
      </c>
      <c r="P1114" s="11" t="s">
        <v>80</v>
      </c>
      <c r="Q1114" s="11" t="s">
        <v>96</v>
      </c>
      <c r="R1114" s="11" t="s">
        <v>631</v>
      </c>
      <c r="S1114" s="11" t="s">
        <v>632</v>
      </c>
      <c r="T1114" s="116" t="s">
        <v>10</v>
      </c>
      <c r="U1114" s="88"/>
      <c r="V1114" s="51">
        <v>46048</v>
      </c>
      <c r="W1114" s="97" t="s">
        <v>1577</v>
      </c>
      <c r="X1114" s="135" t="str">
        <f>VLOOKUP(Table1[[#This Row],[AMZ ID]],[1]Roster_1787503287932!$D$2:$AU$1370,25,0)</f>
        <v>Not Present</v>
      </c>
      <c r="Y1114" s="135">
        <f>VLOOKUP(Table1[[#This Row],[AMZ ID]],[1]Roster_1787503287932!$D$2:$AM$1370,35,0)</f>
        <v>0</v>
      </c>
    </row>
    <row r="1115" spans="1:25" ht="13" customHeight="1">
      <c r="A1115" s="11">
        <v>1109</v>
      </c>
      <c r="B1115" s="47">
        <v>203736775</v>
      </c>
      <c r="C1115" s="89" t="s">
        <v>1241</v>
      </c>
      <c r="D1115" s="11" t="s">
        <v>1242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77</v>
      </c>
      <c r="M1115" s="49" t="s">
        <v>78</v>
      </c>
      <c r="N1115" s="48" t="s">
        <v>86</v>
      </c>
      <c r="O1115" s="49" t="s">
        <v>37</v>
      </c>
      <c r="P1115" s="11" t="s">
        <v>80</v>
      </c>
      <c r="Q1115" s="11" t="s">
        <v>99</v>
      </c>
      <c r="R1115" s="11" t="s">
        <v>2845</v>
      </c>
      <c r="S1115" s="11" t="s">
        <v>2846</v>
      </c>
      <c r="T1115" s="116" t="s">
        <v>10</v>
      </c>
      <c r="U1115" s="88"/>
      <c r="V1115" s="51">
        <v>45502</v>
      </c>
      <c r="W1115" s="97" t="s">
        <v>1577</v>
      </c>
      <c r="X1115" s="135" t="str">
        <f>VLOOKUP(Table1[[#This Row],[AMZ ID]],[1]Roster_1787503287932!$D$2:$AU$1370,25,0)</f>
        <v>Not Present</v>
      </c>
      <c r="Y1115" s="135">
        <f>VLOOKUP(Table1[[#This Row],[AMZ ID]],[1]Roster_1787503287932!$D$2:$AM$1370,35,0)</f>
        <v>0</v>
      </c>
    </row>
    <row r="1116" spans="1:25" ht="13" customHeight="1">
      <c r="A1116" s="11">
        <v>1110</v>
      </c>
      <c r="B1116" s="47">
        <v>112549647</v>
      </c>
      <c r="C1116" s="89" t="s">
        <v>1243</v>
      </c>
      <c r="D1116" s="11" t="s">
        <v>1244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92</v>
      </c>
      <c r="M1116" s="49" t="s">
        <v>84</v>
      </c>
      <c r="N1116" s="48" t="s">
        <v>86</v>
      </c>
      <c r="O1116" s="49" t="s">
        <v>37</v>
      </c>
      <c r="P1116" s="11" t="s">
        <v>80</v>
      </c>
      <c r="Q1116" s="11" t="s">
        <v>87</v>
      </c>
      <c r="R1116" s="49" t="s">
        <v>647</v>
      </c>
      <c r="S1116" s="11" t="s">
        <v>1798</v>
      </c>
      <c r="T1116" s="116" t="s">
        <v>1</v>
      </c>
      <c r="U1116" s="88"/>
      <c r="V1116" s="51">
        <v>45586</v>
      </c>
      <c r="W1116" s="97" t="s">
        <v>1577</v>
      </c>
      <c r="X1116" s="135" t="str">
        <f>VLOOKUP(Table1[[#This Row],[AMZ ID]],[1]Roster_1787503287932!$D$2:$AU$1370,25,0)</f>
        <v>Present</v>
      </c>
      <c r="Y1116" s="135">
        <f>VLOOKUP(Table1[[#This Row],[AMZ ID]],[1]Roster_1787503287932!$D$2:$AM$1370,35,0)</f>
        <v>0</v>
      </c>
    </row>
    <row r="1117" spans="1:25" ht="13" customHeight="1">
      <c r="A1117" s="11">
        <v>1111</v>
      </c>
      <c r="B1117" s="47">
        <v>202199036</v>
      </c>
      <c r="C1117" s="89" t="s">
        <v>1245</v>
      </c>
      <c r="D1117" s="11" t="s">
        <v>1246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77</v>
      </c>
      <c r="M1117" s="49" t="s">
        <v>78</v>
      </c>
      <c r="N1117" s="48" t="s">
        <v>86</v>
      </c>
      <c r="O1117" s="49" t="s">
        <v>37</v>
      </c>
      <c r="P1117" s="11" t="s">
        <v>80</v>
      </c>
      <c r="Q1117" s="11" t="s">
        <v>87</v>
      </c>
      <c r="R1117" s="49" t="s">
        <v>647</v>
      </c>
      <c r="S1117" s="11" t="s">
        <v>1798</v>
      </c>
      <c r="T1117" s="116" t="s">
        <v>10</v>
      </c>
      <c r="U1117" s="88"/>
      <c r="V1117" s="51">
        <v>45561</v>
      </c>
      <c r="W1117" s="97" t="s">
        <v>1577</v>
      </c>
      <c r="X1117" s="135" t="str">
        <f>VLOOKUP(Table1[[#This Row],[AMZ ID]],[1]Roster_1787503287932!$D$2:$AU$1370,25,0)</f>
        <v>Not Present</v>
      </c>
      <c r="Y1117" s="135">
        <f>VLOOKUP(Table1[[#This Row],[AMZ ID]],[1]Roster_1787503287932!$D$2:$AM$1370,35,0)</f>
        <v>0</v>
      </c>
    </row>
    <row r="1118" spans="1:25" ht="13" customHeight="1">
      <c r="A1118" s="11">
        <v>1112</v>
      </c>
      <c r="B1118" s="92">
        <v>204373724</v>
      </c>
      <c r="C1118" s="47" t="s">
        <v>1247</v>
      </c>
      <c r="D1118" s="89" t="s">
        <v>1248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32</v>
      </c>
      <c r="K1118" s="49" t="s">
        <v>76</v>
      </c>
      <c r="L1118" s="49" t="s">
        <v>88</v>
      </c>
      <c r="M1118" s="49" t="s">
        <v>95</v>
      </c>
      <c r="N1118" s="48" t="s">
        <v>86</v>
      </c>
      <c r="O1118" s="49" t="s">
        <v>37</v>
      </c>
      <c r="P1118" s="11" t="s">
        <v>80</v>
      </c>
      <c r="Q1118" s="11" t="s">
        <v>99</v>
      </c>
      <c r="R1118" s="11" t="s">
        <v>647</v>
      </c>
      <c r="S1118" s="11" t="s">
        <v>1798</v>
      </c>
      <c r="T1118" s="116" t="s">
        <v>1</v>
      </c>
      <c r="U1118" s="88"/>
      <c r="V1118" s="51">
        <v>45593</v>
      </c>
      <c r="W1118" s="97" t="s">
        <v>1577</v>
      </c>
      <c r="X1118" s="135" t="str">
        <f>VLOOKUP(Table1[[#This Row],[AMZ ID]],[1]Roster_1787503287932!$D$2:$AU$1370,25,0)</f>
        <v>Present</v>
      </c>
      <c r="Y1118" s="135">
        <f>VLOOKUP(Table1[[#This Row],[AMZ ID]],[1]Roster_1787503287932!$D$2:$AM$1370,35,0)</f>
        <v>0</v>
      </c>
    </row>
    <row r="1119" spans="1:25" ht="13" customHeight="1">
      <c r="A1119" s="11">
        <v>1113</v>
      </c>
      <c r="B1119" s="47">
        <v>203918123</v>
      </c>
      <c r="C1119" s="89" t="s">
        <v>1249</v>
      </c>
      <c r="D1119" s="11" t="s">
        <v>1250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84</v>
      </c>
      <c r="M1119" s="49" t="s">
        <v>85</v>
      </c>
      <c r="N1119" s="48" t="s">
        <v>86</v>
      </c>
      <c r="O1119" s="49" t="s">
        <v>37</v>
      </c>
      <c r="P1119" s="11" t="s">
        <v>80</v>
      </c>
      <c r="Q1119" s="11" t="s">
        <v>99</v>
      </c>
      <c r="R1119" s="11" t="s">
        <v>2845</v>
      </c>
      <c r="S1119" s="11" t="s">
        <v>2846</v>
      </c>
      <c r="T1119" s="116" t="s">
        <v>1</v>
      </c>
      <c r="U1119" s="88"/>
      <c r="V1119" s="51">
        <v>45537</v>
      </c>
      <c r="W1119" s="97" t="s">
        <v>1577</v>
      </c>
      <c r="X1119" s="135" t="str">
        <f>VLOOKUP(Table1[[#This Row],[AMZ ID]],[1]Roster_1787503287932!$D$2:$AU$1370,25,0)</f>
        <v>Present</v>
      </c>
      <c r="Y1119" s="135">
        <f>VLOOKUP(Table1[[#This Row],[AMZ ID]],[1]Roster_1787503287932!$D$2:$AM$1370,35,0)</f>
        <v>0</v>
      </c>
    </row>
    <row r="1120" spans="1:25" ht="13" customHeight="1">
      <c r="A1120" s="11">
        <v>1114</v>
      </c>
      <c r="B1120" s="47">
        <v>205199830</v>
      </c>
      <c r="C1120" s="89" t="s">
        <v>2066</v>
      </c>
      <c r="D1120" s="11" t="s">
        <v>2067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95</v>
      </c>
      <c r="M1120" s="49" t="s">
        <v>77</v>
      </c>
      <c r="N1120" s="49" t="s">
        <v>79</v>
      </c>
      <c r="O1120" s="49" t="s">
        <v>37</v>
      </c>
      <c r="P1120" s="11" t="s">
        <v>80</v>
      </c>
      <c r="Q1120" s="11" t="s">
        <v>96</v>
      </c>
      <c r="R1120" s="49" t="s">
        <v>2845</v>
      </c>
      <c r="S1120" s="49" t="s">
        <v>2846</v>
      </c>
      <c r="T1120" s="116" t="s">
        <v>1</v>
      </c>
      <c r="U1120" s="88"/>
      <c r="V1120" s="51">
        <v>46048</v>
      </c>
      <c r="W1120" s="97" t="s">
        <v>1577</v>
      </c>
      <c r="X1120" s="135" t="str">
        <f>VLOOKUP(Table1[[#This Row],[AMZ ID]],[1]Roster_1787503287932!$D$2:$AU$1370,25,0)</f>
        <v>Present</v>
      </c>
      <c r="Y1120" s="135">
        <f>VLOOKUP(Table1[[#This Row],[AMZ ID]],[1]Roster_1787503287932!$D$2:$AM$1370,35,0)</f>
        <v>0</v>
      </c>
    </row>
    <row r="1121" spans="1:25" ht="13" customHeight="1">
      <c r="A1121" s="11">
        <v>1115</v>
      </c>
      <c r="B1121" s="47">
        <v>201264954</v>
      </c>
      <c r="C1121" s="89" t="s">
        <v>1251</v>
      </c>
      <c r="D1121" s="11" t="s">
        <v>1252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77</v>
      </c>
      <c r="M1121" s="49" t="s">
        <v>78</v>
      </c>
      <c r="N1121" s="49" t="s">
        <v>86</v>
      </c>
      <c r="O1121" s="48" t="s">
        <v>37</v>
      </c>
      <c r="P1121" s="48" t="s">
        <v>80</v>
      </c>
      <c r="Q1121" s="11" t="s">
        <v>87</v>
      </c>
      <c r="R1121" s="49" t="s">
        <v>647</v>
      </c>
      <c r="S1121" s="11" t="s">
        <v>1798</v>
      </c>
      <c r="T1121" s="116" t="s">
        <v>10</v>
      </c>
      <c r="U1121" s="88"/>
      <c r="V1121" s="51">
        <v>45561</v>
      </c>
      <c r="W1121" s="97" t="s">
        <v>1577</v>
      </c>
      <c r="X1121" s="135" t="str">
        <f>VLOOKUP(Table1[[#This Row],[AMZ ID]],[1]Roster_1787503287932!$D$2:$AU$1370,25,0)</f>
        <v>Not Present</v>
      </c>
      <c r="Y1121" s="135">
        <f>VLOOKUP(Table1[[#This Row],[AMZ ID]],[1]Roster_1787503287932!$D$2:$AM$1370,35,0)</f>
        <v>0</v>
      </c>
    </row>
    <row r="1122" spans="1:25" ht="13" customHeight="1">
      <c r="A1122" s="11">
        <v>1116</v>
      </c>
      <c r="B1122" s="47">
        <v>203468744</v>
      </c>
      <c r="C1122" s="89" t="s">
        <v>1253</v>
      </c>
      <c r="D1122" s="11" t="s">
        <v>1254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77</v>
      </c>
      <c r="M1122" s="49" t="s">
        <v>78</v>
      </c>
      <c r="N1122" s="48" t="s">
        <v>79</v>
      </c>
      <c r="O1122" s="49" t="s">
        <v>37</v>
      </c>
      <c r="P1122" s="11" t="s">
        <v>80</v>
      </c>
      <c r="Q1122" s="11" t="s">
        <v>81</v>
      </c>
      <c r="R1122" s="11" t="s">
        <v>627</v>
      </c>
      <c r="S1122" s="11" t="s">
        <v>628</v>
      </c>
      <c r="T1122" s="116" t="s">
        <v>10</v>
      </c>
      <c r="U1122" s="88"/>
      <c r="V1122" s="51">
        <v>45456</v>
      </c>
      <c r="W1122" s="97" t="s">
        <v>1579</v>
      </c>
      <c r="X1122" s="135" t="str">
        <f>VLOOKUP(Table1[[#This Row],[AMZ ID]],[1]Roster_1787503287932!$D$2:$AU$1370,25,0)</f>
        <v>Not Present</v>
      </c>
      <c r="Y1122" s="135">
        <f>VLOOKUP(Table1[[#This Row],[AMZ ID]],[1]Roster_1787503287932!$D$2:$AM$1370,35,0)</f>
        <v>0</v>
      </c>
    </row>
    <row r="1123" spans="1:25" ht="13" customHeight="1">
      <c r="A1123" s="11">
        <v>1117</v>
      </c>
      <c r="B1123" s="47">
        <v>205127496</v>
      </c>
      <c r="C1123" s="89" t="s">
        <v>2096</v>
      </c>
      <c r="D1123" s="11" t="s">
        <v>2097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85</v>
      </c>
      <c r="M1123" s="49" t="s">
        <v>88</v>
      </c>
      <c r="N1123" s="48" t="s">
        <v>89</v>
      </c>
      <c r="O1123" s="49" t="s">
        <v>37</v>
      </c>
      <c r="P1123" s="11" t="s">
        <v>80</v>
      </c>
      <c r="Q1123" s="11" t="s">
        <v>96</v>
      </c>
      <c r="R1123" s="49" t="s">
        <v>2719</v>
      </c>
      <c r="S1123" s="11" t="s">
        <v>642</v>
      </c>
      <c r="T1123" s="116" t="s">
        <v>1</v>
      </c>
      <c r="U1123" s="88"/>
      <c r="V1123" s="51">
        <v>46048</v>
      </c>
      <c r="W1123" s="97" t="s">
        <v>1577</v>
      </c>
      <c r="X1123" s="135" t="str">
        <f>VLOOKUP(Table1[[#This Row],[AMZ ID]],[1]Roster_1787503287932!$D$2:$AU$1370,25,0)</f>
        <v>Present</v>
      </c>
      <c r="Y1123" s="135">
        <f>VLOOKUP(Table1[[#This Row],[AMZ ID]],[1]Roster_1787503287932!$D$2:$AM$1370,35,0)</f>
        <v>0</v>
      </c>
    </row>
    <row r="1124" spans="1:25" ht="13" customHeight="1">
      <c r="A1124" s="11">
        <v>1118</v>
      </c>
      <c r="B1124" s="47">
        <v>204009358</v>
      </c>
      <c r="C1124" s="89" t="s">
        <v>1255</v>
      </c>
      <c r="D1124" s="11" t="s">
        <v>1256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32</v>
      </c>
      <c r="K1124" s="49" t="s">
        <v>76</v>
      </c>
      <c r="L1124" s="49" t="s">
        <v>88</v>
      </c>
      <c r="M1124" s="49" t="s">
        <v>95</v>
      </c>
      <c r="N1124" s="48" t="s">
        <v>86</v>
      </c>
      <c r="O1124" s="49" t="s">
        <v>37</v>
      </c>
      <c r="P1124" s="11" t="s">
        <v>80</v>
      </c>
      <c r="Q1124" s="11" t="s">
        <v>90</v>
      </c>
      <c r="R1124" s="11" t="s">
        <v>647</v>
      </c>
      <c r="S1124" s="11" t="s">
        <v>1798</v>
      </c>
      <c r="T1124" s="116" t="s">
        <v>1</v>
      </c>
      <c r="U1124" s="88"/>
      <c r="V1124" s="51">
        <v>45551</v>
      </c>
      <c r="W1124" s="97" t="s">
        <v>1577</v>
      </c>
      <c r="X1124" s="135" t="str">
        <f>VLOOKUP(Table1[[#This Row],[AMZ ID]],[1]Roster_1787503287932!$D$2:$AU$1370,25,0)</f>
        <v>Present</v>
      </c>
      <c r="Y1124" s="135">
        <f>VLOOKUP(Table1[[#This Row],[AMZ ID]],[1]Roster_1787503287932!$D$2:$AM$1370,35,0)</f>
        <v>0</v>
      </c>
    </row>
    <row r="1125" spans="1:25" ht="13" customHeight="1">
      <c r="A1125" s="11">
        <v>1119</v>
      </c>
      <c r="B1125" s="47">
        <v>205845550</v>
      </c>
      <c r="C1125" s="89" t="s">
        <v>2812</v>
      </c>
      <c r="D1125" s="11" t="s">
        <v>2813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92</v>
      </c>
      <c r="M1125" s="49" t="s">
        <v>84</v>
      </c>
      <c r="N1125" s="49" t="s">
        <v>89</v>
      </c>
      <c r="O1125" s="49" t="s">
        <v>37</v>
      </c>
      <c r="P1125" s="11" t="s">
        <v>80</v>
      </c>
      <c r="Q1125" s="11" t="s">
        <v>90</v>
      </c>
      <c r="R1125" s="49" t="s">
        <v>2845</v>
      </c>
      <c r="S1125" s="11" t="s">
        <v>2846</v>
      </c>
      <c r="T1125" s="116" t="s">
        <v>1</v>
      </c>
      <c r="U1125" s="88"/>
      <c r="V1125" s="51">
        <v>45894</v>
      </c>
      <c r="W1125" s="97" t="s">
        <v>1577</v>
      </c>
      <c r="X1125" s="135" t="str">
        <f>VLOOKUP(Table1[[#This Row],[AMZ ID]],[1]Roster_1787503287932!$D$2:$AU$1370,25,0)</f>
        <v>Present</v>
      </c>
      <c r="Y1125" s="135">
        <f>VLOOKUP(Table1[[#This Row],[AMZ ID]],[1]Roster_1787503287932!$D$2:$AM$1370,35,0)</f>
        <v>0</v>
      </c>
    </row>
    <row r="1126" spans="1:25" ht="13" customHeight="1">
      <c r="A1126" s="11">
        <v>1120</v>
      </c>
      <c r="B1126" s="47">
        <v>103776227</v>
      </c>
      <c r="C1126" s="89" t="s">
        <v>1257</v>
      </c>
      <c r="D1126" s="47" t="s">
        <v>1258</v>
      </c>
      <c r="E1126" s="47" t="s">
        <v>34</v>
      </c>
      <c r="F1126" s="48" t="s">
        <v>74</v>
      </c>
      <c r="G1126" s="11" t="s">
        <v>64</v>
      </c>
      <c r="H1126" s="11" t="s">
        <v>75</v>
      </c>
      <c r="I1126" s="47">
        <v>1299</v>
      </c>
      <c r="J1126" s="49" t="s">
        <v>32</v>
      </c>
      <c r="K1126" s="49" t="s">
        <v>76</v>
      </c>
      <c r="L1126" s="49" t="s">
        <v>88</v>
      </c>
      <c r="M1126" s="49" t="s">
        <v>95</v>
      </c>
      <c r="N1126" s="49" t="s">
        <v>108</v>
      </c>
      <c r="O1126" s="49" t="s">
        <v>37</v>
      </c>
      <c r="P1126" s="11" t="s">
        <v>80</v>
      </c>
      <c r="Q1126" s="47" t="s">
        <v>98</v>
      </c>
      <c r="R1126" s="11" t="s">
        <v>647</v>
      </c>
      <c r="S1126" s="11" t="s">
        <v>1798</v>
      </c>
      <c r="T1126" s="116" t="s">
        <v>1</v>
      </c>
      <c r="U1126" s="88"/>
      <c r="V1126" s="51">
        <v>44782</v>
      </c>
      <c r="W1126" s="97" t="s">
        <v>1577</v>
      </c>
      <c r="X1126" s="135" t="str">
        <f>VLOOKUP(Table1[[#This Row],[AMZ ID]],[1]Roster_1787503287932!$D$2:$AU$1370,25,0)</f>
        <v>Present</v>
      </c>
      <c r="Y1126" s="135">
        <f>VLOOKUP(Table1[[#This Row],[AMZ ID]],[1]Roster_1787503287932!$D$2:$AM$1370,35,0)</f>
        <v>0</v>
      </c>
    </row>
    <row r="1127" spans="1:25" ht="13" customHeight="1">
      <c r="A1127" s="11">
        <v>1121</v>
      </c>
      <c r="B1127" s="47">
        <v>206230580</v>
      </c>
      <c r="C1127" s="89" t="s">
        <v>1643</v>
      </c>
      <c r="D1127" s="11" t="s">
        <v>1638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95</v>
      </c>
      <c r="M1127" s="49" t="s">
        <v>77</v>
      </c>
      <c r="N1127" s="48" t="s">
        <v>89</v>
      </c>
      <c r="O1127" s="49" t="s">
        <v>37</v>
      </c>
      <c r="P1127" s="11" t="s">
        <v>80</v>
      </c>
      <c r="Q1127" s="11" t="s">
        <v>96</v>
      </c>
      <c r="R1127" s="11" t="s">
        <v>2845</v>
      </c>
      <c r="S1127" s="11" t="s">
        <v>2846</v>
      </c>
      <c r="T1127" s="116" t="s">
        <v>1</v>
      </c>
      <c r="U1127" s="88"/>
      <c r="V1127" s="51">
        <v>45943</v>
      </c>
      <c r="W1127" s="97" t="s">
        <v>1576</v>
      </c>
      <c r="X1127" s="135" t="str">
        <f>VLOOKUP(Table1[[#This Row],[AMZ ID]],[1]Roster_1787503287932!$D$2:$AU$1370,25,0)</f>
        <v>Present</v>
      </c>
      <c r="Y1127" s="135">
        <f>VLOOKUP(Table1[[#This Row],[AMZ ID]],[1]Roster_1787503287932!$D$2:$AM$1370,35,0)</f>
        <v>0</v>
      </c>
    </row>
    <row r="1128" spans="1:25" ht="13" customHeight="1">
      <c r="A1128" s="11">
        <v>1122</v>
      </c>
      <c r="B1128" s="47">
        <v>205853886</v>
      </c>
      <c r="C1128" s="89" t="s">
        <v>1259</v>
      </c>
      <c r="D1128" s="11" t="s">
        <v>1260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95</v>
      </c>
      <c r="M1128" s="49" t="s">
        <v>77</v>
      </c>
      <c r="N1128" s="48" t="s">
        <v>89</v>
      </c>
      <c r="O1128" s="49" t="s">
        <v>37</v>
      </c>
      <c r="P1128" s="11" t="s">
        <v>80</v>
      </c>
      <c r="Q1128" s="11" t="s">
        <v>96</v>
      </c>
      <c r="R1128" s="11" t="s">
        <v>2845</v>
      </c>
      <c r="S1128" s="11" t="s">
        <v>2846</v>
      </c>
      <c r="T1128" s="116" t="s">
        <v>1</v>
      </c>
      <c r="U1128" s="88"/>
      <c r="V1128" s="51">
        <v>45894</v>
      </c>
      <c r="W1128" s="97" t="s">
        <v>1577</v>
      </c>
      <c r="X1128" s="135" t="str">
        <f>VLOOKUP(Table1[[#This Row],[AMZ ID]],[1]Roster_1787503287932!$D$2:$AU$1370,25,0)</f>
        <v>Present</v>
      </c>
      <c r="Y1128" s="135">
        <f>VLOOKUP(Table1[[#This Row],[AMZ ID]],[1]Roster_1787503287932!$D$2:$AM$1370,35,0)</f>
        <v>0</v>
      </c>
    </row>
    <row r="1129" spans="1:25" ht="13" customHeight="1">
      <c r="A1129" s="11">
        <v>1123</v>
      </c>
      <c r="B1129" s="47">
        <v>203965456</v>
      </c>
      <c r="C1129" s="89" t="s">
        <v>1261</v>
      </c>
      <c r="D1129" s="11" t="s">
        <v>1262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39</v>
      </c>
      <c r="K1129" s="49" t="s">
        <v>76</v>
      </c>
      <c r="L1129" s="49" t="s">
        <v>95</v>
      </c>
      <c r="M1129" s="49" t="s">
        <v>77</v>
      </c>
      <c r="N1129" s="48" t="s">
        <v>79</v>
      </c>
      <c r="O1129" s="49" t="s">
        <v>37</v>
      </c>
      <c r="P1129" s="11" t="s">
        <v>80</v>
      </c>
      <c r="Q1129" s="11" t="s">
        <v>81</v>
      </c>
      <c r="R1129" s="49" t="s">
        <v>631</v>
      </c>
      <c r="S1129" s="11" t="s">
        <v>632</v>
      </c>
      <c r="T1129" s="116" t="s">
        <v>1</v>
      </c>
      <c r="U1129" s="88"/>
      <c r="V1129" s="51">
        <v>45544</v>
      </c>
      <c r="W1129" s="97" t="s">
        <v>1577</v>
      </c>
      <c r="X1129" s="135" t="str">
        <f>VLOOKUP(Table1[[#This Row],[AMZ ID]],[1]Roster_1787503287932!$D$2:$AU$1370,25,0)</f>
        <v>Present</v>
      </c>
      <c r="Y1129" s="135">
        <f>VLOOKUP(Table1[[#This Row],[AMZ ID]],[1]Roster_1787503287932!$D$2:$AM$1370,35,0)</f>
        <v>0</v>
      </c>
    </row>
    <row r="1130" spans="1:25" ht="13" customHeight="1">
      <c r="A1130" s="11">
        <v>1124</v>
      </c>
      <c r="B1130" s="47">
        <v>206886513</v>
      </c>
      <c r="C1130" s="89" t="s">
        <v>1855</v>
      </c>
      <c r="D1130" s="11" t="s">
        <v>1856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39</v>
      </c>
      <c r="K1130" s="49" t="s">
        <v>76</v>
      </c>
      <c r="L1130" s="49" t="s">
        <v>85</v>
      </c>
      <c r="M1130" s="49" t="s">
        <v>88</v>
      </c>
      <c r="N1130" s="48" t="s">
        <v>89</v>
      </c>
      <c r="O1130" s="49" t="s">
        <v>37</v>
      </c>
      <c r="P1130" s="11" t="s">
        <v>80</v>
      </c>
      <c r="Q1130" s="11" t="s">
        <v>96</v>
      </c>
      <c r="R1130" s="49" t="s">
        <v>1066</v>
      </c>
      <c r="S1130" s="11" t="s">
        <v>2717</v>
      </c>
      <c r="T1130" s="116" t="s">
        <v>1</v>
      </c>
      <c r="U1130" s="88"/>
      <c r="V1130" s="51">
        <v>46027</v>
      </c>
      <c r="W1130" s="97" t="s">
        <v>1577</v>
      </c>
      <c r="X1130" s="135" t="str">
        <f>VLOOKUP(Table1[[#This Row],[AMZ ID]],[1]Roster_1787503287932!$D$2:$AU$1370,25,0)</f>
        <v>Present</v>
      </c>
      <c r="Y1130" s="135">
        <f>VLOOKUP(Table1[[#This Row],[AMZ ID]],[1]Roster_1787503287932!$D$2:$AM$1370,35,0)</f>
        <v>0</v>
      </c>
    </row>
    <row r="1131" spans="1:25" ht="13" customHeight="1">
      <c r="A1131" s="11">
        <v>1125</v>
      </c>
      <c r="B1131" s="47">
        <v>206886644</v>
      </c>
      <c r="C1131" s="89" t="s">
        <v>1857</v>
      </c>
      <c r="D1131" s="11" t="s">
        <v>1858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85</v>
      </c>
      <c r="M1131" s="49" t="s">
        <v>88</v>
      </c>
      <c r="N1131" s="48" t="s">
        <v>89</v>
      </c>
      <c r="O1131" s="49" t="s">
        <v>37</v>
      </c>
      <c r="P1131" s="11" t="s">
        <v>80</v>
      </c>
      <c r="Q1131" s="11" t="s">
        <v>96</v>
      </c>
      <c r="R1131" s="11" t="s">
        <v>1066</v>
      </c>
      <c r="S1131" s="11" t="s">
        <v>2717</v>
      </c>
      <c r="T1131" s="116" t="s">
        <v>1</v>
      </c>
      <c r="U1131" s="88"/>
      <c r="V1131" s="51">
        <v>46027</v>
      </c>
      <c r="W1131" s="97" t="s">
        <v>1577</v>
      </c>
      <c r="X1131" s="135" t="str">
        <f>VLOOKUP(Table1[[#This Row],[AMZ ID]],[1]Roster_1787503287932!$D$2:$AU$1370,25,0)</f>
        <v>Present</v>
      </c>
      <c r="Y1131" s="135">
        <f>VLOOKUP(Table1[[#This Row],[AMZ ID]],[1]Roster_1787503287932!$D$2:$AM$1370,35,0)</f>
        <v>0</v>
      </c>
    </row>
    <row r="1132" spans="1:25" ht="13" customHeight="1">
      <c r="A1132" s="11">
        <v>1126</v>
      </c>
      <c r="B1132" s="47">
        <v>205845549</v>
      </c>
      <c r="C1132" s="89" t="s">
        <v>2814</v>
      </c>
      <c r="D1132" s="11" t="s">
        <v>2815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84</v>
      </c>
      <c r="M1132" s="49" t="s">
        <v>85</v>
      </c>
      <c r="N1132" s="48" t="s">
        <v>89</v>
      </c>
      <c r="O1132" s="49" t="s">
        <v>37</v>
      </c>
      <c r="P1132" s="11" t="s">
        <v>80</v>
      </c>
      <c r="Q1132" s="11" t="s">
        <v>90</v>
      </c>
      <c r="R1132" s="11" t="s">
        <v>2845</v>
      </c>
      <c r="S1132" s="11" t="s">
        <v>2846</v>
      </c>
      <c r="T1132" s="116" t="s">
        <v>1</v>
      </c>
      <c r="U1132" s="88"/>
      <c r="V1132" s="51">
        <v>45894</v>
      </c>
      <c r="W1132" s="97" t="s">
        <v>1577</v>
      </c>
      <c r="X1132" s="135" t="str">
        <f>VLOOKUP(Table1[[#This Row],[AMZ ID]],[1]Roster_1787503287932!$D$2:$AU$1370,25,0)</f>
        <v>Present</v>
      </c>
      <c r="Y1132" s="135">
        <f>VLOOKUP(Table1[[#This Row],[AMZ ID]],[1]Roster_1787503287932!$D$2:$AM$1370,35,0)</f>
        <v>0</v>
      </c>
    </row>
    <row r="1133" spans="1:25" ht="13" customHeight="1">
      <c r="A1133" s="11">
        <v>1127</v>
      </c>
      <c r="B1133" s="47">
        <v>206192239</v>
      </c>
      <c r="C1133" s="89" t="s">
        <v>1611</v>
      </c>
      <c r="D1133" s="11" t="s">
        <v>1604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95</v>
      </c>
      <c r="M1133" s="49" t="s">
        <v>77</v>
      </c>
      <c r="N1133" s="48" t="s">
        <v>79</v>
      </c>
      <c r="O1133" s="49" t="s">
        <v>37</v>
      </c>
      <c r="P1133" s="11" t="s">
        <v>80</v>
      </c>
      <c r="Q1133" s="11" t="s">
        <v>96</v>
      </c>
      <c r="R1133" s="11" t="s">
        <v>627</v>
      </c>
      <c r="S1133" s="11" t="s">
        <v>628</v>
      </c>
      <c r="T1133" s="116" t="s">
        <v>1</v>
      </c>
      <c r="U1133" s="88"/>
      <c r="V1133" s="51">
        <v>45936</v>
      </c>
      <c r="W1133" s="97" t="s">
        <v>1577</v>
      </c>
      <c r="X1133" s="135" t="str">
        <f>VLOOKUP(Table1[[#This Row],[AMZ ID]],[1]Roster_1787503287932!$D$2:$AU$1370,25,0)</f>
        <v>Present</v>
      </c>
      <c r="Y1133" s="135">
        <f>VLOOKUP(Table1[[#This Row],[AMZ ID]],[1]Roster_1787503287932!$D$2:$AM$1370,35,0)</f>
        <v>0</v>
      </c>
    </row>
    <row r="1134" spans="1:25" ht="13" customHeight="1">
      <c r="A1134" s="11">
        <v>1128</v>
      </c>
      <c r="B1134" s="47">
        <v>203512943</v>
      </c>
      <c r="C1134" s="89" t="s">
        <v>1263</v>
      </c>
      <c r="D1134" s="11" t="s">
        <v>1264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84</v>
      </c>
      <c r="M1134" s="49" t="s">
        <v>85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11" t="s">
        <v>647</v>
      </c>
      <c r="S1134" s="11" t="s">
        <v>1798</v>
      </c>
      <c r="T1134" s="116" t="s">
        <v>1</v>
      </c>
      <c r="U1134" s="88"/>
      <c r="V1134" s="51">
        <v>45463</v>
      </c>
      <c r="W1134" s="133" t="s">
        <v>1577</v>
      </c>
      <c r="X1134" s="135" t="str">
        <f>VLOOKUP(Table1[[#This Row],[AMZ ID]],[1]Roster_1787503287932!$D$2:$AU$1370,25,0)</f>
        <v>Present</v>
      </c>
      <c r="Y1134" s="135">
        <f>VLOOKUP(Table1[[#This Row],[AMZ ID]],[1]Roster_1787503287932!$D$2:$AM$1370,35,0)</f>
        <v>0</v>
      </c>
    </row>
    <row r="1135" spans="1:25" ht="13" customHeight="1">
      <c r="A1135" s="11">
        <v>1129</v>
      </c>
      <c r="B1135" s="47">
        <v>204009949</v>
      </c>
      <c r="C1135" s="89" t="s">
        <v>1265</v>
      </c>
      <c r="D1135" s="11" t="s">
        <v>1266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78</v>
      </c>
      <c r="M1135" s="49" t="s">
        <v>92</v>
      </c>
      <c r="N1135" s="48" t="s">
        <v>86</v>
      </c>
      <c r="O1135" s="49" t="s">
        <v>37</v>
      </c>
      <c r="P1135" s="11" t="s">
        <v>80</v>
      </c>
      <c r="Q1135" s="11" t="s">
        <v>90</v>
      </c>
      <c r="R1135" s="49" t="s">
        <v>639</v>
      </c>
      <c r="S1135" s="11" t="s">
        <v>2718</v>
      </c>
      <c r="T1135" s="116" t="s">
        <v>10</v>
      </c>
      <c r="U1135" s="88"/>
      <c r="V1135" s="51">
        <v>45789</v>
      </c>
      <c r="W1135" s="97" t="s">
        <v>1577</v>
      </c>
      <c r="X1135" s="135" t="str">
        <f>VLOOKUP(Table1[[#This Row],[AMZ ID]],[1]Roster_1787503287932!$D$2:$AU$1370,25,0)</f>
        <v>Not Present</v>
      </c>
      <c r="Y1135" s="135">
        <f>VLOOKUP(Table1[[#This Row],[AMZ ID]],[1]Roster_1787503287932!$D$2:$AM$1370,35,0)</f>
        <v>0</v>
      </c>
    </row>
    <row r="1136" spans="1:25" ht="13" customHeight="1">
      <c r="A1136" s="11">
        <v>1130</v>
      </c>
      <c r="B1136" s="47">
        <v>203964990</v>
      </c>
      <c r="C1136" s="89" t="s">
        <v>1267</v>
      </c>
      <c r="D1136" s="11" t="s">
        <v>1268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36</v>
      </c>
      <c r="M1136" s="49" t="s">
        <v>92</v>
      </c>
      <c r="N1136" s="48" t="s">
        <v>86</v>
      </c>
      <c r="O1136" s="49" t="s">
        <v>37</v>
      </c>
      <c r="P1136" s="11" t="s">
        <v>80</v>
      </c>
      <c r="Q1136" s="11" t="s">
        <v>99</v>
      </c>
      <c r="R1136" s="11" t="s">
        <v>647</v>
      </c>
      <c r="S1136" s="11" t="s">
        <v>1798</v>
      </c>
      <c r="T1136" s="116" t="s">
        <v>1</v>
      </c>
      <c r="U1136" s="88" t="s">
        <v>3018</v>
      </c>
      <c r="V1136" s="51">
        <v>45544</v>
      </c>
      <c r="W1136" s="97" t="s">
        <v>1577</v>
      </c>
      <c r="X1136" s="135" t="str">
        <f>VLOOKUP(Table1[[#This Row],[AMZ ID]],[1]Roster_1787503287932!$D$2:$AU$1370,25,0)</f>
        <v>Present</v>
      </c>
      <c r="Y1136" s="135">
        <f>VLOOKUP(Table1[[#This Row],[AMZ ID]],[1]Roster_1787503287932!$D$2:$AM$1370,35,0)</f>
        <v>0</v>
      </c>
    </row>
    <row r="1137" spans="1:25" ht="13" customHeight="1">
      <c r="A1137" s="11">
        <v>1131</v>
      </c>
      <c r="B1137" s="47">
        <v>204117685</v>
      </c>
      <c r="C1137" s="89" t="s">
        <v>1269</v>
      </c>
      <c r="D1137" s="11" t="s">
        <v>1270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39</v>
      </c>
      <c r="K1137" s="49" t="s">
        <v>76</v>
      </c>
      <c r="L1137" s="49" t="s">
        <v>85</v>
      </c>
      <c r="M1137" s="49" t="s">
        <v>88</v>
      </c>
      <c r="N1137" s="48" t="s">
        <v>86</v>
      </c>
      <c r="O1137" s="49" t="s">
        <v>37</v>
      </c>
      <c r="P1137" s="11" t="s">
        <v>80</v>
      </c>
      <c r="Q1137" s="11" t="s">
        <v>87</v>
      </c>
      <c r="R1137" s="11" t="s">
        <v>627</v>
      </c>
      <c r="S1137" s="11" t="s">
        <v>628</v>
      </c>
      <c r="T1137" s="116" t="s">
        <v>1</v>
      </c>
      <c r="U1137" s="88"/>
      <c r="V1137" s="51">
        <v>45561</v>
      </c>
      <c r="W1137" s="97" t="s">
        <v>1577</v>
      </c>
      <c r="X1137" s="135" t="str">
        <f>VLOOKUP(Table1[[#This Row],[AMZ ID]],[1]Roster_1787503287932!$D$2:$AU$1370,25,0)</f>
        <v>Present</v>
      </c>
      <c r="Y1137" s="135">
        <f>VLOOKUP(Table1[[#This Row],[AMZ ID]],[1]Roster_1787503287932!$D$2:$AM$1370,35,0)</f>
        <v>0</v>
      </c>
    </row>
    <row r="1138" spans="1:25" ht="13" customHeight="1">
      <c r="A1138" s="11">
        <v>1132</v>
      </c>
      <c r="B1138" s="92">
        <v>205845546</v>
      </c>
      <c r="C1138" s="47" t="s">
        <v>2816</v>
      </c>
      <c r="D1138" s="89" t="s">
        <v>2817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32</v>
      </c>
      <c r="K1138" s="49" t="s">
        <v>76</v>
      </c>
      <c r="L1138" s="49" t="s">
        <v>85</v>
      </c>
      <c r="M1138" s="49" t="s">
        <v>88</v>
      </c>
      <c r="N1138" s="48" t="s">
        <v>86</v>
      </c>
      <c r="O1138" s="49" t="s">
        <v>37</v>
      </c>
      <c r="P1138" s="11" t="s">
        <v>80</v>
      </c>
      <c r="Q1138" s="11" t="s">
        <v>90</v>
      </c>
      <c r="R1138" s="11" t="s">
        <v>2845</v>
      </c>
      <c r="S1138" s="11" t="s">
        <v>2846</v>
      </c>
      <c r="T1138" s="116" t="s">
        <v>1</v>
      </c>
      <c r="U1138" s="88"/>
      <c r="V1138" s="51">
        <v>45894</v>
      </c>
      <c r="W1138" s="97" t="s">
        <v>1577</v>
      </c>
      <c r="X1138" s="135" t="str">
        <f>VLOOKUP(Table1[[#This Row],[AMZ ID]],[1]Roster_1787503287932!$D$2:$AU$1370,25,0)</f>
        <v>Present</v>
      </c>
      <c r="Y1138" s="135">
        <f>VLOOKUP(Table1[[#This Row],[AMZ ID]],[1]Roster_1787503287932!$D$2:$AM$1370,35,0)</f>
        <v>0</v>
      </c>
    </row>
    <row r="1139" spans="1:25" ht="13" customHeight="1">
      <c r="A1139" s="11">
        <v>1133</v>
      </c>
      <c r="B1139" s="47">
        <v>203908332</v>
      </c>
      <c r="C1139" s="89" t="s">
        <v>2341</v>
      </c>
      <c r="D1139" s="11" t="s">
        <v>2342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77</v>
      </c>
      <c r="M1139" s="49" t="s">
        <v>78</v>
      </c>
      <c r="N1139" s="48" t="s">
        <v>86</v>
      </c>
      <c r="O1139" s="49" t="s">
        <v>37</v>
      </c>
      <c r="P1139" s="11" t="s">
        <v>80</v>
      </c>
      <c r="Q1139" s="11" t="s">
        <v>90</v>
      </c>
      <c r="R1139" s="11" t="s">
        <v>627</v>
      </c>
      <c r="S1139" s="11" t="s">
        <v>628</v>
      </c>
      <c r="T1139" s="116" t="s">
        <v>10</v>
      </c>
      <c r="U1139" s="88"/>
      <c r="V1139" s="51">
        <v>45537</v>
      </c>
      <c r="W1139" s="97" t="s">
        <v>1578</v>
      </c>
      <c r="X1139" s="135" t="str">
        <f>VLOOKUP(Table1[[#This Row],[AMZ ID]],[1]Roster_1787503287932!$D$2:$AU$1370,25,0)</f>
        <v>Not Present</v>
      </c>
      <c r="Y1139" s="135">
        <f>VLOOKUP(Table1[[#This Row],[AMZ ID]],[1]Roster_1787503287932!$D$2:$AM$1370,35,0)</f>
        <v>0</v>
      </c>
    </row>
    <row r="1140" spans="1:25" ht="13" customHeight="1">
      <c r="A1140" s="11">
        <v>1134</v>
      </c>
      <c r="B1140" s="47">
        <v>206604522</v>
      </c>
      <c r="C1140" s="89" t="s">
        <v>2068</v>
      </c>
      <c r="D1140" s="11" t="s">
        <v>2069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92</v>
      </c>
      <c r="M1140" s="49" t="s">
        <v>84</v>
      </c>
      <c r="N1140" s="48" t="s">
        <v>89</v>
      </c>
      <c r="O1140" s="49" t="s">
        <v>37</v>
      </c>
      <c r="P1140" s="11" t="s">
        <v>80</v>
      </c>
      <c r="Q1140" s="11" t="s">
        <v>96</v>
      </c>
      <c r="R1140" s="11" t="s">
        <v>2719</v>
      </c>
      <c r="S1140" s="11" t="s">
        <v>642</v>
      </c>
      <c r="T1140" s="116" t="s">
        <v>1</v>
      </c>
      <c r="U1140" s="88"/>
      <c r="V1140" s="51">
        <v>46048</v>
      </c>
      <c r="W1140" s="97" t="s">
        <v>1577</v>
      </c>
      <c r="X1140" s="135" t="str">
        <f>VLOOKUP(Table1[[#This Row],[AMZ ID]],[1]Roster_1787503287932!$D$2:$AU$1370,25,0)</f>
        <v>Present</v>
      </c>
      <c r="Y1140" s="135">
        <f>VLOOKUP(Table1[[#This Row],[AMZ ID]],[1]Roster_1787503287932!$D$2:$AM$1370,35,0)</f>
        <v>0</v>
      </c>
    </row>
    <row r="1141" spans="1:25" ht="13" customHeight="1">
      <c r="A1141" s="11">
        <v>1135</v>
      </c>
      <c r="B1141" s="47">
        <v>206851164</v>
      </c>
      <c r="C1141" s="89" t="s">
        <v>1869</v>
      </c>
      <c r="D1141" s="11" t="s">
        <v>1870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84</v>
      </c>
      <c r="M1141" s="49" t="s">
        <v>85</v>
      </c>
      <c r="N1141" s="48" t="s">
        <v>89</v>
      </c>
      <c r="O1141" s="49" t="s">
        <v>37</v>
      </c>
      <c r="P1141" s="11" t="s">
        <v>80</v>
      </c>
      <c r="Q1141" s="11" t="s">
        <v>90</v>
      </c>
      <c r="R1141" s="11" t="s">
        <v>647</v>
      </c>
      <c r="S1141" s="11" t="s">
        <v>1798</v>
      </c>
      <c r="T1141" s="116" t="s">
        <v>1</v>
      </c>
      <c r="U1141" s="88"/>
      <c r="V1141" s="51">
        <v>46030</v>
      </c>
      <c r="W1141" s="97" t="s">
        <v>1577</v>
      </c>
      <c r="X1141" s="135" t="str">
        <f>VLOOKUP(Table1[[#This Row],[AMZ ID]],[1]Roster_1787503287932!$D$2:$AU$1370,25,0)</f>
        <v>Present</v>
      </c>
      <c r="Y1141" s="135">
        <f>VLOOKUP(Table1[[#This Row],[AMZ ID]],[1]Roster_1787503287932!$D$2:$AM$1370,35,0)</f>
        <v>0</v>
      </c>
    </row>
    <row r="1142" spans="1:25" ht="13" customHeight="1">
      <c r="A1142" s="11">
        <v>1136</v>
      </c>
      <c r="B1142" s="47">
        <v>203908334</v>
      </c>
      <c r="C1142" s="89" t="s">
        <v>1271</v>
      </c>
      <c r="D1142" s="11" t="s">
        <v>1272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78</v>
      </c>
      <c r="M1142" s="49" t="s">
        <v>92</v>
      </c>
      <c r="N1142" s="48" t="s">
        <v>86</v>
      </c>
      <c r="O1142" s="49" t="s">
        <v>37</v>
      </c>
      <c r="P1142" s="11" t="s">
        <v>80</v>
      </c>
      <c r="Q1142" s="11" t="s">
        <v>90</v>
      </c>
      <c r="R1142" s="49" t="s">
        <v>631</v>
      </c>
      <c r="S1142" s="11" t="s">
        <v>632</v>
      </c>
      <c r="T1142" s="116" t="s">
        <v>10</v>
      </c>
      <c r="U1142" s="88"/>
      <c r="V1142" s="51">
        <v>45537</v>
      </c>
      <c r="W1142" s="97" t="s">
        <v>1578</v>
      </c>
      <c r="X1142" s="135" t="str">
        <f>VLOOKUP(Table1[[#This Row],[AMZ ID]],[1]Roster_1787503287932!$D$2:$AU$1370,25,0)</f>
        <v>Not Present</v>
      </c>
      <c r="Y1142" s="135">
        <f>VLOOKUP(Table1[[#This Row],[AMZ ID]],[1]Roster_1787503287932!$D$2:$AM$1370,35,0)</f>
        <v>0</v>
      </c>
    </row>
    <row r="1143" spans="1:25" ht="13" customHeight="1">
      <c r="A1143" s="11">
        <v>1137</v>
      </c>
      <c r="B1143" s="47">
        <v>206129263</v>
      </c>
      <c r="C1143" s="89" t="s">
        <v>1273</v>
      </c>
      <c r="D1143" s="11" t="s">
        <v>1274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32</v>
      </c>
      <c r="K1143" s="49" t="s">
        <v>76</v>
      </c>
      <c r="L1143" s="49" t="s">
        <v>78</v>
      </c>
      <c r="M1143" s="49" t="s">
        <v>92</v>
      </c>
      <c r="N1143" s="48" t="s">
        <v>79</v>
      </c>
      <c r="O1143" s="49" t="s">
        <v>37</v>
      </c>
      <c r="P1143" s="11" t="s">
        <v>80</v>
      </c>
      <c r="Q1143" s="11" t="s">
        <v>81</v>
      </c>
      <c r="R1143" s="49" t="s">
        <v>647</v>
      </c>
      <c r="S1143" s="11" t="s">
        <v>1798</v>
      </c>
      <c r="T1143" s="116" t="s">
        <v>10</v>
      </c>
      <c r="U1143" s="88"/>
      <c r="V1143" s="51">
        <v>45929</v>
      </c>
      <c r="W1143" s="97" t="s">
        <v>1577</v>
      </c>
      <c r="X1143" s="135" t="str">
        <f>VLOOKUP(Table1[[#This Row],[AMZ ID]],[1]Roster_1787503287932!$D$2:$AU$1370,25,0)</f>
        <v>Not Present</v>
      </c>
      <c r="Y1143" s="135">
        <f>VLOOKUP(Table1[[#This Row],[AMZ ID]],[1]Roster_1787503287932!$D$2:$AM$1370,35,0)</f>
        <v>0</v>
      </c>
    </row>
    <row r="1144" spans="1:25" ht="13" customHeight="1">
      <c r="A1144" s="11">
        <v>1138</v>
      </c>
      <c r="B1144" s="47">
        <v>204013685</v>
      </c>
      <c r="C1144" s="89" t="s">
        <v>1275</v>
      </c>
      <c r="D1144" s="11" t="s">
        <v>1276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39</v>
      </c>
      <c r="K1144" s="49" t="s">
        <v>76</v>
      </c>
      <c r="L1144" s="49" t="s">
        <v>92</v>
      </c>
      <c r="M1144" s="49" t="s">
        <v>84</v>
      </c>
      <c r="N1144" s="49" t="s">
        <v>79</v>
      </c>
      <c r="O1144" s="49" t="s">
        <v>37</v>
      </c>
      <c r="P1144" s="11" t="s">
        <v>80</v>
      </c>
      <c r="Q1144" s="11" t="s">
        <v>81</v>
      </c>
      <c r="R1144" s="11" t="s">
        <v>627</v>
      </c>
      <c r="S1144" s="11" t="s">
        <v>628</v>
      </c>
      <c r="T1144" s="116" t="s">
        <v>1</v>
      </c>
      <c r="U1144" s="88"/>
      <c r="V1144" s="51">
        <v>45551</v>
      </c>
      <c r="W1144" s="97" t="s">
        <v>1576</v>
      </c>
      <c r="X1144" s="135" t="str">
        <f>VLOOKUP(Table1[[#This Row],[AMZ ID]],[1]Roster_1787503287932!$D$2:$AU$1370,25,0)</f>
        <v>Present</v>
      </c>
      <c r="Y1144" s="135">
        <f>VLOOKUP(Table1[[#This Row],[AMZ ID]],[1]Roster_1787503287932!$D$2:$AM$1370,35,0)</f>
        <v>0</v>
      </c>
    </row>
    <row r="1145" spans="1:25" ht="13" customHeight="1">
      <c r="A1145" s="11">
        <v>1139</v>
      </c>
      <c r="B1145" s="92">
        <v>205199356</v>
      </c>
      <c r="C1145" s="47" t="s">
        <v>2873</v>
      </c>
      <c r="D1145" s="89" t="s">
        <v>2874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84</v>
      </c>
      <c r="M1145" s="49" t="s">
        <v>85</v>
      </c>
      <c r="N1145" s="48" t="s">
        <v>89</v>
      </c>
      <c r="O1145" s="49" t="s">
        <v>37</v>
      </c>
      <c r="P1145" s="11" t="s">
        <v>80</v>
      </c>
      <c r="Q1145" s="11" t="s">
        <v>96</v>
      </c>
      <c r="R1145" s="11" t="s">
        <v>1066</v>
      </c>
      <c r="S1145" s="11" t="s">
        <v>2717</v>
      </c>
      <c r="T1145" s="116" t="s">
        <v>1</v>
      </c>
      <c r="U1145" s="88"/>
      <c r="V1145" s="51">
        <v>46238</v>
      </c>
      <c r="W1145" s="97" t="s">
        <v>1577</v>
      </c>
      <c r="X1145" s="135" t="str">
        <f>VLOOKUP(Table1[[#This Row],[AMZ ID]],[1]Roster_1787503287932!$D$2:$AU$1370,25,0)</f>
        <v>Present</v>
      </c>
      <c r="Y1145" s="135">
        <f>VLOOKUP(Table1[[#This Row],[AMZ ID]],[1]Roster_1787503287932!$D$2:$AM$1370,35,0)</f>
        <v>0</v>
      </c>
    </row>
    <row r="1146" spans="1:25" ht="13" customHeight="1">
      <c r="A1146" s="11">
        <v>1140</v>
      </c>
      <c r="B1146" s="47">
        <v>206200800</v>
      </c>
      <c r="C1146" s="89" t="s">
        <v>1595</v>
      </c>
      <c r="D1146" s="11" t="s">
        <v>1589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77</v>
      </c>
      <c r="M1146" s="49" t="s">
        <v>78</v>
      </c>
      <c r="N1146" s="48" t="s">
        <v>89</v>
      </c>
      <c r="O1146" s="49" t="s">
        <v>37</v>
      </c>
      <c r="P1146" s="11" t="s">
        <v>80</v>
      </c>
      <c r="Q1146" s="11" t="s">
        <v>81</v>
      </c>
      <c r="R1146" s="11" t="s">
        <v>2719</v>
      </c>
      <c r="S1146" s="11" t="s">
        <v>642</v>
      </c>
      <c r="T1146" s="116" t="s">
        <v>10</v>
      </c>
      <c r="U1146" s="88"/>
      <c r="V1146" s="51">
        <v>45936</v>
      </c>
      <c r="W1146" s="97" t="s">
        <v>1577</v>
      </c>
      <c r="X1146" s="135" t="str">
        <f>VLOOKUP(Table1[[#This Row],[AMZ ID]],[1]Roster_1787503287932!$D$2:$AU$1370,25,0)</f>
        <v>Not Present</v>
      </c>
      <c r="Y1146" s="135">
        <f>VLOOKUP(Table1[[#This Row],[AMZ ID]],[1]Roster_1787503287932!$D$2:$AM$1370,35,0)</f>
        <v>0</v>
      </c>
    </row>
    <row r="1147" spans="1:25" ht="13" customHeight="1">
      <c r="A1147" s="11">
        <v>1141</v>
      </c>
      <c r="B1147" s="47">
        <v>206846532</v>
      </c>
      <c r="C1147" s="89" t="s">
        <v>1817</v>
      </c>
      <c r="D1147" s="11" t="s">
        <v>1818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39</v>
      </c>
      <c r="K1147" s="49" t="s">
        <v>76</v>
      </c>
      <c r="L1147" s="49" t="s">
        <v>84</v>
      </c>
      <c r="M1147" s="49" t="s">
        <v>85</v>
      </c>
      <c r="N1147" s="48" t="s">
        <v>89</v>
      </c>
      <c r="O1147" s="49" t="s">
        <v>37</v>
      </c>
      <c r="P1147" s="11" t="s">
        <v>80</v>
      </c>
      <c r="Q1147" s="11" t="s">
        <v>90</v>
      </c>
      <c r="R1147" s="49" t="s">
        <v>2844</v>
      </c>
      <c r="S1147" s="11" t="s">
        <v>2716</v>
      </c>
      <c r="T1147" s="116" t="s">
        <v>1</v>
      </c>
      <c r="U1147" s="88"/>
      <c r="V1147" s="51">
        <v>46013</v>
      </c>
      <c r="W1147" s="97" t="s">
        <v>1577</v>
      </c>
      <c r="X1147" s="135" t="str">
        <f>VLOOKUP(Table1[[#This Row],[AMZ ID]],[1]Roster_1787503287932!$D$2:$AU$1370,25,0)</f>
        <v>Present</v>
      </c>
      <c r="Y1147" s="135">
        <f>VLOOKUP(Table1[[#This Row],[AMZ ID]],[1]Roster_1787503287932!$D$2:$AM$1370,35,0)</f>
        <v>0</v>
      </c>
    </row>
    <row r="1148" spans="1:25" ht="13" customHeight="1">
      <c r="A1148" s="11">
        <v>1142</v>
      </c>
      <c r="B1148" s="47">
        <v>206129267</v>
      </c>
      <c r="C1148" s="89" t="s">
        <v>1133</v>
      </c>
      <c r="D1148" s="11" t="s">
        <v>1134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32</v>
      </c>
      <c r="K1148" s="49" t="s">
        <v>76</v>
      </c>
      <c r="L1148" s="49" t="s">
        <v>78</v>
      </c>
      <c r="M1148" s="49" t="s">
        <v>92</v>
      </c>
      <c r="N1148" s="49" t="s">
        <v>79</v>
      </c>
      <c r="O1148" s="49" t="s">
        <v>37</v>
      </c>
      <c r="P1148" s="11" t="s">
        <v>80</v>
      </c>
      <c r="Q1148" s="11" t="s">
        <v>81</v>
      </c>
      <c r="R1148" s="11" t="s">
        <v>647</v>
      </c>
      <c r="S1148" s="11" t="s">
        <v>1798</v>
      </c>
      <c r="T1148" s="116" t="s">
        <v>10</v>
      </c>
      <c r="U1148" s="88"/>
      <c r="V1148" s="51">
        <v>45929</v>
      </c>
      <c r="W1148" s="97" t="s">
        <v>1577</v>
      </c>
      <c r="X1148" s="135" t="str">
        <f>VLOOKUP(Table1[[#This Row],[AMZ ID]],[1]Roster_1787503287932!$D$2:$AU$1370,25,0)</f>
        <v>Not Present</v>
      </c>
      <c r="Y1148" s="135">
        <f>VLOOKUP(Table1[[#This Row],[AMZ ID]],[1]Roster_1787503287932!$D$2:$AM$1370,35,0)</f>
        <v>0</v>
      </c>
    </row>
    <row r="1149" spans="1:25" ht="13" customHeight="1">
      <c r="A1149" s="11">
        <v>1143</v>
      </c>
      <c r="B1149" s="47">
        <v>108019725</v>
      </c>
      <c r="C1149" s="89" t="s">
        <v>2366</v>
      </c>
      <c r="D1149" s="11" t="s">
        <v>2367</v>
      </c>
      <c r="E1149" s="48" t="s">
        <v>34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84</v>
      </c>
      <c r="M1149" s="49" t="s">
        <v>85</v>
      </c>
      <c r="N1149" s="48" t="s">
        <v>97</v>
      </c>
      <c r="O1149" s="49" t="s">
        <v>37</v>
      </c>
      <c r="P1149" s="11" t="s">
        <v>80</v>
      </c>
      <c r="Q1149" s="11" t="s">
        <v>98</v>
      </c>
      <c r="R1149" s="49" t="s">
        <v>631</v>
      </c>
      <c r="S1149" s="11" t="s">
        <v>632</v>
      </c>
      <c r="T1149" s="116" t="s">
        <v>1</v>
      </c>
      <c r="U1149" s="88"/>
      <c r="V1149" s="51">
        <v>44757</v>
      </c>
      <c r="W1149" s="97" t="s">
        <v>1577</v>
      </c>
      <c r="X1149" s="135" t="str">
        <f>VLOOKUP(Table1[[#This Row],[AMZ ID]],[1]Roster_1787503287932!$D$2:$AU$1370,25,0)</f>
        <v>Present</v>
      </c>
      <c r="Y1149" s="135">
        <f>VLOOKUP(Table1[[#This Row],[AMZ ID]],[1]Roster_1787503287932!$D$2:$AM$1370,35,0)</f>
        <v>0</v>
      </c>
    </row>
    <row r="1150" spans="1:25" ht="13" customHeight="1">
      <c r="A1150" s="11">
        <v>1144</v>
      </c>
      <c r="B1150" s="47">
        <v>203908914</v>
      </c>
      <c r="C1150" s="89" t="s">
        <v>1277</v>
      </c>
      <c r="D1150" s="47" t="s">
        <v>1278</v>
      </c>
      <c r="E1150" s="47" t="s">
        <v>31</v>
      </c>
      <c r="F1150" s="48" t="s">
        <v>74</v>
      </c>
      <c r="G1150" s="11" t="s">
        <v>64</v>
      </c>
      <c r="H1150" s="11" t="s">
        <v>75</v>
      </c>
      <c r="I1150" s="47">
        <v>1299</v>
      </c>
      <c r="J1150" s="49" t="s">
        <v>39</v>
      </c>
      <c r="K1150" s="49" t="s">
        <v>76</v>
      </c>
      <c r="L1150" s="49" t="s">
        <v>88</v>
      </c>
      <c r="M1150" s="49" t="s">
        <v>95</v>
      </c>
      <c r="N1150" s="49" t="s">
        <v>86</v>
      </c>
      <c r="O1150" s="49" t="s">
        <v>37</v>
      </c>
      <c r="P1150" s="11" t="s">
        <v>80</v>
      </c>
      <c r="Q1150" s="47" t="s">
        <v>90</v>
      </c>
      <c r="R1150" s="49" t="s">
        <v>647</v>
      </c>
      <c r="S1150" s="47" t="s">
        <v>1798</v>
      </c>
      <c r="T1150" s="116" t="s">
        <v>1</v>
      </c>
      <c r="U1150" s="88"/>
      <c r="V1150" s="51">
        <v>45537</v>
      </c>
      <c r="W1150" s="97" t="s">
        <v>1577</v>
      </c>
      <c r="X1150" s="135" t="str">
        <f>VLOOKUP(Table1[[#This Row],[AMZ ID]],[1]Roster_1787503287932!$D$2:$AU$1370,25,0)</f>
        <v>Present</v>
      </c>
      <c r="Y1150" s="135">
        <f>VLOOKUP(Table1[[#This Row],[AMZ ID]],[1]Roster_1787503287932!$D$2:$AM$1370,35,0)</f>
        <v>0</v>
      </c>
    </row>
    <row r="1151" spans="1:25" ht="13" customHeight="1">
      <c r="A1151" s="11">
        <v>1145</v>
      </c>
      <c r="B1151" s="47">
        <v>206348026</v>
      </c>
      <c r="C1151" s="89" t="s">
        <v>1680</v>
      </c>
      <c r="D1151" s="11" t="s">
        <v>1681</v>
      </c>
      <c r="E1151" s="48" t="s">
        <v>31</v>
      </c>
      <c r="F1151" s="48" t="s">
        <v>74</v>
      </c>
      <c r="G1151" s="11" t="s">
        <v>65</v>
      </c>
      <c r="H1151" s="11" t="s">
        <v>1332</v>
      </c>
      <c r="I1151" s="11">
        <v>1181</v>
      </c>
      <c r="J1151" s="49" t="s">
        <v>32</v>
      </c>
      <c r="K1151" s="49" t="s">
        <v>76</v>
      </c>
      <c r="L1151" s="49" t="s">
        <v>88</v>
      </c>
      <c r="M1151" s="49" t="s">
        <v>95</v>
      </c>
      <c r="N1151" s="48" t="s">
        <v>89</v>
      </c>
      <c r="O1151" s="49" t="s">
        <v>68</v>
      </c>
      <c r="P1151" s="11" t="s">
        <v>80</v>
      </c>
      <c r="Q1151" s="11" t="s">
        <v>90</v>
      </c>
      <c r="R1151" s="11" t="s">
        <v>1336</v>
      </c>
      <c r="S1151" s="11" t="s">
        <v>1337</v>
      </c>
      <c r="T1151" s="116" t="s">
        <v>1</v>
      </c>
      <c r="U1151" s="88"/>
      <c r="V1151" s="51">
        <v>45957</v>
      </c>
      <c r="W1151" s="97" t="s">
        <v>68</v>
      </c>
      <c r="X1151" s="135" t="str">
        <f>VLOOKUP(Table1[[#This Row],[AMZ ID]],[1]Roster_1787503287932!$D$2:$AU$1370,25,0)</f>
        <v>Present</v>
      </c>
      <c r="Y1151" s="135">
        <f>VLOOKUP(Table1[[#This Row],[AMZ ID]],[1]Roster_1787503287932!$D$2:$AM$1370,35,0)</f>
        <v>0</v>
      </c>
    </row>
    <row r="1152" spans="1:25" ht="13" customHeight="1">
      <c r="A1152" s="11">
        <v>1146</v>
      </c>
      <c r="B1152" s="47">
        <v>206137337</v>
      </c>
      <c r="C1152" s="89" t="s">
        <v>1279</v>
      </c>
      <c r="D1152" s="11" t="s">
        <v>1280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84</v>
      </c>
      <c r="M1152" s="49" t="s">
        <v>85</v>
      </c>
      <c r="N1152" s="48" t="s">
        <v>79</v>
      </c>
      <c r="O1152" s="49" t="s">
        <v>37</v>
      </c>
      <c r="P1152" s="11" t="s">
        <v>80</v>
      </c>
      <c r="Q1152" s="11" t="s">
        <v>81</v>
      </c>
      <c r="R1152" s="11" t="s">
        <v>627</v>
      </c>
      <c r="S1152" s="11" t="s">
        <v>628</v>
      </c>
      <c r="T1152" s="116" t="s">
        <v>7</v>
      </c>
      <c r="U1152" s="88"/>
      <c r="V1152" s="51">
        <v>45929</v>
      </c>
      <c r="W1152" s="97" t="s">
        <v>1577</v>
      </c>
      <c r="X1152" s="135" t="str">
        <f>VLOOKUP(Table1[[#This Row],[AMZ ID]],[1]Roster_1787503287932!$D$2:$AU$1370,25,0)</f>
        <v>Not Present</v>
      </c>
      <c r="Y1152" s="135" t="str">
        <f>VLOOKUP(Table1[[#This Row],[AMZ ID]],[1]Roster_1787503287932!$D$2:$AM$1370,35,0)</f>
        <v>Carry Forwarded Annual Leave</v>
      </c>
    </row>
    <row r="1153" spans="1:25" ht="13" customHeight="1">
      <c r="A1153" s="11">
        <v>1147</v>
      </c>
      <c r="B1153" s="47">
        <v>203512964</v>
      </c>
      <c r="C1153" s="89" t="s">
        <v>1281</v>
      </c>
      <c r="D1153" s="11" t="s">
        <v>1282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39</v>
      </c>
      <c r="K1153" s="49" t="s">
        <v>76</v>
      </c>
      <c r="L1153" s="49" t="s">
        <v>95</v>
      </c>
      <c r="M1153" s="49" t="s">
        <v>77</v>
      </c>
      <c r="N1153" s="48" t="s">
        <v>79</v>
      </c>
      <c r="O1153" s="49" t="s">
        <v>37</v>
      </c>
      <c r="P1153" s="11" t="s">
        <v>80</v>
      </c>
      <c r="Q1153" s="11" t="s">
        <v>81</v>
      </c>
      <c r="R1153" s="49" t="s">
        <v>1066</v>
      </c>
      <c r="S1153" s="11" t="s">
        <v>2717</v>
      </c>
      <c r="T1153" s="116" t="s">
        <v>1</v>
      </c>
      <c r="U1153" s="88"/>
      <c r="V1153" s="51">
        <v>45463</v>
      </c>
      <c r="W1153" s="97" t="s">
        <v>1577</v>
      </c>
      <c r="X1153" s="135" t="str">
        <f>VLOOKUP(Table1[[#This Row],[AMZ ID]],[1]Roster_1787503287932!$D$2:$AU$1370,25,0)</f>
        <v>Present</v>
      </c>
      <c r="Y1153" s="135">
        <f>VLOOKUP(Table1[[#This Row],[AMZ ID]],[1]Roster_1787503287932!$D$2:$AM$1370,35,0)</f>
        <v>0</v>
      </c>
    </row>
    <row r="1154" spans="1:25" ht="13" customHeight="1">
      <c r="A1154" s="11">
        <v>1148</v>
      </c>
      <c r="B1154" s="47">
        <v>203908343</v>
      </c>
      <c r="C1154" s="89" t="s">
        <v>2430</v>
      </c>
      <c r="D1154" s="11" t="s">
        <v>2431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85</v>
      </c>
      <c r="M1154" s="49" t="s">
        <v>88</v>
      </c>
      <c r="N1154" s="48" t="s">
        <v>86</v>
      </c>
      <c r="O1154" s="49" t="s">
        <v>37</v>
      </c>
      <c r="P1154" s="11" t="s">
        <v>80</v>
      </c>
      <c r="Q1154" s="11" t="s">
        <v>90</v>
      </c>
      <c r="R1154" s="11" t="s">
        <v>631</v>
      </c>
      <c r="S1154" s="11" t="s">
        <v>632</v>
      </c>
      <c r="T1154" s="116" t="s">
        <v>1</v>
      </c>
      <c r="U1154" s="88"/>
      <c r="V1154" s="51">
        <v>45537</v>
      </c>
      <c r="W1154" s="97" t="s">
        <v>1577</v>
      </c>
      <c r="X1154" s="135" t="str">
        <f>VLOOKUP(Table1[[#This Row],[AMZ ID]],[1]Roster_1787503287932!$D$2:$AU$1370,25,0)</f>
        <v>Present</v>
      </c>
      <c r="Y1154" s="135">
        <f>VLOOKUP(Table1[[#This Row],[AMZ ID]],[1]Roster_1787503287932!$D$2:$AM$1370,35,0)</f>
        <v>0</v>
      </c>
    </row>
    <row r="1155" spans="1:25" ht="13" customHeight="1">
      <c r="A1155" s="11">
        <v>1149</v>
      </c>
      <c r="B1155" s="47">
        <v>203881713</v>
      </c>
      <c r="C1155" s="89" t="s">
        <v>1283</v>
      </c>
      <c r="D1155" s="11" t="s">
        <v>1284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84</v>
      </c>
      <c r="M1155" s="49" t="s">
        <v>85</v>
      </c>
      <c r="N1155" s="48" t="s">
        <v>79</v>
      </c>
      <c r="O1155" s="49" t="s">
        <v>37</v>
      </c>
      <c r="P1155" s="11" t="s">
        <v>80</v>
      </c>
      <c r="Q1155" s="11" t="s">
        <v>81</v>
      </c>
      <c r="R1155" s="49" t="s">
        <v>647</v>
      </c>
      <c r="S1155" s="11" t="s">
        <v>1798</v>
      </c>
      <c r="T1155" s="116" t="s">
        <v>1</v>
      </c>
      <c r="U1155" s="88"/>
      <c r="V1155" s="51">
        <v>45530</v>
      </c>
      <c r="W1155" s="97" t="s">
        <v>1577</v>
      </c>
      <c r="X1155" s="135" t="str">
        <f>VLOOKUP(Table1[[#This Row],[AMZ ID]],[1]Roster_1787503287932!$D$2:$AU$1370,25,0)</f>
        <v>Present</v>
      </c>
      <c r="Y1155" s="135">
        <f>VLOOKUP(Table1[[#This Row],[AMZ ID]],[1]Roster_1787503287932!$D$2:$AM$1370,35,0)</f>
        <v>0</v>
      </c>
    </row>
    <row r="1156" spans="1:25" ht="13" customHeight="1">
      <c r="A1156" s="11">
        <v>1150</v>
      </c>
      <c r="B1156" s="47">
        <v>206136735</v>
      </c>
      <c r="C1156" s="89" t="s">
        <v>2855</v>
      </c>
      <c r="D1156" s="11" t="s">
        <v>2856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92</v>
      </c>
      <c r="M1156" s="49" t="s">
        <v>84</v>
      </c>
      <c r="N1156" s="49" t="s">
        <v>89</v>
      </c>
      <c r="O1156" s="49" t="s">
        <v>37</v>
      </c>
      <c r="P1156" s="11" t="s">
        <v>80</v>
      </c>
      <c r="Q1156" s="11" t="s">
        <v>96</v>
      </c>
      <c r="R1156" s="49" t="s">
        <v>1066</v>
      </c>
      <c r="S1156" s="11" t="s">
        <v>2717</v>
      </c>
      <c r="T1156" s="116" t="s">
        <v>1</v>
      </c>
      <c r="U1156" s="88"/>
      <c r="V1156" s="51">
        <v>46238</v>
      </c>
      <c r="W1156" s="97" t="s">
        <v>1579</v>
      </c>
      <c r="X1156" s="135" t="str">
        <f>VLOOKUP(Table1[[#This Row],[AMZ ID]],[1]Roster_1787503287932!$D$2:$AU$1370,25,0)</f>
        <v>Present</v>
      </c>
      <c r="Y1156" s="135">
        <f>VLOOKUP(Table1[[#This Row],[AMZ ID]],[1]Roster_1787503287932!$D$2:$AM$1370,35,0)</f>
        <v>0</v>
      </c>
    </row>
    <row r="1157" spans="1:25" ht="13" customHeight="1">
      <c r="A1157" s="11">
        <v>1151</v>
      </c>
      <c r="B1157" s="47">
        <v>203341958</v>
      </c>
      <c r="C1157" s="89" t="s">
        <v>1615</v>
      </c>
      <c r="D1157" s="11" t="s">
        <v>1285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32</v>
      </c>
      <c r="K1157" s="49" t="s">
        <v>76</v>
      </c>
      <c r="L1157" s="49" t="s">
        <v>95</v>
      </c>
      <c r="M1157" s="49" t="s">
        <v>77</v>
      </c>
      <c r="N1157" s="49" t="s">
        <v>86</v>
      </c>
      <c r="O1157" s="49" t="s">
        <v>37</v>
      </c>
      <c r="P1157" s="11" t="s">
        <v>80</v>
      </c>
      <c r="Q1157" s="11" t="s">
        <v>99</v>
      </c>
      <c r="R1157" s="49" t="s">
        <v>631</v>
      </c>
      <c r="S1157" s="11" t="s">
        <v>632</v>
      </c>
      <c r="T1157" s="116" t="s">
        <v>1</v>
      </c>
      <c r="U1157" s="88"/>
      <c r="V1157" s="51">
        <v>45432</v>
      </c>
      <c r="W1157" s="97" t="s">
        <v>1578</v>
      </c>
      <c r="X1157" s="135" t="str">
        <f>VLOOKUP(Table1[[#This Row],[AMZ ID]],[1]Roster_1787503287932!$D$2:$AU$1370,25,0)</f>
        <v>Present</v>
      </c>
      <c r="Y1157" s="135">
        <f>VLOOKUP(Table1[[#This Row],[AMZ ID]],[1]Roster_1787503287932!$D$2:$AM$1370,35,0)</f>
        <v>0</v>
      </c>
    </row>
    <row r="1158" spans="1:25" ht="13" customHeight="1">
      <c r="A1158" s="11">
        <v>1152</v>
      </c>
      <c r="B1158" s="47">
        <v>206073366</v>
      </c>
      <c r="C1158" s="89" t="s">
        <v>414</v>
      </c>
      <c r="D1158" s="11" t="s">
        <v>415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32</v>
      </c>
      <c r="K1158" s="49" t="s">
        <v>76</v>
      </c>
      <c r="L1158" s="49" t="s">
        <v>78</v>
      </c>
      <c r="M1158" s="49" t="s">
        <v>92</v>
      </c>
      <c r="N1158" s="48" t="s">
        <v>79</v>
      </c>
      <c r="O1158" s="49" t="s">
        <v>35</v>
      </c>
      <c r="P1158" s="11" t="s">
        <v>80</v>
      </c>
      <c r="Q1158" s="11" t="s">
        <v>81</v>
      </c>
      <c r="R1158" s="11" t="s">
        <v>231</v>
      </c>
      <c r="S1158" s="11" t="s">
        <v>1753</v>
      </c>
      <c r="T1158" s="116" t="s">
        <v>10</v>
      </c>
      <c r="U1158" s="88"/>
      <c r="V1158" s="51">
        <v>45922</v>
      </c>
      <c r="W1158" s="97" t="s">
        <v>1573</v>
      </c>
      <c r="X1158" s="135" t="str">
        <f>VLOOKUP(Table1[[#This Row],[AMZ ID]],[1]Roster_1787503287932!$D$2:$AU$1370,25,0)</f>
        <v>Not Present</v>
      </c>
      <c r="Y1158" s="135" t="str">
        <f>VLOOKUP(Table1[[#This Row],[AMZ ID]],[1]Roster_1787503287932!$D$2:$AM$1370,35,0)</f>
        <v>Annual Leave</v>
      </c>
    </row>
    <row r="1159" spans="1:25" ht="13" customHeight="1">
      <c r="A1159" s="11">
        <v>1153</v>
      </c>
      <c r="B1159" s="47">
        <v>203993454</v>
      </c>
      <c r="C1159" s="89" t="s">
        <v>2818</v>
      </c>
      <c r="D1159" s="11" t="s">
        <v>2819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88</v>
      </c>
      <c r="M1159" s="49" t="s">
        <v>95</v>
      </c>
      <c r="N1159" s="48" t="s">
        <v>86</v>
      </c>
      <c r="O1159" s="49" t="s">
        <v>37</v>
      </c>
      <c r="P1159" s="11" t="s">
        <v>80</v>
      </c>
      <c r="Q1159" s="11" t="s">
        <v>90</v>
      </c>
      <c r="R1159" s="11" t="s">
        <v>2845</v>
      </c>
      <c r="S1159" s="11" t="s">
        <v>2846</v>
      </c>
      <c r="T1159" s="116" t="s">
        <v>1</v>
      </c>
      <c r="U1159" s="88"/>
      <c r="V1159" s="51">
        <v>45551</v>
      </c>
      <c r="W1159" s="97" t="s">
        <v>1577</v>
      </c>
      <c r="X1159" s="135" t="str">
        <f>VLOOKUP(Table1[[#This Row],[AMZ ID]],[1]Roster_1787503287932!$D$2:$AU$1370,25,0)</f>
        <v>Present</v>
      </c>
      <c r="Y1159" s="135">
        <f>VLOOKUP(Table1[[#This Row],[AMZ ID]],[1]Roster_1787503287932!$D$2:$AM$1370,35,0)</f>
        <v>0</v>
      </c>
    </row>
    <row r="1160" spans="1:25" ht="13" customHeight="1">
      <c r="A1160" s="11">
        <v>1154</v>
      </c>
      <c r="B1160" s="47">
        <v>203965497</v>
      </c>
      <c r="C1160" s="89" t="s">
        <v>1288</v>
      </c>
      <c r="D1160" s="11" t="s">
        <v>1289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32</v>
      </c>
      <c r="K1160" s="49" t="s">
        <v>76</v>
      </c>
      <c r="L1160" s="49" t="s">
        <v>36</v>
      </c>
      <c r="M1160" s="49" t="s">
        <v>92</v>
      </c>
      <c r="N1160" s="48" t="s">
        <v>79</v>
      </c>
      <c r="O1160" s="49" t="s">
        <v>37</v>
      </c>
      <c r="P1160" s="11" t="s">
        <v>80</v>
      </c>
      <c r="Q1160" s="11" t="s">
        <v>81</v>
      </c>
      <c r="R1160" s="49" t="s">
        <v>1066</v>
      </c>
      <c r="S1160" s="11" t="s">
        <v>2717</v>
      </c>
      <c r="T1160" s="116" t="s">
        <v>1</v>
      </c>
      <c r="U1160" s="88" t="s">
        <v>3018</v>
      </c>
      <c r="V1160" s="51">
        <v>45544</v>
      </c>
      <c r="W1160" s="97" t="s">
        <v>1577</v>
      </c>
      <c r="X1160" s="135" t="str">
        <f>VLOOKUP(Table1[[#This Row],[AMZ ID]],[1]Roster_1787503287932!$D$2:$AU$1370,25,0)</f>
        <v>Present</v>
      </c>
      <c r="Y1160" s="135">
        <f>VLOOKUP(Table1[[#This Row],[AMZ ID]],[1]Roster_1787503287932!$D$2:$AM$1370,35,0)</f>
        <v>0</v>
      </c>
    </row>
    <row r="1161" spans="1:25" ht="13" customHeight="1">
      <c r="A1161" s="11">
        <v>1155</v>
      </c>
      <c r="B1161" s="47">
        <v>204116445</v>
      </c>
      <c r="C1161" s="89" t="s">
        <v>1290</v>
      </c>
      <c r="D1161" s="11" t="s">
        <v>1291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78</v>
      </c>
      <c r="M1161" s="49" t="s">
        <v>92</v>
      </c>
      <c r="N1161" s="48" t="s">
        <v>86</v>
      </c>
      <c r="O1161" s="49" t="s">
        <v>37</v>
      </c>
      <c r="P1161" s="11" t="s">
        <v>80</v>
      </c>
      <c r="Q1161" s="11" t="s">
        <v>87</v>
      </c>
      <c r="R1161" s="49" t="s">
        <v>1066</v>
      </c>
      <c r="S1161" s="11" t="s">
        <v>2717</v>
      </c>
      <c r="T1161" s="116" t="s">
        <v>10</v>
      </c>
      <c r="U1161" s="88"/>
      <c r="V1161" s="51">
        <v>45561</v>
      </c>
      <c r="W1161" s="97" t="s">
        <v>1576</v>
      </c>
      <c r="X1161" s="135" t="str">
        <f>VLOOKUP(Table1[[#This Row],[AMZ ID]],[1]Roster_1787503287932!$D$2:$AU$1370,25,0)</f>
        <v>Not Present</v>
      </c>
      <c r="Y1161" s="135">
        <f>VLOOKUP(Table1[[#This Row],[AMZ ID]],[1]Roster_1787503287932!$D$2:$AM$1370,35,0)</f>
        <v>0</v>
      </c>
    </row>
    <row r="1162" spans="1:25" ht="13" customHeight="1">
      <c r="A1162" s="11">
        <v>1156</v>
      </c>
      <c r="B1162" s="47">
        <v>204095447</v>
      </c>
      <c r="C1162" s="89" t="s">
        <v>1292</v>
      </c>
      <c r="D1162" s="47" t="s">
        <v>1293</v>
      </c>
      <c r="E1162" s="47" t="s">
        <v>31</v>
      </c>
      <c r="F1162" s="48" t="s">
        <v>74</v>
      </c>
      <c r="G1162" s="11" t="s">
        <v>64</v>
      </c>
      <c r="H1162" s="11" t="s">
        <v>75</v>
      </c>
      <c r="I1162" s="47">
        <v>1299</v>
      </c>
      <c r="J1162" s="49" t="s">
        <v>39</v>
      </c>
      <c r="K1162" s="49" t="s">
        <v>76</v>
      </c>
      <c r="L1162" s="49" t="s">
        <v>92</v>
      </c>
      <c r="M1162" s="49" t="s">
        <v>84</v>
      </c>
      <c r="N1162" s="49" t="s">
        <v>86</v>
      </c>
      <c r="O1162" s="49" t="s">
        <v>37</v>
      </c>
      <c r="P1162" s="11" t="s">
        <v>80</v>
      </c>
      <c r="Q1162" s="47" t="s">
        <v>87</v>
      </c>
      <c r="R1162" s="49" t="s">
        <v>1066</v>
      </c>
      <c r="S1162" s="47" t="s">
        <v>2717</v>
      </c>
      <c r="T1162" s="116" t="s">
        <v>1</v>
      </c>
      <c r="U1162" s="88"/>
      <c r="V1162" s="51">
        <v>45561</v>
      </c>
      <c r="W1162" s="97" t="s">
        <v>1578</v>
      </c>
      <c r="X1162" s="135" t="str">
        <f>VLOOKUP(Table1[[#This Row],[AMZ ID]],[1]Roster_1787503287932!$D$2:$AU$1370,25,0)</f>
        <v>Present</v>
      </c>
      <c r="Y1162" s="135">
        <f>VLOOKUP(Table1[[#This Row],[AMZ ID]],[1]Roster_1787503287932!$D$2:$AM$1370,35,0)</f>
        <v>0</v>
      </c>
    </row>
    <row r="1163" spans="1:25" ht="13" customHeight="1">
      <c r="A1163" s="11">
        <v>1157</v>
      </c>
      <c r="B1163" s="47">
        <v>206137339</v>
      </c>
      <c r="C1163" s="89" t="s">
        <v>1294</v>
      </c>
      <c r="D1163" s="11" t="s">
        <v>1295</v>
      </c>
      <c r="E1163" s="103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85</v>
      </c>
      <c r="M1163" s="49" t="s">
        <v>88</v>
      </c>
      <c r="N1163" s="49" t="s">
        <v>79</v>
      </c>
      <c r="O1163" s="49" t="s">
        <v>37</v>
      </c>
      <c r="P1163" s="49" t="s">
        <v>80</v>
      </c>
      <c r="Q1163" s="49" t="s">
        <v>81</v>
      </c>
      <c r="R1163" s="11" t="s">
        <v>627</v>
      </c>
      <c r="S1163" s="49" t="s">
        <v>628</v>
      </c>
      <c r="T1163" s="116" t="s">
        <v>1</v>
      </c>
      <c r="U1163" s="88"/>
      <c r="V1163" s="51">
        <v>45929</v>
      </c>
      <c r="W1163" s="97" t="s">
        <v>1577</v>
      </c>
      <c r="X1163" s="135" t="str">
        <f>VLOOKUP(Table1[[#This Row],[AMZ ID]],[1]Roster_1787503287932!$D$2:$AU$1370,25,0)</f>
        <v>Present</v>
      </c>
      <c r="Y1163" s="135">
        <f>VLOOKUP(Table1[[#This Row],[AMZ ID]],[1]Roster_1787503287932!$D$2:$AM$1370,35,0)</f>
        <v>0</v>
      </c>
    </row>
    <row r="1164" spans="1:25" ht="13" customHeight="1">
      <c r="A1164" s="11">
        <v>1158</v>
      </c>
      <c r="B1164" s="47">
        <v>204052514</v>
      </c>
      <c r="C1164" s="89" t="s">
        <v>1296</v>
      </c>
      <c r="D1164" s="11" t="s">
        <v>1297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78</v>
      </c>
      <c r="M1164" s="49" t="s">
        <v>92</v>
      </c>
      <c r="N1164" s="49" t="s">
        <v>86</v>
      </c>
      <c r="O1164" s="48" t="s">
        <v>37</v>
      </c>
      <c r="P1164" s="48" t="s">
        <v>80</v>
      </c>
      <c r="Q1164" s="11" t="s">
        <v>99</v>
      </c>
      <c r="R1164" s="49" t="s">
        <v>647</v>
      </c>
      <c r="S1164" s="11" t="s">
        <v>1798</v>
      </c>
      <c r="T1164" s="116" t="s">
        <v>10</v>
      </c>
      <c r="U1164" s="88"/>
      <c r="V1164" s="51">
        <v>45558</v>
      </c>
      <c r="W1164" s="97" t="s">
        <v>1576</v>
      </c>
      <c r="X1164" s="135" t="str">
        <f>VLOOKUP(Table1[[#This Row],[AMZ ID]],[1]Roster_1787503287932!$D$2:$AU$1370,25,0)</f>
        <v>Not Present</v>
      </c>
      <c r="Y1164" s="135">
        <f>VLOOKUP(Table1[[#This Row],[AMZ ID]],[1]Roster_1787503287932!$D$2:$AM$1370,35,0)</f>
        <v>0</v>
      </c>
    </row>
    <row r="1165" spans="1:25" ht="13" customHeight="1">
      <c r="A1165" s="11">
        <v>1159</v>
      </c>
      <c r="B1165" s="47">
        <v>205133785</v>
      </c>
      <c r="C1165" s="89" t="s">
        <v>2086</v>
      </c>
      <c r="D1165" s="11" t="s">
        <v>2087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39</v>
      </c>
      <c r="K1165" s="49" t="s">
        <v>76</v>
      </c>
      <c r="L1165" s="49" t="s">
        <v>88</v>
      </c>
      <c r="M1165" s="49" t="s">
        <v>95</v>
      </c>
      <c r="N1165" s="48" t="s">
        <v>79</v>
      </c>
      <c r="O1165" s="49" t="s">
        <v>37</v>
      </c>
      <c r="P1165" s="11" t="s">
        <v>80</v>
      </c>
      <c r="Q1165" s="11" t="s">
        <v>96</v>
      </c>
      <c r="R1165" s="11" t="s">
        <v>631</v>
      </c>
      <c r="S1165" s="11" t="s">
        <v>632</v>
      </c>
      <c r="T1165" s="116" t="s">
        <v>4</v>
      </c>
      <c r="U1165" s="88"/>
      <c r="V1165" s="51">
        <v>46048</v>
      </c>
      <c r="W1165" s="97" t="s">
        <v>1577</v>
      </c>
      <c r="X1165" s="135" t="str">
        <f>VLOOKUP(Table1[[#This Row],[AMZ ID]],[1]Roster_1787503287932!$D$2:$AU$1370,25,0)</f>
        <v>Not Present</v>
      </c>
      <c r="Y1165" s="135">
        <f>VLOOKUP(Table1[[#This Row],[AMZ ID]],[1]Roster_1787503287932!$D$2:$AM$1370,35,0)</f>
        <v>0</v>
      </c>
    </row>
    <row r="1166" spans="1:25" ht="13" customHeight="1">
      <c r="A1166" s="11">
        <v>1160</v>
      </c>
      <c r="B1166" s="92">
        <v>204072899</v>
      </c>
      <c r="C1166" s="47" t="s">
        <v>2820</v>
      </c>
      <c r="D1166" s="89" t="s">
        <v>2821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95</v>
      </c>
      <c r="M1166" s="49" t="s">
        <v>77</v>
      </c>
      <c r="N1166" s="48" t="s">
        <v>86</v>
      </c>
      <c r="O1166" s="49" t="s">
        <v>37</v>
      </c>
      <c r="P1166" s="11" t="s">
        <v>80</v>
      </c>
      <c r="Q1166" s="11" t="s">
        <v>90</v>
      </c>
      <c r="R1166" s="11" t="s">
        <v>2845</v>
      </c>
      <c r="S1166" s="11" t="s">
        <v>2846</v>
      </c>
      <c r="T1166" s="116" t="s">
        <v>1</v>
      </c>
      <c r="U1166" s="88"/>
      <c r="V1166" s="51">
        <v>45558</v>
      </c>
      <c r="W1166" s="97" t="s">
        <v>1577</v>
      </c>
      <c r="X1166" s="135" t="str">
        <f>VLOOKUP(Table1[[#This Row],[AMZ ID]],[1]Roster_1787503287932!$D$2:$AU$1370,25,0)</f>
        <v>Present</v>
      </c>
      <c r="Y1166" s="135">
        <f>VLOOKUP(Table1[[#This Row],[AMZ ID]],[1]Roster_1787503287932!$D$2:$AM$1370,35,0)</f>
        <v>0</v>
      </c>
    </row>
    <row r="1167" spans="1:25" ht="13" customHeight="1">
      <c r="A1167" s="11">
        <v>1161</v>
      </c>
      <c r="B1167" s="92">
        <v>106262687</v>
      </c>
      <c r="C1167" s="47" t="s">
        <v>1298</v>
      </c>
      <c r="D1167" s="89" t="s">
        <v>1299</v>
      </c>
      <c r="E1167" s="48" t="s">
        <v>34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32</v>
      </c>
      <c r="K1167" s="49" t="s">
        <v>76</v>
      </c>
      <c r="L1167" s="49" t="s">
        <v>36</v>
      </c>
      <c r="M1167" s="49" t="s">
        <v>92</v>
      </c>
      <c r="N1167" s="49" t="s">
        <v>97</v>
      </c>
      <c r="O1167" s="49" t="s">
        <v>37</v>
      </c>
      <c r="P1167" s="11" t="s">
        <v>80</v>
      </c>
      <c r="Q1167" s="11" t="s">
        <v>98</v>
      </c>
      <c r="R1167" s="11" t="s">
        <v>2719</v>
      </c>
      <c r="S1167" s="11" t="s">
        <v>642</v>
      </c>
      <c r="T1167" s="116" t="s">
        <v>3019</v>
      </c>
      <c r="U1167" s="88" t="s">
        <v>3017</v>
      </c>
      <c r="V1167" s="51">
        <v>44757</v>
      </c>
      <c r="W1167" s="97" t="s">
        <v>1578</v>
      </c>
      <c r="X1167" s="135" t="str">
        <f>VLOOKUP(Table1[[#This Row],[AMZ ID]],[1]Roster_1787503287932!$D$2:$AU$1370,25,0)</f>
        <v>Present</v>
      </c>
      <c r="Y1167" s="135">
        <f>VLOOKUP(Table1[[#This Row],[AMZ ID]],[1]Roster_1787503287932!$D$2:$AM$1370,35,0)</f>
        <v>0</v>
      </c>
    </row>
    <row r="1168" spans="1:25" ht="13" customHeight="1">
      <c r="A1168" s="11">
        <v>1162</v>
      </c>
      <c r="B1168" s="11">
        <v>203964997</v>
      </c>
      <c r="C1168" s="89" t="s">
        <v>1300</v>
      </c>
      <c r="D1168" s="11" t="s">
        <v>1301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32</v>
      </c>
      <c r="K1168" s="49" t="s">
        <v>76</v>
      </c>
      <c r="L1168" s="49" t="s">
        <v>84</v>
      </c>
      <c r="M1168" s="49" t="s">
        <v>85</v>
      </c>
      <c r="N1168" s="11" t="s">
        <v>86</v>
      </c>
      <c r="O1168" s="11" t="s">
        <v>37</v>
      </c>
      <c r="P1168" s="11" t="s">
        <v>80</v>
      </c>
      <c r="Q1168" s="11" t="s">
        <v>99</v>
      </c>
      <c r="R1168" s="11" t="s">
        <v>647</v>
      </c>
      <c r="S1168" s="11" t="s">
        <v>1798</v>
      </c>
      <c r="T1168" s="116" t="s">
        <v>3</v>
      </c>
      <c r="U1168" s="88"/>
      <c r="V1168" s="51">
        <v>45544</v>
      </c>
      <c r="W1168" s="102" t="s">
        <v>1577</v>
      </c>
      <c r="X1168" s="135" t="str">
        <f>VLOOKUP(Table1[[#This Row],[AMZ ID]],[1]Roster_1787503287932!$D$2:$AU$1370,25,0)</f>
        <v>Not Present</v>
      </c>
      <c r="Y1168" s="135">
        <f>VLOOKUP(Table1[[#This Row],[AMZ ID]],[1]Roster_1787503287932!$D$2:$AM$1370,35,0)</f>
        <v>0</v>
      </c>
    </row>
    <row r="1169" spans="1:25" ht="13" customHeight="1">
      <c r="A1169" s="11">
        <v>1163</v>
      </c>
      <c r="B1169" s="47">
        <v>206348045</v>
      </c>
      <c r="C1169" s="89" t="s">
        <v>1682</v>
      </c>
      <c r="D1169" s="11" t="s">
        <v>1683</v>
      </c>
      <c r="E1169" s="48" t="s">
        <v>31</v>
      </c>
      <c r="F1169" s="48" t="s">
        <v>74</v>
      </c>
      <c r="G1169" s="11" t="s">
        <v>65</v>
      </c>
      <c r="H1169" s="11" t="s">
        <v>1332</v>
      </c>
      <c r="I1169" s="11">
        <v>1181</v>
      </c>
      <c r="J1169" s="49" t="s">
        <v>32</v>
      </c>
      <c r="K1169" s="49" t="s">
        <v>76</v>
      </c>
      <c r="L1169" s="49" t="s">
        <v>88</v>
      </c>
      <c r="M1169" s="49" t="s">
        <v>95</v>
      </c>
      <c r="N1169" s="49" t="s">
        <v>89</v>
      </c>
      <c r="O1169" s="49" t="s">
        <v>68</v>
      </c>
      <c r="P1169" s="11" t="s">
        <v>80</v>
      </c>
      <c r="Q1169" s="11" t="s">
        <v>90</v>
      </c>
      <c r="R1169" s="11" t="s">
        <v>1336</v>
      </c>
      <c r="S1169" s="11" t="s">
        <v>1337</v>
      </c>
      <c r="T1169" s="116" t="s">
        <v>1</v>
      </c>
      <c r="U1169" s="88"/>
      <c r="V1169" s="51">
        <v>45957</v>
      </c>
      <c r="W1169" s="97" t="s">
        <v>68</v>
      </c>
      <c r="X1169" s="135" t="str">
        <f>VLOOKUP(Table1[[#This Row],[AMZ ID]],[1]Roster_1787503287932!$D$2:$AU$1370,25,0)</f>
        <v>Present</v>
      </c>
      <c r="Y1169" s="135">
        <f>VLOOKUP(Table1[[#This Row],[AMZ ID]],[1]Roster_1787503287932!$D$2:$AM$1370,35,0)</f>
        <v>0</v>
      </c>
    </row>
    <row r="1170" spans="1:25" ht="13" customHeight="1">
      <c r="A1170" s="11">
        <v>1164</v>
      </c>
      <c r="B1170" s="47">
        <v>206073368</v>
      </c>
      <c r="C1170" s="89" t="s">
        <v>1302</v>
      </c>
      <c r="D1170" s="11" t="s">
        <v>1303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39</v>
      </c>
      <c r="K1170" s="49" t="s">
        <v>76</v>
      </c>
      <c r="L1170" s="49" t="s">
        <v>85</v>
      </c>
      <c r="M1170" s="49" t="s">
        <v>88</v>
      </c>
      <c r="N1170" s="49" t="s">
        <v>79</v>
      </c>
      <c r="O1170" s="48" t="s">
        <v>37</v>
      </c>
      <c r="P1170" s="48" t="s">
        <v>80</v>
      </c>
      <c r="Q1170" s="11" t="s">
        <v>81</v>
      </c>
      <c r="R1170" s="49" t="s">
        <v>2719</v>
      </c>
      <c r="S1170" s="11" t="s">
        <v>642</v>
      </c>
      <c r="T1170" s="116" t="s">
        <v>1</v>
      </c>
      <c r="U1170" s="88"/>
      <c r="V1170" s="51">
        <v>45922</v>
      </c>
      <c r="W1170" s="97" t="s">
        <v>1577</v>
      </c>
      <c r="X1170" s="135" t="str">
        <f>VLOOKUP(Table1[[#This Row],[AMZ ID]],[1]Roster_1787503287932!$D$2:$AU$1370,25,0)</f>
        <v>Present</v>
      </c>
      <c r="Y1170" s="135">
        <f>VLOOKUP(Table1[[#This Row],[AMZ ID]],[1]Roster_1787503287932!$D$2:$AM$1370,35,0)</f>
        <v>0</v>
      </c>
    </row>
    <row r="1171" spans="1:25" ht="13" customHeight="1">
      <c r="A1171" s="11">
        <v>1165</v>
      </c>
      <c r="B1171" s="47">
        <v>206846535</v>
      </c>
      <c r="C1171" s="89" t="s">
        <v>1821</v>
      </c>
      <c r="D1171" s="11" t="s">
        <v>1822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95</v>
      </c>
      <c r="M1171" s="49" t="s">
        <v>77</v>
      </c>
      <c r="N1171" s="48" t="s">
        <v>89</v>
      </c>
      <c r="O1171" s="49" t="s">
        <v>37</v>
      </c>
      <c r="P1171" s="11" t="s">
        <v>80</v>
      </c>
      <c r="Q1171" s="11" t="s">
        <v>90</v>
      </c>
      <c r="R1171" s="11" t="s">
        <v>2719</v>
      </c>
      <c r="S1171" s="11" t="s">
        <v>642</v>
      </c>
      <c r="T1171" s="116" t="s">
        <v>1</v>
      </c>
      <c r="U1171" s="88"/>
      <c r="V1171" s="51">
        <v>46013</v>
      </c>
      <c r="W1171" s="97" t="s">
        <v>1577</v>
      </c>
      <c r="X1171" s="135" t="str">
        <f>VLOOKUP(Table1[[#This Row],[AMZ ID]],[1]Roster_1787503287932!$D$2:$AU$1370,25,0)</f>
        <v>Present</v>
      </c>
      <c r="Y1171" s="135">
        <f>VLOOKUP(Table1[[#This Row],[AMZ ID]],[1]Roster_1787503287932!$D$2:$AM$1370,35,0)</f>
        <v>0</v>
      </c>
    </row>
    <row r="1172" spans="1:25" ht="13" customHeight="1">
      <c r="A1172" s="11">
        <v>1166</v>
      </c>
      <c r="B1172" s="47">
        <v>206851165</v>
      </c>
      <c r="C1172" s="89" t="s">
        <v>1863</v>
      </c>
      <c r="D1172" s="11" t="s">
        <v>1864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39</v>
      </c>
      <c r="K1172" s="49" t="s">
        <v>76</v>
      </c>
      <c r="L1172" s="49" t="s">
        <v>88</v>
      </c>
      <c r="M1172" s="49" t="s">
        <v>95</v>
      </c>
      <c r="N1172" s="48" t="s">
        <v>89</v>
      </c>
      <c r="O1172" s="49" t="s">
        <v>37</v>
      </c>
      <c r="P1172" s="11" t="s">
        <v>80</v>
      </c>
      <c r="Q1172" s="11" t="s">
        <v>90</v>
      </c>
      <c r="R1172" s="11" t="s">
        <v>647</v>
      </c>
      <c r="S1172" s="11" t="s">
        <v>1798</v>
      </c>
      <c r="T1172" s="116" t="s">
        <v>1</v>
      </c>
      <c r="U1172" s="88"/>
      <c r="V1172" s="51">
        <v>46030</v>
      </c>
      <c r="W1172" s="97" t="s">
        <v>1577</v>
      </c>
      <c r="X1172" s="135" t="str">
        <f>VLOOKUP(Table1[[#This Row],[AMZ ID]],[1]Roster_1787503287932!$D$2:$AU$1370,25,0)</f>
        <v>Present</v>
      </c>
      <c r="Y1172" s="135">
        <f>VLOOKUP(Table1[[#This Row],[AMZ ID]],[1]Roster_1787503287932!$D$2:$AM$1370,35,0)</f>
        <v>0</v>
      </c>
    </row>
    <row r="1173" spans="1:25" ht="13" customHeight="1">
      <c r="A1173" s="11">
        <v>1167</v>
      </c>
      <c r="B1173" s="47">
        <v>103868662</v>
      </c>
      <c r="C1173" s="89" t="s">
        <v>1304</v>
      </c>
      <c r="D1173" s="11" t="s">
        <v>1305</v>
      </c>
      <c r="E1173" s="48" t="s">
        <v>34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39</v>
      </c>
      <c r="K1173" s="49" t="s">
        <v>76</v>
      </c>
      <c r="L1173" s="49" t="s">
        <v>95</v>
      </c>
      <c r="M1173" s="49" t="s">
        <v>77</v>
      </c>
      <c r="N1173" s="49" t="s">
        <v>108</v>
      </c>
      <c r="O1173" s="48" t="s">
        <v>37</v>
      </c>
      <c r="P1173" s="48" t="s">
        <v>80</v>
      </c>
      <c r="Q1173" s="11" t="s">
        <v>98</v>
      </c>
      <c r="R1173" s="49" t="s">
        <v>2845</v>
      </c>
      <c r="S1173" s="11" t="s">
        <v>2846</v>
      </c>
      <c r="T1173" s="116" t="s">
        <v>7</v>
      </c>
      <c r="U1173" s="88" t="s">
        <v>3015</v>
      </c>
      <c r="V1173" s="51">
        <v>44839</v>
      </c>
      <c r="W1173" s="97" t="s">
        <v>1579</v>
      </c>
      <c r="X1173" s="135" t="str">
        <f>VLOOKUP(Table1[[#This Row],[AMZ ID]],[1]Roster_1787503287932!$D$2:$AU$1370,25,0)</f>
        <v>Not Present</v>
      </c>
      <c r="Y1173" s="135">
        <f>VLOOKUP(Table1[[#This Row],[AMZ ID]],[1]Roster_1787503287932!$D$2:$AM$1370,35,0)</f>
        <v>0</v>
      </c>
    </row>
    <row r="1174" spans="1:25" ht="13" customHeight="1">
      <c r="A1174" s="11">
        <v>1168</v>
      </c>
      <c r="B1174" s="47">
        <v>106301312</v>
      </c>
      <c r="C1174" s="89" t="s">
        <v>1306</v>
      </c>
      <c r="D1174" s="11" t="s">
        <v>1307</v>
      </c>
      <c r="E1174" s="48" t="s">
        <v>34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95</v>
      </c>
      <c r="M1174" s="49" t="s">
        <v>77</v>
      </c>
      <c r="N1174" s="48" t="s">
        <v>108</v>
      </c>
      <c r="O1174" s="49" t="s">
        <v>37</v>
      </c>
      <c r="P1174" s="11" t="s">
        <v>80</v>
      </c>
      <c r="Q1174" s="11" t="s">
        <v>98</v>
      </c>
      <c r="R1174" s="49" t="s">
        <v>627</v>
      </c>
      <c r="S1174" s="11" t="s">
        <v>628</v>
      </c>
      <c r="T1174" s="116" t="s">
        <v>1</v>
      </c>
      <c r="U1174" s="88"/>
      <c r="V1174" s="51">
        <v>44757</v>
      </c>
      <c r="W1174" s="97" t="s">
        <v>1577</v>
      </c>
      <c r="X1174" s="135" t="str">
        <f>VLOOKUP(Table1[[#This Row],[AMZ ID]],[1]Roster_1787503287932!$D$2:$AU$1370,25,0)</f>
        <v>Present</v>
      </c>
      <c r="Y1174" s="135">
        <f>VLOOKUP(Table1[[#This Row],[AMZ ID]],[1]Roster_1787503287932!$D$2:$AM$1370,35,0)</f>
        <v>0</v>
      </c>
    </row>
    <row r="1175" spans="1:25" ht="13" customHeight="1">
      <c r="A1175" s="11">
        <v>1169</v>
      </c>
      <c r="B1175" s="47">
        <v>203965011</v>
      </c>
      <c r="C1175" s="89" t="s">
        <v>1308</v>
      </c>
      <c r="D1175" s="11" t="s">
        <v>1309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77</v>
      </c>
      <c r="M1175" s="49" t="s">
        <v>78</v>
      </c>
      <c r="N1175" s="48" t="s">
        <v>86</v>
      </c>
      <c r="O1175" s="49" t="s">
        <v>37</v>
      </c>
      <c r="P1175" s="11" t="s">
        <v>80</v>
      </c>
      <c r="Q1175" s="11" t="s">
        <v>99</v>
      </c>
      <c r="R1175" s="11" t="s">
        <v>1066</v>
      </c>
      <c r="S1175" s="11" t="s">
        <v>2717</v>
      </c>
      <c r="T1175" s="116" t="s">
        <v>10</v>
      </c>
      <c r="U1175" s="88"/>
      <c r="V1175" s="51">
        <v>45544</v>
      </c>
      <c r="W1175" s="97" t="s">
        <v>1577</v>
      </c>
      <c r="X1175" s="135" t="str">
        <f>VLOOKUP(Table1[[#This Row],[AMZ ID]],[1]Roster_1787503287932!$D$2:$AU$1370,25,0)</f>
        <v>Not Present</v>
      </c>
      <c r="Y1175" s="135">
        <f>VLOOKUP(Table1[[#This Row],[AMZ ID]],[1]Roster_1787503287932!$D$2:$AM$1370,35,0)</f>
        <v>0</v>
      </c>
    </row>
    <row r="1176" spans="1:25" ht="13" customHeight="1">
      <c r="A1176" s="11">
        <v>1170</v>
      </c>
      <c r="B1176" s="47">
        <v>205845557</v>
      </c>
      <c r="C1176" s="89" t="s">
        <v>1310</v>
      </c>
      <c r="D1176" s="11" t="s">
        <v>1311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32</v>
      </c>
      <c r="K1176" s="49" t="s">
        <v>76</v>
      </c>
      <c r="L1176" s="49" t="s">
        <v>3007</v>
      </c>
      <c r="M1176" s="49" t="s">
        <v>88</v>
      </c>
      <c r="N1176" s="48" t="s">
        <v>89</v>
      </c>
      <c r="O1176" s="49" t="s">
        <v>37</v>
      </c>
      <c r="P1176" s="11" t="s">
        <v>80</v>
      </c>
      <c r="Q1176" s="11" t="s">
        <v>90</v>
      </c>
      <c r="R1176" s="11" t="s">
        <v>627</v>
      </c>
      <c r="S1176" s="11" t="s">
        <v>628</v>
      </c>
      <c r="T1176" s="116" t="s">
        <v>1</v>
      </c>
      <c r="U1176" s="88"/>
      <c r="V1176" s="51">
        <v>45894</v>
      </c>
      <c r="W1176" s="97" t="s">
        <v>1576</v>
      </c>
      <c r="X1176" s="135" t="str">
        <f>VLOOKUP(Table1[[#This Row],[AMZ ID]],[1]Roster_1787503287932!$D$2:$AU$1370,25,0)</f>
        <v>Present</v>
      </c>
      <c r="Y1176" s="135">
        <f>VLOOKUP(Table1[[#This Row],[AMZ ID]],[1]Roster_1787503287932!$D$2:$AM$1370,35,0)</f>
        <v>0</v>
      </c>
    </row>
    <row r="1177" spans="1:25" ht="13" customHeight="1">
      <c r="A1177" s="11">
        <v>1171</v>
      </c>
      <c r="B1177" s="47">
        <v>203993451</v>
      </c>
      <c r="C1177" s="89" t="s">
        <v>1312</v>
      </c>
      <c r="D1177" s="11" t="s">
        <v>1313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85</v>
      </c>
      <c r="M1177" s="49" t="s">
        <v>88</v>
      </c>
      <c r="N1177" s="48" t="s">
        <v>86</v>
      </c>
      <c r="O1177" s="49" t="s">
        <v>37</v>
      </c>
      <c r="P1177" s="11" t="s">
        <v>80</v>
      </c>
      <c r="Q1177" s="11" t="s">
        <v>90</v>
      </c>
      <c r="R1177" s="11" t="s">
        <v>647</v>
      </c>
      <c r="S1177" s="11" t="s">
        <v>1798</v>
      </c>
      <c r="T1177" s="116" t="s">
        <v>1</v>
      </c>
      <c r="U1177" s="88"/>
      <c r="V1177" s="51">
        <v>45894</v>
      </c>
      <c r="W1177" s="97" t="s">
        <v>1577</v>
      </c>
      <c r="X1177" s="135" t="str">
        <f>VLOOKUP(Table1[[#This Row],[AMZ ID]],[1]Roster_1787503287932!$D$2:$AU$1370,25,0)</f>
        <v>Present</v>
      </c>
      <c r="Y1177" s="135">
        <f>VLOOKUP(Table1[[#This Row],[AMZ ID]],[1]Roster_1787503287932!$D$2:$AM$1370,35,0)</f>
        <v>0</v>
      </c>
    </row>
    <row r="1178" spans="1:25" ht="13" customHeight="1">
      <c r="A1178" s="11">
        <v>1172</v>
      </c>
      <c r="B1178" s="47">
        <v>205854086</v>
      </c>
      <c r="C1178" s="89" t="s">
        <v>1314</v>
      </c>
      <c r="D1178" s="11" t="s">
        <v>1315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32</v>
      </c>
      <c r="K1178" s="49" t="s">
        <v>76</v>
      </c>
      <c r="L1178" s="49" t="s">
        <v>92</v>
      </c>
      <c r="M1178" s="49" t="s">
        <v>84</v>
      </c>
      <c r="N1178" s="48" t="s">
        <v>89</v>
      </c>
      <c r="O1178" s="49" t="s">
        <v>37</v>
      </c>
      <c r="P1178" s="11" t="s">
        <v>80</v>
      </c>
      <c r="Q1178" s="11" t="s">
        <v>96</v>
      </c>
      <c r="R1178" s="11" t="s">
        <v>647</v>
      </c>
      <c r="S1178" s="11" t="s">
        <v>1798</v>
      </c>
      <c r="T1178" s="116" t="s">
        <v>1</v>
      </c>
      <c r="U1178" s="88"/>
      <c r="V1178" s="51">
        <v>45894</v>
      </c>
      <c r="W1178" s="97" t="s">
        <v>1577</v>
      </c>
      <c r="X1178" s="135" t="str">
        <f>VLOOKUP(Table1[[#This Row],[AMZ ID]],[1]Roster_1787503287932!$D$2:$AU$1370,25,0)</f>
        <v>Present</v>
      </c>
      <c r="Y1178" s="135">
        <f>VLOOKUP(Table1[[#This Row],[AMZ ID]],[1]Roster_1787503287932!$D$2:$AM$1370,35,0)</f>
        <v>0</v>
      </c>
    </row>
    <row r="1179" spans="1:25" ht="13" customHeight="1">
      <c r="A1179" s="11">
        <v>1173</v>
      </c>
      <c r="B1179" s="47">
        <v>206915790</v>
      </c>
      <c r="C1179" s="89" t="s">
        <v>1918</v>
      </c>
      <c r="D1179" s="11" t="s">
        <v>1903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32</v>
      </c>
      <c r="K1179" s="49" t="s">
        <v>76</v>
      </c>
      <c r="L1179" s="49" t="s">
        <v>88</v>
      </c>
      <c r="M1179" s="49" t="s">
        <v>95</v>
      </c>
      <c r="N1179" s="49" t="s">
        <v>89</v>
      </c>
      <c r="O1179" s="49" t="s">
        <v>37</v>
      </c>
      <c r="P1179" s="11" t="s">
        <v>80</v>
      </c>
      <c r="Q1179" s="11" t="s">
        <v>90</v>
      </c>
      <c r="R1179" s="49" t="s">
        <v>2719</v>
      </c>
      <c r="S1179" s="11" t="s">
        <v>642</v>
      </c>
      <c r="T1179" s="116" t="s">
        <v>1</v>
      </c>
      <c r="U1179" s="88"/>
      <c r="V1179" s="51">
        <v>46034</v>
      </c>
      <c r="W1179" s="97" t="s">
        <v>1577</v>
      </c>
      <c r="X1179" s="135" t="str">
        <f>VLOOKUP(Table1[[#This Row],[AMZ ID]],[1]Roster_1787503287932!$D$2:$AU$1370,25,0)</f>
        <v>Present</v>
      </c>
      <c r="Y1179" s="135">
        <f>VLOOKUP(Table1[[#This Row],[AMZ ID]],[1]Roster_1787503287932!$D$2:$AM$1370,35,0)</f>
        <v>0</v>
      </c>
    </row>
    <row r="1180" spans="1:25" ht="13" customHeight="1">
      <c r="A1180" s="11">
        <v>1174</v>
      </c>
      <c r="B1180" s="47">
        <v>206915794</v>
      </c>
      <c r="C1180" s="89" t="s">
        <v>1909</v>
      </c>
      <c r="D1180" s="11" t="s">
        <v>1915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92</v>
      </c>
      <c r="M1180" s="49" t="s">
        <v>84</v>
      </c>
      <c r="N1180" s="49" t="s">
        <v>89</v>
      </c>
      <c r="O1180" s="49" t="s">
        <v>37</v>
      </c>
      <c r="P1180" s="11" t="s">
        <v>80</v>
      </c>
      <c r="Q1180" s="11" t="s">
        <v>90</v>
      </c>
      <c r="R1180" s="11" t="s">
        <v>647</v>
      </c>
      <c r="S1180" s="11" t="s">
        <v>1798</v>
      </c>
      <c r="T1180" s="116" t="s">
        <v>1</v>
      </c>
      <c r="U1180" s="88"/>
      <c r="V1180" s="51">
        <v>46034</v>
      </c>
      <c r="W1180" s="97" t="s">
        <v>1576</v>
      </c>
      <c r="X1180" s="135" t="str">
        <f>VLOOKUP(Table1[[#This Row],[AMZ ID]],[1]Roster_1787503287932!$D$2:$AU$1370,25,0)</f>
        <v>Present</v>
      </c>
      <c r="Y1180" s="135">
        <f>VLOOKUP(Table1[[#This Row],[AMZ ID]],[1]Roster_1787503287932!$D$2:$AM$1370,35,0)</f>
        <v>0</v>
      </c>
    </row>
    <row r="1181" spans="1:25" ht="13" customHeight="1">
      <c r="A1181" s="11">
        <v>1175</v>
      </c>
      <c r="B1181" s="47">
        <v>203555845</v>
      </c>
      <c r="C1181" s="89" t="s">
        <v>1316</v>
      </c>
      <c r="D1181" s="11" t="s">
        <v>1317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85</v>
      </c>
      <c r="M1181" s="49" t="s">
        <v>88</v>
      </c>
      <c r="N1181" s="48" t="s">
        <v>86</v>
      </c>
      <c r="O1181" s="49" t="s">
        <v>37</v>
      </c>
      <c r="P1181" s="11" t="s">
        <v>80</v>
      </c>
      <c r="Q1181" s="11" t="s">
        <v>99</v>
      </c>
      <c r="R1181" s="11" t="s">
        <v>1066</v>
      </c>
      <c r="S1181" s="11" t="s">
        <v>2717</v>
      </c>
      <c r="T1181" s="116" t="s">
        <v>1</v>
      </c>
      <c r="U1181" s="88"/>
      <c r="V1181" s="51">
        <v>45470</v>
      </c>
      <c r="W1181" s="97" t="s">
        <v>1577</v>
      </c>
      <c r="X1181" s="135" t="str">
        <f>VLOOKUP(Table1[[#This Row],[AMZ ID]],[1]Roster_1787503287932!$D$2:$AU$1370,25,0)</f>
        <v>Present</v>
      </c>
      <c r="Y1181" s="135">
        <f>VLOOKUP(Table1[[#This Row],[AMZ ID]],[1]Roster_1787503287932!$D$2:$AM$1370,35,0)</f>
        <v>0</v>
      </c>
    </row>
    <row r="1182" spans="1:25" ht="13" customHeight="1">
      <c r="A1182" s="11">
        <v>1176</v>
      </c>
      <c r="B1182" s="47">
        <v>203964988</v>
      </c>
      <c r="C1182" s="89" t="s">
        <v>1318</v>
      </c>
      <c r="D1182" s="11" t="s">
        <v>1319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32</v>
      </c>
      <c r="K1182" s="49" t="s">
        <v>76</v>
      </c>
      <c r="L1182" s="49" t="s">
        <v>78</v>
      </c>
      <c r="M1182" s="49" t="s">
        <v>92</v>
      </c>
      <c r="N1182" s="49" t="s">
        <v>86</v>
      </c>
      <c r="O1182" s="49" t="s">
        <v>37</v>
      </c>
      <c r="P1182" s="11" t="s">
        <v>80</v>
      </c>
      <c r="Q1182" s="11" t="s">
        <v>99</v>
      </c>
      <c r="R1182" s="11" t="s">
        <v>647</v>
      </c>
      <c r="S1182" s="11" t="s">
        <v>1798</v>
      </c>
      <c r="T1182" s="116" t="s">
        <v>10</v>
      </c>
      <c r="U1182" s="88"/>
      <c r="V1182" s="51">
        <v>45544</v>
      </c>
      <c r="W1182" s="97" t="s">
        <v>1577</v>
      </c>
      <c r="X1182" s="135" t="str">
        <f>VLOOKUP(Table1[[#This Row],[AMZ ID]],[1]Roster_1787503287932!$D$2:$AU$1370,25,0)</f>
        <v>Not Present</v>
      </c>
      <c r="Y1182" s="135">
        <f>VLOOKUP(Table1[[#This Row],[AMZ ID]],[1]Roster_1787503287932!$D$2:$AM$1370,35,0)</f>
        <v>0</v>
      </c>
    </row>
    <row r="1183" spans="1:25" ht="13" customHeight="1">
      <c r="A1183" s="11">
        <v>1177</v>
      </c>
      <c r="B1183" s="47">
        <v>204137704</v>
      </c>
      <c r="C1183" s="89" t="s">
        <v>1320</v>
      </c>
      <c r="D1183" s="11" t="s">
        <v>1321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39</v>
      </c>
      <c r="K1183" s="49" t="s">
        <v>76</v>
      </c>
      <c r="L1183" s="49" t="s">
        <v>78</v>
      </c>
      <c r="M1183" s="49" t="s">
        <v>92</v>
      </c>
      <c r="N1183" s="48" t="s">
        <v>86</v>
      </c>
      <c r="O1183" s="49" t="s">
        <v>37</v>
      </c>
      <c r="P1183" s="11" t="s">
        <v>80</v>
      </c>
      <c r="Q1183" s="11" t="s">
        <v>87</v>
      </c>
      <c r="R1183" s="11" t="s">
        <v>647</v>
      </c>
      <c r="S1183" s="11" t="s">
        <v>1798</v>
      </c>
      <c r="T1183" s="116" t="s">
        <v>10</v>
      </c>
      <c r="U1183" s="88"/>
      <c r="V1183" s="51">
        <v>45565</v>
      </c>
      <c r="W1183" s="97" t="s">
        <v>1577</v>
      </c>
      <c r="X1183" s="135" t="str">
        <f>VLOOKUP(Table1[[#This Row],[AMZ ID]],[1]Roster_1787503287932!$D$2:$AU$1370,25,0)</f>
        <v>Not Present</v>
      </c>
      <c r="Y1183" s="135">
        <f>VLOOKUP(Table1[[#This Row],[AMZ ID]],[1]Roster_1787503287932!$D$2:$AM$1370,35,0)</f>
        <v>0</v>
      </c>
    </row>
    <row r="1184" spans="1:25" ht="13" customHeight="1">
      <c r="A1184" s="11">
        <v>1178</v>
      </c>
      <c r="B1184" s="47">
        <v>206846538</v>
      </c>
      <c r="C1184" s="89" t="s">
        <v>1819</v>
      </c>
      <c r="D1184" s="11" t="s">
        <v>1820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39</v>
      </c>
      <c r="K1184" s="49" t="s">
        <v>76</v>
      </c>
      <c r="L1184" s="49" t="s">
        <v>95</v>
      </c>
      <c r="M1184" s="49" t="s">
        <v>77</v>
      </c>
      <c r="N1184" s="48" t="s">
        <v>89</v>
      </c>
      <c r="O1184" s="49" t="s">
        <v>37</v>
      </c>
      <c r="P1184" s="11" t="s">
        <v>80</v>
      </c>
      <c r="Q1184" s="11" t="s">
        <v>90</v>
      </c>
      <c r="R1184" s="11" t="s">
        <v>2719</v>
      </c>
      <c r="S1184" s="11" t="s">
        <v>642</v>
      </c>
      <c r="T1184" s="116" t="s">
        <v>1</v>
      </c>
      <c r="U1184" s="88"/>
      <c r="V1184" s="51">
        <v>46013</v>
      </c>
      <c r="W1184" s="97" t="s">
        <v>1577</v>
      </c>
      <c r="X1184" s="135" t="str">
        <f>VLOOKUP(Table1[[#This Row],[AMZ ID]],[1]Roster_1787503287932!$D$2:$AU$1370,25,0)</f>
        <v>Present</v>
      </c>
      <c r="Y1184" s="135">
        <f>VLOOKUP(Table1[[#This Row],[AMZ ID]],[1]Roster_1787503287932!$D$2:$AM$1370,35,0)</f>
        <v>0</v>
      </c>
    </row>
    <row r="1185" spans="1:25" ht="13" customHeight="1">
      <c r="A1185" s="11">
        <v>1179</v>
      </c>
      <c r="B1185" s="47">
        <v>206136722</v>
      </c>
      <c r="C1185" s="89" t="s">
        <v>2867</v>
      </c>
      <c r="D1185" s="11" t="s">
        <v>2868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39</v>
      </c>
      <c r="K1185" s="49" t="s">
        <v>76</v>
      </c>
      <c r="L1185" s="49" t="s">
        <v>85</v>
      </c>
      <c r="M1185" s="49" t="s">
        <v>88</v>
      </c>
      <c r="N1185" s="48" t="s">
        <v>89</v>
      </c>
      <c r="O1185" s="49" t="s">
        <v>37</v>
      </c>
      <c r="P1185" s="11" t="s">
        <v>80</v>
      </c>
      <c r="Q1185" s="11" t="s">
        <v>96</v>
      </c>
      <c r="R1185" s="11" t="s">
        <v>1066</v>
      </c>
      <c r="S1185" s="11" t="s">
        <v>2717</v>
      </c>
      <c r="T1185" s="116" t="s">
        <v>1</v>
      </c>
      <c r="U1185" s="88"/>
      <c r="V1185" s="51">
        <v>46238</v>
      </c>
      <c r="W1185" s="97" t="s">
        <v>1578</v>
      </c>
      <c r="X1185" s="135" t="str">
        <f>VLOOKUP(Table1[[#This Row],[AMZ ID]],[1]Roster_1787503287932!$D$2:$AU$1370,25,0)</f>
        <v>Present</v>
      </c>
      <c r="Y1185" s="135">
        <f>VLOOKUP(Table1[[#This Row],[AMZ ID]],[1]Roster_1787503287932!$D$2:$AM$1370,35,0)</f>
        <v>0</v>
      </c>
    </row>
    <row r="1186" spans="1:25" ht="13" customHeight="1">
      <c r="A1186" s="11">
        <v>1180</v>
      </c>
      <c r="B1186" s="47">
        <v>205997632</v>
      </c>
      <c r="C1186" s="89" t="s">
        <v>1089</v>
      </c>
      <c r="D1186" s="11" t="s">
        <v>1090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32</v>
      </c>
      <c r="K1186" s="49" t="s">
        <v>76</v>
      </c>
      <c r="L1186" s="49" t="s">
        <v>88</v>
      </c>
      <c r="M1186" s="49" t="s">
        <v>95</v>
      </c>
      <c r="N1186" s="48" t="s">
        <v>79</v>
      </c>
      <c r="O1186" s="49" t="s">
        <v>37</v>
      </c>
      <c r="P1186" s="11" t="s">
        <v>80</v>
      </c>
      <c r="Q1186" s="11" t="s">
        <v>81</v>
      </c>
      <c r="R1186" s="49" t="s">
        <v>2845</v>
      </c>
      <c r="S1186" s="11" t="s">
        <v>2846</v>
      </c>
      <c r="T1186" s="116" t="s">
        <v>1</v>
      </c>
      <c r="U1186" s="88"/>
      <c r="V1186" s="51">
        <v>45915</v>
      </c>
      <c r="W1186" s="97" t="s">
        <v>1577</v>
      </c>
      <c r="X1186" s="135" t="str">
        <f>VLOOKUP(Table1[[#This Row],[AMZ ID]],[1]Roster_1787503287932!$D$2:$AU$1370,25,0)</f>
        <v>Present</v>
      </c>
      <c r="Y1186" s="135">
        <f>VLOOKUP(Table1[[#This Row],[AMZ ID]],[1]Roster_1787503287932!$D$2:$AM$1370,35,0)</f>
        <v>0</v>
      </c>
    </row>
    <row r="1187" spans="1:25" ht="13" customHeight="1">
      <c r="A1187" s="11">
        <v>1181</v>
      </c>
      <c r="B1187" s="47">
        <v>206902844</v>
      </c>
      <c r="C1187" s="89" t="s">
        <v>1883</v>
      </c>
      <c r="D1187" s="11" t="s">
        <v>1884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1290</v>
      </c>
      <c r="J1187" s="49" t="s">
        <v>39</v>
      </c>
      <c r="K1187" s="49" t="s">
        <v>76</v>
      </c>
      <c r="L1187" s="49" t="s">
        <v>92</v>
      </c>
      <c r="M1187" s="49" t="s">
        <v>84</v>
      </c>
      <c r="N1187" s="48" t="s">
        <v>89</v>
      </c>
      <c r="O1187" s="49" t="s">
        <v>37</v>
      </c>
      <c r="P1187" s="11" t="s">
        <v>80</v>
      </c>
      <c r="Q1187" s="11" t="s">
        <v>90</v>
      </c>
      <c r="R1187" s="11" t="s">
        <v>647</v>
      </c>
      <c r="S1187" s="11" t="s">
        <v>1798</v>
      </c>
      <c r="T1187" s="116" t="s">
        <v>1</v>
      </c>
      <c r="U1187" s="88"/>
      <c r="V1187" s="51">
        <v>46030</v>
      </c>
      <c r="W1187" s="97" t="s">
        <v>1577</v>
      </c>
      <c r="X1187" s="135" t="str">
        <f>VLOOKUP(Table1[[#This Row],[AMZ ID]],[1]Roster_1787503287932!$D$2:$AU$1370,25,0)</f>
        <v>Present</v>
      </c>
      <c r="Y1187" s="135">
        <f>VLOOKUP(Table1[[#This Row],[AMZ ID]],[1]Roster_1787503287932!$D$2:$AM$1370,35,0)</f>
        <v>0</v>
      </c>
    </row>
    <row r="1188" spans="1:25" ht="13" customHeight="1">
      <c r="A1188" s="11">
        <v>1182</v>
      </c>
      <c r="B1188" s="47">
        <v>203911200</v>
      </c>
      <c r="C1188" s="89" t="s">
        <v>1322</v>
      </c>
      <c r="D1188" s="11" t="s">
        <v>1323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39</v>
      </c>
      <c r="K1188" s="49" t="s">
        <v>76</v>
      </c>
      <c r="L1188" s="49" t="s">
        <v>78</v>
      </c>
      <c r="M1188" s="49" t="s">
        <v>92</v>
      </c>
      <c r="N1188" s="48" t="s">
        <v>86</v>
      </c>
      <c r="O1188" s="49" t="s">
        <v>37</v>
      </c>
      <c r="P1188" s="11" t="s">
        <v>80</v>
      </c>
      <c r="Q1188" s="11" t="s">
        <v>99</v>
      </c>
      <c r="R1188" s="11" t="s">
        <v>647</v>
      </c>
      <c r="S1188" s="11" t="s">
        <v>1798</v>
      </c>
      <c r="T1188" s="116" t="s">
        <v>10</v>
      </c>
      <c r="U1188" s="88"/>
      <c r="V1188" s="51">
        <v>45537</v>
      </c>
      <c r="W1188" s="97" t="s">
        <v>1578</v>
      </c>
      <c r="X1188" s="135" t="str">
        <f>VLOOKUP(Table1[[#This Row],[AMZ ID]],[1]Roster_1787503287932!$D$2:$AU$1370,25,0)</f>
        <v>Not Present</v>
      </c>
      <c r="Y1188" s="135">
        <f>VLOOKUP(Table1[[#This Row],[AMZ ID]],[1]Roster_1787503287932!$D$2:$AM$1370,35,0)</f>
        <v>0</v>
      </c>
    </row>
    <row r="1189" spans="1:25" ht="13" customHeight="1">
      <c r="A1189" s="11">
        <v>1183</v>
      </c>
      <c r="B1189" s="47">
        <v>205845559</v>
      </c>
      <c r="C1189" s="89" t="s">
        <v>2822</v>
      </c>
      <c r="D1189" s="11" t="s">
        <v>2823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85</v>
      </c>
      <c r="M1189" s="49" t="s">
        <v>88</v>
      </c>
      <c r="N1189" s="48" t="s">
        <v>86</v>
      </c>
      <c r="O1189" s="49" t="s">
        <v>37</v>
      </c>
      <c r="P1189" s="11" t="s">
        <v>80</v>
      </c>
      <c r="Q1189" s="11" t="s">
        <v>90</v>
      </c>
      <c r="R1189" s="11" t="s">
        <v>2719</v>
      </c>
      <c r="S1189" s="11" t="s">
        <v>642</v>
      </c>
      <c r="T1189" s="116" t="s">
        <v>1</v>
      </c>
      <c r="U1189" s="88"/>
      <c r="V1189" s="51">
        <v>45894</v>
      </c>
      <c r="W1189" s="97" t="s">
        <v>1577</v>
      </c>
      <c r="X1189" s="135" t="str">
        <f>VLOOKUP(Table1[[#This Row],[AMZ ID]],[1]Roster_1787503287932!$D$2:$AU$1370,25,0)</f>
        <v>Present</v>
      </c>
      <c r="Y1189" s="135">
        <f>VLOOKUP(Table1[[#This Row],[AMZ ID]],[1]Roster_1787503287932!$D$2:$AM$1370,35,0)</f>
        <v>0</v>
      </c>
    </row>
    <row r="1190" spans="1:25" ht="13" customHeight="1">
      <c r="A1190" s="11">
        <v>1184</v>
      </c>
      <c r="B1190" s="47">
        <v>204009364</v>
      </c>
      <c r="C1190" s="89" t="s">
        <v>2824</v>
      </c>
      <c r="D1190" s="11" t="s">
        <v>2825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32</v>
      </c>
      <c r="K1190" s="49" t="s">
        <v>76</v>
      </c>
      <c r="L1190" s="49" t="s">
        <v>84</v>
      </c>
      <c r="M1190" s="49" t="s">
        <v>85</v>
      </c>
      <c r="N1190" s="48" t="s">
        <v>89</v>
      </c>
      <c r="O1190" s="49" t="s">
        <v>37</v>
      </c>
      <c r="P1190" s="11" t="s">
        <v>80</v>
      </c>
      <c r="Q1190" s="11" t="s">
        <v>90</v>
      </c>
      <c r="R1190" s="11" t="s">
        <v>2845</v>
      </c>
      <c r="S1190" s="11" t="s">
        <v>2846</v>
      </c>
      <c r="T1190" s="116" t="s">
        <v>1</v>
      </c>
      <c r="U1190" s="88"/>
      <c r="V1190" s="51">
        <v>45551</v>
      </c>
      <c r="W1190" s="97" t="s">
        <v>1577</v>
      </c>
      <c r="X1190" s="135" t="str">
        <f>VLOOKUP(Table1[[#This Row],[AMZ ID]],[1]Roster_1787503287932!$D$2:$AU$1370,25,0)</f>
        <v>Present</v>
      </c>
      <c r="Y1190" s="135">
        <f>VLOOKUP(Table1[[#This Row],[AMZ ID]],[1]Roster_1787503287932!$D$2:$AM$1370,35,0)</f>
        <v>0</v>
      </c>
    </row>
    <row r="1191" spans="1:25" ht="13" customHeight="1">
      <c r="A1191" s="11">
        <v>1185</v>
      </c>
      <c r="B1191" s="47">
        <v>206192237</v>
      </c>
      <c r="C1191" s="89" t="s">
        <v>2832</v>
      </c>
      <c r="D1191" s="11" t="s">
        <v>2833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92</v>
      </c>
      <c r="M1191" s="49" t="s">
        <v>84</v>
      </c>
      <c r="N1191" s="49" t="s">
        <v>89</v>
      </c>
      <c r="O1191" s="49" t="s">
        <v>37</v>
      </c>
      <c r="P1191" s="11" t="s">
        <v>80</v>
      </c>
      <c r="Q1191" s="11" t="s">
        <v>96</v>
      </c>
      <c r="R1191" s="11" t="s">
        <v>627</v>
      </c>
      <c r="S1191" s="11" t="s">
        <v>628</v>
      </c>
      <c r="T1191" s="116" t="s">
        <v>1</v>
      </c>
      <c r="U1191" s="88"/>
      <c r="V1191" s="51">
        <v>46226</v>
      </c>
      <c r="W1191" s="97" t="s">
        <v>1577</v>
      </c>
      <c r="X1191" s="135" t="str">
        <f>VLOOKUP(Table1[[#This Row],[AMZ ID]],[1]Roster_1787503287932!$D$2:$AU$1370,25,0)</f>
        <v>Not Present</v>
      </c>
      <c r="Y1191" s="135">
        <f>VLOOKUP(Table1[[#This Row],[AMZ ID]],[1]Roster_1787503287932!$D$2:$AM$1370,35,0)</f>
        <v>0</v>
      </c>
    </row>
    <row r="1192" spans="1:25" ht="13" customHeight="1">
      <c r="A1192" s="11">
        <v>1186</v>
      </c>
      <c r="B1192" s="47">
        <v>203881697</v>
      </c>
      <c r="C1192" s="89" t="s">
        <v>1324</v>
      </c>
      <c r="D1192" s="11" t="s">
        <v>1325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39</v>
      </c>
      <c r="K1192" s="49" t="s">
        <v>76</v>
      </c>
      <c r="L1192" s="49" t="s">
        <v>85</v>
      </c>
      <c r="M1192" s="49" t="s">
        <v>88</v>
      </c>
      <c r="N1192" s="49" t="s">
        <v>79</v>
      </c>
      <c r="O1192" s="49" t="s">
        <v>37</v>
      </c>
      <c r="P1192" s="11" t="s">
        <v>80</v>
      </c>
      <c r="Q1192" s="11" t="s">
        <v>81</v>
      </c>
      <c r="R1192" s="11" t="s">
        <v>639</v>
      </c>
      <c r="S1192" s="11" t="s">
        <v>2718</v>
      </c>
      <c r="T1192" s="116" t="s">
        <v>1</v>
      </c>
      <c r="U1192" s="88"/>
      <c r="V1192" s="51">
        <v>45530</v>
      </c>
      <c r="W1192" s="97" t="s">
        <v>1579</v>
      </c>
      <c r="X1192" s="135" t="str">
        <f>VLOOKUP(Table1[[#This Row],[AMZ ID]],[1]Roster_1787503287932!$D$2:$AU$1370,25,0)</f>
        <v>Present</v>
      </c>
      <c r="Y1192" s="135">
        <f>VLOOKUP(Table1[[#This Row],[AMZ ID]],[1]Roster_1787503287932!$D$2:$AM$1370,35,0)</f>
        <v>0</v>
      </c>
    </row>
    <row r="1193" spans="1:25" ht="13" customHeight="1">
      <c r="A1193" s="11">
        <v>1187</v>
      </c>
      <c r="B1193" s="47">
        <v>206897671</v>
      </c>
      <c r="C1193" s="89" t="s">
        <v>2851</v>
      </c>
      <c r="D1193" s="11" t="s">
        <v>2852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39</v>
      </c>
      <c r="K1193" s="49" t="s">
        <v>76</v>
      </c>
      <c r="L1193" s="49" t="s">
        <v>92</v>
      </c>
      <c r="M1193" s="49" t="s">
        <v>84</v>
      </c>
      <c r="N1193" s="48" t="s">
        <v>89</v>
      </c>
      <c r="O1193" s="49" t="s">
        <v>37</v>
      </c>
      <c r="P1193" s="11" t="s">
        <v>80</v>
      </c>
      <c r="Q1193" s="11" t="s">
        <v>81</v>
      </c>
      <c r="R1193" s="11" t="s">
        <v>631</v>
      </c>
      <c r="S1193" s="11" t="s">
        <v>632</v>
      </c>
      <c r="T1193" s="116" t="s">
        <v>1</v>
      </c>
      <c r="U1193" s="88"/>
      <c r="V1193" s="51">
        <v>46238</v>
      </c>
      <c r="W1193" s="97" t="s">
        <v>1579</v>
      </c>
      <c r="X1193" s="135" t="str">
        <f>VLOOKUP(Table1[[#This Row],[AMZ ID]],[1]Roster_1787503287932!$D$2:$AU$1370,25,0)</f>
        <v>Present</v>
      </c>
      <c r="Y1193" s="135">
        <f>VLOOKUP(Table1[[#This Row],[AMZ ID]],[1]Roster_1787503287932!$D$2:$AM$1370,35,0)</f>
        <v>0</v>
      </c>
    </row>
    <row r="1194" spans="1:25" ht="13" customHeight="1">
      <c r="A1194" s="11">
        <v>1188</v>
      </c>
      <c r="B1194" s="47">
        <v>206902847</v>
      </c>
      <c r="C1194" s="89" t="s">
        <v>1881</v>
      </c>
      <c r="D1194" s="11" t="s">
        <v>1882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1290</v>
      </c>
      <c r="J1194" s="49" t="s">
        <v>32</v>
      </c>
      <c r="K1194" s="49" t="s">
        <v>76</v>
      </c>
      <c r="L1194" s="49" t="s">
        <v>92</v>
      </c>
      <c r="M1194" s="49" t="s">
        <v>84</v>
      </c>
      <c r="N1194" s="49" t="s">
        <v>89</v>
      </c>
      <c r="O1194" s="49" t="s">
        <v>37</v>
      </c>
      <c r="P1194" s="11" t="s">
        <v>80</v>
      </c>
      <c r="Q1194" s="11" t="s">
        <v>90</v>
      </c>
      <c r="R1194" s="11" t="s">
        <v>647</v>
      </c>
      <c r="S1194" s="11" t="s">
        <v>1798</v>
      </c>
      <c r="T1194" s="116" t="s">
        <v>1</v>
      </c>
      <c r="U1194" s="88"/>
      <c r="V1194" s="51">
        <v>46030</v>
      </c>
      <c r="W1194" s="97" t="s">
        <v>1577</v>
      </c>
      <c r="X1194" s="135" t="str">
        <f>VLOOKUP(Table1[[#This Row],[AMZ ID]],[1]Roster_1787503287932!$D$2:$AU$1370,25,0)</f>
        <v>Present</v>
      </c>
      <c r="Y1194" s="135">
        <f>VLOOKUP(Table1[[#This Row],[AMZ ID]],[1]Roster_1787503287932!$D$2:$AM$1370,35,0)</f>
        <v>0</v>
      </c>
    </row>
    <row r="1195" spans="1:25" ht="13" customHeight="1">
      <c r="A1195" s="11">
        <v>1189</v>
      </c>
      <c r="B1195" s="47">
        <v>203908342</v>
      </c>
      <c r="C1195" s="89" t="s">
        <v>2434</v>
      </c>
      <c r="D1195" s="11" t="s">
        <v>2435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77</v>
      </c>
      <c r="M1195" s="49" t="s">
        <v>78</v>
      </c>
      <c r="N1195" s="48" t="s">
        <v>86</v>
      </c>
      <c r="O1195" s="49" t="s">
        <v>37</v>
      </c>
      <c r="P1195" s="11" t="s">
        <v>80</v>
      </c>
      <c r="Q1195" s="11" t="s">
        <v>90</v>
      </c>
      <c r="R1195" s="11" t="s">
        <v>1066</v>
      </c>
      <c r="S1195" s="11" t="s">
        <v>2717</v>
      </c>
      <c r="T1195" s="116" t="s">
        <v>10</v>
      </c>
      <c r="U1195" s="88"/>
      <c r="V1195" s="51">
        <v>45537</v>
      </c>
      <c r="W1195" s="97" t="s">
        <v>1577</v>
      </c>
      <c r="X1195" s="135" t="str">
        <f>VLOOKUP(Table1[[#This Row],[AMZ ID]],[1]Roster_1787503287932!$D$2:$AU$1370,25,0)</f>
        <v>Not Present</v>
      </c>
      <c r="Y1195" s="135">
        <f>VLOOKUP(Table1[[#This Row],[AMZ ID]],[1]Roster_1787503287932!$D$2:$AM$1370,35,0)</f>
        <v>0</v>
      </c>
    </row>
    <row r="1196" spans="1:25" ht="13" customHeight="1">
      <c r="A1196" s="11">
        <v>1190</v>
      </c>
      <c r="B1196" s="47">
        <v>204095810</v>
      </c>
      <c r="C1196" s="89" t="s">
        <v>1326</v>
      </c>
      <c r="D1196" s="11" t="s">
        <v>1327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39</v>
      </c>
      <c r="K1196" s="49" t="s">
        <v>76</v>
      </c>
      <c r="L1196" s="49" t="s">
        <v>36</v>
      </c>
      <c r="M1196" s="49" t="s">
        <v>92</v>
      </c>
      <c r="N1196" s="48" t="s">
        <v>86</v>
      </c>
      <c r="O1196" s="49" t="s">
        <v>37</v>
      </c>
      <c r="P1196" s="11" t="s">
        <v>80</v>
      </c>
      <c r="Q1196" s="11" t="s">
        <v>87</v>
      </c>
      <c r="R1196" s="11" t="s">
        <v>631</v>
      </c>
      <c r="S1196" s="11" t="s">
        <v>632</v>
      </c>
      <c r="T1196" s="116" t="s">
        <v>1</v>
      </c>
      <c r="U1196" s="88"/>
      <c r="V1196" s="51">
        <v>45561</v>
      </c>
      <c r="W1196" s="102" t="s">
        <v>1579</v>
      </c>
      <c r="X1196" s="135" t="str">
        <f>VLOOKUP(Table1[[#This Row],[AMZ ID]],[1]Roster_1787503287932!$D$2:$AU$1370,25,0)</f>
        <v>Present</v>
      </c>
      <c r="Y1196" s="135">
        <f>VLOOKUP(Table1[[#This Row],[AMZ ID]],[1]Roster_1787503287932!$D$2:$AM$1370,35,0)</f>
        <v>0</v>
      </c>
    </row>
    <row r="1197" spans="1:25" ht="13" customHeight="1">
      <c r="A1197" s="11">
        <v>1191</v>
      </c>
      <c r="B1197" s="47">
        <v>206902848</v>
      </c>
      <c r="C1197" s="89" t="s">
        <v>1877</v>
      </c>
      <c r="D1197" s="11" t="s">
        <v>1878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1290</v>
      </c>
      <c r="J1197" s="49" t="s">
        <v>39</v>
      </c>
      <c r="K1197" s="49" t="s">
        <v>76</v>
      </c>
      <c r="L1197" s="49" t="s">
        <v>92</v>
      </c>
      <c r="M1197" s="49" t="s">
        <v>84</v>
      </c>
      <c r="N1197" s="48" t="s">
        <v>89</v>
      </c>
      <c r="O1197" s="49" t="s">
        <v>37</v>
      </c>
      <c r="P1197" s="11" t="s">
        <v>80</v>
      </c>
      <c r="Q1197" s="11" t="s">
        <v>90</v>
      </c>
      <c r="R1197" s="11" t="s">
        <v>647</v>
      </c>
      <c r="S1197" s="11" t="s">
        <v>1798</v>
      </c>
      <c r="T1197" s="116" t="s">
        <v>1</v>
      </c>
      <c r="U1197" s="88"/>
      <c r="V1197" s="51">
        <v>46030</v>
      </c>
      <c r="W1197" s="97" t="s">
        <v>1577</v>
      </c>
      <c r="X1197" s="135" t="str">
        <f>VLOOKUP(Table1[[#This Row],[AMZ ID]],[1]Roster_1787503287932!$D$2:$AU$1370,25,0)</f>
        <v>Present</v>
      </c>
      <c r="Y1197" s="135">
        <f>VLOOKUP(Table1[[#This Row],[AMZ ID]],[1]Roster_1787503287932!$D$2:$AM$1370,35,0)</f>
        <v>0</v>
      </c>
    </row>
    <row r="1198" spans="1:25" ht="13" customHeight="1">
      <c r="A1198" s="11">
        <v>1192</v>
      </c>
      <c r="B1198" s="47">
        <v>205845554</v>
      </c>
      <c r="C1198" s="89" t="s">
        <v>1328</v>
      </c>
      <c r="D1198" s="11" t="s">
        <v>1329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32</v>
      </c>
      <c r="K1198" s="49" t="s">
        <v>76</v>
      </c>
      <c r="L1198" s="49" t="s">
        <v>85</v>
      </c>
      <c r="M1198" s="49" t="s">
        <v>88</v>
      </c>
      <c r="N1198" s="49" t="s">
        <v>86</v>
      </c>
      <c r="O1198" s="49" t="s">
        <v>37</v>
      </c>
      <c r="P1198" s="11" t="s">
        <v>80</v>
      </c>
      <c r="Q1198" s="11" t="s">
        <v>90</v>
      </c>
      <c r="R1198" s="11" t="s">
        <v>627</v>
      </c>
      <c r="S1198" s="11" t="s">
        <v>628</v>
      </c>
      <c r="T1198" s="116" t="s">
        <v>1</v>
      </c>
      <c r="U1198" s="88"/>
      <c r="V1198" s="51">
        <v>45894</v>
      </c>
      <c r="W1198" s="97" t="s">
        <v>1576</v>
      </c>
      <c r="X1198" s="135" t="str">
        <f>VLOOKUP(Table1[[#This Row],[AMZ ID]],[1]Roster_1787503287932!$D$2:$AU$1370,25,0)</f>
        <v>Present</v>
      </c>
      <c r="Y1198" s="135">
        <f>VLOOKUP(Table1[[#This Row],[AMZ ID]],[1]Roster_1787503287932!$D$2:$AM$1370,35,0)</f>
        <v>0</v>
      </c>
    </row>
    <row r="1199" spans="1:25" ht="13" customHeight="1">
      <c r="A1199" s="11">
        <v>1193</v>
      </c>
      <c r="B1199" s="47">
        <v>104033277</v>
      </c>
      <c r="C1199" s="89" t="s">
        <v>1330</v>
      </c>
      <c r="D1199" s="11" t="s">
        <v>1331</v>
      </c>
      <c r="E1199" s="48" t="s">
        <v>34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32</v>
      </c>
      <c r="K1199" s="49" t="s">
        <v>76</v>
      </c>
      <c r="L1199" s="49" t="s">
        <v>77</v>
      </c>
      <c r="M1199" s="49" t="s">
        <v>78</v>
      </c>
      <c r="N1199" s="48" t="s">
        <v>108</v>
      </c>
      <c r="O1199" s="49" t="s">
        <v>37</v>
      </c>
      <c r="P1199" s="11" t="s">
        <v>80</v>
      </c>
      <c r="Q1199" s="11" t="s">
        <v>98</v>
      </c>
      <c r="R1199" s="11" t="s">
        <v>647</v>
      </c>
      <c r="S1199" s="11" t="s">
        <v>1798</v>
      </c>
      <c r="T1199" s="116" t="s">
        <v>10</v>
      </c>
      <c r="U1199" s="88"/>
      <c r="V1199" s="51">
        <v>44839</v>
      </c>
      <c r="W1199" s="97" t="s">
        <v>1577</v>
      </c>
      <c r="X1199" s="135" t="str">
        <f>VLOOKUP(Table1[[#This Row],[AMZ ID]],[1]Roster_1787503287932!$D$2:$AU$1370,25,0)</f>
        <v>Not Present</v>
      </c>
      <c r="Y1199" s="135">
        <f>VLOOKUP(Table1[[#This Row],[AMZ ID]],[1]Roster_1787503287932!$D$2:$AM$1370,35,0)</f>
        <v>0</v>
      </c>
    </row>
    <row r="1200" spans="1:25" ht="13" customHeight="1">
      <c r="A1200" s="11">
        <v>1194</v>
      </c>
      <c r="B1200" s="47">
        <v>203513400</v>
      </c>
      <c r="C1200" s="89" t="s">
        <v>1367</v>
      </c>
      <c r="D1200" s="11" t="s">
        <v>1368</v>
      </c>
      <c r="E1200" s="103" t="s">
        <v>31</v>
      </c>
      <c r="F1200" s="48" t="s">
        <v>74</v>
      </c>
      <c r="G1200" s="11" t="s">
        <v>65</v>
      </c>
      <c r="H1200" s="11" t="s">
        <v>1332</v>
      </c>
      <c r="I1200" s="11">
        <v>1181</v>
      </c>
      <c r="J1200" s="49" t="s">
        <v>32</v>
      </c>
      <c r="K1200" s="49" t="s">
        <v>76</v>
      </c>
      <c r="L1200" s="49" t="s">
        <v>77</v>
      </c>
      <c r="M1200" s="49" t="s">
        <v>78</v>
      </c>
      <c r="N1200" s="49" t="s">
        <v>79</v>
      </c>
      <c r="O1200" s="49" t="s">
        <v>68</v>
      </c>
      <c r="P1200" s="49" t="s">
        <v>80</v>
      </c>
      <c r="Q1200" s="49" t="s">
        <v>81</v>
      </c>
      <c r="R1200" s="49" t="s">
        <v>1336</v>
      </c>
      <c r="S1200" s="49" t="s">
        <v>1337</v>
      </c>
      <c r="T1200" s="116" t="s">
        <v>10</v>
      </c>
      <c r="U1200" s="88"/>
      <c r="V1200" s="51">
        <v>45463</v>
      </c>
      <c r="W1200" s="97" t="s">
        <v>68</v>
      </c>
      <c r="X1200" s="135" t="str">
        <f>VLOOKUP(Table1[[#This Row],[AMZ ID]],[1]Roster_1787503287932!$D$2:$AU$1370,25,0)</f>
        <v>Not Present</v>
      </c>
      <c r="Y1200" s="135">
        <f>VLOOKUP(Table1[[#This Row],[AMZ ID]],[1]Roster_1787503287932!$D$2:$AM$1370,35,0)</f>
        <v>0</v>
      </c>
    </row>
    <row r="1201" spans="1:25" ht="13" customHeight="1">
      <c r="A1201" s="11">
        <v>1195</v>
      </c>
      <c r="B1201" s="47">
        <v>203555218</v>
      </c>
      <c r="C1201" s="89" t="s">
        <v>1334</v>
      </c>
      <c r="D1201" s="11" t="s">
        <v>1335</v>
      </c>
      <c r="E1201" s="48" t="s">
        <v>31</v>
      </c>
      <c r="F1201" s="48" t="s">
        <v>74</v>
      </c>
      <c r="G1201" s="11" t="s">
        <v>65</v>
      </c>
      <c r="H1201" s="11" t="s">
        <v>1332</v>
      </c>
      <c r="I1201" s="11">
        <v>1181</v>
      </c>
      <c r="J1201" s="49" t="s">
        <v>39</v>
      </c>
      <c r="K1201" s="49" t="s">
        <v>76</v>
      </c>
      <c r="L1201" s="49" t="s">
        <v>95</v>
      </c>
      <c r="M1201" s="49" t="s">
        <v>77</v>
      </c>
      <c r="N1201" s="48" t="s">
        <v>79</v>
      </c>
      <c r="O1201" s="49" t="s">
        <v>68</v>
      </c>
      <c r="P1201" s="11" t="s">
        <v>80</v>
      </c>
      <c r="Q1201" s="11" t="s">
        <v>81</v>
      </c>
      <c r="R1201" s="11" t="s">
        <v>2720</v>
      </c>
      <c r="S1201" s="11" t="s">
        <v>2721</v>
      </c>
      <c r="T1201" s="116" t="s">
        <v>1</v>
      </c>
      <c r="U1201" s="88"/>
      <c r="V1201" s="51">
        <v>45470</v>
      </c>
      <c r="W1201" s="97" t="s">
        <v>68</v>
      </c>
      <c r="X1201" s="135" t="str">
        <f>VLOOKUP(Table1[[#This Row],[AMZ ID]],[1]Roster_1787503287932!$D$2:$AU$1370,25,0)</f>
        <v>Present</v>
      </c>
      <c r="Y1201" s="135">
        <f>VLOOKUP(Table1[[#This Row],[AMZ ID]],[1]Roster_1787503287932!$D$2:$AM$1370,35,0)</f>
        <v>0</v>
      </c>
    </row>
    <row r="1202" spans="1:25" ht="13" customHeight="1">
      <c r="A1202" s="11">
        <v>1196</v>
      </c>
      <c r="B1202" s="47">
        <v>202137760</v>
      </c>
      <c r="C1202" s="89" t="s">
        <v>1338</v>
      </c>
      <c r="D1202" s="11" t="s">
        <v>1339</v>
      </c>
      <c r="E1202" s="48" t="s">
        <v>31</v>
      </c>
      <c r="F1202" s="48" t="s">
        <v>74</v>
      </c>
      <c r="G1202" s="11" t="s">
        <v>65</v>
      </c>
      <c r="H1202" s="11" t="s">
        <v>1332</v>
      </c>
      <c r="I1202" s="11">
        <v>1181</v>
      </c>
      <c r="J1202" s="49" t="s">
        <v>39</v>
      </c>
      <c r="K1202" s="49" t="s">
        <v>76</v>
      </c>
      <c r="L1202" s="49" t="s">
        <v>95</v>
      </c>
      <c r="M1202" s="49" t="s">
        <v>77</v>
      </c>
      <c r="N1202" s="48" t="s">
        <v>86</v>
      </c>
      <c r="O1202" s="49" t="s">
        <v>68</v>
      </c>
      <c r="P1202" s="11" t="s">
        <v>80</v>
      </c>
      <c r="Q1202" s="11" t="s">
        <v>87</v>
      </c>
      <c r="R1202" s="11" t="s">
        <v>2720</v>
      </c>
      <c r="S1202" s="11" t="s">
        <v>2721</v>
      </c>
      <c r="T1202" s="116" t="s">
        <v>1</v>
      </c>
      <c r="U1202" s="88"/>
      <c r="V1202" s="51">
        <v>45589</v>
      </c>
      <c r="W1202" s="97" t="s">
        <v>68</v>
      </c>
      <c r="X1202" s="135" t="str">
        <f>VLOOKUP(Table1[[#This Row],[AMZ ID]],[1]Roster_1787503287932!$D$2:$AU$1370,25,0)</f>
        <v>Present</v>
      </c>
      <c r="Y1202" s="135">
        <f>VLOOKUP(Table1[[#This Row],[AMZ ID]],[1]Roster_1787503287932!$D$2:$AM$1370,35,0)</f>
        <v>0</v>
      </c>
    </row>
    <row r="1203" spans="1:25" ht="13" customHeight="1">
      <c r="A1203" s="11">
        <v>1197</v>
      </c>
      <c r="B1203" s="47">
        <v>206348048</v>
      </c>
      <c r="C1203" s="89" t="s">
        <v>1686</v>
      </c>
      <c r="D1203" s="11" t="s">
        <v>1687</v>
      </c>
      <c r="E1203" s="48" t="s">
        <v>31</v>
      </c>
      <c r="F1203" s="48" t="s">
        <v>74</v>
      </c>
      <c r="G1203" s="11" t="s">
        <v>65</v>
      </c>
      <c r="H1203" s="11" t="s">
        <v>1332</v>
      </c>
      <c r="I1203" s="11">
        <v>1181</v>
      </c>
      <c r="J1203" s="49" t="s">
        <v>32</v>
      </c>
      <c r="K1203" s="49" t="s">
        <v>76</v>
      </c>
      <c r="L1203" s="49" t="s">
        <v>88</v>
      </c>
      <c r="M1203" s="49" t="s">
        <v>95</v>
      </c>
      <c r="N1203" s="48" t="s">
        <v>89</v>
      </c>
      <c r="O1203" s="49" t="s">
        <v>68</v>
      </c>
      <c r="P1203" s="11" t="s">
        <v>80</v>
      </c>
      <c r="Q1203" s="11" t="s">
        <v>90</v>
      </c>
      <c r="R1203" s="11" t="s">
        <v>1336</v>
      </c>
      <c r="S1203" s="11" t="s">
        <v>1337</v>
      </c>
      <c r="T1203" s="116" t="s">
        <v>1</v>
      </c>
      <c r="U1203" s="88"/>
      <c r="V1203" s="51">
        <v>45957</v>
      </c>
      <c r="W1203" s="97" t="s">
        <v>68</v>
      </c>
      <c r="X1203" s="135" t="str">
        <f>VLOOKUP(Table1[[#This Row],[AMZ ID]],[1]Roster_1787503287932!$D$2:$AU$1370,25,0)</f>
        <v>Present</v>
      </c>
      <c r="Y1203" s="135">
        <f>VLOOKUP(Table1[[#This Row],[AMZ ID]],[1]Roster_1787503287932!$D$2:$AM$1370,35,0)</f>
        <v>0</v>
      </c>
    </row>
    <row r="1204" spans="1:25" ht="13" customHeight="1">
      <c r="A1204" s="11">
        <v>1198</v>
      </c>
      <c r="B1204" s="47">
        <v>206361774</v>
      </c>
      <c r="C1204" s="89" t="s">
        <v>2436</v>
      </c>
      <c r="D1204" s="11" t="s">
        <v>2437</v>
      </c>
      <c r="E1204" s="48" t="s">
        <v>31</v>
      </c>
      <c r="F1204" s="48" t="s">
        <v>74</v>
      </c>
      <c r="G1204" s="11" t="s">
        <v>65</v>
      </c>
      <c r="H1204" s="11" t="s">
        <v>1332</v>
      </c>
      <c r="I1204" s="11">
        <v>1181</v>
      </c>
      <c r="J1204" s="49" t="s">
        <v>39</v>
      </c>
      <c r="K1204" s="49" t="s">
        <v>76</v>
      </c>
      <c r="L1204" s="49" t="s">
        <v>85</v>
      </c>
      <c r="M1204" s="49" t="s">
        <v>88</v>
      </c>
      <c r="N1204" s="49" t="s">
        <v>89</v>
      </c>
      <c r="O1204" s="49" t="s">
        <v>68</v>
      </c>
      <c r="P1204" s="11" t="s">
        <v>80</v>
      </c>
      <c r="Q1204" s="11" t="s">
        <v>96</v>
      </c>
      <c r="R1204" s="11" t="s">
        <v>2720</v>
      </c>
      <c r="S1204" s="11" t="s">
        <v>2721</v>
      </c>
      <c r="T1204" s="116" t="s">
        <v>1</v>
      </c>
      <c r="U1204" s="88"/>
      <c r="V1204" s="51">
        <v>45957</v>
      </c>
      <c r="W1204" s="97" t="s">
        <v>68</v>
      </c>
      <c r="X1204" s="135" t="str">
        <f>VLOOKUP(Table1[[#This Row],[AMZ ID]],[1]Roster_1787503287932!$D$2:$AU$1370,25,0)</f>
        <v>Present</v>
      </c>
      <c r="Y1204" s="135">
        <f>VLOOKUP(Table1[[#This Row],[AMZ ID]],[1]Roster_1787503287932!$D$2:$AM$1370,35,0)</f>
        <v>0</v>
      </c>
    </row>
    <row r="1205" spans="1:25" ht="13" customHeight="1">
      <c r="A1205" s="11">
        <v>1199</v>
      </c>
      <c r="B1205" s="47">
        <v>104383492</v>
      </c>
      <c r="C1205" s="89" t="s">
        <v>2457</v>
      </c>
      <c r="D1205" s="11" t="s">
        <v>2458</v>
      </c>
      <c r="E1205" s="48" t="s">
        <v>34</v>
      </c>
      <c r="F1205" s="48" t="s">
        <v>74</v>
      </c>
      <c r="G1205" s="11" t="s">
        <v>65</v>
      </c>
      <c r="H1205" s="11" t="s">
        <v>1332</v>
      </c>
      <c r="I1205" s="11">
        <v>1182</v>
      </c>
      <c r="J1205" s="49" t="s">
        <v>39</v>
      </c>
      <c r="K1205" s="49" t="s">
        <v>76</v>
      </c>
      <c r="L1205" s="49" t="s">
        <v>92</v>
      </c>
      <c r="M1205" s="49" t="s">
        <v>84</v>
      </c>
      <c r="N1205" s="49" t="s">
        <v>1333</v>
      </c>
      <c r="O1205" s="49" t="s">
        <v>68</v>
      </c>
      <c r="P1205" s="11" t="s">
        <v>80</v>
      </c>
      <c r="Q1205" s="11" t="s">
        <v>98</v>
      </c>
      <c r="R1205" s="11" t="s">
        <v>2720</v>
      </c>
      <c r="S1205" s="11" t="s">
        <v>2721</v>
      </c>
      <c r="T1205" s="116" t="s">
        <v>1</v>
      </c>
      <c r="U1205" s="88"/>
      <c r="V1205" s="51">
        <v>44728</v>
      </c>
      <c r="W1205" s="97" t="s">
        <v>68</v>
      </c>
      <c r="X1205" s="135" t="str">
        <f>VLOOKUP(Table1[[#This Row],[AMZ ID]],[1]Roster_1787503287932!$D$2:$AU$1370,25,0)</f>
        <v>Present</v>
      </c>
      <c r="Y1205" s="135">
        <f>VLOOKUP(Table1[[#This Row],[AMZ ID]],[1]Roster_1787503287932!$D$2:$AM$1370,35,0)</f>
        <v>0</v>
      </c>
    </row>
    <row r="1206" spans="1:25" ht="13" customHeight="1">
      <c r="A1206" s="11">
        <v>1200</v>
      </c>
      <c r="B1206" s="47">
        <v>204013737</v>
      </c>
      <c r="C1206" s="89" t="s">
        <v>566</v>
      </c>
      <c r="D1206" s="11" t="s">
        <v>567</v>
      </c>
      <c r="E1206" s="48" t="s">
        <v>31</v>
      </c>
      <c r="F1206" s="48" t="s">
        <v>74</v>
      </c>
      <c r="G1206" s="11" t="s">
        <v>64</v>
      </c>
      <c r="H1206" s="11" t="s">
        <v>75</v>
      </c>
      <c r="I1206" s="11">
        <v>1299</v>
      </c>
      <c r="J1206" s="49" t="s">
        <v>32</v>
      </c>
      <c r="K1206" s="49" t="s">
        <v>76</v>
      </c>
      <c r="L1206" s="49" t="s">
        <v>78</v>
      </c>
      <c r="M1206" s="49" t="s">
        <v>92</v>
      </c>
      <c r="N1206" s="48" t="s">
        <v>79</v>
      </c>
      <c r="O1206" s="49" t="s">
        <v>35</v>
      </c>
      <c r="P1206" s="11" t="s">
        <v>80</v>
      </c>
      <c r="Q1206" s="11" t="s">
        <v>81</v>
      </c>
      <c r="R1206" s="11" t="s">
        <v>225</v>
      </c>
      <c r="S1206" s="11" t="s">
        <v>226</v>
      </c>
      <c r="T1206" s="116" t="s">
        <v>10</v>
      </c>
      <c r="U1206" s="88"/>
      <c r="V1206" s="51">
        <v>45551</v>
      </c>
      <c r="W1206" s="97" t="s">
        <v>1573</v>
      </c>
      <c r="X1206" s="135" t="str">
        <f>VLOOKUP(Table1[[#This Row],[AMZ ID]],[1]Roster_1787503287932!$D$2:$AU$1370,25,0)</f>
        <v>Not Present</v>
      </c>
      <c r="Y1206" s="135" t="str">
        <f>VLOOKUP(Table1[[#This Row],[AMZ ID]],[1]Roster_1787503287932!$D$2:$AM$1370,35,0)</f>
        <v>Annual Leave</v>
      </c>
    </row>
    <row r="1207" spans="1:25" ht="13" customHeight="1">
      <c r="A1207" s="11">
        <v>1201</v>
      </c>
      <c r="B1207" s="47">
        <v>203881712</v>
      </c>
      <c r="C1207" s="89" t="s">
        <v>1342</v>
      </c>
      <c r="D1207" s="11" t="s">
        <v>1343</v>
      </c>
      <c r="E1207" s="48" t="s">
        <v>31</v>
      </c>
      <c r="F1207" s="48" t="s">
        <v>74</v>
      </c>
      <c r="G1207" s="11" t="s">
        <v>65</v>
      </c>
      <c r="H1207" s="11" t="s">
        <v>1332</v>
      </c>
      <c r="I1207" s="11">
        <v>1181</v>
      </c>
      <c r="J1207" s="49" t="s">
        <v>39</v>
      </c>
      <c r="K1207" s="49" t="s">
        <v>76</v>
      </c>
      <c r="L1207" s="49" t="s">
        <v>95</v>
      </c>
      <c r="M1207" s="49" t="s">
        <v>77</v>
      </c>
      <c r="N1207" s="49" t="s">
        <v>79</v>
      </c>
      <c r="O1207" s="49" t="s">
        <v>68</v>
      </c>
      <c r="P1207" s="11" t="s">
        <v>80</v>
      </c>
      <c r="Q1207" s="11" t="s">
        <v>81</v>
      </c>
      <c r="R1207" s="11" t="s">
        <v>2720</v>
      </c>
      <c r="S1207" s="11" t="s">
        <v>2721</v>
      </c>
      <c r="T1207" s="116" t="s">
        <v>1</v>
      </c>
      <c r="U1207" s="88"/>
      <c r="V1207" s="51">
        <v>45530</v>
      </c>
      <c r="W1207" s="97" t="s">
        <v>68</v>
      </c>
      <c r="X1207" s="135" t="str">
        <f>VLOOKUP(Table1[[#This Row],[AMZ ID]],[1]Roster_1787503287932!$D$2:$AU$1370,25,0)</f>
        <v>Present</v>
      </c>
      <c r="Y1207" s="135">
        <f>VLOOKUP(Table1[[#This Row],[AMZ ID]],[1]Roster_1787503287932!$D$2:$AM$1370,35,0)</f>
        <v>0</v>
      </c>
    </row>
    <row r="1208" spans="1:25" ht="13" customHeight="1">
      <c r="A1208" s="11">
        <v>1202</v>
      </c>
      <c r="B1208" s="47">
        <v>206015636</v>
      </c>
      <c r="C1208" s="89" t="s">
        <v>586</v>
      </c>
      <c r="D1208" s="11" t="s">
        <v>587</v>
      </c>
      <c r="E1208" s="48" t="s">
        <v>31</v>
      </c>
      <c r="F1208" s="48" t="s">
        <v>74</v>
      </c>
      <c r="G1208" s="11" t="s">
        <v>64</v>
      </c>
      <c r="H1208" s="11" t="s">
        <v>75</v>
      </c>
      <c r="I1208" s="11">
        <v>1299</v>
      </c>
      <c r="J1208" s="49" t="s">
        <v>32</v>
      </c>
      <c r="K1208" s="49" t="s">
        <v>76</v>
      </c>
      <c r="L1208" s="49" t="s">
        <v>78</v>
      </c>
      <c r="M1208" s="49" t="s">
        <v>92</v>
      </c>
      <c r="N1208" s="48" t="s">
        <v>79</v>
      </c>
      <c r="O1208" s="49" t="s">
        <v>35</v>
      </c>
      <c r="P1208" s="11" t="s">
        <v>80</v>
      </c>
      <c r="Q1208" s="11" t="s">
        <v>81</v>
      </c>
      <c r="R1208" s="11" t="s">
        <v>224</v>
      </c>
      <c r="S1208" s="11" t="s">
        <v>2715</v>
      </c>
      <c r="T1208" s="116" t="s">
        <v>10</v>
      </c>
      <c r="U1208" s="88"/>
      <c r="V1208" s="51">
        <v>45915</v>
      </c>
      <c r="W1208" s="97" t="s">
        <v>1573</v>
      </c>
      <c r="X1208" s="135" t="str">
        <f>VLOOKUP(Table1[[#This Row],[AMZ ID]],[1]Roster_1787503287932!$D$2:$AU$1370,25,0)</f>
        <v>Not Present</v>
      </c>
      <c r="Y1208" s="135">
        <f>VLOOKUP(Table1[[#This Row],[AMZ ID]],[1]Roster_1787503287932!$D$2:$AM$1370,35,0)</f>
        <v>0</v>
      </c>
    </row>
    <row r="1209" spans="1:25" ht="13" customHeight="1">
      <c r="A1209" s="11">
        <v>1203</v>
      </c>
      <c r="B1209" s="47">
        <v>201188904</v>
      </c>
      <c r="C1209" s="89" t="s">
        <v>1344</v>
      </c>
      <c r="D1209" s="11" t="s">
        <v>1345</v>
      </c>
      <c r="E1209" s="48" t="s">
        <v>31</v>
      </c>
      <c r="F1209" s="48" t="s">
        <v>74</v>
      </c>
      <c r="G1209" s="11" t="s">
        <v>65</v>
      </c>
      <c r="H1209" s="11" t="s">
        <v>1332</v>
      </c>
      <c r="I1209" s="11">
        <v>1181</v>
      </c>
      <c r="J1209" s="49" t="s">
        <v>39</v>
      </c>
      <c r="K1209" s="49" t="s">
        <v>76</v>
      </c>
      <c r="L1209" s="49" t="s">
        <v>84</v>
      </c>
      <c r="M1209" s="49" t="s">
        <v>85</v>
      </c>
      <c r="N1209" s="49" t="s">
        <v>79</v>
      </c>
      <c r="O1209" s="49" t="s">
        <v>68</v>
      </c>
      <c r="P1209" s="11" t="s">
        <v>80</v>
      </c>
      <c r="Q1209" s="11" t="s">
        <v>81</v>
      </c>
      <c r="R1209" s="11" t="s">
        <v>2720</v>
      </c>
      <c r="S1209" s="11" t="s">
        <v>2721</v>
      </c>
      <c r="T1209" s="116" t="s">
        <v>1</v>
      </c>
      <c r="U1209" s="88"/>
      <c r="V1209" s="51">
        <v>45530</v>
      </c>
      <c r="W1209" s="97" t="s">
        <v>68</v>
      </c>
      <c r="X1209" s="135" t="str">
        <f>VLOOKUP(Table1[[#This Row],[AMZ ID]],[1]Roster_1787503287932!$D$2:$AU$1370,25,0)</f>
        <v>Present</v>
      </c>
      <c r="Y1209" s="135">
        <f>VLOOKUP(Table1[[#This Row],[AMZ ID]],[1]Roster_1787503287932!$D$2:$AM$1370,35,0)</f>
        <v>0</v>
      </c>
    </row>
    <row r="1210" spans="1:25" ht="13" customHeight="1">
      <c r="A1210" s="11">
        <v>1204</v>
      </c>
      <c r="B1210" s="47">
        <v>206348027</v>
      </c>
      <c r="C1210" s="89" t="s">
        <v>1670</v>
      </c>
      <c r="D1210" s="11" t="s">
        <v>1671</v>
      </c>
      <c r="E1210" s="48" t="s">
        <v>31</v>
      </c>
      <c r="F1210" s="48" t="s">
        <v>74</v>
      </c>
      <c r="G1210" s="11" t="s">
        <v>65</v>
      </c>
      <c r="H1210" s="11" t="s">
        <v>1332</v>
      </c>
      <c r="I1210" s="11">
        <v>1181</v>
      </c>
      <c r="J1210" s="49" t="s">
        <v>39</v>
      </c>
      <c r="K1210" s="49" t="s">
        <v>76</v>
      </c>
      <c r="L1210" s="49" t="s">
        <v>78</v>
      </c>
      <c r="M1210" s="49" t="s">
        <v>92</v>
      </c>
      <c r="N1210" s="48" t="s">
        <v>89</v>
      </c>
      <c r="O1210" s="49" t="s">
        <v>68</v>
      </c>
      <c r="P1210" s="11" t="s">
        <v>80</v>
      </c>
      <c r="Q1210" s="11" t="s">
        <v>90</v>
      </c>
      <c r="R1210" s="11" t="s">
        <v>2720</v>
      </c>
      <c r="S1210" s="11" t="s">
        <v>2721</v>
      </c>
      <c r="T1210" s="116" t="s">
        <v>10</v>
      </c>
      <c r="U1210" s="88"/>
      <c r="V1210" s="51">
        <v>45957</v>
      </c>
      <c r="W1210" s="97" t="s">
        <v>68</v>
      </c>
      <c r="X1210" s="135" t="str">
        <f>VLOOKUP(Table1[[#This Row],[AMZ ID]],[1]Roster_1787503287932!$D$2:$AU$1370,25,0)</f>
        <v>Not Present</v>
      </c>
      <c r="Y1210" s="135">
        <f>VLOOKUP(Table1[[#This Row],[AMZ ID]],[1]Roster_1787503287932!$D$2:$AM$1370,35,0)</f>
        <v>0</v>
      </c>
    </row>
    <row r="1211" spans="1:25" ht="13" customHeight="1">
      <c r="A1211" s="11">
        <v>1205</v>
      </c>
      <c r="B1211" s="47">
        <v>206239763</v>
      </c>
      <c r="C1211" s="89" t="s">
        <v>1647</v>
      </c>
      <c r="D1211" s="11" t="s">
        <v>1626</v>
      </c>
      <c r="E1211" s="48" t="s">
        <v>31</v>
      </c>
      <c r="F1211" s="48" t="s">
        <v>74</v>
      </c>
      <c r="G1211" s="11" t="s">
        <v>64</v>
      </c>
      <c r="H1211" s="11" t="s">
        <v>75</v>
      </c>
      <c r="I1211" s="11">
        <v>1299</v>
      </c>
      <c r="J1211" s="87" t="s">
        <v>32</v>
      </c>
      <c r="K1211" s="49" t="s">
        <v>76</v>
      </c>
      <c r="L1211" s="49" t="s">
        <v>78</v>
      </c>
      <c r="M1211" s="49" t="s">
        <v>92</v>
      </c>
      <c r="N1211" s="49" t="s">
        <v>79</v>
      </c>
      <c r="O1211" s="49" t="s">
        <v>37</v>
      </c>
      <c r="P1211" s="11" t="s">
        <v>80</v>
      </c>
      <c r="Q1211" s="11" t="s">
        <v>81</v>
      </c>
      <c r="R1211" s="11" t="s">
        <v>1066</v>
      </c>
      <c r="S1211" s="11" t="s">
        <v>2717</v>
      </c>
      <c r="T1211" s="116" t="s">
        <v>10</v>
      </c>
      <c r="U1211" s="88"/>
      <c r="V1211" s="51">
        <v>45943</v>
      </c>
      <c r="W1211" s="97" t="s">
        <v>1577</v>
      </c>
      <c r="X1211" s="135" t="str">
        <f>VLOOKUP(Table1[[#This Row],[AMZ ID]],[1]Roster_1787503287932!$D$2:$AU$1370,25,0)</f>
        <v>Not Present</v>
      </c>
      <c r="Y1211" s="135" t="str">
        <f>VLOOKUP(Table1[[#This Row],[AMZ ID]],[1]Roster_1787503287932!$D$2:$AM$1370,35,0)</f>
        <v>Annual Leave</v>
      </c>
    </row>
    <row r="1212" spans="1:25" ht="13" customHeight="1">
      <c r="A1212" s="11">
        <v>1206</v>
      </c>
      <c r="B1212" s="47">
        <v>206199998</v>
      </c>
      <c r="C1212" s="89" t="s">
        <v>1592</v>
      </c>
      <c r="D1212" s="11" t="s">
        <v>1586</v>
      </c>
      <c r="E1212" s="48" t="s">
        <v>31</v>
      </c>
      <c r="F1212" s="48" t="s">
        <v>74</v>
      </c>
      <c r="G1212" s="11" t="s">
        <v>64</v>
      </c>
      <c r="H1212" s="11" t="s">
        <v>75</v>
      </c>
      <c r="I1212" s="11">
        <v>1299</v>
      </c>
      <c r="J1212" s="49" t="s">
        <v>32</v>
      </c>
      <c r="K1212" s="49" t="s">
        <v>76</v>
      </c>
      <c r="L1212" s="49" t="s">
        <v>78</v>
      </c>
      <c r="M1212" s="49" t="s">
        <v>92</v>
      </c>
      <c r="N1212" s="48" t="s">
        <v>89</v>
      </c>
      <c r="O1212" s="49" t="s">
        <v>37</v>
      </c>
      <c r="P1212" s="11" t="s">
        <v>80</v>
      </c>
      <c r="Q1212" s="11" t="s">
        <v>81</v>
      </c>
      <c r="R1212" s="49" t="s">
        <v>1066</v>
      </c>
      <c r="S1212" s="11" t="s">
        <v>2717</v>
      </c>
      <c r="T1212" s="116" t="s">
        <v>10</v>
      </c>
      <c r="U1212" s="88"/>
      <c r="V1212" s="51">
        <v>45936</v>
      </c>
      <c r="W1212" s="97" t="s">
        <v>1577</v>
      </c>
      <c r="X1212" s="135" t="str">
        <f>VLOOKUP(Table1[[#This Row],[AMZ ID]],[1]Roster_1787503287932!$D$2:$AU$1370,25,0)</f>
        <v>Not Present</v>
      </c>
      <c r="Y1212" s="135" t="str">
        <f>VLOOKUP(Table1[[#This Row],[AMZ ID]],[1]Roster_1787503287932!$D$2:$AM$1370,35,0)</f>
        <v>Annual Leave</v>
      </c>
    </row>
    <row r="1213" spans="1:25" ht="13" customHeight="1">
      <c r="A1213" s="11">
        <v>1207</v>
      </c>
      <c r="B1213" s="47">
        <v>102205688</v>
      </c>
      <c r="C1213" s="89" t="s">
        <v>1350</v>
      </c>
      <c r="D1213" s="11" t="s">
        <v>1351</v>
      </c>
      <c r="E1213" s="48" t="s">
        <v>34</v>
      </c>
      <c r="F1213" s="48" t="s">
        <v>74</v>
      </c>
      <c r="G1213" s="11" t="s">
        <v>65</v>
      </c>
      <c r="H1213" s="11" t="s">
        <v>1332</v>
      </c>
      <c r="I1213" s="11">
        <v>1182</v>
      </c>
      <c r="J1213" s="49" t="s">
        <v>39</v>
      </c>
      <c r="K1213" s="49" t="s">
        <v>76</v>
      </c>
      <c r="L1213" s="49" t="s">
        <v>77</v>
      </c>
      <c r="M1213" s="49" t="s">
        <v>78</v>
      </c>
      <c r="N1213" s="48" t="s">
        <v>108</v>
      </c>
      <c r="O1213" s="49" t="s">
        <v>68</v>
      </c>
      <c r="P1213" s="11" t="s">
        <v>80</v>
      </c>
      <c r="Q1213" s="11" t="s">
        <v>98</v>
      </c>
      <c r="R1213" s="11" t="s">
        <v>2720</v>
      </c>
      <c r="S1213" s="11" t="s">
        <v>2721</v>
      </c>
      <c r="T1213" s="116" t="s">
        <v>10</v>
      </c>
      <c r="U1213" s="88"/>
      <c r="V1213" s="51">
        <v>42868</v>
      </c>
      <c r="W1213" s="97" t="s">
        <v>68</v>
      </c>
      <c r="X1213" s="135" t="str">
        <f>VLOOKUP(Table1[[#This Row],[AMZ ID]],[1]Roster_1787503287932!$D$2:$AU$1370,25,0)</f>
        <v>Not Present</v>
      </c>
      <c r="Y1213" s="135">
        <f>VLOOKUP(Table1[[#This Row],[AMZ ID]],[1]Roster_1787503287932!$D$2:$AM$1370,35,0)</f>
        <v>0</v>
      </c>
    </row>
    <row r="1214" spans="1:25" ht="13" customHeight="1">
      <c r="A1214" s="11">
        <v>1208</v>
      </c>
      <c r="B1214" s="47">
        <v>103640429</v>
      </c>
      <c r="C1214" s="89" t="s">
        <v>1352</v>
      </c>
      <c r="D1214" s="11" t="s">
        <v>1353</v>
      </c>
      <c r="E1214" s="48" t="s">
        <v>34</v>
      </c>
      <c r="F1214" s="48" t="s">
        <v>74</v>
      </c>
      <c r="G1214" s="11" t="s">
        <v>65</v>
      </c>
      <c r="H1214" s="11" t="s">
        <v>1332</v>
      </c>
      <c r="I1214" s="11">
        <v>1182</v>
      </c>
      <c r="J1214" s="49" t="s">
        <v>39</v>
      </c>
      <c r="K1214" s="49" t="s">
        <v>76</v>
      </c>
      <c r="L1214" s="49" t="s">
        <v>95</v>
      </c>
      <c r="M1214" s="49" t="s">
        <v>77</v>
      </c>
      <c r="N1214" s="48" t="s">
        <v>108</v>
      </c>
      <c r="O1214" s="49" t="s">
        <v>68</v>
      </c>
      <c r="P1214" s="11" t="s">
        <v>80</v>
      </c>
      <c r="Q1214" s="11" t="s">
        <v>98</v>
      </c>
      <c r="R1214" s="11" t="s">
        <v>2720</v>
      </c>
      <c r="S1214" s="11" t="s">
        <v>2721</v>
      </c>
      <c r="T1214" s="116" t="s">
        <v>1</v>
      </c>
      <c r="U1214" s="88"/>
      <c r="V1214" s="51">
        <v>44724</v>
      </c>
      <c r="W1214" s="97" t="s">
        <v>68</v>
      </c>
      <c r="X1214" s="135" t="str">
        <f>VLOOKUP(Table1[[#This Row],[AMZ ID]],[1]Roster_1787503287932!$D$2:$AU$1370,25,0)</f>
        <v>Present</v>
      </c>
      <c r="Y1214" s="135">
        <f>VLOOKUP(Table1[[#This Row],[AMZ ID]],[1]Roster_1787503287932!$D$2:$AM$1370,35,0)</f>
        <v>0</v>
      </c>
    </row>
    <row r="1215" spans="1:25" ht="13" customHeight="1">
      <c r="A1215" s="11">
        <v>1209</v>
      </c>
      <c r="B1215" s="47">
        <v>203555221</v>
      </c>
      <c r="C1215" s="89" t="s">
        <v>1408</v>
      </c>
      <c r="D1215" s="11" t="s">
        <v>1409</v>
      </c>
      <c r="E1215" s="48" t="s">
        <v>31</v>
      </c>
      <c r="F1215" s="48" t="s">
        <v>74</v>
      </c>
      <c r="G1215" s="11" t="s">
        <v>65</v>
      </c>
      <c r="H1215" s="11" t="s">
        <v>1332</v>
      </c>
      <c r="I1215" s="11">
        <v>1181</v>
      </c>
      <c r="J1215" s="49" t="s">
        <v>32</v>
      </c>
      <c r="K1215" s="49" t="s">
        <v>76</v>
      </c>
      <c r="L1215" s="49" t="s">
        <v>77</v>
      </c>
      <c r="M1215" s="49" t="s">
        <v>78</v>
      </c>
      <c r="N1215" s="49" t="s">
        <v>79</v>
      </c>
      <c r="O1215" s="49" t="s">
        <v>68</v>
      </c>
      <c r="P1215" s="11" t="s">
        <v>80</v>
      </c>
      <c r="Q1215" s="11" t="s">
        <v>81</v>
      </c>
      <c r="R1215" s="11" t="s">
        <v>1336</v>
      </c>
      <c r="S1215" s="11" t="s">
        <v>1337</v>
      </c>
      <c r="T1215" s="116" t="s">
        <v>10</v>
      </c>
      <c r="U1215" s="88"/>
      <c r="V1215" s="51">
        <v>45470</v>
      </c>
      <c r="W1215" s="97" t="s">
        <v>68</v>
      </c>
      <c r="X1215" s="135" t="str">
        <f>VLOOKUP(Table1[[#This Row],[AMZ ID]],[1]Roster_1787503287932!$D$2:$AU$1370,25,0)</f>
        <v>Not Present</v>
      </c>
      <c r="Y1215" s="135">
        <f>VLOOKUP(Table1[[#This Row],[AMZ ID]],[1]Roster_1787503287932!$D$2:$AM$1370,35,0)</f>
        <v>0</v>
      </c>
    </row>
    <row r="1216" spans="1:25" ht="13" customHeight="1">
      <c r="A1216" s="11">
        <v>1210</v>
      </c>
      <c r="B1216" s="47">
        <v>206004602</v>
      </c>
      <c r="C1216" s="89" t="s">
        <v>1125</v>
      </c>
      <c r="D1216" s="11" t="s">
        <v>1126</v>
      </c>
      <c r="E1216" s="48" t="s">
        <v>31</v>
      </c>
      <c r="F1216" s="48" t="s">
        <v>74</v>
      </c>
      <c r="G1216" s="11" t="s">
        <v>64</v>
      </c>
      <c r="H1216" s="11" t="s">
        <v>75</v>
      </c>
      <c r="I1216" s="11">
        <v>1299</v>
      </c>
      <c r="J1216" s="49" t="s">
        <v>32</v>
      </c>
      <c r="K1216" s="49" t="s">
        <v>76</v>
      </c>
      <c r="L1216" s="49" t="s">
        <v>84</v>
      </c>
      <c r="M1216" s="49" t="s">
        <v>85</v>
      </c>
      <c r="N1216" s="48" t="s">
        <v>79</v>
      </c>
      <c r="O1216" s="49" t="s">
        <v>37</v>
      </c>
      <c r="P1216" s="11" t="s">
        <v>80</v>
      </c>
      <c r="Q1216" s="11" t="s">
        <v>81</v>
      </c>
      <c r="R1216" s="49" t="s">
        <v>639</v>
      </c>
      <c r="S1216" s="11" t="s">
        <v>2718</v>
      </c>
      <c r="T1216" s="116" t="s">
        <v>1</v>
      </c>
      <c r="U1216" s="88"/>
      <c r="V1216" s="51">
        <v>45922</v>
      </c>
      <c r="W1216" s="97" t="s">
        <v>1577</v>
      </c>
      <c r="X1216" s="135" t="str">
        <f>VLOOKUP(Table1[[#This Row],[AMZ ID]],[1]Roster_1787503287932!$D$2:$AU$1370,25,0)</f>
        <v>Present</v>
      </c>
      <c r="Y1216" s="135">
        <f>VLOOKUP(Table1[[#This Row],[AMZ ID]],[1]Roster_1787503287932!$D$2:$AM$1370,35,0)</f>
        <v>0</v>
      </c>
    </row>
    <row r="1217" spans="1:25" ht="13" customHeight="1">
      <c r="A1217" s="11">
        <v>1211</v>
      </c>
      <c r="B1217" s="47">
        <v>103058874</v>
      </c>
      <c r="C1217" s="89" t="s">
        <v>1357</v>
      </c>
      <c r="D1217" s="11" t="s">
        <v>1358</v>
      </c>
      <c r="E1217" s="48" t="s">
        <v>34</v>
      </c>
      <c r="F1217" s="48" t="s">
        <v>74</v>
      </c>
      <c r="G1217" s="11" t="s">
        <v>65</v>
      </c>
      <c r="H1217" s="11" t="s">
        <v>1332</v>
      </c>
      <c r="I1217" s="11">
        <v>1182</v>
      </c>
      <c r="J1217" s="49" t="s">
        <v>39</v>
      </c>
      <c r="K1217" s="49" t="s">
        <v>76</v>
      </c>
      <c r="L1217" s="49" t="s">
        <v>78</v>
      </c>
      <c r="M1217" s="49" t="s">
        <v>92</v>
      </c>
      <c r="N1217" s="49" t="s">
        <v>108</v>
      </c>
      <c r="O1217" s="49" t="s">
        <v>68</v>
      </c>
      <c r="P1217" s="11" t="s">
        <v>80</v>
      </c>
      <c r="Q1217" s="11" t="s">
        <v>98</v>
      </c>
      <c r="R1217" s="11" t="s">
        <v>2720</v>
      </c>
      <c r="S1217" s="11" t="s">
        <v>2721</v>
      </c>
      <c r="T1217" s="116" t="s">
        <v>10</v>
      </c>
      <c r="U1217" s="88"/>
      <c r="V1217" s="51">
        <v>43024</v>
      </c>
      <c r="W1217" s="97" t="s">
        <v>68</v>
      </c>
      <c r="X1217" s="135" t="str">
        <f>VLOOKUP(Table1[[#This Row],[AMZ ID]],[1]Roster_1787503287932!$D$2:$AU$1370,25,0)</f>
        <v>Not Present</v>
      </c>
      <c r="Y1217" s="135">
        <f>VLOOKUP(Table1[[#This Row],[AMZ ID]],[1]Roster_1787503287932!$D$2:$AM$1370,35,0)</f>
        <v>0</v>
      </c>
    </row>
    <row r="1218" spans="1:25" ht="13" customHeight="1">
      <c r="A1218" s="11">
        <v>1212</v>
      </c>
      <c r="B1218" s="47">
        <v>102981727</v>
      </c>
      <c r="C1218" s="89" t="s">
        <v>107</v>
      </c>
      <c r="D1218" s="11" t="s">
        <v>1929</v>
      </c>
      <c r="E1218" s="48" t="s">
        <v>34</v>
      </c>
      <c r="F1218" s="48" t="s">
        <v>74</v>
      </c>
      <c r="G1218" s="11" t="s">
        <v>65</v>
      </c>
      <c r="H1218" s="11" t="s">
        <v>1332</v>
      </c>
      <c r="I1218" s="11">
        <v>1299</v>
      </c>
      <c r="J1218" s="49" t="s">
        <v>39</v>
      </c>
      <c r="K1218" s="49" t="s">
        <v>76</v>
      </c>
      <c r="L1218" s="49" t="s">
        <v>77</v>
      </c>
      <c r="M1218" s="49" t="s">
        <v>78</v>
      </c>
      <c r="N1218" s="48" t="s">
        <v>108</v>
      </c>
      <c r="O1218" s="49" t="s">
        <v>68</v>
      </c>
      <c r="P1218" s="11" t="s">
        <v>80</v>
      </c>
      <c r="Q1218" s="11" t="s">
        <v>98</v>
      </c>
      <c r="R1218" s="11" t="s">
        <v>2720</v>
      </c>
      <c r="S1218" s="11" t="s">
        <v>2721</v>
      </c>
      <c r="T1218" s="116" t="s">
        <v>10</v>
      </c>
      <c r="U1218" s="88"/>
      <c r="V1218" s="51">
        <v>43040</v>
      </c>
      <c r="W1218" s="97" t="s">
        <v>68</v>
      </c>
      <c r="X1218" s="135" t="str">
        <f>VLOOKUP(Table1[[#This Row],[AMZ ID]],[1]Roster_1787503287932!$D$2:$AU$1370,25,0)</f>
        <v>Not Present</v>
      </c>
      <c r="Y1218" s="135">
        <f>VLOOKUP(Table1[[#This Row],[AMZ ID]],[1]Roster_1787503287932!$D$2:$AM$1370,35,0)</f>
        <v>0</v>
      </c>
    </row>
    <row r="1219" spans="1:25" ht="13" customHeight="1">
      <c r="A1219" s="11">
        <v>1213</v>
      </c>
      <c r="B1219" s="47">
        <v>206361295</v>
      </c>
      <c r="C1219" s="89" t="s">
        <v>2440</v>
      </c>
      <c r="D1219" s="11" t="s">
        <v>2441</v>
      </c>
      <c r="E1219" s="48" t="s">
        <v>31</v>
      </c>
      <c r="F1219" s="48" t="s">
        <v>74</v>
      </c>
      <c r="G1219" s="11" t="s">
        <v>65</v>
      </c>
      <c r="H1219" s="11" t="s">
        <v>1332</v>
      </c>
      <c r="I1219" s="11">
        <v>1181</v>
      </c>
      <c r="J1219" s="49" t="s">
        <v>39</v>
      </c>
      <c r="K1219" s="49" t="s">
        <v>76</v>
      </c>
      <c r="L1219" s="49" t="s">
        <v>78</v>
      </c>
      <c r="M1219" s="49" t="s">
        <v>92</v>
      </c>
      <c r="N1219" s="48" t="s">
        <v>89</v>
      </c>
      <c r="O1219" s="49" t="s">
        <v>68</v>
      </c>
      <c r="P1219" s="11" t="s">
        <v>80</v>
      </c>
      <c r="Q1219" s="11" t="s">
        <v>96</v>
      </c>
      <c r="R1219" s="11" t="s">
        <v>2720</v>
      </c>
      <c r="S1219" s="11" t="s">
        <v>2721</v>
      </c>
      <c r="T1219" s="116" t="s">
        <v>10</v>
      </c>
      <c r="U1219" s="88"/>
      <c r="V1219" s="51">
        <v>45957</v>
      </c>
      <c r="W1219" s="97" t="s">
        <v>68</v>
      </c>
      <c r="X1219" s="135" t="str">
        <f>VLOOKUP(Table1[[#This Row],[AMZ ID]],[1]Roster_1787503287932!$D$2:$AU$1370,25,0)</f>
        <v>Not Present</v>
      </c>
      <c r="Y1219" s="135">
        <f>VLOOKUP(Table1[[#This Row],[AMZ ID]],[1]Roster_1787503287932!$D$2:$AM$1370,35,0)</f>
        <v>0</v>
      </c>
    </row>
    <row r="1220" spans="1:25" ht="13" customHeight="1">
      <c r="A1220" s="11">
        <v>1214</v>
      </c>
      <c r="B1220" s="47">
        <v>111249388</v>
      </c>
      <c r="C1220" s="89" t="s">
        <v>1360</v>
      </c>
      <c r="D1220" s="11" t="s">
        <v>1361</v>
      </c>
      <c r="E1220" s="48" t="s">
        <v>31</v>
      </c>
      <c r="F1220" s="48" t="s">
        <v>74</v>
      </c>
      <c r="G1220" s="11" t="s">
        <v>65</v>
      </c>
      <c r="H1220" s="11" t="s">
        <v>1332</v>
      </c>
      <c r="I1220" s="11">
        <v>1181</v>
      </c>
      <c r="J1220" s="49" t="s">
        <v>39</v>
      </c>
      <c r="K1220" s="49" t="s">
        <v>76</v>
      </c>
      <c r="L1220" s="49" t="s">
        <v>88</v>
      </c>
      <c r="M1220" s="49" t="s">
        <v>95</v>
      </c>
      <c r="N1220" s="48" t="s">
        <v>79</v>
      </c>
      <c r="O1220" s="49" t="s">
        <v>68</v>
      </c>
      <c r="P1220" s="11" t="s">
        <v>80</v>
      </c>
      <c r="Q1220" s="11" t="s">
        <v>81</v>
      </c>
      <c r="R1220" s="11" t="s">
        <v>2720</v>
      </c>
      <c r="S1220" s="11" t="s">
        <v>2721</v>
      </c>
      <c r="T1220" s="116" t="s">
        <v>1</v>
      </c>
      <c r="U1220" s="88"/>
      <c r="V1220" s="51">
        <v>45530</v>
      </c>
      <c r="W1220" s="97" t="s">
        <v>68</v>
      </c>
      <c r="X1220" s="135" t="str">
        <f>VLOOKUP(Table1[[#This Row],[AMZ ID]],[1]Roster_1787503287932!$D$2:$AU$1370,25,0)</f>
        <v>Present</v>
      </c>
      <c r="Y1220" s="135">
        <f>VLOOKUP(Table1[[#This Row],[AMZ ID]],[1]Roster_1787503287932!$D$2:$AM$1370,35,0)</f>
        <v>0</v>
      </c>
    </row>
    <row r="1221" spans="1:25" ht="13" customHeight="1">
      <c r="A1221" s="11">
        <v>1215</v>
      </c>
      <c r="B1221" s="47">
        <v>203635494</v>
      </c>
      <c r="C1221" s="89" t="s">
        <v>1135</v>
      </c>
      <c r="D1221" s="11" t="s">
        <v>1136</v>
      </c>
      <c r="E1221" s="48" t="s">
        <v>31</v>
      </c>
      <c r="F1221" s="48" t="s">
        <v>74</v>
      </c>
      <c r="G1221" s="11" t="s">
        <v>64</v>
      </c>
      <c r="H1221" s="11" t="s">
        <v>75</v>
      </c>
      <c r="I1221" s="11">
        <v>1299</v>
      </c>
      <c r="J1221" s="49" t="s">
        <v>32</v>
      </c>
      <c r="K1221" s="49" t="s">
        <v>76</v>
      </c>
      <c r="L1221" s="49" t="s">
        <v>84</v>
      </c>
      <c r="M1221" s="49" t="s">
        <v>85</v>
      </c>
      <c r="N1221" s="48" t="s">
        <v>79</v>
      </c>
      <c r="O1221" s="49" t="s">
        <v>37</v>
      </c>
      <c r="P1221" s="11" t="s">
        <v>80</v>
      </c>
      <c r="Q1221" s="11" t="s">
        <v>81</v>
      </c>
      <c r="R1221" s="49" t="s">
        <v>647</v>
      </c>
      <c r="S1221" s="11" t="s">
        <v>1798</v>
      </c>
      <c r="T1221" s="116" t="s">
        <v>7</v>
      </c>
      <c r="U1221" s="88" t="s">
        <v>3015</v>
      </c>
      <c r="V1221" s="51">
        <v>45481</v>
      </c>
      <c r="W1221" s="97" t="s">
        <v>1577</v>
      </c>
      <c r="X1221" s="135" t="str">
        <f>VLOOKUP(Table1[[#This Row],[AMZ ID]],[1]Roster_1787503287932!$D$2:$AU$1370,25,0)</f>
        <v>Not Present</v>
      </c>
      <c r="Y1221" s="135" t="str">
        <f>VLOOKUP(Table1[[#This Row],[AMZ ID]],[1]Roster_1787503287932!$D$2:$AM$1370,35,0)</f>
        <v>Annual Leave</v>
      </c>
    </row>
    <row r="1222" spans="1:25" ht="13" customHeight="1">
      <c r="A1222" s="11">
        <v>1216</v>
      </c>
      <c r="B1222" s="47">
        <v>203555213</v>
      </c>
      <c r="C1222" s="89" t="s">
        <v>1365</v>
      </c>
      <c r="D1222" s="11" t="s">
        <v>1366</v>
      </c>
      <c r="E1222" s="48" t="s">
        <v>31</v>
      </c>
      <c r="F1222" s="48" t="s">
        <v>74</v>
      </c>
      <c r="G1222" s="11" t="s">
        <v>65</v>
      </c>
      <c r="H1222" s="11" t="s">
        <v>1332</v>
      </c>
      <c r="I1222" s="11">
        <v>1181</v>
      </c>
      <c r="J1222" s="49" t="s">
        <v>39</v>
      </c>
      <c r="K1222" s="49" t="s">
        <v>76</v>
      </c>
      <c r="L1222" s="49" t="s">
        <v>77</v>
      </c>
      <c r="M1222" s="49" t="s">
        <v>78</v>
      </c>
      <c r="N1222" s="49" t="s">
        <v>79</v>
      </c>
      <c r="O1222" s="49" t="s">
        <v>68</v>
      </c>
      <c r="P1222" s="11" t="s">
        <v>80</v>
      </c>
      <c r="Q1222" s="11" t="s">
        <v>81</v>
      </c>
      <c r="R1222" s="11" t="s">
        <v>2720</v>
      </c>
      <c r="S1222" s="11" t="s">
        <v>2721</v>
      </c>
      <c r="T1222" s="116" t="s">
        <v>10</v>
      </c>
      <c r="U1222" s="88"/>
      <c r="V1222" s="51">
        <v>45470</v>
      </c>
      <c r="W1222" s="97" t="s">
        <v>68</v>
      </c>
      <c r="X1222" s="135" t="str">
        <f>VLOOKUP(Table1[[#This Row],[AMZ ID]],[1]Roster_1787503287932!$D$2:$AU$1370,25,0)</f>
        <v>Not Present</v>
      </c>
      <c r="Y1222" s="135">
        <f>VLOOKUP(Table1[[#This Row],[AMZ ID]],[1]Roster_1787503287932!$D$2:$AM$1370,35,0)</f>
        <v>0</v>
      </c>
    </row>
    <row r="1223" spans="1:25" ht="13" customHeight="1">
      <c r="A1223" s="11">
        <v>1217</v>
      </c>
      <c r="B1223" s="47">
        <v>206368539</v>
      </c>
      <c r="C1223" s="89" t="s">
        <v>1672</v>
      </c>
      <c r="D1223" s="11" t="s">
        <v>1673</v>
      </c>
      <c r="E1223" s="48" t="s">
        <v>31</v>
      </c>
      <c r="F1223" s="48" t="s">
        <v>74</v>
      </c>
      <c r="G1223" s="11" t="s">
        <v>65</v>
      </c>
      <c r="H1223" s="11" t="s">
        <v>1332</v>
      </c>
      <c r="I1223" s="11">
        <v>1181</v>
      </c>
      <c r="J1223" s="49" t="s">
        <v>39</v>
      </c>
      <c r="K1223" s="49" t="s">
        <v>76</v>
      </c>
      <c r="L1223" s="49" t="s">
        <v>77</v>
      </c>
      <c r="M1223" s="49" t="s">
        <v>78</v>
      </c>
      <c r="N1223" s="48" t="s">
        <v>89</v>
      </c>
      <c r="O1223" s="49" t="s">
        <v>68</v>
      </c>
      <c r="P1223" s="11" t="s">
        <v>80</v>
      </c>
      <c r="Q1223" s="11" t="s">
        <v>96</v>
      </c>
      <c r="R1223" s="11" t="s">
        <v>2720</v>
      </c>
      <c r="S1223" s="11" t="s">
        <v>2721</v>
      </c>
      <c r="T1223" s="116" t="s">
        <v>10</v>
      </c>
      <c r="U1223" s="88"/>
      <c r="V1223" s="51">
        <v>45957</v>
      </c>
      <c r="W1223" s="97" t="s">
        <v>68</v>
      </c>
      <c r="X1223" s="135" t="str">
        <f>VLOOKUP(Table1[[#This Row],[AMZ ID]],[1]Roster_1787503287932!$D$2:$AU$1370,25,0)</f>
        <v>Not Present</v>
      </c>
      <c r="Y1223" s="135">
        <f>VLOOKUP(Table1[[#This Row],[AMZ ID]],[1]Roster_1787503287932!$D$2:$AM$1370,35,0)</f>
        <v>0</v>
      </c>
    </row>
    <row r="1224" spans="1:25" ht="13" customHeight="1">
      <c r="A1224" s="11">
        <v>1218</v>
      </c>
      <c r="B1224" s="47">
        <v>206129597</v>
      </c>
      <c r="C1224" s="89" t="s">
        <v>1177</v>
      </c>
      <c r="D1224" s="11" t="s">
        <v>1178</v>
      </c>
      <c r="E1224" s="48" t="s">
        <v>31</v>
      </c>
      <c r="F1224" s="48" t="s">
        <v>74</v>
      </c>
      <c r="G1224" s="11" t="s">
        <v>64</v>
      </c>
      <c r="H1224" s="11" t="s">
        <v>75</v>
      </c>
      <c r="I1224" s="11">
        <v>1299</v>
      </c>
      <c r="J1224" s="49" t="s">
        <v>32</v>
      </c>
      <c r="K1224" s="49" t="s">
        <v>76</v>
      </c>
      <c r="L1224" s="49" t="s">
        <v>84</v>
      </c>
      <c r="M1224" s="49" t="s">
        <v>85</v>
      </c>
      <c r="N1224" s="48" t="s">
        <v>79</v>
      </c>
      <c r="O1224" s="49" t="s">
        <v>37</v>
      </c>
      <c r="P1224" s="11" t="s">
        <v>80</v>
      </c>
      <c r="Q1224" s="11" t="s">
        <v>81</v>
      </c>
      <c r="R1224" s="11" t="s">
        <v>647</v>
      </c>
      <c r="S1224" s="11" t="s">
        <v>1798</v>
      </c>
      <c r="T1224" s="88" t="s">
        <v>1</v>
      </c>
      <c r="U1224" s="88"/>
      <c r="V1224" s="51">
        <v>45929</v>
      </c>
      <c r="W1224" s="97" t="s">
        <v>1577</v>
      </c>
      <c r="X1224" s="135" t="str">
        <f>VLOOKUP(Table1[[#This Row],[AMZ ID]],[1]Roster_1787503287932!$D$2:$AU$1370,25,0)</f>
        <v>Present</v>
      </c>
      <c r="Y1224" s="135">
        <f>VLOOKUP(Table1[[#This Row],[AMZ ID]],[1]Roster_1787503287932!$D$2:$AM$1370,35,0)</f>
        <v>0</v>
      </c>
    </row>
    <row r="1225" spans="1:25" ht="13" customHeight="1">
      <c r="A1225" s="11">
        <v>1219</v>
      </c>
      <c r="B1225" s="47">
        <v>108067922</v>
      </c>
      <c r="C1225" s="89" t="s">
        <v>1369</v>
      </c>
      <c r="D1225" s="11" t="s">
        <v>1370</v>
      </c>
      <c r="E1225" s="48" t="s">
        <v>34</v>
      </c>
      <c r="F1225" s="48" t="s">
        <v>74</v>
      </c>
      <c r="G1225" s="11" t="s">
        <v>65</v>
      </c>
      <c r="H1225" s="11" t="s">
        <v>1332</v>
      </c>
      <c r="I1225" s="11">
        <v>1182</v>
      </c>
      <c r="J1225" s="49" t="s">
        <v>39</v>
      </c>
      <c r="K1225" s="49" t="s">
        <v>76</v>
      </c>
      <c r="L1225" s="49" t="s">
        <v>77</v>
      </c>
      <c r="M1225" s="49" t="s">
        <v>78</v>
      </c>
      <c r="N1225" s="49" t="s">
        <v>97</v>
      </c>
      <c r="O1225" s="49" t="s">
        <v>68</v>
      </c>
      <c r="P1225" s="11" t="s">
        <v>80</v>
      </c>
      <c r="Q1225" s="11" t="s">
        <v>98</v>
      </c>
      <c r="R1225" s="11" t="s">
        <v>2720</v>
      </c>
      <c r="S1225" s="11" t="s">
        <v>2721</v>
      </c>
      <c r="T1225" s="116" t="s">
        <v>10</v>
      </c>
      <c r="U1225" s="88"/>
      <c r="V1225" s="51">
        <v>44728</v>
      </c>
      <c r="W1225" s="97" t="s">
        <v>68</v>
      </c>
      <c r="X1225" s="135" t="str">
        <f>VLOOKUP(Table1[[#This Row],[AMZ ID]],[1]Roster_1787503287932!$D$2:$AU$1370,25,0)</f>
        <v>Not Present</v>
      </c>
      <c r="Y1225" s="135">
        <f>VLOOKUP(Table1[[#This Row],[AMZ ID]],[1]Roster_1787503287932!$D$2:$AM$1370,35,0)</f>
        <v>0</v>
      </c>
    </row>
    <row r="1226" spans="1:25" ht="13" customHeight="1">
      <c r="A1226" s="11">
        <v>1220</v>
      </c>
      <c r="B1226" s="47">
        <v>203513497</v>
      </c>
      <c r="C1226" s="89" t="s">
        <v>1371</v>
      </c>
      <c r="D1226" s="11" t="s">
        <v>1372</v>
      </c>
      <c r="E1226" s="48" t="s">
        <v>31</v>
      </c>
      <c r="F1226" s="48" t="s">
        <v>74</v>
      </c>
      <c r="G1226" s="11" t="s">
        <v>65</v>
      </c>
      <c r="H1226" s="11" t="s">
        <v>1332</v>
      </c>
      <c r="I1226" s="11">
        <v>1181</v>
      </c>
      <c r="J1226" s="49" t="s">
        <v>39</v>
      </c>
      <c r="K1226" s="49" t="s">
        <v>76</v>
      </c>
      <c r="L1226" s="49" t="s">
        <v>78</v>
      </c>
      <c r="M1226" s="49" t="s">
        <v>92</v>
      </c>
      <c r="N1226" s="48" t="s">
        <v>79</v>
      </c>
      <c r="O1226" s="49" t="s">
        <v>68</v>
      </c>
      <c r="P1226" s="11" t="s">
        <v>80</v>
      </c>
      <c r="Q1226" s="11" t="s">
        <v>81</v>
      </c>
      <c r="R1226" s="11" t="s">
        <v>2720</v>
      </c>
      <c r="S1226" s="11" t="s">
        <v>2721</v>
      </c>
      <c r="T1226" s="116" t="s">
        <v>10</v>
      </c>
      <c r="U1226" s="88"/>
      <c r="V1226" s="51">
        <v>45463</v>
      </c>
      <c r="W1226" s="97" t="s">
        <v>68</v>
      </c>
      <c r="X1226" s="135" t="str">
        <f>VLOOKUP(Table1[[#This Row],[AMZ ID]],[1]Roster_1787503287932!$D$2:$AU$1370,25,0)</f>
        <v>Not Present</v>
      </c>
      <c r="Y1226" s="135">
        <f>VLOOKUP(Table1[[#This Row],[AMZ ID]],[1]Roster_1787503287932!$D$2:$AM$1370,35,0)</f>
        <v>0</v>
      </c>
    </row>
    <row r="1227" spans="1:25" ht="13" customHeight="1">
      <c r="A1227" s="11">
        <v>1221</v>
      </c>
      <c r="B1227" s="47">
        <v>203965408</v>
      </c>
      <c r="C1227" s="89" t="s">
        <v>1286</v>
      </c>
      <c r="D1227" s="11" t="s">
        <v>1287</v>
      </c>
      <c r="E1227" s="48" t="s">
        <v>31</v>
      </c>
      <c r="F1227" s="48" t="s">
        <v>74</v>
      </c>
      <c r="G1227" s="11" t="s">
        <v>64</v>
      </c>
      <c r="H1227" s="11" t="s">
        <v>75</v>
      </c>
      <c r="I1227" s="11">
        <v>1299</v>
      </c>
      <c r="J1227" s="49" t="s">
        <v>32</v>
      </c>
      <c r="K1227" s="49" t="s">
        <v>76</v>
      </c>
      <c r="L1227" s="49" t="s">
        <v>92</v>
      </c>
      <c r="M1227" s="49" t="s">
        <v>84</v>
      </c>
      <c r="N1227" s="49" t="s">
        <v>79</v>
      </c>
      <c r="O1227" s="49" t="s">
        <v>37</v>
      </c>
      <c r="P1227" s="49" t="s">
        <v>80</v>
      </c>
      <c r="Q1227" s="49" t="s">
        <v>81</v>
      </c>
      <c r="R1227" s="11" t="s">
        <v>639</v>
      </c>
      <c r="S1227" s="11" t="s">
        <v>2718</v>
      </c>
      <c r="T1227" s="116" t="s">
        <v>7</v>
      </c>
      <c r="U1227" s="88" t="s">
        <v>3015</v>
      </c>
      <c r="V1227" s="51">
        <v>45544</v>
      </c>
      <c r="W1227" s="97" t="s">
        <v>1577</v>
      </c>
      <c r="X1227" s="135" t="str">
        <f>VLOOKUP(Table1[[#This Row],[AMZ ID]],[1]Roster_1787503287932!$D$2:$AU$1370,25,0)</f>
        <v>Not Present</v>
      </c>
      <c r="Y1227" s="135" t="str">
        <f>VLOOKUP(Table1[[#This Row],[AMZ ID]],[1]Roster_1787503287932!$D$2:$AM$1370,35,0)</f>
        <v>Annual Leave</v>
      </c>
    </row>
    <row r="1228" spans="1:25" ht="13" customHeight="1">
      <c r="A1228" s="11">
        <v>1222</v>
      </c>
      <c r="B1228" s="47">
        <v>206239215</v>
      </c>
      <c r="C1228" s="89" t="s">
        <v>1655</v>
      </c>
      <c r="D1228" s="11" t="s">
        <v>1623</v>
      </c>
      <c r="E1228" s="48" t="s">
        <v>31</v>
      </c>
      <c r="F1228" s="48" t="s">
        <v>74</v>
      </c>
      <c r="G1228" s="11" t="s">
        <v>64</v>
      </c>
      <c r="H1228" s="11" t="s">
        <v>75</v>
      </c>
      <c r="I1228" s="11">
        <v>1299</v>
      </c>
      <c r="J1228" s="49" t="s">
        <v>32</v>
      </c>
      <c r="K1228" s="49" t="s">
        <v>76</v>
      </c>
      <c r="L1228" s="49" t="s">
        <v>84</v>
      </c>
      <c r="M1228" s="49" t="s">
        <v>85</v>
      </c>
      <c r="N1228" s="49" t="s">
        <v>79</v>
      </c>
      <c r="O1228" s="49" t="s">
        <v>37</v>
      </c>
      <c r="P1228" s="11" t="s">
        <v>80</v>
      </c>
      <c r="Q1228" s="11" t="s">
        <v>81</v>
      </c>
      <c r="R1228" s="11" t="s">
        <v>1066</v>
      </c>
      <c r="S1228" s="11" t="s">
        <v>2717</v>
      </c>
      <c r="T1228" s="116" t="s">
        <v>7</v>
      </c>
      <c r="U1228" s="88" t="s">
        <v>3020</v>
      </c>
      <c r="V1228" s="51">
        <v>45943</v>
      </c>
      <c r="W1228" s="97" t="s">
        <v>1577</v>
      </c>
      <c r="X1228" s="135" t="str">
        <f>VLOOKUP(Table1[[#This Row],[AMZ ID]],[1]Roster_1787503287932!$D$2:$AU$1370,25,0)</f>
        <v>Not Present</v>
      </c>
      <c r="Y1228" s="135" t="str">
        <f>VLOOKUP(Table1[[#This Row],[AMZ ID]],[1]Roster_1787503287932!$D$2:$AM$1370,35,0)</f>
        <v>Maternity Leave</v>
      </c>
    </row>
    <row r="1229" spans="1:25" ht="13" customHeight="1">
      <c r="A1229" s="11">
        <v>1223</v>
      </c>
      <c r="B1229" s="47">
        <v>206191961</v>
      </c>
      <c r="C1229" s="89" t="s">
        <v>1600</v>
      </c>
      <c r="D1229" s="11" t="s">
        <v>1921</v>
      </c>
      <c r="E1229" s="48" t="s">
        <v>31</v>
      </c>
      <c r="F1229" s="48" t="s">
        <v>74</v>
      </c>
      <c r="G1229" s="11" t="s">
        <v>65</v>
      </c>
      <c r="H1229" s="11" t="s">
        <v>1332</v>
      </c>
      <c r="I1229" s="11">
        <v>1299</v>
      </c>
      <c r="J1229" s="49" t="s">
        <v>32</v>
      </c>
      <c r="K1229" s="49" t="s">
        <v>76</v>
      </c>
      <c r="L1229" s="49" t="s">
        <v>78</v>
      </c>
      <c r="M1229" s="49" t="s">
        <v>92</v>
      </c>
      <c r="N1229" s="48" t="s">
        <v>89</v>
      </c>
      <c r="O1229" s="49" t="s">
        <v>68</v>
      </c>
      <c r="P1229" s="11" t="s">
        <v>80</v>
      </c>
      <c r="Q1229" s="11" t="s">
        <v>96</v>
      </c>
      <c r="R1229" s="11" t="s">
        <v>1336</v>
      </c>
      <c r="S1229" s="11" t="s">
        <v>1337</v>
      </c>
      <c r="T1229" s="116" t="s">
        <v>10</v>
      </c>
      <c r="U1229" s="88"/>
      <c r="V1229" s="51">
        <v>45936</v>
      </c>
      <c r="W1229" s="97" t="s">
        <v>68</v>
      </c>
      <c r="X1229" s="135" t="str">
        <f>VLOOKUP(Table1[[#This Row],[AMZ ID]],[1]Roster_1787503287932!$D$2:$AU$1370,25,0)</f>
        <v>Not Present</v>
      </c>
      <c r="Y1229" s="135">
        <f>VLOOKUP(Table1[[#This Row],[AMZ ID]],[1]Roster_1787503287932!$D$2:$AM$1370,35,0)</f>
        <v>0</v>
      </c>
    </row>
    <row r="1230" spans="1:25" ht="13" customHeight="1">
      <c r="A1230" s="11">
        <v>1224</v>
      </c>
      <c r="B1230" s="47">
        <v>206348024</v>
      </c>
      <c r="C1230" s="89" t="s">
        <v>1674</v>
      </c>
      <c r="D1230" s="11" t="s">
        <v>1675</v>
      </c>
      <c r="E1230" s="103" t="s">
        <v>31</v>
      </c>
      <c r="F1230" s="48" t="s">
        <v>74</v>
      </c>
      <c r="G1230" s="11" t="s">
        <v>65</v>
      </c>
      <c r="H1230" s="11" t="s">
        <v>1332</v>
      </c>
      <c r="I1230" s="11">
        <v>1181</v>
      </c>
      <c r="J1230" s="49" t="s">
        <v>39</v>
      </c>
      <c r="K1230" s="49" t="s">
        <v>76</v>
      </c>
      <c r="L1230" s="49" t="s">
        <v>88</v>
      </c>
      <c r="M1230" s="49" t="s">
        <v>95</v>
      </c>
      <c r="N1230" s="49" t="s">
        <v>89</v>
      </c>
      <c r="O1230" s="49" t="s">
        <v>68</v>
      </c>
      <c r="P1230" s="49" t="s">
        <v>80</v>
      </c>
      <c r="Q1230" s="49" t="s">
        <v>81</v>
      </c>
      <c r="R1230" s="49" t="s">
        <v>2720</v>
      </c>
      <c r="S1230" s="49" t="s">
        <v>2721</v>
      </c>
      <c r="T1230" s="116" t="s">
        <v>1</v>
      </c>
      <c r="U1230" s="88"/>
      <c r="V1230" s="51">
        <v>45957</v>
      </c>
      <c r="W1230" s="97" t="s">
        <v>68</v>
      </c>
      <c r="X1230" s="135" t="str">
        <f>VLOOKUP(Table1[[#This Row],[AMZ ID]],[1]Roster_1787503287932!$D$2:$AU$1370,25,0)</f>
        <v>Present</v>
      </c>
      <c r="Y1230" s="135">
        <f>VLOOKUP(Table1[[#This Row],[AMZ ID]],[1]Roster_1787503287932!$D$2:$AM$1370,35,0)</f>
        <v>0</v>
      </c>
    </row>
    <row r="1231" spans="1:25" ht="13" customHeight="1">
      <c r="A1231" s="11">
        <v>1225</v>
      </c>
      <c r="B1231" s="47">
        <v>203635598</v>
      </c>
      <c r="C1231" s="89" t="s">
        <v>1340</v>
      </c>
      <c r="D1231" s="11" t="s">
        <v>1341</v>
      </c>
      <c r="E1231" s="48" t="s">
        <v>31</v>
      </c>
      <c r="F1231" s="48" t="s">
        <v>74</v>
      </c>
      <c r="G1231" s="11" t="s">
        <v>65</v>
      </c>
      <c r="H1231" s="11" t="s">
        <v>1332</v>
      </c>
      <c r="I1231" s="11">
        <v>1181</v>
      </c>
      <c r="J1231" s="49" t="s">
        <v>32</v>
      </c>
      <c r="K1231" s="49" t="s">
        <v>76</v>
      </c>
      <c r="L1231" s="49" t="s">
        <v>88</v>
      </c>
      <c r="M1231" s="49" t="s">
        <v>95</v>
      </c>
      <c r="N1231" s="48" t="s">
        <v>79</v>
      </c>
      <c r="O1231" s="49" t="s">
        <v>68</v>
      </c>
      <c r="P1231" s="11" t="s">
        <v>80</v>
      </c>
      <c r="Q1231" s="11" t="s">
        <v>81</v>
      </c>
      <c r="R1231" s="11" t="s">
        <v>1336</v>
      </c>
      <c r="S1231" s="11" t="s">
        <v>1337</v>
      </c>
      <c r="T1231" s="116" t="s">
        <v>1</v>
      </c>
      <c r="U1231" s="88"/>
      <c r="V1231" s="51">
        <v>45481</v>
      </c>
      <c r="W1231" s="97" t="s">
        <v>68</v>
      </c>
      <c r="X1231" s="135" t="str">
        <f>VLOOKUP(Table1[[#This Row],[AMZ ID]],[1]Roster_1787503287932!$D$2:$AU$1370,25,0)</f>
        <v>Present</v>
      </c>
      <c r="Y1231" s="135">
        <f>VLOOKUP(Table1[[#This Row],[AMZ ID]],[1]Roster_1787503287932!$D$2:$AM$1370,35,0)</f>
        <v>0</v>
      </c>
    </row>
    <row r="1232" spans="1:25" ht="13" customHeight="1">
      <c r="A1232" s="11">
        <v>1226</v>
      </c>
      <c r="B1232" s="47">
        <v>206368537</v>
      </c>
      <c r="C1232" s="89" t="s">
        <v>1676</v>
      </c>
      <c r="D1232" s="11" t="s">
        <v>1677</v>
      </c>
      <c r="E1232" s="48" t="s">
        <v>31</v>
      </c>
      <c r="F1232" s="48" t="s">
        <v>74</v>
      </c>
      <c r="G1232" s="11" t="s">
        <v>65</v>
      </c>
      <c r="H1232" s="11" t="s">
        <v>1332</v>
      </c>
      <c r="I1232" s="11">
        <v>1181</v>
      </c>
      <c r="J1232" s="49" t="s">
        <v>39</v>
      </c>
      <c r="K1232" s="49" t="s">
        <v>76</v>
      </c>
      <c r="L1232" s="49" t="s">
        <v>78</v>
      </c>
      <c r="M1232" s="49" t="s">
        <v>92</v>
      </c>
      <c r="N1232" s="49" t="s">
        <v>89</v>
      </c>
      <c r="O1232" s="49" t="s">
        <v>68</v>
      </c>
      <c r="P1232" s="11" t="s">
        <v>80</v>
      </c>
      <c r="Q1232" s="11" t="s">
        <v>96</v>
      </c>
      <c r="R1232" s="11" t="s">
        <v>2720</v>
      </c>
      <c r="S1232" s="11" t="s">
        <v>2721</v>
      </c>
      <c r="T1232" s="116" t="s">
        <v>10</v>
      </c>
      <c r="U1232" s="88"/>
      <c r="V1232" s="51">
        <v>45957</v>
      </c>
      <c r="W1232" s="97" t="s">
        <v>68</v>
      </c>
      <c r="X1232" s="135" t="str">
        <f>VLOOKUP(Table1[[#This Row],[AMZ ID]],[1]Roster_1787503287932!$D$2:$AU$1370,25,0)</f>
        <v>Not Present</v>
      </c>
      <c r="Y1232" s="135">
        <f>VLOOKUP(Table1[[#This Row],[AMZ ID]],[1]Roster_1787503287932!$D$2:$AM$1370,35,0)</f>
        <v>0</v>
      </c>
    </row>
    <row r="1233" spans="1:25" ht="13" customHeight="1">
      <c r="A1233" s="11">
        <v>1227</v>
      </c>
      <c r="B1233" s="47">
        <v>105545779</v>
      </c>
      <c r="C1233" s="89" t="s">
        <v>1382</v>
      </c>
      <c r="D1233" s="11" t="s">
        <v>1383</v>
      </c>
      <c r="E1233" s="48" t="s">
        <v>34</v>
      </c>
      <c r="F1233" s="48" t="s">
        <v>74</v>
      </c>
      <c r="G1233" s="11" t="s">
        <v>65</v>
      </c>
      <c r="H1233" s="11" t="s">
        <v>1332</v>
      </c>
      <c r="I1233" s="11">
        <v>1182</v>
      </c>
      <c r="J1233" s="49" t="s">
        <v>32</v>
      </c>
      <c r="K1233" s="49" t="s">
        <v>76</v>
      </c>
      <c r="L1233" s="49" t="s">
        <v>95</v>
      </c>
      <c r="M1233" s="49" t="s">
        <v>77</v>
      </c>
      <c r="N1233" s="49" t="s">
        <v>108</v>
      </c>
      <c r="O1233" s="49" t="s">
        <v>68</v>
      </c>
      <c r="P1233" s="11" t="s">
        <v>80</v>
      </c>
      <c r="Q1233" s="11" t="s">
        <v>98</v>
      </c>
      <c r="R1233" s="11" t="s">
        <v>1336</v>
      </c>
      <c r="S1233" s="11" t="s">
        <v>1337</v>
      </c>
      <c r="T1233" s="116" t="s">
        <v>1</v>
      </c>
      <c r="U1233" s="88"/>
      <c r="V1233" s="51">
        <v>44724</v>
      </c>
      <c r="W1233" s="97" t="s">
        <v>68</v>
      </c>
      <c r="X1233" s="135" t="str">
        <f>VLOOKUP(Table1[[#This Row],[AMZ ID]],[1]Roster_1787503287932!$D$2:$AU$1370,25,0)</f>
        <v>Present</v>
      </c>
      <c r="Y1233" s="135">
        <f>VLOOKUP(Table1[[#This Row],[AMZ ID]],[1]Roster_1787503287932!$D$2:$AM$1370,35,0)</f>
        <v>0</v>
      </c>
    </row>
    <row r="1234" spans="1:25" ht="13" customHeight="1">
      <c r="A1234" s="11">
        <v>1228</v>
      </c>
      <c r="B1234" s="47">
        <v>206361785</v>
      </c>
      <c r="C1234" s="89" t="s">
        <v>1678</v>
      </c>
      <c r="D1234" s="11" t="s">
        <v>1679</v>
      </c>
      <c r="E1234" s="103" t="s">
        <v>31</v>
      </c>
      <c r="F1234" s="48" t="s">
        <v>74</v>
      </c>
      <c r="G1234" s="11" t="s">
        <v>65</v>
      </c>
      <c r="H1234" s="11" t="s">
        <v>1332</v>
      </c>
      <c r="I1234" s="11">
        <v>1181</v>
      </c>
      <c r="J1234" s="49" t="s">
        <v>39</v>
      </c>
      <c r="K1234" s="49" t="s">
        <v>76</v>
      </c>
      <c r="L1234" s="49" t="s">
        <v>88</v>
      </c>
      <c r="M1234" s="49" t="s">
        <v>95</v>
      </c>
      <c r="N1234" s="49" t="s">
        <v>89</v>
      </c>
      <c r="O1234" s="49" t="s">
        <v>68</v>
      </c>
      <c r="P1234" s="49" t="s">
        <v>80</v>
      </c>
      <c r="Q1234" s="49" t="s">
        <v>96</v>
      </c>
      <c r="R1234" s="49" t="s">
        <v>2720</v>
      </c>
      <c r="S1234" s="49" t="s">
        <v>2721</v>
      </c>
      <c r="T1234" s="116" t="s">
        <v>1</v>
      </c>
      <c r="U1234" s="88"/>
      <c r="V1234" s="51">
        <v>45957</v>
      </c>
      <c r="W1234" s="97" t="s">
        <v>68</v>
      </c>
      <c r="X1234" s="135" t="str">
        <f>VLOOKUP(Table1[[#This Row],[AMZ ID]],[1]Roster_1787503287932!$D$2:$AU$1370,25,0)</f>
        <v>Present</v>
      </c>
      <c r="Y1234" s="135">
        <f>VLOOKUP(Table1[[#This Row],[AMZ ID]],[1]Roster_1787503287932!$D$2:$AM$1370,35,0)</f>
        <v>0</v>
      </c>
    </row>
    <row r="1235" spans="1:25" ht="13" customHeight="1">
      <c r="A1235" s="11">
        <v>1229</v>
      </c>
      <c r="B1235" s="47">
        <v>204868861</v>
      </c>
      <c r="C1235" s="89" t="s">
        <v>264</v>
      </c>
      <c r="D1235" s="11" t="s">
        <v>265</v>
      </c>
      <c r="E1235" s="48" t="s">
        <v>31</v>
      </c>
      <c r="F1235" s="48" t="s">
        <v>74</v>
      </c>
      <c r="G1235" s="11" t="s">
        <v>64</v>
      </c>
      <c r="H1235" s="11" t="s">
        <v>75</v>
      </c>
      <c r="I1235" s="11">
        <v>1299</v>
      </c>
      <c r="J1235" s="49" t="s">
        <v>32</v>
      </c>
      <c r="K1235" s="49" t="s">
        <v>76</v>
      </c>
      <c r="L1235" s="49" t="s">
        <v>77</v>
      </c>
      <c r="M1235" s="49" t="s">
        <v>78</v>
      </c>
      <c r="N1235" s="49" t="s">
        <v>86</v>
      </c>
      <c r="O1235" s="49" t="s">
        <v>35</v>
      </c>
      <c r="P1235" s="11" t="s">
        <v>80</v>
      </c>
      <c r="Q1235" s="11" t="s">
        <v>87</v>
      </c>
      <c r="R1235" s="11" t="s">
        <v>224</v>
      </c>
      <c r="S1235" s="11" t="s">
        <v>2715</v>
      </c>
      <c r="T1235" s="116" t="s">
        <v>10</v>
      </c>
      <c r="U1235" s="88"/>
      <c r="V1235" s="51">
        <v>45691</v>
      </c>
      <c r="W1235" s="97" t="s">
        <v>1573</v>
      </c>
      <c r="X1235" s="135" t="str">
        <f>VLOOKUP(Table1[[#This Row],[AMZ ID]],[1]Roster_1787503287932!$D$2:$AU$1370,25,0)</f>
        <v>Not Present</v>
      </c>
      <c r="Y1235" s="135">
        <f>VLOOKUP(Table1[[#This Row],[AMZ ID]],[1]Roster_1787503287932!$D$2:$AM$1370,35,0)</f>
        <v>0</v>
      </c>
    </row>
    <row r="1236" spans="1:25" ht="13" customHeight="1">
      <c r="A1236" s="11">
        <v>1230</v>
      </c>
      <c r="B1236" s="47">
        <v>203635486</v>
      </c>
      <c r="C1236" s="89" t="s">
        <v>1376</v>
      </c>
      <c r="D1236" s="11" t="s">
        <v>1377</v>
      </c>
      <c r="E1236" s="48" t="s">
        <v>31</v>
      </c>
      <c r="F1236" s="48" t="s">
        <v>74</v>
      </c>
      <c r="G1236" s="11" t="s">
        <v>65</v>
      </c>
      <c r="H1236" s="11" t="s">
        <v>1332</v>
      </c>
      <c r="I1236" s="11">
        <v>1181</v>
      </c>
      <c r="J1236" s="49" t="s">
        <v>32</v>
      </c>
      <c r="K1236" s="49" t="s">
        <v>76</v>
      </c>
      <c r="L1236" s="49" t="s">
        <v>92</v>
      </c>
      <c r="M1236" s="49" t="s">
        <v>84</v>
      </c>
      <c r="N1236" s="49" t="s">
        <v>79</v>
      </c>
      <c r="O1236" s="49" t="s">
        <v>68</v>
      </c>
      <c r="P1236" s="11" t="s">
        <v>80</v>
      </c>
      <c r="Q1236" s="11" t="s">
        <v>81</v>
      </c>
      <c r="R1236" s="11" t="s">
        <v>1336</v>
      </c>
      <c r="S1236" s="11" t="s">
        <v>1337</v>
      </c>
      <c r="T1236" s="116" t="s">
        <v>1</v>
      </c>
      <c r="U1236" s="88"/>
      <c r="V1236" s="51">
        <v>45481</v>
      </c>
      <c r="W1236" s="97" t="s">
        <v>68</v>
      </c>
      <c r="X1236" s="135" t="str">
        <f>VLOOKUP(Table1[[#This Row],[AMZ ID]],[1]Roster_1787503287932!$D$2:$AU$1370,25,0)</f>
        <v>Present</v>
      </c>
      <c r="Y1236" s="135">
        <f>VLOOKUP(Table1[[#This Row],[AMZ ID]],[1]Roster_1787503287932!$D$2:$AM$1370,35,0)</f>
        <v>0</v>
      </c>
    </row>
    <row r="1237" spans="1:25" ht="13" customHeight="1">
      <c r="A1237" s="11">
        <v>1231</v>
      </c>
      <c r="B1237" s="47">
        <v>203555155</v>
      </c>
      <c r="C1237" s="89" t="s">
        <v>1384</v>
      </c>
      <c r="D1237" s="11" t="s">
        <v>1385</v>
      </c>
      <c r="E1237" s="48" t="s">
        <v>31</v>
      </c>
      <c r="F1237" s="48" t="s">
        <v>74</v>
      </c>
      <c r="G1237" s="11" t="s">
        <v>65</v>
      </c>
      <c r="H1237" s="11" t="s">
        <v>1332</v>
      </c>
      <c r="I1237" s="11">
        <v>1181</v>
      </c>
      <c r="J1237" s="49" t="s">
        <v>32</v>
      </c>
      <c r="K1237" s="49" t="s">
        <v>76</v>
      </c>
      <c r="L1237" s="49" t="s">
        <v>78</v>
      </c>
      <c r="M1237" s="49" t="s">
        <v>92</v>
      </c>
      <c r="N1237" s="49" t="s">
        <v>79</v>
      </c>
      <c r="O1237" s="49" t="s">
        <v>68</v>
      </c>
      <c r="P1237" s="11" t="s">
        <v>80</v>
      </c>
      <c r="Q1237" s="11" t="s">
        <v>81</v>
      </c>
      <c r="R1237" s="11" t="s">
        <v>1336</v>
      </c>
      <c r="S1237" s="11" t="s">
        <v>1337</v>
      </c>
      <c r="T1237" s="116" t="s">
        <v>10</v>
      </c>
      <c r="U1237" s="88"/>
      <c r="V1237" s="51">
        <v>45470</v>
      </c>
      <c r="W1237" s="97" t="s">
        <v>68</v>
      </c>
      <c r="X1237" s="135" t="str">
        <f>VLOOKUP(Table1[[#This Row],[AMZ ID]],[1]Roster_1787503287932!$D$2:$AU$1370,25,0)</f>
        <v>Not Present</v>
      </c>
      <c r="Y1237" s="135">
        <f>VLOOKUP(Table1[[#This Row],[AMZ ID]],[1]Roster_1787503287932!$D$2:$AM$1370,35,0)</f>
        <v>0</v>
      </c>
    </row>
    <row r="1238" spans="1:25" ht="13" customHeight="1">
      <c r="A1238" s="11">
        <v>1232</v>
      </c>
      <c r="B1238" s="47">
        <v>203635597</v>
      </c>
      <c r="C1238" s="89" t="s">
        <v>1390</v>
      </c>
      <c r="D1238" s="11" t="s">
        <v>1391</v>
      </c>
      <c r="E1238" s="48" t="s">
        <v>31</v>
      </c>
      <c r="F1238" s="48" t="s">
        <v>74</v>
      </c>
      <c r="G1238" s="11" t="s">
        <v>65</v>
      </c>
      <c r="H1238" s="11" t="s">
        <v>1332</v>
      </c>
      <c r="I1238" s="11">
        <v>1181</v>
      </c>
      <c r="J1238" s="49" t="s">
        <v>32</v>
      </c>
      <c r="K1238" s="49" t="s">
        <v>76</v>
      </c>
      <c r="L1238" s="49" t="s">
        <v>85</v>
      </c>
      <c r="M1238" s="49" t="s">
        <v>88</v>
      </c>
      <c r="N1238" s="48" t="s">
        <v>79</v>
      </c>
      <c r="O1238" s="49" t="s">
        <v>68</v>
      </c>
      <c r="P1238" s="11" t="s">
        <v>80</v>
      </c>
      <c r="Q1238" s="11" t="s">
        <v>81</v>
      </c>
      <c r="R1238" s="11" t="s">
        <v>1336</v>
      </c>
      <c r="S1238" s="11" t="s">
        <v>1337</v>
      </c>
      <c r="T1238" s="116" t="s">
        <v>1</v>
      </c>
      <c r="U1238" s="88"/>
      <c r="V1238" s="51">
        <v>45481</v>
      </c>
      <c r="W1238" s="97" t="s">
        <v>68</v>
      </c>
      <c r="X1238" s="135" t="str">
        <f>VLOOKUP(Table1[[#This Row],[AMZ ID]],[1]Roster_1787503287932!$D$2:$AU$1370,25,0)</f>
        <v>Present</v>
      </c>
      <c r="Y1238" s="135">
        <f>VLOOKUP(Table1[[#This Row],[AMZ ID]],[1]Roster_1787503287932!$D$2:$AM$1370,35,0)</f>
        <v>0</v>
      </c>
    </row>
    <row r="1239" spans="1:25" ht="13" customHeight="1">
      <c r="A1239" s="11">
        <v>1233</v>
      </c>
      <c r="B1239" s="47">
        <v>102582351</v>
      </c>
      <c r="C1239" s="89" t="s">
        <v>1388</v>
      </c>
      <c r="D1239" s="11" t="s">
        <v>1389</v>
      </c>
      <c r="E1239" s="48" t="s">
        <v>34</v>
      </c>
      <c r="F1239" s="48" t="s">
        <v>74</v>
      </c>
      <c r="G1239" s="11" t="s">
        <v>65</v>
      </c>
      <c r="H1239" s="11" t="s">
        <v>1332</v>
      </c>
      <c r="I1239" s="11">
        <v>1182</v>
      </c>
      <c r="J1239" s="49" t="s">
        <v>32</v>
      </c>
      <c r="K1239" s="49" t="s">
        <v>76</v>
      </c>
      <c r="L1239" s="49" t="s">
        <v>95</v>
      </c>
      <c r="M1239" s="49" t="s">
        <v>77</v>
      </c>
      <c r="N1239" s="48" t="s">
        <v>108</v>
      </c>
      <c r="O1239" s="49" t="s">
        <v>68</v>
      </c>
      <c r="P1239" s="11" t="s">
        <v>80</v>
      </c>
      <c r="Q1239" s="11" t="s">
        <v>98</v>
      </c>
      <c r="R1239" s="11" t="s">
        <v>1336</v>
      </c>
      <c r="S1239" s="11" t="s">
        <v>1337</v>
      </c>
      <c r="T1239" s="116" t="s">
        <v>1</v>
      </c>
      <c r="U1239" s="88"/>
      <c r="V1239" s="51">
        <v>42962</v>
      </c>
      <c r="W1239" s="97" t="s">
        <v>68</v>
      </c>
      <c r="X1239" s="135" t="str">
        <f>VLOOKUP(Table1[[#This Row],[AMZ ID]],[1]Roster_1787503287932!$D$2:$AU$1370,25,0)</f>
        <v>Present</v>
      </c>
      <c r="Y1239" s="135">
        <f>VLOOKUP(Table1[[#This Row],[AMZ ID]],[1]Roster_1787503287932!$D$2:$AM$1370,35,0)</f>
        <v>0</v>
      </c>
    </row>
    <row r="1240" spans="1:25" ht="13" customHeight="1">
      <c r="A1240" s="11">
        <v>1234</v>
      </c>
      <c r="B1240" s="47">
        <v>204013731</v>
      </c>
      <c r="C1240" s="89" t="s">
        <v>1416</v>
      </c>
      <c r="D1240" s="11" t="s">
        <v>1417</v>
      </c>
      <c r="E1240" s="48" t="s">
        <v>31</v>
      </c>
      <c r="F1240" s="48" t="s">
        <v>74</v>
      </c>
      <c r="G1240" s="11" t="s">
        <v>65</v>
      </c>
      <c r="H1240" s="11" t="s">
        <v>1332</v>
      </c>
      <c r="I1240" s="11">
        <v>1181</v>
      </c>
      <c r="J1240" s="49" t="s">
        <v>32</v>
      </c>
      <c r="K1240" s="49" t="s">
        <v>76</v>
      </c>
      <c r="L1240" s="49" t="s">
        <v>92</v>
      </c>
      <c r="M1240" s="49" t="s">
        <v>84</v>
      </c>
      <c r="N1240" s="48" t="s">
        <v>79</v>
      </c>
      <c r="O1240" s="49" t="s">
        <v>68</v>
      </c>
      <c r="P1240" s="11" t="s">
        <v>80</v>
      </c>
      <c r="Q1240" s="11" t="s">
        <v>81</v>
      </c>
      <c r="R1240" s="49" t="s">
        <v>1336</v>
      </c>
      <c r="S1240" s="11" t="s">
        <v>1337</v>
      </c>
      <c r="T1240" s="116" t="s">
        <v>7</v>
      </c>
      <c r="U1240" s="88" t="s">
        <v>3015</v>
      </c>
      <c r="V1240" s="51">
        <v>45551</v>
      </c>
      <c r="W1240" s="97" t="s">
        <v>68</v>
      </c>
      <c r="X1240" s="135" t="str">
        <f>VLOOKUP(Table1[[#This Row],[AMZ ID]],[1]Roster_1787503287932!$D$2:$AU$1370,25,0)</f>
        <v>Not Present</v>
      </c>
      <c r="Y1240" s="135" t="str">
        <f>VLOOKUP(Table1[[#This Row],[AMZ ID]],[1]Roster_1787503287932!$D$2:$AM$1370,35,0)</f>
        <v>Annual Leave</v>
      </c>
    </row>
    <row r="1241" spans="1:25" ht="13" customHeight="1">
      <c r="A1241" s="11">
        <v>1235</v>
      </c>
      <c r="B1241" s="47">
        <v>206348049</v>
      </c>
      <c r="C1241" s="89" t="s">
        <v>2442</v>
      </c>
      <c r="D1241" s="11" t="s">
        <v>2443</v>
      </c>
      <c r="E1241" s="48" t="s">
        <v>31</v>
      </c>
      <c r="F1241" s="48" t="s">
        <v>74</v>
      </c>
      <c r="G1241" s="11" t="s">
        <v>65</v>
      </c>
      <c r="H1241" s="11" t="s">
        <v>1332</v>
      </c>
      <c r="I1241" s="11">
        <v>1181</v>
      </c>
      <c r="J1241" s="49" t="s">
        <v>32</v>
      </c>
      <c r="K1241" s="49" t="s">
        <v>76</v>
      </c>
      <c r="L1241" s="49" t="s">
        <v>95</v>
      </c>
      <c r="M1241" s="49" t="s">
        <v>77</v>
      </c>
      <c r="N1241" s="48" t="s">
        <v>89</v>
      </c>
      <c r="O1241" s="49" t="s">
        <v>68</v>
      </c>
      <c r="P1241" s="11" t="s">
        <v>80</v>
      </c>
      <c r="Q1241" s="11" t="s">
        <v>90</v>
      </c>
      <c r="R1241" s="11" t="s">
        <v>1336</v>
      </c>
      <c r="S1241" s="11" t="s">
        <v>1337</v>
      </c>
      <c r="T1241" s="116" t="s">
        <v>1</v>
      </c>
      <c r="U1241" s="88"/>
      <c r="V1241" s="51">
        <v>45957</v>
      </c>
      <c r="W1241" s="97" t="s">
        <v>68</v>
      </c>
      <c r="X1241" s="135" t="str">
        <f>VLOOKUP(Table1[[#This Row],[AMZ ID]],[1]Roster_1787503287932!$D$2:$AU$1370,25,0)</f>
        <v>Present</v>
      </c>
      <c r="Y1241" s="135">
        <f>VLOOKUP(Table1[[#This Row],[AMZ ID]],[1]Roster_1787503287932!$D$2:$AM$1370,35,0)</f>
        <v>0</v>
      </c>
    </row>
    <row r="1242" spans="1:25" ht="13" customHeight="1">
      <c r="A1242" s="11">
        <v>1236</v>
      </c>
      <c r="B1242" s="47">
        <v>206348041</v>
      </c>
      <c r="C1242" s="89" t="s">
        <v>1688</v>
      </c>
      <c r="D1242" s="11" t="s">
        <v>1689</v>
      </c>
      <c r="E1242" s="48" t="s">
        <v>31</v>
      </c>
      <c r="F1242" s="48" t="s">
        <v>74</v>
      </c>
      <c r="G1242" s="11" t="s">
        <v>65</v>
      </c>
      <c r="H1242" s="11" t="s">
        <v>1332</v>
      </c>
      <c r="I1242" s="11">
        <v>1181</v>
      </c>
      <c r="J1242" s="49" t="s">
        <v>39</v>
      </c>
      <c r="K1242" s="49" t="s">
        <v>76</v>
      </c>
      <c r="L1242" s="49" t="s">
        <v>92</v>
      </c>
      <c r="M1242" s="49" t="s">
        <v>84</v>
      </c>
      <c r="N1242" s="48" t="s">
        <v>89</v>
      </c>
      <c r="O1242" s="49" t="s">
        <v>68</v>
      </c>
      <c r="P1242" s="11" t="s">
        <v>80</v>
      </c>
      <c r="Q1242" s="11" t="s">
        <v>90</v>
      </c>
      <c r="R1242" s="11" t="s">
        <v>2720</v>
      </c>
      <c r="S1242" s="11" t="s">
        <v>2721</v>
      </c>
      <c r="T1242" s="116" t="s">
        <v>1</v>
      </c>
      <c r="U1242" s="88"/>
      <c r="V1242" s="51">
        <v>45957</v>
      </c>
      <c r="W1242" s="97" t="s">
        <v>68</v>
      </c>
      <c r="X1242" s="135" t="str">
        <f>VLOOKUP(Table1[[#This Row],[AMZ ID]],[1]Roster_1787503287932!$D$2:$AU$1370,25,0)</f>
        <v>Present</v>
      </c>
      <c r="Y1242" s="135">
        <f>VLOOKUP(Table1[[#This Row],[AMZ ID]],[1]Roster_1787503287932!$D$2:$AM$1370,35,0)</f>
        <v>0</v>
      </c>
    </row>
    <row r="1243" spans="1:25" ht="13" customHeight="1">
      <c r="A1243" s="11">
        <v>1237</v>
      </c>
      <c r="B1243" s="47">
        <v>201635982</v>
      </c>
      <c r="C1243" s="89" t="s">
        <v>1396</v>
      </c>
      <c r="D1243" s="11" t="s">
        <v>1397</v>
      </c>
      <c r="E1243" s="103" t="s">
        <v>31</v>
      </c>
      <c r="F1243" s="48" t="s">
        <v>74</v>
      </c>
      <c r="G1243" s="11" t="s">
        <v>65</v>
      </c>
      <c r="H1243" s="11" t="s">
        <v>1332</v>
      </c>
      <c r="I1243" s="11">
        <v>1181</v>
      </c>
      <c r="J1243" s="49" t="s">
        <v>32</v>
      </c>
      <c r="K1243" s="49" t="s">
        <v>76</v>
      </c>
      <c r="L1243" s="49" t="s">
        <v>84</v>
      </c>
      <c r="M1243" s="49" t="s">
        <v>85</v>
      </c>
      <c r="N1243" s="49" t="s">
        <v>79</v>
      </c>
      <c r="O1243" s="49" t="s">
        <v>68</v>
      </c>
      <c r="P1243" s="49" t="s">
        <v>80</v>
      </c>
      <c r="Q1243" s="49" t="s">
        <v>81</v>
      </c>
      <c r="R1243" s="49" t="s">
        <v>1336</v>
      </c>
      <c r="S1243" s="49" t="s">
        <v>1337</v>
      </c>
      <c r="T1243" s="116" t="s">
        <v>1</v>
      </c>
      <c r="U1243" s="88"/>
      <c r="V1243" s="51">
        <v>45530</v>
      </c>
      <c r="W1243" s="97" t="s">
        <v>68</v>
      </c>
      <c r="X1243" s="135" t="str">
        <f>VLOOKUP(Table1[[#This Row],[AMZ ID]],[1]Roster_1787503287932!$D$2:$AU$1370,25,0)</f>
        <v>Present</v>
      </c>
      <c r="Y1243" s="135">
        <f>VLOOKUP(Table1[[#This Row],[AMZ ID]],[1]Roster_1787503287932!$D$2:$AM$1370,35,0)</f>
        <v>0</v>
      </c>
    </row>
    <row r="1244" spans="1:25" ht="13" customHeight="1">
      <c r="A1244" s="11">
        <v>1238</v>
      </c>
      <c r="B1244" s="47">
        <v>204013735</v>
      </c>
      <c r="C1244" s="89" t="s">
        <v>1392</v>
      </c>
      <c r="D1244" s="11" t="s">
        <v>1393</v>
      </c>
      <c r="E1244" s="48" t="s">
        <v>31</v>
      </c>
      <c r="F1244" s="48" t="s">
        <v>74</v>
      </c>
      <c r="G1244" s="11" t="s">
        <v>65</v>
      </c>
      <c r="H1244" s="11" t="s">
        <v>1332</v>
      </c>
      <c r="I1244" s="11">
        <v>1181</v>
      </c>
      <c r="J1244" s="49" t="s">
        <v>32</v>
      </c>
      <c r="K1244" s="49" t="s">
        <v>76</v>
      </c>
      <c r="L1244" s="49" t="s">
        <v>95</v>
      </c>
      <c r="M1244" s="49" t="s">
        <v>77</v>
      </c>
      <c r="N1244" s="48" t="s">
        <v>79</v>
      </c>
      <c r="O1244" s="49" t="s">
        <v>68</v>
      </c>
      <c r="P1244" s="11" t="s">
        <v>80</v>
      </c>
      <c r="Q1244" s="11" t="s">
        <v>81</v>
      </c>
      <c r="R1244" s="11" t="s">
        <v>1336</v>
      </c>
      <c r="S1244" s="11" t="s">
        <v>1337</v>
      </c>
      <c r="T1244" s="116" t="s">
        <v>1</v>
      </c>
      <c r="U1244" s="88"/>
      <c r="V1244" s="51">
        <v>45551</v>
      </c>
      <c r="W1244" s="97" t="s">
        <v>68</v>
      </c>
      <c r="X1244" s="135" t="str">
        <f>VLOOKUP(Table1[[#This Row],[AMZ ID]],[1]Roster_1787503287932!$D$2:$AU$1370,25,0)</f>
        <v>Present</v>
      </c>
      <c r="Y1244" s="135">
        <f>VLOOKUP(Table1[[#This Row],[AMZ ID]],[1]Roster_1787503287932!$D$2:$AM$1370,35,0)</f>
        <v>0</v>
      </c>
    </row>
    <row r="1245" spans="1:25" ht="13" customHeight="1">
      <c r="A1245" s="11">
        <v>1239</v>
      </c>
      <c r="B1245" s="47">
        <v>204246160</v>
      </c>
      <c r="C1245" s="89" t="s">
        <v>160</v>
      </c>
      <c r="D1245" s="11" t="s">
        <v>161</v>
      </c>
      <c r="E1245" s="48" t="s">
        <v>31</v>
      </c>
      <c r="F1245" s="48" t="s">
        <v>74</v>
      </c>
      <c r="G1245" s="11" t="s">
        <v>64</v>
      </c>
      <c r="H1245" s="11" t="s">
        <v>75</v>
      </c>
      <c r="I1245" s="11">
        <v>1299</v>
      </c>
      <c r="J1245" s="49" t="s">
        <v>32</v>
      </c>
      <c r="K1245" s="49" t="s">
        <v>76</v>
      </c>
      <c r="L1245" s="49" t="s">
        <v>84</v>
      </c>
      <c r="M1245" s="49" t="s">
        <v>85</v>
      </c>
      <c r="N1245" s="48" t="s">
        <v>86</v>
      </c>
      <c r="O1245" s="49" t="s">
        <v>33</v>
      </c>
      <c r="P1245" s="11" t="s">
        <v>80</v>
      </c>
      <c r="Q1245" s="11" t="s">
        <v>87</v>
      </c>
      <c r="R1245" s="11" t="s">
        <v>159</v>
      </c>
      <c r="S1245" s="11" t="s">
        <v>2714</v>
      </c>
      <c r="T1245" s="116" t="s">
        <v>1</v>
      </c>
      <c r="U1245" s="88"/>
      <c r="V1245" s="51">
        <v>45579</v>
      </c>
      <c r="W1245" s="97" t="s">
        <v>1569</v>
      </c>
      <c r="X1245" s="135" t="str">
        <f>VLOOKUP(Table1[[#This Row],[AMZ ID]],[1]Roster_1787503287932!$D$2:$AU$1370,25,0)</f>
        <v>Present</v>
      </c>
      <c r="Y1245" s="135">
        <f>VLOOKUP(Table1[[#This Row],[AMZ ID]],[1]Roster_1787503287932!$D$2:$AM$1370,35,0)</f>
        <v>0</v>
      </c>
    </row>
    <row r="1246" spans="1:25" ht="13" customHeight="1">
      <c r="A1246" s="11">
        <v>1240</v>
      </c>
      <c r="B1246" s="47">
        <v>205276097</v>
      </c>
      <c r="C1246" s="89" t="s">
        <v>1394</v>
      </c>
      <c r="D1246" s="11" t="s">
        <v>1395</v>
      </c>
      <c r="E1246" s="48" t="s">
        <v>31</v>
      </c>
      <c r="F1246" s="48" t="s">
        <v>74</v>
      </c>
      <c r="G1246" s="11" t="s">
        <v>65</v>
      </c>
      <c r="H1246" s="11" t="s">
        <v>1332</v>
      </c>
      <c r="I1246" s="11">
        <v>1181</v>
      </c>
      <c r="J1246" s="49" t="s">
        <v>39</v>
      </c>
      <c r="K1246" s="49" t="s">
        <v>76</v>
      </c>
      <c r="L1246" s="49" t="s">
        <v>84</v>
      </c>
      <c r="M1246" s="49" t="s">
        <v>85</v>
      </c>
      <c r="N1246" s="49" t="s">
        <v>89</v>
      </c>
      <c r="O1246" s="49" t="s">
        <v>68</v>
      </c>
      <c r="P1246" s="11" t="s">
        <v>80</v>
      </c>
      <c r="Q1246" s="11" t="s">
        <v>90</v>
      </c>
      <c r="R1246" s="11" t="s">
        <v>2720</v>
      </c>
      <c r="S1246" s="11" t="s">
        <v>2721</v>
      </c>
      <c r="T1246" s="116" t="s">
        <v>1</v>
      </c>
      <c r="U1246" s="88"/>
      <c r="V1246" s="51">
        <v>45796</v>
      </c>
      <c r="W1246" s="97" t="s">
        <v>68</v>
      </c>
      <c r="X1246" s="135" t="str">
        <f>VLOOKUP(Table1[[#This Row],[AMZ ID]],[1]Roster_1787503287932!$D$2:$AU$1370,25,0)</f>
        <v>Present</v>
      </c>
      <c r="Y1246" s="135">
        <f>VLOOKUP(Table1[[#This Row],[AMZ ID]],[1]Roster_1787503287932!$D$2:$AM$1370,35,0)</f>
        <v>0</v>
      </c>
    </row>
    <row r="1247" spans="1:25" ht="13" customHeight="1">
      <c r="A1247" s="11">
        <v>1241</v>
      </c>
      <c r="B1247" s="47">
        <v>201633155</v>
      </c>
      <c r="C1247" s="89" t="s">
        <v>505</v>
      </c>
      <c r="D1247" s="11" t="s">
        <v>506</v>
      </c>
      <c r="E1247" s="48" t="s">
        <v>31</v>
      </c>
      <c r="F1247" s="48" t="s">
        <v>74</v>
      </c>
      <c r="G1247" s="11" t="s">
        <v>64</v>
      </c>
      <c r="H1247" s="11" t="s">
        <v>75</v>
      </c>
      <c r="I1247" s="11">
        <v>1299</v>
      </c>
      <c r="J1247" s="49" t="s">
        <v>32</v>
      </c>
      <c r="K1247" s="49" t="s">
        <v>76</v>
      </c>
      <c r="L1247" s="49" t="s">
        <v>84</v>
      </c>
      <c r="M1247" s="49" t="s">
        <v>85</v>
      </c>
      <c r="N1247" s="48" t="s">
        <v>86</v>
      </c>
      <c r="O1247" s="49" t="s">
        <v>35</v>
      </c>
      <c r="P1247" s="11" t="s">
        <v>80</v>
      </c>
      <c r="Q1247" s="11" t="s">
        <v>87</v>
      </c>
      <c r="R1247" s="11" t="s">
        <v>225</v>
      </c>
      <c r="S1247" s="11" t="s">
        <v>226</v>
      </c>
      <c r="T1247" s="116" t="s">
        <v>1</v>
      </c>
      <c r="U1247" s="88"/>
      <c r="V1247" s="51">
        <v>45581</v>
      </c>
      <c r="W1247" s="97" t="s">
        <v>1573</v>
      </c>
      <c r="X1247" s="135" t="str">
        <f>VLOOKUP(Table1[[#This Row],[AMZ ID]],[1]Roster_1787503287932!$D$2:$AU$1370,25,0)</f>
        <v>Present</v>
      </c>
      <c r="Y1247" s="135">
        <f>VLOOKUP(Table1[[#This Row],[AMZ ID]],[1]Roster_1787503287932!$D$2:$AM$1370,35,0)</f>
        <v>0</v>
      </c>
    </row>
    <row r="1248" spans="1:25" ht="13" customHeight="1">
      <c r="A1248" s="11">
        <v>1242</v>
      </c>
      <c r="B1248" s="47">
        <v>204869087</v>
      </c>
      <c r="C1248" s="89" t="s">
        <v>588</v>
      </c>
      <c r="D1248" s="11" t="s">
        <v>589</v>
      </c>
      <c r="E1248" s="48" t="s">
        <v>31</v>
      </c>
      <c r="F1248" s="48" t="s">
        <v>74</v>
      </c>
      <c r="G1248" s="11" t="s">
        <v>64</v>
      </c>
      <c r="H1248" s="11" t="s">
        <v>75</v>
      </c>
      <c r="I1248" s="11">
        <v>1299</v>
      </c>
      <c r="J1248" s="49" t="s">
        <v>32</v>
      </c>
      <c r="K1248" s="49" t="s">
        <v>76</v>
      </c>
      <c r="L1248" s="49" t="s">
        <v>78</v>
      </c>
      <c r="M1248" s="49" t="s">
        <v>92</v>
      </c>
      <c r="N1248" s="48" t="s">
        <v>86</v>
      </c>
      <c r="O1248" s="49" t="s">
        <v>35</v>
      </c>
      <c r="P1248" s="11" t="s">
        <v>80</v>
      </c>
      <c r="Q1248" s="11" t="s">
        <v>87</v>
      </c>
      <c r="R1248" s="11" t="s">
        <v>231</v>
      </c>
      <c r="S1248" s="11" t="s">
        <v>1753</v>
      </c>
      <c r="T1248" s="116" t="s">
        <v>10</v>
      </c>
      <c r="U1248" s="88"/>
      <c r="V1248" s="51">
        <v>45691</v>
      </c>
      <c r="W1248" s="97" t="s">
        <v>1573</v>
      </c>
      <c r="X1248" s="135" t="str">
        <f>VLOOKUP(Table1[[#This Row],[AMZ ID]],[1]Roster_1787503287932!$D$2:$AU$1370,25,0)</f>
        <v>Not Present</v>
      </c>
      <c r="Y1248" s="135">
        <f>VLOOKUP(Table1[[#This Row],[AMZ ID]],[1]Roster_1787503287932!$D$2:$AM$1370,35,0)</f>
        <v>0</v>
      </c>
    </row>
    <row r="1249" spans="1:25" ht="13" customHeight="1">
      <c r="A1249" s="11">
        <v>1243</v>
      </c>
      <c r="B1249" s="47">
        <v>206957733</v>
      </c>
      <c r="C1249" s="89" t="s">
        <v>2172</v>
      </c>
      <c r="D1249" s="11" t="s">
        <v>2173</v>
      </c>
      <c r="E1249" s="48" t="s">
        <v>31</v>
      </c>
      <c r="F1249" s="48" t="s">
        <v>74</v>
      </c>
      <c r="G1249" s="11" t="s">
        <v>65</v>
      </c>
      <c r="H1249" s="11" t="s">
        <v>1332</v>
      </c>
      <c r="I1249" s="11">
        <v>1181</v>
      </c>
      <c r="J1249" s="49" t="s">
        <v>39</v>
      </c>
      <c r="K1249" s="49" t="s">
        <v>76</v>
      </c>
      <c r="L1249" s="49" t="s">
        <v>77</v>
      </c>
      <c r="M1249" s="49" t="s">
        <v>78</v>
      </c>
      <c r="N1249" s="48" t="s">
        <v>89</v>
      </c>
      <c r="O1249" s="49" t="s">
        <v>68</v>
      </c>
      <c r="P1249" s="11" t="s">
        <v>80</v>
      </c>
      <c r="Q1249" s="11" t="s">
        <v>96</v>
      </c>
      <c r="R1249" s="11" t="s">
        <v>2720</v>
      </c>
      <c r="S1249" s="11" t="s">
        <v>2721</v>
      </c>
      <c r="T1249" s="116" t="s">
        <v>10</v>
      </c>
      <c r="U1249" s="88"/>
      <c r="V1249" s="51">
        <v>46048</v>
      </c>
      <c r="W1249" s="97" t="s">
        <v>68</v>
      </c>
      <c r="X1249" s="135" t="str">
        <f>VLOOKUP(Table1[[#This Row],[AMZ ID]],[1]Roster_1787503287932!$D$2:$AU$1370,25,0)</f>
        <v>Not Present</v>
      </c>
      <c r="Y1249" s="135">
        <f>VLOOKUP(Table1[[#This Row],[AMZ ID]],[1]Roster_1787503287932!$D$2:$AM$1370,35,0)</f>
        <v>0</v>
      </c>
    </row>
    <row r="1250" spans="1:25" ht="13" customHeight="1">
      <c r="A1250" s="11">
        <v>1244</v>
      </c>
      <c r="B1250" s="47">
        <v>206368538</v>
      </c>
      <c r="C1250" s="89" t="s">
        <v>1691</v>
      </c>
      <c r="D1250" s="11" t="s">
        <v>1692</v>
      </c>
      <c r="E1250" s="48" t="s">
        <v>31</v>
      </c>
      <c r="F1250" s="48" t="s">
        <v>74</v>
      </c>
      <c r="G1250" s="11" t="s">
        <v>65</v>
      </c>
      <c r="H1250" s="11" t="s">
        <v>1332</v>
      </c>
      <c r="I1250" s="11">
        <v>1181</v>
      </c>
      <c r="J1250" s="49" t="s">
        <v>39</v>
      </c>
      <c r="K1250" s="49" t="s">
        <v>76</v>
      </c>
      <c r="L1250" s="49" t="s">
        <v>77</v>
      </c>
      <c r="M1250" s="49" t="s">
        <v>78</v>
      </c>
      <c r="N1250" s="48" t="s">
        <v>89</v>
      </c>
      <c r="O1250" s="49" t="s">
        <v>68</v>
      </c>
      <c r="P1250" s="11" t="s">
        <v>80</v>
      </c>
      <c r="Q1250" s="11" t="s">
        <v>96</v>
      </c>
      <c r="R1250" s="11" t="s">
        <v>2720</v>
      </c>
      <c r="S1250" s="11" t="s">
        <v>2721</v>
      </c>
      <c r="T1250" s="116" t="s">
        <v>10</v>
      </c>
      <c r="U1250" s="88"/>
      <c r="V1250" s="51">
        <v>45957</v>
      </c>
      <c r="W1250" s="97" t="s">
        <v>68</v>
      </c>
      <c r="X1250" s="135" t="str">
        <f>VLOOKUP(Table1[[#This Row],[AMZ ID]],[1]Roster_1787503287932!$D$2:$AU$1370,25,0)</f>
        <v>Not Present</v>
      </c>
      <c r="Y1250" s="135">
        <f>VLOOKUP(Table1[[#This Row],[AMZ ID]],[1]Roster_1787503287932!$D$2:$AM$1370,35,0)</f>
        <v>0</v>
      </c>
    </row>
    <row r="1251" spans="1:25" ht="13" customHeight="1">
      <c r="A1251" s="11">
        <v>1245</v>
      </c>
      <c r="B1251" s="47">
        <v>203635498</v>
      </c>
      <c r="C1251" s="89" t="s">
        <v>1398</v>
      </c>
      <c r="D1251" s="11" t="s">
        <v>1399</v>
      </c>
      <c r="E1251" s="103" t="s">
        <v>31</v>
      </c>
      <c r="F1251" s="48" t="s">
        <v>74</v>
      </c>
      <c r="G1251" s="11" t="s">
        <v>65</v>
      </c>
      <c r="H1251" s="11" t="s">
        <v>1332</v>
      </c>
      <c r="I1251" s="11">
        <v>1181</v>
      </c>
      <c r="J1251" s="49" t="s">
        <v>39</v>
      </c>
      <c r="K1251" s="49" t="s">
        <v>76</v>
      </c>
      <c r="L1251" s="49" t="s">
        <v>88</v>
      </c>
      <c r="M1251" s="49" t="s">
        <v>95</v>
      </c>
      <c r="N1251" s="49" t="s">
        <v>79</v>
      </c>
      <c r="O1251" s="49" t="s">
        <v>68</v>
      </c>
      <c r="P1251" s="49" t="s">
        <v>80</v>
      </c>
      <c r="Q1251" s="49" t="s">
        <v>81</v>
      </c>
      <c r="R1251" s="49" t="s">
        <v>2720</v>
      </c>
      <c r="S1251" s="49" t="s">
        <v>2721</v>
      </c>
      <c r="T1251" s="116" t="s">
        <v>1</v>
      </c>
      <c r="U1251" s="88"/>
      <c r="V1251" s="51">
        <v>45481</v>
      </c>
      <c r="W1251" s="97" t="s">
        <v>68</v>
      </c>
      <c r="X1251" s="135" t="str">
        <f>VLOOKUP(Table1[[#This Row],[AMZ ID]],[1]Roster_1787503287932!$D$2:$AU$1370,25,0)</f>
        <v>Present</v>
      </c>
      <c r="Y1251" s="135">
        <f>VLOOKUP(Table1[[#This Row],[AMZ ID]],[1]Roster_1787503287932!$D$2:$AM$1370,35,0)</f>
        <v>0</v>
      </c>
    </row>
    <row r="1252" spans="1:25" ht="13" customHeight="1">
      <c r="A1252" s="11">
        <v>1246</v>
      </c>
      <c r="B1252" s="47">
        <v>205845548</v>
      </c>
      <c r="C1252" s="89" t="s">
        <v>1400</v>
      </c>
      <c r="D1252" s="11" t="s">
        <v>1401</v>
      </c>
      <c r="E1252" s="48" t="s">
        <v>31</v>
      </c>
      <c r="F1252" s="48" t="s">
        <v>74</v>
      </c>
      <c r="G1252" s="11" t="s">
        <v>65</v>
      </c>
      <c r="H1252" s="11" t="s">
        <v>1332</v>
      </c>
      <c r="I1252" s="11">
        <v>1181</v>
      </c>
      <c r="J1252" s="49" t="s">
        <v>39</v>
      </c>
      <c r="K1252" s="49" t="s">
        <v>76</v>
      </c>
      <c r="L1252" s="49" t="s">
        <v>92</v>
      </c>
      <c r="M1252" s="49" t="s">
        <v>84</v>
      </c>
      <c r="N1252" s="48" t="s">
        <v>89</v>
      </c>
      <c r="O1252" s="49" t="s">
        <v>68</v>
      </c>
      <c r="P1252" s="11" t="s">
        <v>80</v>
      </c>
      <c r="Q1252" s="11" t="s">
        <v>90</v>
      </c>
      <c r="R1252" s="11" t="s">
        <v>2720</v>
      </c>
      <c r="S1252" s="11" t="s">
        <v>2721</v>
      </c>
      <c r="T1252" s="116" t="s">
        <v>1</v>
      </c>
      <c r="U1252" s="88"/>
      <c r="V1252" s="51">
        <v>45894</v>
      </c>
      <c r="W1252" s="97" t="s">
        <v>68</v>
      </c>
      <c r="X1252" s="135" t="str">
        <f>VLOOKUP(Table1[[#This Row],[AMZ ID]],[1]Roster_1787503287932!$D$2:$AU$1370,25,0)</f>
        <v>Present</v>
      </c>
      <c r="Y1252" s="135">
        <f>VLOOKUP(Table1[[#This Row],[AMZ ID]],[1]Roster_1787503287932!$D$2:$AM$1370,35,0)</f>
        <v>0</v>
      </c>
    </row>
    <row r="1253" spans="1:25" ht="13" customHeight="1">
      <c r="A1253" s="11">
        <v>1247</v>
      </c>
      <c r="B1253" s="47">
        <v>206348029</v>
      </c>
      <c r="C1253" s="89" t="s">
        <v>1693</v>
      </c>
      <c r="D1253" s="11" t="s">
        <v>1694</v>
      </c>
      <c r="E1253" s="48" t="s">
        <v>31</v>
      </c>
      <c r="F1253" s="48" t="s">
        <v>74</v>
      </c>
      <c r="G1253" s="11" t="s">
        <v>65</v>
      </c>
      <c r="H1253" s="11" t="s">
        <v>1332</v>
      </c>
      <c r="I1253" s="11">
        <v>1181</v>
      </c>
      <c r="J1253" s="49" t="s">
        <v>39</v>
      </c>
      <c r="K1253" s="49" t="s">
        <v>76</v>
      </c>
      <c r="L1253" s="49" t="s">
        <v>77</v>
      </c>
      <c r="M1253" s="49" t="s">
        <v>78</v>
      </c>
      <c r="N1253" s="48" t="s">
        <v>89</v>
      </c>
      <c r="O1253" s="49" t="s">
        <v>68</v>
      </c>
      <c r="P1253" s="11" t="s">
        <v>80</v>
      </c>
      <c r="Q1253" s="11" t="s">
        <v>90</v>
      </c>
      <c r="R1253" s="11" t="s">
        <v>2720</v>
      </c>
      <c r="S1253" s="11" t="s">
        <v>2721</v>
      </c>
      <c r="T1253" s="116" t="s">
        <v>10</v>
      </c>
      <c r="U1253" s="88"/>
      <c r="V1253" s="51">
        <v>45957</v>
      </c>
      <c r="W1253" s="97" t="s">
        <v>68</v>
      </c>
      <c r="X1253" s="135" t="str">
        <f>VLOOKUP(Table1[[#This Row],[AMZ ID]],[1]Roster_1787503287932!$D$2:$AU$1370,25,0)</f>
        <v>Not Present</v>
      </c>
      <c r="Y1253" s="135">
        <f>VLOOKUP(Table1[[#This Row],[AMZ ID]],[1]Roster_1787503287932!$D$2:$AM$1370,35,0)</f>
        <v>0</v>
      </c>
    </row>
    <row r="1254" spans="1:25" ht="13" customHeight="1">
      <c r="A1254" s="11">
        <v>1248</v>
      </c>
      <c r="B1254" s="47">
        <v>206958064</v>
      </c>
      <c r="C1254" s="89" t="s">
        <v>2174</v>
      </c>
      <c r="D1254" s="11" t="s">
        <v>2175</v>
      </c>
      <c r="E1254" s="103" t="s">
        <v>31</v>
      </c>
      <c r="F1254" s="48" t="s">
        <v>74</v>
      </c>
      <c r="G1254" s="11" t="s">
        <v>65</v>
      </c>
      <c r="H1254" s="11" t="s">
        <v>1332</v>
      </c>
      <c r="I1254" s="11">
        <v>1181</v>
      </c>
      <c r="J1254" s="49" t="s">
        <v>39</v>
      </c>
      <c r="K1254" s="49" t="s">
        <v>76</v>
      </c>
      <c r="L1254" s="49" t="s">
        <v>77</v>
      </c>
      <c r="M1254" s="49" t="s">
        <v>78</v>
      </c>
      <c r="N1254" s="49" t="s">
        <v>89</v>
      </c>
      <c r="O1254" s="49" t="s">
        <v>68</v>
      </c>
      <c r="P1254" s="49" t="s">
        <v>80</v>
      </c>
      <c r="Q1254" s="49" t="s">
        <v>96</v>
      </c>
      <c r="R1254" s="49" t="s">
        <v>2720</v>
      </c>
      <c r="S1254" s="49" t="s">
        <v>2721</v>
      </c>
      <c r="T1254" s="116" t="s">
        <v>10</v>
      </c>
      <c r="U1254" s="88"/>
      <c r="V1254" s="51">
        <v>46048</v>
      </c>
      <c r="W1254" s="97" t="s">
        <v>68</v>
      </c>
      <c r="X1254" s="135" t="str">
        <f>VLOOKUP(Table1[[#This Row],[AMZ ID]],[1]Roster_1787503287932!$D$2:$AU$1370,25,0)</f>
        <v>Not Present</v>
      </c>
      <c r="Y1254" s="135">
        <f>VLOOKUP(Table1[[#This Row],[AMZ ID]],[1]Roster_1787503287932!$D$2:$AM$1370,35,0)</f>
        <v>0</v>
      </c>
    </row>
    <row r="1255" spans="1:25" ht="13" customHeight="1">
      <c r="A1255" s="11">
        <v>1249</v>
      </c>
      <c r="B1255" s="47">
        <v>206958070</v>
      </c>
      <c r="C1255" s="89" t="s">
        <v>2176</v>
      </c>
      <c r="D1255" s="11" t="s">
        <v>2177</v>
      </c>
      <c r="E1255" s="48" t="s">
        <v>31</v>
      </c>
      <c r="F1255" s="48" t="s">
        <v>74</v>
      </c>
      <c r="G1255" s="11" t="s">
        <v>65</v>
      </c>
      <c r="H1255" s="11" t="s">
        <v>1332</v>
      </c>
      <c r="I1255" s="11">
        <v>1181</v>
      </c>
      <c r="J1255" s="49" t="s">
        <v>39</v>
      </c>
      <c r="K1255" s="49" t="s">
        <v>76</v>
      </c>
      <c r="L1255" s="49" t="s">
        <v>84</v>
      </c>
      <c r="M1255" s="49" t="s">
        <v>85</v>
      </c>
      <c r="N1255" s="48" t="s">
        <v>89</v>
      </c>
      <c r="O1255" s="49" t="s">
        <v>68</v>
      </c>
      <c r="P1255" s="11" t="s">
        <v>80</v>
      </c>
      <c r="Q1255" s="11" t="s">
        <v>96</v>
      </c>
      <c r="R1255" s="11" t="s">
        <v>2720</v>
      </c>
      <c r="S1255" s="11" t="s">
        <v>2721</v>
      </c>
      <c r="T1255" s="116" t="s">
        <v>1</v>
      </c>
      <c r="U1255" s="88"/>
      <c r="V1255" s="51">
        <v>46048</v>
      </c>
      <c r="W1255" s="97" t="s">
        <v>68</v>
      </c>
      <c r="X1255" s="135" t="str">
        <f>VLOOKUP(Table1[[#This Row],[AMZ ID]],[1]Roster_1787503287932!$D$2:$AU$1370,25,0)</f>
        <v>Present</v>
      </c>
      <c r="Y1255" s="135">
        <f>VLOOKUP(Table1[[#This Row],[AMZ ID]],[1]Roster_1787503287932!$D$2:$AM$1370,35,0)</f>
        <v>0</v>
      </c>
    </row>
    <row r="1256" spans="1:25" ht="13" customHeight="1">
      <c r="A1256" s="11">
        <v>1250</v>
      </c>
      <c r="B1256" s="47">
        <v>206348042</v>
      </c>
      <c r="C1256" s="89" t="s">
        <v>2444</v>
      </c>
      <c r="D1256" s="11" t="s">
        <v>2445</v>
      </c>
      <c r="E1256" s="48" t="s">
        <v>31</v>
      </c>
      <c r="F1256" s="48" t="s">
        <v>74</v>
      </c>
      <c r="G1256" s="11" t="s">
        <v>65</v>
      </c>
      <c r="H1256" s="11" t="s">
        <v>1332</v>
      </c>
      <c r="I1256" s="11">
        <v>1181</v>
      </c>
      <c r="J1256" s="49" t="s">
        <v>32</v>
      </c>
      <c r="K1256" s="49" t="s">
        <v>76</v>
      </c>
      <c r="L1256" s="49" t="s">
        <v>95</v>
      </c>
      <c r="M1256" s="49" t="s">
        <v>77</v>
      </c>
      <c r="N1256" s="48" t="s">
        <v>89</v>
      </c>
      <c r="O1256" s="49" t="s">
        <v>68</v>
      </c>
      <c r="P1256" s="11" t="s">
        <v>80</v>
      </c>
      <c r="Q1256" s="11" t="s">
        <v>90</v>
      </c>
      <c r="R1256" s="11" t="s">
        <v>1336</v>
      </c>
      <c r="S1256" s="11" t="s">
        <v>1337</v>
      </c>
      <c r="T1256" s="116" t="s">
        <v>1</v>
      </c>
      <c r="U1256" s="88"/>
      <c r="V1256" s="51">
        <v>45957</v>
      </c>
      <c r="W1256" s="97" t="s">
        <v>68</v>
      </c>
      <c r="X1256" s="135" t="str">
        <f>VLOOKUP(Table1[[#This Row],[AMZ ID]],[1]Roster_1787503287932!$D$2:$AU$1370,25,0)</f>
        <v>Present</v>
      </c>
      <c r="Y1256" s="135">
        <f>VLOOKUP(Table1[[#This Row],[AMZ ID]],[1]Roster_1787503287932!$D$2:$AM$1370,35,0)</f>
        <v>0</v>
      </c>
    </row>
    <row r="1257" spans="1:25" ht="13" customHeight="1">
      <c r="A1257" s="11">
        <v>1251</v>
      </c>
      <c r="B1257" s="47">
        <v>205845547</v>
      </c>
      <c r="C1257" s="89" t="s">
        <v>1402</v>
      </c>
      <c r="D1257" s="11" t="s">
        <v>1403</v>
      </c>
      <c r="E1257" s="48" t="s">
        <v>31</v>
      </c>
      <c r="F1257" s="48" t="s">
        <v>74</v>
      </c>
      <c r="G1257" s="11" t="s">
        <v>65</v>
      </c>
      <c r="H1257" s="11" t="s">
        <v>1332</v>
      </c>
      <c r="I1257" s="11">
        <v>1181</v>
      </c>
      <c r="J1257" s="49" t="s">
        <v>39</v>
      </c>
      <c r="K1257" s="49" t="s">
        <v>76</v>
      </c>
      <c r="L1257" s="49" t="s">
        <v>84</v>
      </c>
      <c r="M1257" s="49" t="s">
        <v>85</v>
      </c>
      <c r="N1257" s="48" t="s">
        <v>89</v>
      </c>
      <c r="O1257" s="49" t="s">
        <v>68</v>
      </c>
      <c r="P1257" s="11" t="s">
        <v>80</v>
      </c>
      <c r="Q1257" s="11" t="s">
        <v>90</v>
      </c>
      <c r="R1257" s="11" t="s">
        <v>2720</v>
      </c>
      <c r="S1257" s="11" t="s">
        <v>2721</v>
      </c>
      <c r="T1257" s="116" t="s">
        <v>1</v>
      </c>
      <c r="U1257" s="88"/>
      <c r="V1257" s="51">
        <v>45894</v>
      </c>
      <c r="W1257" s="97" t="s">
        <v>68</v>
      </c>
      <c r="X1257" s="135" t="str">
        <f>VLOOKUP(Table1[[#This Row],[AMZ ID]],[1]Roster_1787503287932!$D$2:$AU$1370,25,0)</f>
        <v>Present</v>
      </c>
      <c r="Y1257" s="135">
        <f>VLOOKUP(Table1[[#This Row],[AMZ ID]],[1]Roster_1787503287932!$D$2:$AM$1370,35,0)</f>
        <v>0</v>
      </c>
    </row>
    <row r="1258" spans="1:25" ht="13" customHeight="1">
      <c r="A1258" s="11">
        <v>1252</v>
      </c>
      <c r="B1258" s="47">
        <v>205845552</v>
      </c>
      <c r="C1258" s="89" t="s">
        <v>1404</v>
      </c>
      <c r="D1258" s="11" t="s">
        <v>1405</v>
      </c>
      <c r="E1258" s="103" t="s">
        <v>31</v>
      </c>
      <c r="F1258" s="48" t="s">
        <v>74</v>
      </c>
      <c r="G1258" s="11" t="s">
        <v>65</v>
      </c>
      <c r="H1258" s="11" t="s">
        <v>1332</v>
      </c>
      <c r="I1258" s="11">
        <v>1181</v>
      </c>
      <c r="J1258" s="49" t="s">
        <v>39</v>
      </c>
      <c r="K1258" s="49" t="s">
        <v>76</v>
      </c>
      <c r="L1258" s="49" t="s">
        <v>77</v>
      </c>
      <c r="M1258" s="49" t="s">
        <v>78</v>
      </c>
      <c r="N1258" s="49" t="s">
        <v>89</v>
      </c>
      <c r="O1258" s="49" t="s">
        <v>68</v>
      </c>
      <c r="P1258" s="49" t="s">
        <v>80</v>
      </c>
      <c r="Q1258" s="49" t="s">
        <v>90</v>
      </c>
      <c r="R1258" s="49" t="s">
        <v>2720</v>
      </c>
      <c r="S1258" s="49" t="s">
        <v>2721</v>
      </c>
      <c r="T1258" s="116" t="s">
        <v>10</v>
      </c>
      <c r="U1258" s="88"/>
      <c r="V1258" s="51">
        <v>45894</v>
      </c>
      <c r="W1258" s="97" t="s">
        <v>68</v>
      </c>
      <c r="X1258" s="135" t="str">
        <f>VLOOKUP(Table1[[#This Row],[AMZ ID]],[1]Roster_1787503287932!$D$2:$AU$1370,25,0)</f>
        <v>Not Present</v>
      </c>
      <c r="Y1258" s="135">
        <f>VLOOKUP(Table1[[#This Row],[AMZ ID]],[1]Roster_1787503287932!$D$2:$AM$1370,35,0)</f>
        <v>0</v>
      </c>
    </row>
    <row r="1259" spans="1:25" ht="13" customHeight="1">
      <c r="A1259" s="11">
        <v>1253</v>
      </c>
      <c r="B1259" s="103">
        <v>206958290</v>
      </c>
      <c r="C1259" s="89" t="s">
        <v>2446</v>
      </c>
      <c r="D1259" s="11" t="s">
        <v>2447</v>
      </c>
      <c r="E1259" s="48" t="s">
        <v>31</v>
      </c>
      <c r="F1259" s="48" t="s">
        <v>74</v>
      </c>
      <c r="G1259" s="48" t="s">
        <v>65</v>
      </c>
      <c r="H1259" s="48" t="s">
        <v>1332</v>
      </c>
      <c r="I1259" s="11">
        <v>1181</v>
      </c>
      <c r="J1259" s="49" t="s">
        <v>39</v>
      </c>
      <c r="K1259" s="49" t="s">
        <v>76</v>
      </c>
      <c r="L1259" s="49" t="s">
        <v>84</v>
      </c>
      <c r="M1259" s="49" t="s">
        <v>85</v>
      </c>
      <c r="N1259" s="49" t="s">
        <v>89</v>
      </c>
      <c r="O1259" s="49" t="s">
        <v>68</v>
      </c>
      <c r="P1259" s="48" t="s">
        <v>80</v>
      </c>
      <c r="Q1259" s="11" t="s">
        <v>96</v>
      </c>
      <c r="R1259" s="11" t="s">
        <v>2720</v>
      </c>
      <c r="S1259" s="11" t="s">
        <v>2721</v>
      </c>
      <c r="T1259" s="116" t="s">
        <v>1</v>
      </c>
      <c r="U1259" s="88"/>
      <c r="V1259" s="51">
        <v>46048</v>
      </c>
      <c r="W1259" s="97" t="s">
        <v>68</v>
      </c>
      <c r="X1259" s="135" t="str">
        <f>VLOOKUP(Table1[[#This Row],[AMZ ID]],[1]Roster_1787503287932!$D$2:$AU$1370,25,0)</f>
        <v>Present</v>
      </c>
      <c r="Y1259" s="135">
        <f>VLOOKUP(Table1[[#This Row],[AMZ ID]],[1]Roster_1787503287932!$D$2:$AM$1370,35,0)</f>
        <v>0</v>
      </c>
    </row>
    <row r="1260" spans="1:25" ht="13" customHeight="1">
      <c r="A1260" s="11">
        <v>1254</v>
      </c>
      <c r="B1260" s="47">
        <v>205839953</v>
      </c>
      <c r="C1260" s="89" t="s">
        <v>1406</v>
      </c>
      <c r="D1260" s="11" t="s">
        <v>1407</v>
      </c>
      <c r="E1260" s="48" t="s">
        <v>31</v>
      </c>
      <c r="F1260" s="48" t="s">
        <v>74</v>
      </c>
      <c r="G1260" s="11" t="s">
        <v>65</v>
      </c>
      <c r="H1260" s="11" t="s">
        <v>1332</v>
      </c>
      <c r="I1260" s="11">
        <v>1181</v>
      </c>
      <c r="J1260" s="49" t="s">
        <v>39</v>
      </c>
      <c r="K1260" s="49" t="s">
        <v>76</v>
      </c>
      <c r="L1260" s="49" t="s">
        <v>85</v>
      </c>
      <c r="M1260" s="49" t="s">
        <v>88</v>
      </c>
      <c r="N1260" s="48" t="s">
        <v>89</v>
      </c>
      <c r="O1260" s="49" t="s">
        <v>68</v>
      </c>
      <c r="P1260" s="11" t="s">
        <v>80</v>
      </c>
      <c r="Q1260" s="11" t="s">
        <v>90</v>
      </c>
      <c r="R1260" s="11" t="s">
        <v>2720</v>
      </c>
      <c r="S1260" s="11" t="s">
        <v>2721</v>
      </c>
      <c r="T1260" s="116" t="s">
        <v>1</v>
      </c>
      <c r="U1260" s="88"/>
      <c r="V1260" s="51">
        <v>45894</v>
      </c>
      <c r="W1260" s="97" t="s">
        <v>68</v>
      </c>
      <c r="X1260" s="135" t="str">
        <f>VLOOKUP(Table1[[#This Row],[AMZ ID]],[1]Roster_1787503287932!$D$2:$AU$1370,25,0)</f>
        <v>Present</v>
      </c>
      <c r="Y1260" s="135">
        <f>VLOOKUP(Table1[[#This Row],[AMZ ID]],[1]Roster_1787503287932!$D$2:$AM$1370,35,0)</f>
        <v>0</v>
      </c>
    </row>
    <row r="1261" spans="1:25" ht="13" customHeight="1">
      <c r="A1261" s="11">
        <v>1255</v>
      </c>
      <c r="B1261" s="47">
        <v>204246613</v>
      </c>
      <c r="C1261" s="89" t="s">
        <v>603</v>
      </c>
      <c r="D1261" s="11" t="s">
        <v>604</v>
      </c>
      <c r="E1261" s="48" t="s">
        <v>31</v>
      </c>
      <c r="F1261" s="48" t="s">
        <v>74</v>
      </c>
      <c r="G1261" s="11" t="s">
        <v>64</v>
      </c>
      <c r="H1261" s="11" t="s">
        <v>75</v>
      </c>
      <c r="I1261" s="11">
        <v>1299</v>
      </c>
      <c r="J1261" s="49" t="s">
        <v>32</v>
      </c>
      <c r="K1261" s="49" t="s">
        <v>76</v>
      </c>
      <c r="L1261" s="49" t="s">
        <v>78</v>
      </c>
      <c r="M1261" s="49" t="s">
        <v>92</v>
      </c>
      <c r="N1261" s="49" t="s">
        <v>86</v>
      </c>
      <c r="O1261" s="49" t="s">
        <v>35</v>
      </c>
      <c r="P1261" s="11" t="s">
        <v>80</v>
      </c>
      <c r="Q1261" s="11" t="s">
        <v>87</v>
      </c>
      <c r="R1261" s="11" t="s">
        <v>231</v>
      </c>
      <c r="S1261" s="11" t="s">
        <v>1753</v>
      </c>
      <c r="T1261" s="116" t="s">
        <v>10</v>
      </c>
      <c r="U1261" s="88"/>
      <c r="V1261" s="51">
        <v>45579</v>
      </c>
      <c r="W1261" s="97" t="s">
        <v>1573</v>
      </c>
      <c r="X1261" s="135" t="str">
        <f>VLOOKUP(Table1[[#This Row],[AMZ ID]],[1]Roster_1787503287932!$D$2:$AU$1370,25,0)</f>
        <v>Not Present</v>
      </c>
      <c r="Y1261" s="135">
        <f>VLOOKUP(Table1[[#This Row],[AMZ ID]],[1]Roster_1787503287932!$D$2:$AM$1370,35,0)</f>
        <v>0</v>
      </c>
    </row>
    <row r="1262" spans="1:25" ht="13" customHeight="1">
      <c r="A1262" s="11">
        <v>1256</v>
      </c>
      <c r="B1262" s="47">
        <v>206361787</v>
      </c>
      <c r="C1262" s="89" t="s">
        <v>2448</v>
      </c>
      <c r="D1262" s="11" t="s">
        <v>2449</v>
      </c>
      <c r="E1262" s="48" t="s">
        <v>31</v>
      </c>
      <c r="F1262" s="48" t="s">
        <v>74</v>
      </c>
      <c r="G1262" s="11" t="s">
        <v>65</v>
      </c>
      <c r="H1262" s="11" t="s">
        <v>1332</v>
      </c>
      <c r="I1262" s="11">
        <v>1181</v>
      </c>
      <c r="J1262" s="49" t="s">
        <v>39</v>
      </c>
      <c r="K1262" s="49" t="s">
        <v>76</v>
      </c>
      <c r="L1262" s="49" t="s">
        <v>84</v>
      </c>
      <c r="M1262" s="49" t="s">
        <v>85</v>
      </c>
      <c r="N1262" s="48" t="s">
        <v>89</v>
      </c>
      <c r="O1262" s="49" t="s">
        <v>68</v>
      </c>
      <c r="P1262" s="11" t="s">
        <v>80</v>
      </c>
      <c r="Q1262" s="11" t="s">
        <v>96</v>
      </c>
      <c r="R1262" s="11" t="s">
        <v>2720</v>
      </c>
      <c r="S1262" s="11" t="s">
        <v>2721</v>
      </c>
      <c r="T1262" s="116" t="s">
        <v>1</v>
      </c>
      <c r="U1262" s="88"/>
      <c r="V1262" s="51">
        <v>45957</v>
      </c>
      <c r="W1262" s="97" t="s">
        <v>68</v>
      </c>
      <c r="X1262" s="135" t="str">
        <f>VLOOKUP(Table1[[#This Row],[AMZ ID]],[1]Roster_1787503287932!$D$2:$AU$1370,25,0)</f>
        <v>Present</v>
      </c>
      <c r="Y1262" s="135">
        <f>VLOOKUP(Table1[[#This Row],[AMZ ID]],[1]Roster_1787503287932!$D$2:$AM$1370,35,0)</f>
        <v>0</v>
      </c>
    </row>
    <row r="1263" spans="1:25" ht="13" customHeight="1">
      <c r="A1263" s="11">
        <v>1257</v>
      </c>
      <c r="B1263" s="47">
        <v>203815279</v>
      </c>
      <c r="C1263" s="89" t="s">
        <v>2681</v>
      </c>
      <c r="D1263" s="11" t="s">
        <v>2682</v>
      </c>
      <c r="E1263" s="48" t="s">
        <v>31</v>
      </c>
      <c r="F1263" s="48" t="s">
        <v>74</v>
      </c>
      <c r="G1263" s="11" t="s">
        <v>64</v>
      </c>
      <c r="H1263" s="11" t="s">
        <v>75</v>
      </c>
      <c r="I1263" s="11">
        <v>1299</v>
      </c>
      <c r="J1263" s="49" t="s">
        <v>32</v>
      </c>
      <c r="K1263" s="49" t="s">
        <v>76</v>
      </c>
      <c r="L1263" s="49" t="s">
        <v>84</v>
      </c>
      <c r="M1263" s="49" t="s">
        <v>85</v>
      </c>
      <c r="N1263" s="48" t="s">
        <v>1486</v>
      </c>
      <c r="O1263" s="49" t="s">
        <v>1475</v>
      </c>
      <c r="P1263" s="11" t="s">
        <v>1443</v>
      </c>
      <c r="Q1263" s="11" t="s">
        <v>81</v>
      </c>
      <c r="R1263" s="11" t="s">
        <v>2199</v>
      </c>
      <c r="S1263" s="11" t="s">
        <v>2726</v>
      </c>
      <c r="T1263" s="116" t="s">
        <v>7</v>
      </c>
      <c r="U1263" s="88" t="s">
        <v>3015</v>
      </c>
      <c r="V1263" s="51">
        <v>45516</v>
      </c>
      <c r="W1263" s="97" t="s">
        <v>1583</v>
      </c>
      <c r="X1263" s="135" t="str">
        <f>VLOOKUP(Table1[[#This Row],[AMZ ID]],[1]Roster_1787503287932!$D$2:$AU$1370,25,0)</f>
        <v>Not Present</v>
      </c>
      <c r="Y1263" s="135" t="str">
        <f>VLOOKUP(Table1[[#This Row],[AMZ ID]],[1]Roster_1787503287932!$D$2:$AM$1370,35,0)</f>
        <v>Annual Leave</v>
      </c>
    </row>
    <row r="1264" spans="1:25" ht="13" customHeight="1">
      <c r="A1264" s="11">
        <v>1258</v>
      </c>
      <c r="B1264" s="47">
        <v>201502749</v>
      </c>
      <c r="C1264" s="89" t="s">
        <v>650</v>
      </c>
      <c r="D1264" s="11" t="s">
        <v>651</v>
      </c>
      <c r="E1264" s="48" t="s">
        <v>31</v>
      </c>
      <c r="F1264" s="48" t="s">
        <v>74</v>
      </c>
      <c r="G1264" s="11" t="s">
        <v>64</v>
      </c>
      <c r="H1264" s="11" t="s">
        <v>75</v>
      </c>
      <c r="I1264" s="11">
        <v>1299</v>
      </c>
      <c r="J1264" s="87" t="s">
        <v>32</v>
      </c>
      <c r="K1264" s="49" t="s">
        <v>76</v>
      </c>
      <c r="L1264" s="49" t="s">
        <v>77</v>
      </c>
      <c r="M1264" s="49" t="s">
        <v>78</v>
      </c>
      <c r="N1264" s="49" t="s">
        <v>86</v>
      </c>
      <c r="O1264" s="49" t="s">
        <v>37</v>
      </c>
      <c r="P1264" s="11" t="s">
        <v>80</v>
      </c>
      <c r="Q1264" s="11" t="s">
        <v>87</v>
      </c>
      <c r="R1264" s="49" t="s">
        <v>2719</v>
      </c>
      <c r="S1264" s="11" t="s">
        <v>642</v>
      </c>
      <c r="T1264" s="116" t="s">
        <v>10</v>
      </c>
      <c r="U1264" s="88"/>
      <c r="V1264" s="51">
        <v>45561</v>
      </c>
      <c r="W1264" s="97" t="s">
        <v>1578</v>
      </c>
      <c r="X1264" s="135" t="str">
        <f>VLOOKUP(Table1[[#This Row],[AMZ ID]],[1]Roster_1787503287932!$D$2:$AU$1370,25,0)</f>
        <v>Not Present</v>
      </c>
      <c r="Y1264" s="135">
        <f>VLOOKUP(Table1[[#This Row],[AMZ ID]],[1]Roster_1787503287932!$D$2:$AM$1370,35,0)</f>
        <v>0</v>
      </c>
    </row>
    <row r="1265" spans="1:25" ht="13" customHeight="1">
      <c r="A1265" s="11">
        <v>1259</v>
      </c>
      <c r="B1265" s="47">
        <v>203513499</v>
      </c>
      <c r="C1265" s="89" t="s">
        <v>1414</v>
      </c>
      <c r="D1265" s="11" t="s">
        <v>1415</v>
      </c>
      <c r="E1265" s="48" t="s">
        <v>31</v>
      </c>
      <c r="F1265" s="48" t="s">
        <v>74</v>
      </c>
      <c r="G1265" s="11" t="s">
        <v>65</v>
      </c>
      <c r="H1265" s="11" t="s">
        <v>1332</v>
      </c>
      <c r="I1265" s="11">
        <v>1181</v>
      </c>
      <c r="J1265" s="87" t="s">
        <v>39</v>
      </c>
      <c r="K1265" s="49" t="s">
        <v>76</v>
      </c>
      <c r="L1265" s="49" t="s">
        <v>78</v>
      </c>
      <c r="M1265" s="49" t="s">
        <v>92</v>
      </c>
      <c r="N1265" s="48" t="s">
        <v>79</v>
      </c>
      <c r="O1265" s="49" t="s">
        <v>68</v>
      </c>
      <c r="P1265" s="11" t="s">
        <v>80</v>
      </c>
      <c r="Q1265" s="11" t="s">
        <v>81</v>
      </c>
      <c r="R1265" s="11" t="s">
        <v>2720</v>
      </c>
      <c r="S1265" s="11" t="s">
        <v>2721</v>
      </c>
      <c r="T1265" s="116" t="s">
        <v>10</v>
      </c>
      <c r="U1265" s="88"/>
      <c r="V1265" s="51">
        <v>45463</v>
      </c>
      <c r="W1265" s="97" t="s">
        <v>68</v>
      </c>
      <c r="X1265" s="135" t="str">
        <f>VLOOKUP(Table1[[#This Row],[AMZ ID]],[1]Roster_1787503287932!$D$2:$AU$1370,25,0)</f>
        <v>Not Present</v>
      </c>
      <c r="Y1265" s="135">
        <f>VLOOKUP(Table1[[#This Row],[AMZ ID]],[1]Roster_1787503287932!$D$2:$AM$1370,35,0)</f>
        <v>0</v>
      </c>
    </row>
    <row r="1266" spans="1:25" ht="13" customHeight="1">
      <c r="A1266" s="11">
        <v>1260</v>
      </c>
      <c r="B1266" s="47">
        <v>204094495</v>
      </c>
      <c r="C1266" s="89" t="s">
        <v>1189</v>
      </c>
      <c r="D1266" s="11" t="s">
        <v>1190</v>
      </c>
      <c r="E1266" s="48" t="s">
        <v>31</v>
      </c>
      <c r="F1266" s="48" t="s">
        <v>74</v>
      </c>
      <c r="G1266" s="11" t="s">
        <v>65</v>
      </c>
      <c r="H1266" s="11" t="s">
        <v>1332</v>
      </c>
      <c r="I1266" s="11">
        <v>1181</v>
      </c>
      <c r="J1266" s="49" t="s">
        <v>39</v>
      </c>
      <c r="K1266" s="49" t="s">
        <v>76</v>
      </c>
      <c r="L1266" s="49" t="s">
        <v>78</v>
      </c>
      <c r="M1266" s="49" t="s">
        <v>92</v>
      </c>
      <c r="N1266" s="48" t="s">
        <v>86</v>
      </c>
      <c r="O1266" s="49" t="s">
        <v>68</v>
      </c>
      <c r="P1266" s="11" t="s">
        <v>80</v>
      </c>
      <c r="Q1266" s="11" t="s">
        <v>87</v>
      </c>
      <c r="R1266" s="49" t="s">
        <v>2720</v>
      </c>
      <c r="S1266" s="47" t="s">
        <v>2721</v>
      </c>
      <c r="T1266" s="116" t="s">
        <v>10</v>
      </c>
      <c r="U1266" s="88"/>
      <c r="V1266" s="51">
        <v>45561</v>
      </c>
      <c r="W1266" s="97" t="s">
        <v>68</v>
      </c>
      <c r="X1266" s="135" t="str">
        <f>VLOOKUP(Table1[[#This Row],[AMZ ID]],[1]Roster_1787503287932!$D$2:$AU$1370,25,0)</f>
        <v>Not Present</v>
      </c>
      <c r="Y1266" s="135" t="str">
        <f>VLOOKUP(Table1[[#This Row],[AMZ ID]],[1]Roster_1787503287932!$D$2:$AM$1370,35,0)</f>
        <v>Annual Leave</v>
      </c>
    </row>
    <row r="1267" spans="1:25" ht="13" customHeight="1">
      <c r="A1267" s="11">
        <v>1261</v>
      </c>
      <c r="B1267" s="47">
        <v>203513399</v>
      </c>
      <c r="C1267" s="89" t="s">
        <v>1428</v>
      </c>
      <c r="D1267" s="11" t="s">
        <v>1429</v>
      </c>
      <c r="E1267" s="48" t="s">
        <v>31</v>
      </c>
      <c r="F1267" s="48" t="s">
        <v>74</v>
      </c>
      <c r="G1267" s="11" t="s">
        <v>65</v>
      </c>
      <c r="H1267" s="11" t="s">
        <v>1332</v>
      </c>
      <c r="I1267" s="11">
        <v>1181</v>
      </c>
      <c r="J1267" s="49" t="s">
        <v>32</v>
      </c>
      <c r="K1267" s="49" t="s">
        <v>76</v>
      </c>
      <c r="L1267" s="49" t="s">
        <v>85</v>
      </c>
      <c r="M1267" s="49" t="s">
        <v>88</v>
      </c>
      <c r="N1267" s="48" t="s">
        <v>79</v>
      </c>
      <c r="O1267" s="49" t="s">
        <v>68</v>
      </c>
      <c r="P1267" s="11" t="s">
        <v>80</v>
      </c>
      <c r="Q1267" s="11" t="s">
        <v>81</v>
      </c>
      <c r="R1267" s="11" t="s">
        <v>1336</v>
      </c>
      <c r="S1267" s="11" t="s">
        <v>1337</v>
      </c>
      <c r="T1267" s="116" t="s">
        <v>1</v>
      </c>
      <c r="U1267" s="88"/>
      <c r="V1267" s="51">
        <v>45463</v>
      </c>
      <c r="W1267" s="97" t="s">
        <v>68</v>
      </c>
      <c r="X1267" s="135" t="str">
        <f>VLOOKUP(Table1[[#This Row],[AMZ ID]],[1]Roster_1787503287932!$D$2:$AU$1370,25,0)</f>
        <v>Present</v>
      </c>
      <c r="Y1267" s="135">
        <f>VLOOKUP(Table1[[#This Row],[AMZ ID]],[1]Roster_1787503287932!$D$2:$AM$1370,35,0)</f>
        <v>0</v>
      </c>
    </row>
    <row r="1268" spans="1:25" ht="13" customHeight="1">
      <c r="A1268" s="11">
        <v>1262</v>
      </c>
      <c r="B1268" s="47">
        <v>205276101</v>
      </c>
      <c r="C1268" s="89" t="s">
        <v>1418</v>
      </c>
      <c r="D1268" s="11" t="s">
        <v>1419</v>
      </c>
      <c r="E1268" s="48" t="s">
        <v>31</v>
      </c>
      <c r="F1268" s="48" t="s">
        <v>74</v>
      </c>
      <c r="G1268" s="11" t="s">
        <v>65</v>
      </c>
      <c r="H1268" s="11" t="s">
        <v>1332</v>
      </c>
      <c r="I1268" s="11">
        <v>1181</v>
      </c>
      <c r="J1268" s="49" t="s">
        <v>39</v>
      </c>
      <c r="K1268" s="49" t="s">
        <v>76</v>
      </c>
      <c r="L1268" s="49" t="s">
        <v>85</v>
      </c>
      <c r="M1268" s="49" t="s">
        <v>88</v>
      </c>
      <c r="N1268" s="48" t="s">
        <v>89</v>
      </c>
      <c r="O1268" s="49" t="s">
        <v>68</v>
      </c>
      <c r="P1268" s="11" t="s">
        <v>80</v>
      </c>
      <c r="Q1268" s="11" t="s">
        <v>90</v>
      </c>
      <c r="R1268" s="11" t="s">
        <v>2720</v>
      </c>
      <c r="S1268" s="11" t="s">
        <v>2721</v>
      </c>
      <c r="T1268" s="116" t="s">
        <v>1</v>
      </c>
      <c r="U1268" s="88"/>
      <c r="V1268" s="51">
        <v>45796</v>
      </c>
      <c r="W1268" s="97" t="s">
        <v>68</v>
      </c>
      <c r="X1268" s="135" t="str">
        <f>VLOOKUP(Table1[[#This Row],[AMZ ID]],[1]Roster_1787503287932!$D$2:$AU$1370,25,0)</f>
        <v>Present</v>
      </c>
      <c r="Y1268" s="135">
        <f>VLOOKUP(Table1[[#This Row],[AMZ ID]],[1]Roster_1787503287932!$D$2:$AM$1370,35,0)</f>
        <v>0</v>
      </c>
    </row>
    <row r="1269" spans="1:25" ht="13" customHeight="1">
      <c r="A1269" s="11">
        <v>1263</v>
      </c>
      <c r="B1269" s="47">
        <v>102205690</v>
      </c>
      <c r="C1269" s="89" t="s">
        <v>1420</v>
      </c>
      <c r="D1269" s="11" t="s">
        <v>1421</v>
      </c>
      <c r="E1269" s="48" t="s">
        <v>34</v>
      </c>
      <c r="F1269" s="48" t="s">
        <v>74</v>
      </c>
      <c r="G1269" s="11" t="s">
        <v>65</v>
      </c>
      <c r="H1269" s="11" t="s">
        <v>1332</v>
      </c>
      <c r="I1269" s="11">
        <v>1182</v>
      </c>
      <c r="J1269" s="49" t="s">
        <v>39</v>
      </c>
      <c r="K1269" s="49" t="s">
        <v>76</v>
      </c>
      <c r="L1269" s="49" t="s">
        <v>92</v>
      </c>
      <c r="M1269" s="49" t="s">
        <v>84</v>
      </c>
      <c r="N1269" s="48" t="s">
        <v>108</v>
      </c>
      <c r="O1269" s="49" t="s">
        <v>68</v>
      </c>
      <c r="P1269" s="11" t="s">
        <v>80</v>
      </c>
      <c r="Q1269" s="11" t="s">
        <v>98</v>
      </c>
      <c r="R1269" s="49" t="s">
        <v>2720</v>
      </c>
      <c r="S1269" s="11" t="s">
        <v>2721</v>
      </c>
      <c r="T1269" s="116" t="s">
        <v>1</v>
      </c>
      <c r="U1269" s="88"/>
      <c r="V1269" s="51">
        <v>42868</v>
      </c>
      <c r="W1269" s="97" t="s">
        <v>68</v>
      </c>
      <c r="X1269" s="135" t="str">
        <f>VLOOKUP(Table1[[#This Row],[AMZ ID]],[1]Roster_1787503287932!$D$2:$AU$1370,25,0)</f>
        <v>Present</v>
      </c>
      <c r="Y1269" s="135">
        <f>VLOOKUP(Table1[[#This Row],[AMZ ID]],[1]Roster_1787503287932!$D$2:$AM$1370,35,0)</f>
        <v>0</v>
      </c>
    </row>
    <row r="1270" spans="1:25" ht="13" customHeight="1">
      <c r="A1270" s="11">
        <v>1264</v>
      </c>
      <c r="B1270" s="47">
        <v>102582357</v>
      </c>
      <c r="C1270" s="89" t="s">
        <v>1422</v>
      </c>
      <c r="D1270" s="11" t="s">
        <v>1423</v>
      </c>
      <c r="E1270" s="48" t="s">
        <v>34</v>
      </c>
      <c r="F1270" s="48" t="s">
        <v>74</v>
      </c>
      <c r="G1270" s="11" t="s">
        <v>65</v>
      </c>
      <c r="H1270" s="11" t="s">
        <v>1332</v>
      </c>
      <c r="I1270" s="11">
        <v>1182</v>
      </c>
      <c r="J1270" s="87" t="s">
        <v>39</v>
      </c>
      <c r="K1270" s="49" t="s">
        <v>76</v>
      </c>
      <c r="L1270" s="49" t="s">
        <v>88</v>
      </c>
      <c r="M1270" s="49" t="s">
        <v>95</v>
      </c>
      <c r="N1270" s="48" t="s">
        <v>1333</v>
      </c>
      <c r="O1270" s="49" t="s">
        <v>68</v>
      </c>
      <c r="P1270" s="11" t="s">
        <v>80</v>
      </c>
      <c r="Q1270" s="11" t="s">
        <v>98</v>
      </c>
      <c r="R1270" s="11" t="s">
        <v>2720</v>
      </c>
      <c r="S1270" s="11" t="s">
        <v>2721</v>
      </c>
      <c r="T1270" s="116" t="s">
        <v>1</v>
      </c>
      <c r="U1270" s="88"/>
      <c r="V1270" s="51">
        <v>42962</v>
      </c>
      <c r="W1270" s="97" t="s">
        <v>68</v>
      </c>
      <c r="X1270" s="135" t="str">
        <f>VLOOKUP(Table1[[#This Row],[AMZ ID]],[1]Roster_1787503287932!$D$2:$AU$1370,25,0)</f>
        <v>Present</v>
      </c>
      <c r="Y1270" s="135">
        <f>VLOOKUP(Table1[[#This Row],[AMZ ID]],[1]Roster_1787503287932!$D$2:$AM$1370,35,0)</f>
        <v>0</v>
      </c>
    </row>
    <row r="1271" spans="1:25" ht="13" customHeight="1">
      <c r="A1271" s="11">
        <v>1265</v>
      </c>
      <c r="B1271" s="47">
        <v>205845551</v>
      </c>
      <c r="C1271" s="89" t="s">
        <v>1424</v>
      </c>
      <c r="D1271" s="11" t="s">
        <v>1425</v>
      </c>
      <c r="E1271" s="48" t="s">
        <v>31</v>
      </c>
      <c r="F1271" s="48" t="s">
        <v>74</v>
      </c>
      <c r="G1271" s="11" t="s">
        <v>65</v>
      </c>
      <c r="H1271" s="11" t="s">
        <v>1332</v>
      </c>
      <c r="I1271" s="11">
        <v>1181</v>
      </c>
      <c r="J1271" s="49" t="s">
        <v>39</v>
      </c>
      <c r="K1271" s="49" t="s">
        <v>76</v>
      </c>
      <c r="L1271" s="49" t="s">
        <v>92</v>
      </c>
      <c r="M1271" s="49" t="s">
        <v>84</v>
      </c>
      <c r="N1271" s="48" t="s">
        <v>89</v>
      </c>
      <c r="O1271" s="49" t="s">
        <v>68</v>
      </c>
      <c r="P1271" s="11" t="s">
        <v>80</v>
      </c>
      <c r="Q1271" s="11" t="s">
        <v>90</v>
      </c>
      <c r="R1271" s="11" t="s">
        <v>2720</v>
      </c>
      <c r="S1271" s="11" t="s">
        <v>2721</v>
      </c>
      <c r="T1271" s="116" t="s">
        <v>1</v>
      </c>
      <c r="U1271" s="88"/>
      <c r="V1271" s="51">
        <v>45894</v>
      </c>
      <c r="W1271" s="97" t="s">
        <v>68</v>
      </c>
      <c r="X1271" s="135" t="str">
        <f>VLOOKUP(Table1[[#This Row],[AMZ ID]],[1]Roster_1787503287932!$D$2:$AU$1370,25,0)</f>
        <v>Present</v>
      </c>
      <c r="Y1271" s="135">
        <f>VLOOKUP(Table1[[#This Row],[AMZ ID]],[1]Roster_1787503287932!$D$2:$AM$1370,35,0)</f>
        <v>0</v>
      </c>
    </row>
    <row r="1272" spans="1:25" ht="13" customHeight="1">
      <c r="A1272" s="11">
        <v>1266</v>
      </c>
      <c r="B1272" s="47">
        <v>206296204</v>
      </c>
      <c r="C1272" s="89" t="s">
        <v>1658</v>
      </c>
      <c r="D1272" s="11" t="s">
        <v>1969</v>
      </c>
      <c r="E1272" s="48" t="s">
        <v>31</v>
      </c>
      <c r="F1272" s="48" t="s">
        <v>74</v>
      </c>
      <c r="G1272" s="11" t="s">
        <v>65</v>
      </c>
      <c r="H1272" s="11" t="s">
        <v>1332</v>
      </c>
      <c r="I1272" s="11">
        <v>1299</v>
      </c>
      <c r="J1272" s="87" t="s">
        <v>39</v>
      </c>
      <c r="K1272" s="49" t="s">
        <v>76</v>
      </c>
      <c r="L1272" s="49" t="s">
        <v>84</v>
      </c>
      <c r="M1272" s="49" t="s">
        <v>85</v>
      </c>
      <c r="N1272" s="48" t="s">
        <v>89</v>
      </c>
      <c r="O1272" s="49" t="s">
        <v>68</v>
      </c>
      <c r="P1272" s="11" t="s">
        <v>80</v>
      </c>
      <c r="Q1272" s="11" t="s">
        <v>96</v>
      </c>
      <c r="R1272" s="11" t="s">
        <v>2720</v>
      </c>
      <c r="S1272" s="11" t="s">
        <v>2721</v>
      </c>
      <c r="T1272" s="116" t="s">
        <v>1</v>
      </c>
      <c r="U1272" s="88"/>
      <c r="V1272" s="51">
        <v>45950</v>
      </c>
      <c r="W1272" s="97" t="s">
        <v>68</v>
      </c>
      <c r="X1272" s="135" t="str">
        <f>VLOOKUP(Table1[[#This Row],[AMZ ID]],[1]Roster_1787503287932!$D$2:$AU$1370,25,0)</f>
        <v>Present</v>
      </c>
      <c r="Y1272" s="135">
        <f>VLOOKUP(Table1[[#This Row],[AMZ ID]],[1]Roster_1787503287932!$D$2:$AM$1370,35,0)</f>
        <v>0</v>
      </c>
    </row>
    <row r="1273" spans="1:25" ht="13" customHeight="1">
      <c r="A1273" s="11">
        <v>1267</v>
      </c>
      <c r="B1273" s="47">
        <v>206958074</v>
      </c>
      <c r="C1273" s="89" t="s">
        <v>2178</v>
      </c>
      <c r="D1273" s="11" t="s">
        <v>2179</v>
      </c>
      <c r="E1273" s="48" t="s">
        <v>31</v>
      </c>
      <c r="F1273" s="48" t="s">
        <v>74</v>
      </c>
      <c r="G1273" s="11" t="s">
        <v>65</v>
      </c>
      <c r="H1273" s="11" t="s">
        <v>1332</v>
      </c>
      <c r="I1273" s="11">
        <v>1181</v>
      </c>
      <c r="J1273" s="49" t="s">
        <v>39</v>
      </c>
      <c r="K1273" s="49" t="s">
        <v>76</v>
      </c>
      <c r="L1273" s="49" t="s">
        <v>88</v>
      </c>
      <c r="M1273" s="49" t="s">
        <v>95</v>
      </c>
      <c r="N1273" s="48" t="s">
        <v>79</v>
      </c>
      <c r="O1273" s="49" t="s">
        <v>68</v>
      </c>
      <c r="P1273" s="11" t="s">
        <v>80</v>
      </c>
      <c r="Q1273" s="11" t="s">
        <v>96</v>
      </c>
      <c r="R1273" s="11" t="s">
        <v>2720</v>
      </c>
      <c r="S1273" s="11" t="s">
        <v>2721</v>
      </c>
      <c r="T1273" s="116" t="s">
        <v>1</v>
      </c>
      <c r="U1273" s="88"/>
      <c r="V1273" s="51">
        <v>46048</v>
      </c>
      <c r="W1273" s="97" t="s">
        <v>68</v>
      </c>
      <c r="X1273" s="135" t="str">
        <f>VLOOKUP(Table1[[#This Row],[AMZ ID]],[1]Roster_1787503287932!$D$2:$AU$1370,25,0)</f>
        <v>Present</v>
      </c>
      <c r="Y1273" s="135">
        <f>VLOOKUP(Table1[[#This Row],[AMZ ID]],[1]Roster_1787503287932!$D$2:$AM$1370,35,0)</f>
        <v>0</v>
      </c>
    </row>
    <row r="1274" spans="1:25" ht="13" customHeight="1">
      <c r="A1274" s="11">
        <v>1268</v>
      </c>
      <c r="B1274" s="47">
        <v>204116442</v>
      </c>
      <c r="C1274" s="89" t="s">
        <v>1095</v>
      </c>
      <c r="D1274" s="11" t="s">
        <v>1096</v>
      </c>
      <c r="E1274" s="48" t="s">
        <v>31</v>
      </c>
      <c r="F1274" s="48" t="s">
        <v>74</v>
      </c>
      <c r="G1274" s="11" t="s">
        <v>64</v>
      </c>
      <c r="H1274" s="11" t="s">
        <v>75</v>
      </c>
      <c r="I1274" s="11">
        <v>1299</v>
      </c>
      <c r="J1274" s="49" t="s">
        <v>32</v>
      </c>
      <c r="K1274" s="49" t="s">
        <v>76</v>
      </c>
      <c r="L1274" s="49" t="s">
        <v>77</v>
      </c>
      <c r="M1274" s="49" t="s">
        <v>78</v>
      </c>
      <c r="N1274" s="48" t="s">
        <v>86</v>
      </c>
      <c r="O1274" s="49" t="s">
        <v>37</v>
      </c>
      <c r="P1274" s="11" t="s">
        <v>80</v>
      </c>
      <c r="Q1274" s="11" t="s">
        <v>87</v>
      </c>
      <c r="R1274" s="11" t="s">
        <v>627</v>
      </c>
      <c r="S1274" s="11" t="s">
        <v>628</v>
      </c>
      <c r="T1274" s="116" t="s">
        <v>10</v>
      </c>
      <c r="U1274" s="88"/>
      <c r="V1274" s="51">
        <v>45561</v>
      </c>
      <c r="W1274" s="97" t="s">
        <v>1576</v>
      </c>
      <c r="X1274" s="135" t="str">
        <f>VLOOKUP(Table1[[#This Row],[AMZ ID]],[1]Roster_1787503287932!$D$2:$AU$1370,25,0)</f>
        <v>Not Present</v>
      </c>
      <c r="Y1274" s="135" t="str">
        <f>VLOOKUP(Table1[[#This Row],[AMZ ID]],[1]Roster_1787503287932!$D$2:$AM$1370,35,0)</f>
        <v>Annual Leave</v>
      </c>
    </row>
    <row r="1275" spans="1:25" ht="13" customHeight="1">
      <c r="A1275" s="11">
        <v>1269</v>
      </c>
      <c r="B1275" s="47">
        <v>203513498</v>
      </c>
      <c r="C1275" s="89" t="s">
        <v>1426</v>
      </c>
      <c r="D1275" s="11" t="s">
        <v>1427</v>
      </c>
      <c r="E1275" s="48" t="s">
        <v>31</v>
      </c>
      <c r="F1275" s="48" t="s">
        <v>74</v>
      </c>
      <c r="G1275" s="11" t="s">
        <v>65</v>
      </c>
      <c r="H1275" s="11" t="s">
        <v>1332</v>
      </c>
      <c r="I1275" s="11">
        <v>1181</v>
      </c>
      <c r="J1275" s="49" t="s">
        <v>39</v>
      </c>
      <c r="K1275" s="49" t="s">
        <v>76</v>
      </c>
      <c r="L1275" s="49" t="s">
        <v>84</v>
      </c>
      <c r="M1275" s="49" t="s">
        <v>85</v>
      </c>
      <c r="N1275" s="48" t="s">
        <v>79</v>
      </c>
      <c r="O1275" s="49" t="s">
        <v>68</v>
      </c>
      <c r="P1275" s="11" t="s">
        <v>80</v>
      </c>
      <c r="Q1275" s="11" t="s">
        <v>81</v>
      </c>
      <c r="R1275" s="11" t="s">
        <v>2720</v>
      </c>
      <c r="S1275" s="11" t="s">
        <v>2721</v>
      </c>
      <c r="T1275" s="116" t="s">
        <v>1</v>
      </c>
      <c r="U1275" s="88"/>
      <c r="V1275" s="51">
        <v>45463</v>
      </c>
      <c r="W1275" s="97" t="s">
        <v>68</v>
      </c>
      <c r="X1275" s="135" t="str">
        <f>VLOOKUP(Table1[[#This Row],[AMZ ID]],[1]Roster_1787503287932!$D$2:$AU$1370,25,0)</f>
        <v>Present</v>
      </c>
      <c r="Y1275" s="135">
        <f>VLOOKUP(Table1[[#This Row],[AMZ ID]],[1]Roster_1787503287932!$D$2:$AM$1370,35,0)</f>
        <v>0</v>
      </c>
    </row>
    <row r="1276" spans="1:25" ht="13" customHeight="1">
      <c r="A1276" s="11">
        <v>1270</v>
      </c>
      <c r="B1276" s="47">
        <v>206958090</v>
      </c>
      <c r="C1276" s="89" t="s">
        <v>2180</v>
      </c>
      <c r="D1276" s="11" t="s">
        <v>2181</v>
      </c>
      <c r="E1276" s="48" t="s">
        <v>31</v>
      </c>
      <c r="F1276" s="48" t="s">
        <v>74</v>
      </c>
      <c r="G1276" s="11" t="s">
        <v>65</v>
      </c>
      <c r="H1276" s="11" t="s">
        <v>1332</v>
      </c>
      <c r="I1276" s="11">
        <v>1181</v>
      </c>
      <c r="J1276" s="87" t="s">
        <v>39</v>
      </c>
      <c r="K1276" s="49" t="s">
        <v>76</v>
      </c>
      <c r="L1276" s="49" t="s">
        <v>78</v>
      </c>
      <c r="M1276" s="49" t="s">
        <v>92</v>
      </c>
      <c r="N1276" s="48" t="s">
        <v>89</v>
      </c>
      <c r="O1276" s="49" t="s">
        <v>68</v>
      </c>
      <c r="P1276" s="11" t="s">
        <v>80</v>
      </c>
      <c r="Q1276" s="11" t="s">
        <v>96</v>
      </c>
      <c r="R1276" s="11" t="s">
        <v>2720</v>
      </c>
      <c r="S1276" s="11" t="s">
        <v>2721</v>
      </c>
      <c r="T1276" s="116" t="s">
        <v>10</v>
      </c>
      <c r="U1276" s="88"/>
      <c r="V1276" s="51">
        <v>46048</v>
      </c>
      <c r="W1276" s="97" t="s">
        <v>68</v>
      </c>
      <c r="X1276" s="135" t="str">
        <f>VLOOKUP(Table1[[#This Row],[AMZ ID]],[1]Roster_1787503287932!$D$2:$AU$1370,25,0)</f>
        <v>Not Present</v>
      </c>
      <c r="Y1276" s="135">
        <f>VLOOKUP(Table1[[#This Row],[AMZ ID]],[1]Roster_1787503287932!$D$2:$AM$1370,35,0)</f>
        <v>0</v>
      </c>
    </row>
    <row r="1277" spans="1:25" ht="13" customHeight="1">
      <c r="A1277" s="11">
        <v>1271</v>
      </c>
      <c r="B1277" s="47">
        <v>204246155</v>
      </c>
      <c r="C1277" s="89" t="s">
        <v>83</v>
      </c>
      <c r="D1277" s="11" t="s">
        <v>1995</v>
      </c>
      <c r="E1277" s="48" t="s">
        <v>31</v>
      </c>
      <c r="F1277" s="48" t="s">
        <v>74</v>
      </c>
      <c r="G1277" s="11" t="s">
        <v>65</v>
      </c>
      <c r="H1277" s="11" t="s">
        <v>1332</v>
      </c>
      <c r="I1277" s="11">
        <v>1299</v>
      </c>
      <c r="J1277" s="49" t="s">
        <v>32</v>
      </c>
      <c r="K1277" s="49" t="s">
        <v>76</v>
      </c>
      <c r="L1277" s="49" t="s">
        <v>77</v>
      </c>
      <c r="M1277" s="49" t="s">
        <v>78</v>
      </c>
      <c r="N1277" s="48" t="s">
        <v>86</v>
      </c>
      <c r="O1277" s="49" t="s">
        <v>68</v>
      </c>
      <c r="P1277" s="11" t="s">
        <v>80</v>
      </c>
      <c r="Q1277" s="11" t="s">
        <v>87</v>
      </c>
      <c r="R1277" s="11" t="s">
        <v>1336</v>
      </c>
      <c r="S1277" s="11" t="s">
        <v>1337</v>
      </c>
      <c r="T1277" s="116" t="s">
        <v>10</v>
      </c>
      <c r="U1277" s="88"/>
      <c r="V1277" s="51">
        <v>45579</v>
      </c>
      <c r="W1277" s="97" t="s">
        <v>68</v>
      </c>
      <c r="X1277" s="135" t="str">
        <f>VLOOKUP(Table1[[#This Row],[AMZ ID]],[1]Roster_1787503287932!$D$2:$AU$1370,25,0)</f>
        <v>Not Present</v>
      </c>
      <c r="Y1277" s="135">
        <f>VLOOKUP(Table1[[#This Row],[AMZ ID]],[1]Roster_1787503287932!$D$2:$AM$1370,35,0)</f>
        <v>0</v>
      </c>
    </row>
    <row r="1278" spans="1:25" ht="13" customHeight="1">
      <c r="A1278" s="11">
        <v>1272</v>
      </c>
      <c r="B1278" s="47">
        <v>204869083</v>
      </c>
      <c r="C1278" s="89" t="s">
        <v>422</v>
      </c>
      <c r="D1278" s="11" t="s">
        <v>423</v>
      </c>
      <c r="E1278" s="48" t="s">
        <v>31</v>
      </c>
      <c r="F1278" s="48" t="s">
        <v>74</v>
      </c>
      <c r="G1278" s="11" t="s">
        <v>64</v>
      </c>
      <c r="H1278" s="11" t="s">
        <v>75</v>
      </c>
      <c r="I1278" s="11">
        <v>1299</v>
      </c>
      <c r="J1278" s="49" t="s">
        <v>32</v>
      </c>
      <c r="K1278" s="49" t="s">
        <v>76</v>
      </c>
      <c r="L1278" s="49" t="s">
        <v>78</v>
      </c>
      <c r="M1278" s="49" t="s">
        <v>92</v>
      </c>
      <c r="N1278" s="48" t="s">
        <v>86</v>
      </c>
      <c r="O1278" s="49" t="s">
        <v>35</v>
      </c>
      <c r="P1278" s="11" t="s">
        <v>80</v>
      </c>
      <c r="Q1278" s="11" t="s">
        <v>87</v>
      </c>
      <c r="R1278" s="11" t="s">
        <v>225</v>
      </c>
      <c r="S1278" s="11" t="s">
        <v>226</v>
      </c>
      <c r="T1278" s="116" t="s">
        <v>10</v>
      </c>
      <c r="U1278" s="88"/>
      <c r="V1278" s="51">
        <v>45691</v>
      </c>
      <c r="W1278" s="97" t="s">
        <v>1572</v>
      </c>
      <c r="X1278" s="135" t="str">
        <f>VLOOKUP(Table1[[#This Row],[AMZ ID]],[1]Roster_1787503287932!$D$2:$AU$1370,25,0)</f>
        <v>Not Present</v>
      </c>
      <c r="Y1278" s="135" t="str">
        <f>VLOOKUP(Table1[[#This Row],[AMZ ID]],[1]Roster_1787503287932!$D$2:$AM$1370,35,0)</f>
        <v>Carry Forwarded Annual Leave</v>
      </c>
    </row>
    <row r="1279" spans="1:25" ht="13" customHeight="1">
      <c r="A1279" s="11">
        <v>1273</v>
      </c>
      <c r="B1279" s="47">
        <v>206958297</v>
      </c>
      <c r="C1279" s="89" t="s">
        <v>2182</v>
      </c>
      <c r="D1279" s="11" t="s">
        <v>2183</v>
      </c>
      <c r="E1279" s="48" t="s">
        <v>31</v>
      </c>
      <c r="F1279" s="48" t="s">
        <v>74</v>
      </c>
      <c r="G1279" s="11" t="s">
        <v>65</v>
      </c>
      <c r="H1279" s="11" t="s">
        <v>1332</v>
      </c>
      <c r="I1279" s="11">
        <v>1181</v>
      </c>
      <c r="J1279" s="49" t="s">
        <v>39</v>
      </c>
      <c r="K1279" s="49" t="s">
        <v>76</v>
      </c>
      <c r="L1279" s="49" t="s">
        <v>88</v>
      </c>
      <c r="M1279" s="49" t="s">
        <v>95</v>
      </c>
      <c r="N1279" s="48" t="s">
        <v>79</v>
      </c>
      <c r="O1279" s="49" t="s">
        <v>68</v>
      </c>
      <c r="P1279" s="11" t="s">
        <v>80</v>
      </c>
      <c r="Q1279" s="11" t="s">
        <v>96</v>
      </c>
      <c r="R1279" s="11" t="s">
        <v>2720</v>
      </c>
      <c r="S1279" s="11" t="s">
        <v>2721</v>
      </c>
      <c r="T1279" s="116" t="s">
        <v>1</v>
      </c>
      <c r="U1279" s="88"/>
      <c r="V1279" s="51">
        <v>46048</v>
      </c>
      <c r="W1279" s="97" t="s">
        <v>68</v>
      </c>
      <c r="X1279" s="135" t="str">
        <f>VLOOKUP(Table1[[#This Row],[AMZ ID]],[1]Roster_1787503287932!$D$2:$AU$1370,25,0)</f>
        <v>Present</v>
      </c>
      <c r="Y1279" s="135">
        <f>VLOOKUP(Table1[[#This Row],[AMZ ID]],[1]Roster_1787503287932!$D$2:$AM$1370,35,0)</f>
        <v>0</v>
      </c>
    </row>
    <row r="1280" spans="1:25" ht="13" customHeight="1">
      <c r="A1280" s="11">
        <v>1274</v>
      </c>
      <c r="B1280" s="47">
        <v>204319797</v>
      </c>
      <c r="C1280" s="89" t="s">
        <v>243</v>
      </c>
      <c r="D1280" s="11" t="s">
        <v>244</v>
      </c>
      <c r="E1280" s="48" t="s">
        <v>31</v>
      </c>
      <c r="F1280" s="48" t="s">
        <v>74</v>
      </c>
      <c r="G1280" s="11" t="s">
        <v>65</v>
      </c>
      <c r="H1280" s="11" t="s">
        <v>75</v>
      </c>
      <c r="I1280" s="11">
        <v>1299</v>
      </c>
      <c r="J1280" s="49" t="s">
        <v>32</v>
      </c>
      <c r="K1280" s="49" t="s">
        <v>76</v>
      </c>
      <c r="L1280" s="49" t="s">
        <v>84</v>
      </c>
      <c r="M1280" s="49" t="s">
        <v>85</v>
      </c>
      <c r="N1280" s="48" t="s">
        <v>86</v>
      </c>
      <c r="O1280" s="49" t="s">
        <v>68</v>
      </c>
      <c r="P1280" s="11" t="s">
        <v>80</v>
      </c>
      <c r="Q1280" s="11" t="s">
        <v>87</v>
      </c>
      <c r="R1280" s="11" t="s">
        <v>2720</v>
      </c>
      <c r="S1280" s="11" t="s">
        <v>2721</v>
      </c>
      <c r="T1280" s="116" t="s">
        <v>1</v>
      </c>
      <c r="U1280" s="88"/>
      <c r="V1280" s="51">
        <v>45589</v>
      </c>
      <c r="W1280" s="97" t="s">
        <v>68</v>
      </c>
      <c r="X1280" s="135" t="str">
        <f>VLOOKUP(Table1[[#This Row],[AMZ ID]],[1]Roster_1787503287932!$D$2:$AU$1370,25,0)</f>
        <v>Present</v>
      </c>
      <c r="Y1280" s="135">
        <f>VLOOKUP(Table1[[#This Row],[AMZ ID]],[1]Roster_1787503287932!$D$2:$AM$1370,35,0)</f>
        <v>0</v>
      </c>
    </row>
    <row r="1281" spans="1:25" ht="13" customHeight="1">
      <c r="A1281" s="11">
        <v>1275</v>
      </c>
      <c r="B1281" s="47">
        <v>204013739</v>
      </c>
      <c r="C1281" s="89" t="s">
        <v>1432</v>
      </c>
      <c r="D1281" s="11" t="s">
        <v>1433</v>
      </c>
      <c r="E1281" s="48" t="s">
        <v>31</v>
      </c>
      <c r="F1281" s="48" t="s">
        <v>74</v>
      </c>
      <c r="G1281" s="11" t="s">
        <v>65</v>
      </c>
      <c r="H1281" s="11" t="s">
        <v>1332</v>
      </c>
      <c r="I1281" s="11">
        <v>1181</v>
      </c>
      <c r="J1281" s="49" t="s">
        <v>39</v>
      </c>
      <c r="K1281" s="49" t="s">
        <v>76</v>
      </c>
      <c r="L1281" s="49" t="s">
        <v>92</v>
      </c>
      <c r="M1281" s="49" t="s">
        <v>84</v>
      </c>
      <c r="N1281" s="48" t="s">
        <v>79</v>
      </c>
      <c r="O1281" s="49" t="s">
        <v>68</v>
      </c>
      <c r="P1281" s="11" t="s">
        <v>80</v>
      </c>
      <c r="Q1281" s="11" t="s">
        <v>81</v>
      </c>
      <c r="R1281" s="11" t="s">
        <v>2720</v>
      </c>
      <c r="S1281" s="11" t="s">
        <v>2721</v>
      </c>
      <c r="T1281" s="116" t="s">
        <v>1</v>
      </c>
      <c r="U1281" s="88"/>
      <c r="V1281" s="51">
        <v>45551</v>
      </c>
      <c r="W1281" s="97" t="s">
        <v>68</v>
      </c>
      <c r="X1281" s="135" t="str">
        <f>VLOOKUP(Table1[[#This Row],[AMZ ID]],[1]Roster_1787503287932!$D$2:$AU$1370,25,0)</f>
        <v>Present</v>
      </c>
      <c r="Y1281" s="135">
        <f>VLOOKUP(Table1[[#This Row],[AMZ ID]],[1]Roster_1787503287932!$D$2:$AM$1370,35,0)</f>
        <v>0</v>
      </c>
    </row>
    <row r="1282" spans="1:25" ht="13" customHeight="1">
      <c r="A1282" s="11">
        <v>1276</v>
      </c>
      <c r="B1282" s="47">
        <v>102205553</v>
      </c>
      <c r="C1282" s="89" t="s">
        <v>1435</v>
      </c>
      <c r="D1282" s="11" t="s">
        <v>1436</v>
      </c>
      <c r="E1282" s="48" t="s">
        <v>34</v>
      </c>
      <c r="F1282" s="48" t="s">
        <v>74</v>
      </c>
      <c r="G1282" s="11" t="s">
        <v>65</v>
      </c>
      <c r="H1282" s="11" t="s">
        <v>1332</v>
      </c>
      <c r="I1282" s="11">
        <v>1182</v>
      </c>
      <c r="J1282" s="49" t="s">
        <v>39</v>
      </c>
      <c r="K1282" s="49" t="s">
        <v>76</v>
      </c>
      <c r="L1282" s="49" t="s">
        <v>95</v>
      </c>
      <c r="M1282" s="49" t="s">
        <v>77</v>
      </c>
      <c r="N1282" s="48" t="s">
        <v>108</v>
      </c>
      <c r="O1282" s="49" t="s">
        <v>68</v>
      </c>
      <c r="P1282" s="11" t="s">
        <v>80</v>
      </c>
      <c r="Q1282" s="11" t="s">
        <v>98</v>
      </c>
      <c r="R1282" s="49" t="s">
        <v>2720</v>
      </c>
      <c r="S1282" s="11" t="s">
        <v>2721</v>
      </c>
      <c r="T1282" s="116" t="s">
        <v>1</v>
      </c>
      <c r="U1282" s="88"/>
      <c r="V1282" s="51">
        <v>42868</v>
      </c>
      <c r="W1282" s="97" t="s">
        <v>68</v>
      </c>
      <c r="X1282" s="135" t="str">
        <f>VLOOKUP(Table1[[#This Row],[AMZ ID]],[1]Roster_1787503287932!$D$2:$AU$1370,25,0)</f>
        <v>Present</v>
      </c>
      <c r="Y1282" s="135">
        <f>VLOOKUP(Table1[[#This Row],[AMZ ID]],[1]Roster_1787503287932!$D$2:$AM$1370,35,0)</f>
        <v>0</v>
      </c>
    </row>
    <row r="1283" spans="1:25" ht="13" customHeight="1">
      <c r="A1283" s="11">
        <v>1277</v>
      </c>
      <c r="B1283" s="47">
        <v>206958449</v>
      </c>
      <c r="C1283" s="89" t="s">
        <v>2184</v>
      </c>
      <c r="D1283" s="11" t="s">
        <v>2185</v>
      </c>
      <c r="E1283" s="48" t="s">
        <v>31</v>
      </c>
      <c r="F1283" s="48" t="s">
        <v>74</v>
      </c>
      <c r="G1283" s="11" t="s">
        <v>65</v>
      </c>
      <c r="H1283" s="11" t="s">
        <v>1332</v>
      </c>
      <c r="I1283" s="11">
        <v>1181</v>
      </c>
      <c r="J1283" s="49" t="s">
        <v>39</v>
      </c>
      <c r="K1283" s="49" t="s">
        <v>76</v>
      </c>
      <c r="L1283" s="49" t="s">
        <v>88</v>
      </c>
      <c r="M1283" s="49" t="s">
        <v>95</v>
      </c>
      <c r="N1283" s="48" t="s">
        <v>79</v>
      </c>
      <c r="O1283" s="49" t="s">
        <v>68</v>
      </c>
      <c r="P1283" s="11" t="s">
        <v>80</v>
      </c>
      <c r="Q1283" s="11" t="s">
        <v>96</v>
      </c>
      <c r="R1283" s="11" t="s">
        <v>2720</v>
      </c>
      <c r="S1283" s="11" t="s">
        <v>2721</v>
      </c>
      <c r="T1283" s="116" t="s">
        <v>1</v>
      </c>
      <c r="U1283" s="88"/>
      <c r="V1283" s="51">
        <v>46048</v>
      </c>
      <c r="W1283" s="97" t="s">
        <v>68</v>
      </c>
      <c r="X1283" s="135" t="str">
        <f>VLOOKUP(Table1[[#This Row],[AMZ ID]],[1]Roster_1787503287932!$D$2:$AU$1370,25,0)</f>
        <v>Present</v>
      </c>
      <c r="Y1283" s="135">
        <f>VLOOKUP(Table1[[#This Row],[AMZ ID]],[1]Roster_1787503287932!$D$2:$AM$1370,35,0)</f>
        <v>0</v>
      </c>
    </row>
    <row r="1284" spans="1:25" ht="13" customHeight="1">
      <c r="A1284" s="11">
        <v>1278</v>
      </c>
      <c r="B1284" s="47">
        <v>206851162</v>
      </c>
      <c r="C1284" s="89" t="s">
        <v>1737</v>
      </c>
      <c r="D1284" s="11" t="s">
        <v>1738</v>
      </c>
      <c r="E1284" s="48" t="s">
        <v>31</v>
      </c>
      <c r="F1284" s="48" t="s">
        <v>74</v>
      </c>
      <c r="G1284" s="11" t="s">
        <v>65</v>
      </c>
      <c r="H1284" s="11" t="s">
        <v>1332</v>
      </c>
      <c r="I1284" s="11">
        <v>1299</v>
      </c>
      <c r="J1284" s="49" t="s">
        <v>39</v>
      </c>
      <c r="K1284" s="49" t="s">
        <v>76</v>
      </c>
      <c r="L1284" s="49" t="s">
        <v>84</v>
      </c>
      <c r="M1284" s="49" t="s">
        <v>85</v>
      </c>
      <c r="N1284" s="48" t="s">
        <v>89</v>
      </c>
      <c r="O1284" s="49" t="s">
        <v>68</v>
      </c>
      <c r="P1284" s="11" t="s">
        <v>80</v>
      </c>
      <c r="Q1284" s="11" t="s">
        <v>90</v>
      </c>
      <c r="R1284" s="11" t="s">
        <v>2720</v>
      </c>
      <c r="S1284" s="11" t="s">
        <v>2721</v>
      </c>
      <c r="T1284" s="116" t="s">
        <v>1</v>
      </c>
      <c r="U1284" s="88"/>
      <c r="V1284" s="51">
        <v>46020</v>
      </c>
      <c r="W1284" s="97" t="s">
        <v>68</v>
      </c>
      <c r="X1284" s="135" t="str">
        <f>VLOOKUP(Table1[[#This Row],[AMZ ID]],[1]Roster_1787503287932!$D$2:$AU$1370,25,0)</f>
        <v>Present</v>
      </c>
      <c r="Y1284" s="135">
        <f>VLOOKUP(Table1[[#This Row],[AMZ ID]],[1]Roster_1787503287932!$D$2:$AM$1370,35,0)</f>
        <v>0</v>
      </c>
    </row>
    <row r="1285" spans="1:25" ht="13" customHeight="1">
      <c r="A1285" s="11">
        <v>1279</v>
      </c>
      <c r="B1285" s="47">
        <v>204246603</v>
      </c>
      <c r="C1285" s="89" t="s">
        <v>393</v>
      </c>
      <c r="D1285" s="11" t="s">
        <v>394</v>
      </c>
      <c r="E1285" s="48" t="s">
        <v>31</v>
      </c>
      <c r="F1285" s="48" t="s">
        <v>74</v>
      </c>
      <c r="G1285" s="11" t="s">
        <v>64</v>
      </c>
      <c r="H1285" s="11" t="s">
        <v>75</v>
      </c>
      <c r="I1285" s="11">
        <v>1299</v>
      </c>
      <c r="J1285" s="49" t="s">
        <v>32</v>
      </c>
      <c r="K1285" s="49" t="s">
        <v>76</v>
      </c>
      <c r="L1285" s="49" t="s">
        <v>85</v>
      </c>
      <c r="M1285" s="49" t="s">
        <v>88</v>
      </c>
      <c r="N1285" s="48" t="s">
        <v>86</v>
      </c>
      <c r="O1285" s="49" t="s">
        <v>35</v>
      </c>
      <c r="P1285" s="11" t="s">
        <v>80</v>
      </c>
      <c r="Q1285" s="11" t="s">
        <v>87</v>
      </c>
      <c r="R1285" s="11" t="s">
        <v>224</v>
      </c>
      <c r="S1285" s="11" t="s">
        <v>2715</v>
      </c>
      <c r="T1285" s="116" t="s">
        <v>7</v>
      </c>
      <c r="U1285" s="88" t="s">
        <v>3015</v>
      </c>
      <c r="V1285" s="51">
        <v>45579</v>
      </c>
      <c r="W1285" s="97" t="s">
        <v>1573</v>
      </c>
      <c r="X1285" s="135" t="str">
        <f>VLOOKUP(Table1[[#This Row],[AMZ ID]],[1]Roster_1787503287932!$D$2:$AU$1370,25,0)</f>
        <v>Not Present</v>
      </c>
      <c r="Y1285" s="135" t="str">
        <f>VLOOKUP(Table1[[#This Row],[AMZ ID]],[1]Roster_1787503287932!$D$2:$AM$1370,35,0)</f>
        <v>Annual Leave</v>
      </c>
    </row>
    <row r="1286" spans="1:25" ht="13" customHeight="1">
      <c r="A1286" s="11">
        <v>1280</v>
      </c>
      <c r="B1286" s="47">
        <v>205609755</v>
      </c>
      <c r="C1286" s="89" t="s">
        <v>2319</v>
      </c>
      <c r="D1286" s="11" t="s">
        <v>2320</v>
      </c>
      <c r="E1286" s="48" t="s">
        <v>31</v>
      </c>
      <c r="F1286" s="48" t="s">
        <v>74</v>
      </c>
      <c r="G1286" s="11" t="s">
        <v>65</v>
      </c>
      <c r="H1286" s="11" t="s">
        <v>1332</v>
      </c>
      <c r="I1286" s="11">
        <v>1299</v>
      </c>
      <c r="J1286" s="49" t="s">
        <v>39</v>
      </c>
      <c r="K1286" s="49" t="s">
        <v>76</v>
      </c>
      <c r="L1286" s="49" t="s">
        <v>78</v>
      </c>
      <c r="M1286" s="49" t="s">
        <v>92</v>
      </c>
      <c r="N1286" s="48" t="s">
        <v>89</v>
      </c>
      <c r="O1286" s="49" t="s">
        <v>68</v>
      </c>
      <c r="P1286" s="11" t="s">
        <v>80</v>
      </c>
      <c r="Q1286" s="11" t="s">
        <v>90</v>
      </c>
      <c r="R1286" s="11" t="s">
        <v>2720</v>
      </c>
      <c r="S1286" s="11" t="s">
        <v>2721</v>
      </c>
      <c r="T1286" s="116" t="s">
        <v>10</v>
      </c>
      <c r="U1286" s="88"/>
      <c r="V1286" s="51">
        <v>45845</v>
      </c>
      <c r="W1286" s="97" t="s">
        <v>68</v>
      </c>
      <c r="X1286" s="135" t="str">
        <f>VLOOKUP(Table1[[#This Row],[AMZ ID]],[1]Roster_1787503287932!$D$2:$AU$1370,25,0)</f>
        <v>Not Present</v>
      </c>
      <c r="Y1286" s="135">
        <f>VLOOKUP(Table1[[#This Row],[AMZ ID]],[1]Roster_1787503287932!$D$2:$AM$1370,35,0)</f>
        <v>0</v>
      </c>
    </row>
    <row r="1287" spans="1:25" ht="13" customHeight="1">
      <c r="A1287" s="11">
        <v>1281</v>
      </c>
      <c r="B1287" s="47">
        <v>205285507</v>
      </c>
      <c r="C1287" s="89" t="s">
        <v>1439</v>
      </c>
      <c r="D1287" s="11" t="s">
        <v>1993</v>
      </c>
      <c r="E1287" s="48" t="s">
        <v>31</v>
      </c>
      <c r="F1287" s="48" t="s">
        <v>74</v>
      </c>
      <c r="G1287" s="11" t="s">
        <v>65</v>
      </c>
      <c r="H1287" s="11" t="s">
        <v>1332</v>
      </c>
      <c r="I1287" s="11">
        <v>1299</v>
      </c>
      <c r="J1287" s="49" t="s">
        <v>39</v>
      </c>
      <c r="K1287" s="49" t="s">
        <v>76</v>
      </c>
      <c r="L1287" s="49" t="s">
        <v>95</v>
      </c>
      <c r="M1287" s="49" t="s">
        <v>77</v>
      </c>
      <c r="N1287" s="48" t="s">
        <v>89</v>
      </c>
      <c r="O1287" s="49" t="s">
        <v>68</v>
      </c>
      <c r="P1287" s="11" t="s">
        <v>80</v>
      </c>
      <c r="Q1287" s="11" t="s">
        <v>90</v>
      </c>
      <c r="R1287" s="11" t="s">
        <v>2720</v>
      </c>
      <c r="S1287" s="11" t="s">
        <v>2721</v>
      </c>
      <c r="T1287" s="116" t="s">
        <v>1</v>
      </c>
      <c r="U1287" s="88"/>
      <c r="V1287" s="51">
        <v>45796</v>
      </c>
      <c r="W1287" s="97" t="s">
        <v>68</v>
      </c>
      <c r="X1287" s="135" t="str">
        <f>VLOOKUP(Table1[[#This Row],[AMZ ID]],[1]Roster_1787503287932!$D$2:$AU$1370,25,0)</f>
        <v>Present</v>
      </c>
      <c r="Y1287" s="135">
        <f>VLOOKUP(Table1[[#This Row],[AMZ ID]],[1]Roster_1787503287932!$D$2:$AM$1370,35,0)</f>
        <v>0</v>
      </c>
    </row>
    <row r="1288" spans="1:25" ht="13" customHeight="1">
      <c r="A1288" s="11">
        <v>1282</v>
      </c>
      <c r="B1288" s="47">
        <v>102207631</v>
      </c>
      <c r="C1288" s="89" t="s">
        <v>1440</v>
      </c>
      <c r="D1288" s="11" t="s">
        <v>1441</v>
      </c>
      <c r="E1288" s="48" t="s">
        <v>34</v>
      </c>
      <c r="F1288" s="48" t="s">
        <v>74</v>
      </c>
      <c r="G1288" s="11" t="s">
        <v>64</v>
      </c>
      <c r="H1288" s="11" t="s">
        <v>75</v>
      </c>
      <c r="I1288" s="11">
        <v>1299</v>
      </c>
      <c r="J1288" s="49" t="s">
        <v>32</v>
      </c>
      <c r="K1288" s="49" t="s">
        <v>76</v>
      </c>
      <c r="L1288" s="49" t="s">
        <v>77</v>
      </c>
      <c r="M1288" s="49" t="s">
        <v>78</v>
      </c>
      <c r="N1288" s="48" t="s">
        <v>1442</v>
      </c>
      <c r="O1288" s="49" t="s">
        <v>67</v>
      </c>
      <c r="P1288" s="11" t="s">
        <v>1443</v>
      </c>
      <c r="Q1288" s="11" t="s">
        <v>98</v>
      </c>
      <c r="R1288" s="11" t="s">
        <v>2722</v>
      </c>
      <c r="S1288" s="11" t="s">
        <v>2723</v>
      </c>
      <c r="T1288" s="116" t="s">
        <v>10</v>
      </c>
      <c r="U1288" s="88"/>
      <c r="V1288" s="51">
        <v>42868</v>
      </c>
      <c r="W1288" s="97" t="s">
        <v>1568</v>
      </c>
      <c r="X1288" s="135" t="e">
        <f>VLOOKUP(Table1[[#This Row],[AMZ ID]],[1]Roster_1787503287932!$D$2:$AU$1370,25,0)</f>
        <v>#N/A</v>
      </c>
      <c r="Y1288" s="135" t="e">
        <f>VLOOKUP(Table1[[#This Row],[AMZ ID]],[1]Roster_1787503287932!$D$2:$AM$1370,35,0)</f>
        <v>#N/A</v>
      </c>
    </row>
    <row r="1289" spans="1:25" ht="13" customHeight="1">
      <c r="A1289" s="11">
        <v>1283</v>
      </c>
      <c r="B1289" s="47">
        <v>203073699</v>
      </c>
      <c r="C1289" s="89" t="s">
        <v>1444</v>
      </c>
      <c r="D1289" s="11" t="s">
        <v>1445</v>
      </c>
      <c r="E1289" s="48" t="s">
        <v>34</v>
      </c>
      <c r="F1289" s="48" t="s">
        <v>74</v>
      </c>
      <c r="G1289" s="11" t="s">
        <v>64</v>
      </c>
      <c r="H1289" s="11" t="s">
        <v>75</v>
      </c>
      <c r="I1289" s="11">
        <v>1712</v>
      </c>
      <c r="J1289" s="49" t="s">
        <v>38</v>
      </c>
      <c r="K1289" s="49" t="s">
        <v>76</v>
      </c>
      <c r="L1289" s="49" t="s">
        <v>95</v>
      </c>
      <c r="M1289" s="49" t="s">
        <v>77</v>
      </c>
      <c r="N1289" s="48" t="s">
        <v>1446</v>
      </c>
      <c r="O1289" s="49" t="s">
        <v>1447</v>
      </c>
      <c r="P1289" s="11" t="s">
        <v>1443</v>
      </c>
      <c r="Q1289" s="11" t="s">
        <v>98</v>
      </c>
      <c r="R1289" s="11" t="s">
        <v>1448</v>
      </c>
      <c r="S1289" s="11" t="s">
        <v>1449</v>
      </c>
      <c r="T1289" s="116" t="s">
        <v>1</v>
      </c>
      <c r="U1289" s="88"/>
      <c r="V1289" s="51">
        <v>45397</v>
      </c>
      <c r="W1289" s="97" t="s">
        <v>1582</v>
      </c>
      <c r="X1289" s="135" t="e">
        <f>VLOOKUP(Table1[[#This Row],[AMZ ID]],[1]Roster_1787503287932!$D$2:$AU$1370,25,0)</f>
        <v>#N/A</v>
      </c>
      <c r="Y1289" s="135" t="e">
        <f>VLOOKUP(Table1[[#This Row],[AMZ ID]],[1]Roster_1787503287932!$D$2:$AM$1370,35,0)</f>
        <v>#N/A</v>
      </c>
    </row>
    <row r="1290" spans="1:25" ht="13" customHeight="1">
      <c r="A1290" s="11">
        <v>1284</v>
      </c>
      <c r="B1290" s="47">
        <v>203160008</v>
      </c>
      <c r="C1290" s="89" t="s">
        <v>1450</v>
      </c>
      <c r="D1290" s="11" t="s">
        <v>1451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1712</v>
      </c>
      <c r="J1290" s="49" t="s">
        <v>39</v>
      </c>
      <c r="K1290" s="49" t="s">
        <v>76</v>
      </c>
      <c r="L1290" s="49" t="s">
        <v>85</v>
      </c>
      <c r="M1290" s="49" t="s">
        <v>88</v>
      </c>
      <c r="N1290" s="48" t="s">
        <v>1446</v>
      </c>
      <c r="O1290" s="49" t="s">
        <v>1447</v>
      </c>
      <c r="P1290" s="11" t="s">
        <v>1443</v>
      </c>
      <c r="Q1290" s="11" t="s">
        <v>98</v>
      </c>
      <c r="R1290" s="11" t="s">
        <v>1448</v>
      </c>
      <c r="S1290" s="11" t="s">
        <v>1449</v>
      </c>
      <c r="T1290" s="116"/>
      <c r="U1290" s="88"/>
      <c r="V1290" s="51">
        <v>45435</v>
      </c>
      <c r="W1290" s="97" t="s">
        <v>1582</v>
      </c>
      <c r="X1290" s="135" t="e">
        <f>VLOOKUP(Table1[[#This Row],[AMZ ID]],[1]Roster_1787503287932!$D$2:$AU$1370,25,0)</f>
        <v>#N/A</v>
      </c>
      <c r="Y1290" s="135" t="e">
        <f>VLOOKUP(Table1[[#This Row],[AMZ ID]],[1]Roster_1787503287932!$D$2:$AM$1370,35,0)</f>
        <v>#N/A</v>
      </c>
    </row>
    <row r="1291" spans="1:25" ht="13" customHeight="1">
      <c r="A1291" s="11">
        <v>1285</v>
      </c>
      <c r="B1291" s="47">
        <v>203118578</v>
      </c>
      <c r="C1291" s="89" t="s">
        <v>1452</v>
      </c>
      <c r="D1291" s="11" t="s">
        <v>1453</v>
      </c>
      <c r="E1291" s="48" t="s">
        <v>34</v>
      </c>
      <c r="F1291" s="48" t="s">
        <v>74</v>
      </c>
      <c r="G1291" s="11" t="s">
        <v>64</v>
      </c>
      <c r="H1291" s="11" t="s">
        <v>75</v>
      </c>
      <c r="I1291" s="11">
        <v>1712</v>
      </c>
      <c r="J1291" s="49" t="s">
        <v>32</v>
      </c>
      <c r="K1291" s="49" t="s">
        <v>76</v>
      </c>
      <c r="L1291" s="49" t="s">
        <v>85</v>
      </c>
      <c r="M1291" s="49" t="s">
        <v>88</v>
      </c>
      <c r="N1291" s="48" t="s">
        <v>1446</v>
      </c>
      <c r="O1291" s="49" t="s">
        <v>1447</v>
      </c>
      <c r="P1291" s="11" t="s">
        <v>1443</v>
      </c>
      <c r="Q1291" s="11" t="s">
        <v>98</v>
      </c>
      <c r="R1291" s="11" t="s">
        <v>1448</v>
      </c>
      <c r="S1291" s="11" t="s">
        <v>1449</v>
      </c>
      <c r="T1291" s="116" t="s">
        <v>1</v>
      </c>
      <c r="U1291" s="88"/>
      <c r="V1291" s="51">
        <v>45383</v>
      </c>
      <c r="W1291" s="97" t="s">
        <v>1582</v>
      </c>
      <c r="X1291" s="135" t="e">
        <f>VLOOKUP(Table1[[#This Row],[AMZ ID]],[1]Roster_1787503287932!$D$2:$AU$1370,25,0)</f>
        <v>#N/A</v>
      </c>
      <c r="Y1291" s="135" t="e">
        <f>VLOOKUP(Table1[[#This Row],[AMZ ID]],[1]Roster_1787503287932!$D$2:$AM$1370,35,0)</f>
        <v>#N/A</v>
      </c>
    </row>
    <row r="1292" spans="1:25" ht="13" customHeight="1">
      <c r="A1292" s="11">
        <v>1286</v>
      </c>
      <c r="B1292" s="47">
        <v>206238934</v>
      </c>
      <c r="C1292" s="89" t="s">
        <v>2886</v>
      </c>
      <c r="D1292" s="11" t="s">
        <v>2887</v>
      </c>
      <c r="E1292" s="48" t="s">
        <v>34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32</v>
      </c>
      <c r="K1292" s="49" t="s">
        <v>76</v>
      </c>
      <c r="L1292" s="49" t="s">
        <v>77</v>
      </c>
      <c r="M1292" s="49" t="s">
        <v>78</v>
      </c>
      <c r="N1292" s="48" t="s">
        <v>1446</v>
      </c>
      <c r="O1292" s="49" t="s">
        <v>1447</v>
      </c>
      <c r="P1292" s="11" t="s">
        <v>1443</v>
      </c>
      <c r="Q1292" s="11" t="s">
        <v>98</v>
      </c>
      <c r="R1292" s="11" t="s">
        <v>1448</v>
      </c>
      <c r="S1292" s="11" t="s">
        <v>1449</v>
      </c>
      <c r="T1292" s="116" t="s">
        <v>10</v>
      </c>
      <c r="U1292" s="88"/>
      <c r="V1292" s="51">
        <v>46244</v>
      </c>
      <c r="W1292" s="97" t="s">
        <v>1582</v>
      </c>
      <c r="X1292" s="135" t="e">
        <f>VLOOKUP(Table1[[#This Row],[AMZ ID]],[1]Roster_1787503287932!$D$2:$AU$1370,25,0)</f>
        <v>#N/A</v>
      </c>
      <c r="Y1292" s="135" t="e">
        <f>VLOOKUP(Table1[[#This Row],[AMZ ID]],[1]Roster_1787503287932!$D$2:$AM$1370,35,0)</f>
        <v>#N/A</v>
      </c>
    </row>
    <row r="1293" spans="1:25" ht="13" customHeight="1">
      <c r="A1293" s="11">
        <v>1287</v>
      </c>
      <c r="B1293" s="47">
        <v>204043092</v>
      </c>
      <c r="C1293" s="89" t="s">
        <v>1454</v>
      </c>
      <c r="D1293" s="11" t="s">
        <v>1455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1712</v>
      </c>
      <c r="J1293" s="49" t="s">
        <v>39</v>
      </c>
      <c r="K1293" s="49" t="s">
        <v>76</v>
      </c>
      <c r="L1293" s="49" t="s">
        <v>84</v>
      </c>
      <c r="M1293" s="49" t="s">
        <v>85</v>
      </c>
      <c r="N1293" s="48" t="s">
        <v>1446</v>
      </c>
      <c r="O1293" s="49" t="s">
        <v>1447</v>
      </c>
      <c r="P1293" s="11" t="s">
        <v>1443</v>
      </c>
      <c r="Q1293" s="11" t="s">
        <v>98</v>
      </c>
      <c r="R1293" s="11" t="s">
        <v>1448</v>
      </c>
      <c r="S1293" s="11" t="s">
        <v>1449</v>
      </c>
      <c r="T1293" s="116"/>
      <c r="U1293" s="88"/>
      <c r="V1293" s="51">
        <v>45607</v>
      </c>
      <c r="W1293" s="97" t="s">
        <v>1582</v>
      </c>
      <c r="X1293" s="135" t="e">
        <f>VLOOKUP(Table1[[#This Row],[AMZ ID]],[1]Roster_1787503287932!$D$2:$AU$1370,25,0)</f>
        <v>#N/A</v>
      </c>
      <c r="Y1293" s="135" t="e">
        <f>VLOOKUP(Table1[[#This Row],[AMZ ID]],[1]Roster_1787503287932!$D$2:$AM$1370,35,0)</f>
        <v>#N/A</v>
      </c>
    </row>
    <row r="1294" spans="1:25" ht="13" customHeight="1">
      <c r="A1294" s="11">
        <v>1288</v>
      </c>
      <c r="B1294" s="47">
        <v>203052485</v>
      </c>
      <c r="C1294" s="89" t="s">
        <v>1456</v>
      </c>
      <c r="D1294" s="11" t="s">
        <v>1457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1712</v>
      </c>
      <c r="J1294" s="49" t="s">
        <v>32</v>
      </c>
      <c r="K1294" s="49" t="s">
        <v>76</v>
      </c>
      <c r="L1294" s="49" t="s">
        <v>77</v>
      </c>
      <c r="M1294" s="49" t="s">
        <v>78</v>
      </c>
      <c r="N1294" s="48" t="s">
        <v>1446</v>
      </c>
      <c r="O1294" s="49" t="s">
        <v>1447</v>
      </c>
      <c r="P1294" s="11" t="s">
        <v>1443</v>
      </c>
      <c r="Q1294" s="11" t="s">
        <v>98</v>
      </c>
      <c r="R1294" s="11" t="s">
        <v>1448</v>
      </c>
      <c r="S1294" s="11" t="s">
        <v>1449</v>
      </c>
      <c r="T1294" s="116" t="s">
        <v>10</v>
      </c>
      <c r="U1294" s="88"/>
      <c r="V1294" s="51">
        <v>45397</v>
      </c>
      <c r="W1294" s="97" t="s">
        <v>1582</v>
      </c>
      <c r="X1294" s="135" t="e">
        <f>VLOOKUP(Table1[[#This Row],[AMZ ID]],[1]Roster_1787503287932!$D$2:$AU$1370,25,0)</f>
        <v>#N/A</v>
      </c>
      <c r="Y1294" s="135" t="e">
        <f>VLOOKUP(Table1[[#This Row],[AMZ ID]],[1]Roster_1787503287932!$D$2:$AM$1370,35,0)</f>
        <v>#N/A</v>
      </c>
    </row>
    <row r="1295" spans="1:25" ht="13" customHeight="1">
      <c r="A1295" s="11">
        <v>1289</v>
      </c>
      <c r="B1295" s="47">
        <v>207574273</v>
      </c>
      <c r="C1295" s="89" t="s">
        <v>2847</v>
      </c>
      <c r="D1295" s="11" t="s">
        <v>2848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1712</v>
      </c>
      <c r="J1295" s="49" t="s">
        <v>32</v>
      </c>
      <c r="K1295" s="49" t="s">
        <v>76</v>
      </c>
      <c r="L1295" s="49" t="s">
        <v>77</v>
      </c>
      <c r="M1295" s="49" t="s">
        <v>78</v>
      </c>
      <c r="N1295" s="48" t="s">
        <v>1446</v>
      </c>
      <c r="O1295" s="49" t="s">
        <v>1447</v>
      </c>
      <c r="P1295" s="11" t="s">
        <v>1443</v>
      </c>
      <c r="Q1295" s="11" t="s">
        <v>98</v>
      </c>
      <c r="R1295" s="11" t="s">
        <v>1448</v>
      </c>
      <c r="S1295" s="11" t="s">
        <v>1449</v>
      </c>
      <c r="T1295" s="116" t="s">
        <v>10</v>
      </c>
      <c r="U1295" s="88"/>
      <c r="V1295" s="51">
        <v>46230</v>
      </c>
      <c r="W1295" s="97" t="s">
        <v>1582</v>
      </c>
      <c r="X1295" s="135" t="e">
        <f>VLOOKUP(Table1[[#This Row],[AMZ ID]],[1]Roster_1787503287932!$D$2:$AU$1370,25,0)</f>
        <v>#N/A</v>
      </c>
      <c r="Y1295" s="135" t="e">
        <f>VLOOKUP(Table1[[#This Row],[AMZ ID]],[1]Roster_1787503287932!$D$2:$AM$1370,35,0)</f>
        <v>#N/A</v>
      </c>
    </row>
    <row r="1296" spans="1:25" ht="13" customHeight="1">
      <c r="A1296" s="11">
        <v>1290</v>
      </c>
      <c r="B1296" s="47">
        <v>203160007</v>
      </c>
      <c r="C1296" s="89" t="s">
        <v>1458</v>
      </c>
      <c r="D1296" s="11" t="s">
        <v>1459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1712</v>
      </c>
      <c r="J1296" s="49" t="s">
        <v>39</v>
      </c>
      <c r="K1296" s="49" t="s">
        <v>76</v>
      </c>
      <c r="L1296" s="49" t="s">
        <v>88</v>
      </c>
      <c r="M1296" s="49" t="s">
        <v>95</v>
      </c>
      <c r="N1296" s="48" t="s">
        <v>1446</v>
      </c>
      <c r="O1296" s="49" t="s">
        <v>1447</v>
      </c>
      <c r="P1296" s="11" t="s">
        <v>1443</v>
      </c>
      <c r="Q1296" s="11" t="s">
        <v>98</v>
      </c>
      <c r="R1296" s="11" t="s">
        <v>1448</v>
      </c>
      <c r="S1296" s="11" t="s">
        <v>1449</v>
      </c>
      <c r="T1296" s="116"/>
      <c r="U1296" s="88"/>
      <c r="V1296" s="51">
        <v>45453</v>
      </c>
      <c r="W1296" s="97" t="s">
        <v>1582</v>
      </c>
      <c r="X1296" s="135" t="e">
        <f>VLOOKUP(Table1[[#This Row],[AMZ ID]],[1]Roster_1787503287932!$D$2:$AU$1370,25,0)</f>
        <v>#N/A</v>
      </c>
      <c r="Y1296" s="135" t="e">
        <f>VLOOKUP(Table1[[#This Row],[AMZ ID]],[1]Roster_1787503287932!$D$2:$AM$1370,35,0)</f>
        <v>#N/A</v>
      </c>
    </row>
    <row r="1297" spans="1:25" ht="13" customHeight="1">
      <c r="A1297" s="11">
        <v>1291</v>
      </c>
      <c r="B1297" s="47">
        <v>113015344</v>
      </c>
      <c r="C1297" s="89" t="s">
        <v>1460</v>
      </c>
      <c r="D1297" s="11" t="s">
        <v>1461</v>
      </c>
      <c r="E1297" s="48" t="s">
        <v>34</v>
      </c>
      <c r="F1297" s="48" t="s">
        <v>74</v>
      </c>
      <c r="G1297" s="11" t="s">
        <v>64</v>
      </c>
      <c r="H1297" s="11" t="s">
        <v>75</v>
      </c>
      <c r="I1297" s="11">
        <v>1712</v>
      </c>
      <c r="J1297" s="49" t="s">
        <v>39</v>
      </c>
      <c r="K1297" s="49" t="s">
        <v>76</v>
      </c>
      <c r="L1297" s="49" t="s">
        <v>77</v>
      </c>
      <c r="M1297" s="49" t="s">
        <v>78</v>
      </c>
      <c r="N1297" s="48" t="s">
        <v>1446</v>
      </c>
      <c r="O1297" s="49" t="s">
        <v>1447</v>
      </c>
      <c r="P1297" s="11" t="s">
        <v>1443</v>
      </c>
      <c r="Q1297" s="11" t="s">
        <v>98</v>
      </c>
      <c r="R1297" s="11" t="s">
        <v>1448</v>
      </c>
      <c r="S1297" s="11" t="s">
        <v>1449</v>
      </c>
      <c r="T1297" s="116" t="s">
        <v>10</v>
      </c>
      <c r="U1297" s="88"/>
      <c r="V1297" s="51">
        <v>44823</v>
      </c>
      <c r="W1297" s="97" t="s">
        <v>1582</v>
      </c>
      <c r="X1297" s="135" t="e">
        <f>VLOOKUP(Table1[[#This Row],[AMZ ID]],[1]Roster_1787503287932!$D$2:$AU$1370,25,0)</f>
        <v>#N/A</v>
      </c>
      <c r="Y1297" s="135" t="e">
        <f>VLOOKUP(Table1[[#This Row],[AMZ ID]],[1]Roster_1787503287932!$D$2:$AM$1370,35,0)</f>
        <v>#N/A</v>
      </c>
    </row>
    <row r="1298" spans="1:25" ht="13" customHeight="1">
      <c r="A1298" s="11">
        <v>1292</v>
      </c>
      <c r="B1298" s="47">
        <v>203160009</v>
      </c>
      <c r="C1298" s="89" t="s">
        <v>1462</v>
      </c>
      <c r="D1298" s="11" t="s">
        <v>1463</v>
      </c>
      <c r="E1298" s="48" t="s">
        <v>34</v>
      </c>
      <c r="F1298" s="48" t="s">
        <v>74</v>
      </c>
      <c r="G1298" s="11" t="s">
        <v>64</v>
      </c>
      <c r="H1298" s="11" t="s">
        <v>75</v>
      </c>
      <c r="I1298" s="11">
        <v>1712</v>
      </c>
      <c r="J1298" s="49" t="s">
        <v>38</v>
      </c>
      <c r="K1298" s="49" t="s">
        <v>76</v>
      </c>
      <c r="L1298" s="49" t="s">
        <v>78</v>
      </c>
      <c r="M1298" s="49" t="s">
        <v>92</v>
      </c>
      <c r="N1298" s="48" t="s">
        <v>1446</v>
      </c>
      <c r="O1298" s="49" t="s">
        <v>1447</v>
      </c>
      <c r="P1298" s="11" t="s">
        <v>1443</v>
      </c>
      <c r="Q1298" s="11" t="s">
        <v>98</v>
      </c>
      <c r="R1298" s="11" t="s">
        <v>1448</v>
      </c>
      <c r="S1298" s="11" t="s">
        <v>1449</v>
      </c>
      <c r="T1298" s="116" t="s">
        <v>10</v>
      </c>
      <c r="U1298" s="88"/>
      <c r="V1298" s="51">
        <v>45446</v>
      </c>
      <c r="W1298" s="97" t="s">
        <v>1582</v>
      </c>
      <c r="X1298" s="135" t="e">
        <f>VLOOKUP(Table1[[#This Row],[AMZ ID]],[1]Roster_1787503287932!$D$2:$AU$1370,25,0)</f>
        <v>#N/A</v>
      </c>
      <c r="Y1298" s="135" t="e">
        <f>VLOOKUP(Table1[[#This Row],[AMZ ID]],[1]Roster_1787503287932!$D$2:$AM$1370,35,0)</f>
        <v>#N/A</v>
      </c>
    </row>
    <row r="1299" spans="1:25" ht="13" customHeight="1">
      <c r="A1299" s="11">
        <v>1293</v>
      </c>
      <c r="B1299" s="47">
        <v>203118579</v>
      </c>
      <c r="C1299" s="89" t="s">
        <v>1464</v>
      </c>
      <c r="D1299" s="11" t="s">
        <v>1465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1712</v>
      </c>
      <c r="J1299" s="49" t="s">
        <v>32</v>
      </c>
      <c r="K1299" s="49" t="s">
        <v>76</v>
      </c>
      <c r="L1299" s="49" t="s">
        <v>88</v>
      </c>
      <c r="M1299" s="49" t="s">
        <v>95</v>
      </c>
      <c r="N1299" s="48" t="s">
        <v>1446</v>
      </c>
      <c r="O1299" s="49" t="s">
        <v>1447</v>
      </c>
      <c r="P1299" s="11" t="s">
        <v>1443</v>
      </c>
      <c r="Q1299" s="11" t="s">
        <v>98</v>
      </c>
      <c r="R1299" s="49" t="s">
        <v>1448</v>
      </c>
      <c r="S1299" s="11" t="s">
        <v>1449</v>
      </c>
      <c r="T1299" s="116" t="s">
        <v>1</v>
      </c>
      <c r="U1299" s="88"/>
      <c r="V1299" s="51">
        <v>45378</v>
      </c>
      <c r="W1299" s="97" t="s">
        <v>1582</v>
      </c>
      <c r="X1299" s="135" t="e">
        <f>VLOOKUP(Table1[[#This Row],[AMZ ID]],[1]Roster_1787503287932!$D$2:$AU$1370,25,0)</f>
        <v>#N/A</v>
      </c>
      <c r="Y1299" s="135" t="e">
        <f>VLOOKUP(Table1[[#This Row],[AMZ ID]],[1]Roster_1787503287932!$D$2:$AM$1370,35,0)</f>
        <v>#N/A</v>
      </c>
    </row>
    <row r="1300" spans="1:25" ht="13" customHeight="1">
      <c r="A1300" s="11">
        <v>1294</v>
      </c>
      <c r="B1300" s="47">
        <v>203073561</v>
      </c>
      <c r="C1300" s="89" t="s">
        <v>1466</v>
      </c>
      <c r="D1300" s="11" t="s">
        <v>1467</v>
      </c>
      <c r="E1300" s="48" t="s">
        <v>34</v>
      </c>
      <c r="F1300" s="48" t="s">
        <v>74</v>
      </c>
      <c r="G1300" s="11" t="s">
        <v>64</v>
      </c>
      <c r="H1300" s="11" t="s">
        <v>75</v>
      </c>
      <c r="I1300" s="11">
        <v>1712</v>
      </c>
      <c r="J1300" s="49" t="s">
        <v>38</v>
      </c>
      <c r="K1300" s="49" t="s">
        <v>76</v>
      </c>
      <c r="L1300" s="49" t="s">
        <v>85</v>
      </c>
      <c r="M1300" s="49" t="s">
        <v>88</v>
      </c>
      <c r="N1300" s="48" t="s">
        <v>1446</v>
      </c>
      <c r="O1300" s="49" t="s">
        <v>1447</v>
      </c>
      <c r="P1300" s="11" t="s">
        <v>1443</v>
      </c>
      <c r="Q1300" s="11" t="s">
        <v>98</v>
      </c>
      <c r="R1300" s="11" t="s">
        <v>1448</v>
      </c>
      <c r="S1300" s="11" t="s">
        <v>1449</v>
      </c>
      <c r="T1300" s="116" t="s">
        <v>1</v>
      </c>
      <c r="U1300" s="88"/>
      <c r="V1300" s="51">
        <v>45397</v>
      </c>
      <c r="W1300" s="97" t="s">
        <v>1582</v>
      </c>
      <c r="X1300" s="135" t="e">
        <f>VLOOKUP(Table1[[#This Row],[AMZ ID]],[1]Roster_1787503287932!$D$2:$AU$1370,25,0)</f>
        <v>#N/A</v>
      </c>
      <c r="Y1300" s="135" t="e">
        <f>VLOOKUP(Table1[[#This Row],[AMZ ID]],[1]Roster_1787503287932!$D$2:$AM$1370,35,0)</f>
        <v>#N/A</v>
      </c>
    </row>
    <row r="1301" spans="1:25" ht="13" customHeight="1">
      <c r="A1301" s="11">
        <v>1295</v>
      </c>
      <c r="B1301" s="47">
        <v>203052856</v>
      </c>
      <c r="C1301" s="89" t="s">
        <v>1468</v>
      </c>
      <c r="D1301" s="11" t="s">
        <v>1469</v>
      </c>
      <c r="E1301" s="48" t="s">
        <v>34</v>
      </c>
      <c r="F1301" s="48" t="s">
        <v>74</v>
      </c>
      <c r="G1301" s="11" t="s">
        <v>64</v>
      </c>
      <c r="H1301" s="11" t="s">
        <v>75</v>
      </c>
      <c r="I1301" s="11">
        <v>1712</v>
      </c>
      <c r="J1301" s="49" t="s">
        <v>32</v>
      </c>
      <c r="K1301" s="49" t="s">
        <v>76</v>
      </c>
      <c r="L1301" s="49" t="s">
        <v>95</v>
      </c>
      <c r="M1301" s="49" t="s">
        <v>77</v>
      </c>
      <c r="N1301" s="48" t="s">
        <v>1446</v>
      </c>
      <c r="O1301" s="49" t="s">
        <v>1447</v>
      </c>
      <c r="P1301" s="11" t="s">
        <v>1443</v>
      </c>
      <c r="Q1301" s="11" t="s">
        <v>98</v>
      </c>
      <c r="R1301" s="49" t="s">
        <v>1448</v>
      </c>
      <c r="S1301" s="11" t="s">
        <v>1449</v>
      </c>
      <c r="T1301" s="116" t="s">
        <v>7</v>
      </c>
      <c r="U1301" s="88" t="s">
        <v>3015</v>
      </c>
      <c r="V1301" s="51">
        <v>45411</v>
      </c>
      <c r="W1301" s="97" t="s">
        <v>1582</v>
      </c>
      <c r="X1301" s="135" t="e">
        <f>VLOOKUP(Table1[[#This Row],[AMZ ID]],[1]Roster_1787503287932!$D$2:$AU$1370,25,0)</f>
        <v>#N/A</v>
      </c>
      <c r="Y1301" s="135" t="e">
        <f>VLOOKUP(Table1[[#This Row],[AMZ ID]],[1]Roster_1787503287932!$D$2:$AM$1370,35,0)</f>
        <v>#N/A</v>
      </c>
    </row>
    <row r="1302" spans="1:25" ht="13" customHeight="1">
      <c r="A1302" s="11">
        <v>1296</v>
      </c>
      <c r="B1302" s="47">
        <v>203073425</v>
      </c>
      <c r="C1302" s="89" t="s">
        <v>1470</v>
      </c>
      <c r="D1302" s="11" t="s">
        <v>1471</v>
      </c>
      <c r="E1302" s="48" t="s">
        <v>34</v>
      </c>
      <c r="F1302" s="48" t="s">
        <v>74</v>
      </c>
      <c r="G1302" s="11" t="s">
        <v>64</v>
      </c>
      <c r="H1302" s="11" t="s">
        <v>75</v>
      </c>
      <c r="I1302" s="11">
        <v>1712</v>
      </c>
      <c r="J1302" s="49" t="s">
        <v>38</v>
      </c>
      <c r="K1302" s="49" t="s">
        <v>76</v>
      </c>
      <c r="L1302" s="49" t="s">
        <v>36</v>
      </c>
      <c r="M1302" s="49" t="s">
        <v>78</v>
      </c>
      <c r="N1302" s="48" t="s">
        <v>1446</v>
      </c>
      <c r="O1302" s="49" t="s">
        <v>1447</v>
      </c>
      <c r="P1302" s="11" t="s">
        <v>1443</v>
      </c>
      <c r="Q1302" s="11" t="s">
        <v>98</v>
      </c>
      <c r="R1302" s="11" t="s">
        <v>1448</v>
      </c>
      <c r="S1302" s="11" t="s">
        <v>1449</v>
      </c>
      <c r="T1302" s="116" t="s">
        <v>1</v>
      </c>
      <c r="U1302" s="88"/>
      <c r="V1302" s="51">
        <v>45411</v>
      </c>
      <c r="W1302" s="97" t="s">
        <v>1582</v>
      </c>
      <c r="X1302" s="135" t="e">
        <f>VLOOKUP(Table1[[#This Row],[AMZ ID]],[1]Roster_1787503287932!$D$2:$AU$1370,25,0)</f>
        <v>#N/A</v>
      </c>
      <c r="Y1302" s="135" t="e">
        <f>VLOOKUP(Table1[[#This Row],[AMZ ID]],[1]Roster_1787503287932!$D$2:$AM$1370,35,0)</f>
        <v>#N/A</v>
      </c>
    </row>
    <row r="1303" spans="1:25" ht="13" customHeight="1">
      <c r="A1303" s="11">
        <v>1297</v>
      </c>
      <c r="B1303" s="47">
        <v>204241393</v>
      </c>
      <c r="C1303" s="89" t="s">
        <v>424</v>
      </c>
      <c r="D1303" s="11" t="s">
        <v>425</v>
      </c>
      <c r="E1303" s="48" t="s">
        <v>31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32</v>
      </c>
      <c r="K1303" s="49" t="s">
        <v>76</v>
      </c>
      <c r="L1303" s="49" t="s">
        <v>78</v>
      </c>
      <c r="M1303" s="49" t="s">
        <v>92</v>
      </c>
      <c r="N1303" s="48" t="s">
        <v>86</v>
      </c>
      <c r="O1303" s="49" t="s">
        <v>35</v>
      </c>
      <c r="P1303" s="11" t="s">
        <v>80</v>
      </c>
      <c r="Q1303" s="11" t="s">
        <v>87</v>
      </c>
      <c r="R1303" s="11" t="s">
        <v>224</v>
      </c>
      <c r="S1303" s="11" t="s">
        <v>2715</v>
      </c>
      <c r="T1303" s="116" t="s">
        <v>10</v>
      </c>
      <c r="U1303" s="88"/>
      <c r="V1303" s="51">
        <v>45579</v>
      </c>
      <c r="W1303" s="97" t="s">
        <v>1572</v>
      </c>
      <c r="X1303" s="135" t="str">
        <f>VLOOKUP(Table1[[#This Row],[AMZ ID]],[1]Roster_1787503287932!$D$2:$AU$1370,25,0)</f>
        <v>Not Present</v>
      </c>
      <c r="Y1303" s="135">
        <f>VLOOKUP(Table1[[#This Row],[AMZ ID]],[1]Roster_1787503287932!$D$2:$AM$1370,35,0)</f>
        <v>0</v>
      </c>
    </row>
    <row r="1304" spans="1:25" ht="13" customHeight="1">
      <c r="A1304" s="11">
        <v>1298</v>
      </c>
      <c r="B1304" s="47">
        <v>207383780</v>
      </c>
      <c r="C1304" s="89" t="s">
        <v>2323</v>
      </c>
      <c r="D1304" s="11" t="s">
        <v>2324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39</v>
      </c>
      <c r="K1304" s="49" t="s">
        <v>76</v>
      </c>
      <c r="L1304" s="49" t="s">
        <v>85</v>
      </c>
      <c r="M1304" s="49" t="s">
        <v>88</v>
      </c>
      <c r="N1304" s="48" t="s">
        <v>2205</v>
      </c>
      <c r="O1304" s="49" t="s">
        <v>1475</v>
      </c>
      <c r="P1304" s="11" t="s">
        <v>1443</v>
      </c>
      <c r="Q1304" s="11" t="s">
        <v>96</v>
      </c>
      <c r="R1304" s="11" t="s">
        <v>2199</v>
      </c>
      <c r="S1304" s="11" t="s">
        <v>2726</v>
      </c>
      <c r="T1304" s="116" t="s">
        <v>7</v>
      </c>
      <c r="U1304" s="88"/>
      <c r="V1304" s="51">
        <v>46141</v>
      </c>
      <c r="W1304" s="97" t="s">
        <v>1583</v>
      </c>
      <c r="X1304" s="135" t="str">
        <f>VLOOKUP(Table1[[#This Row],[AMZ ID]],[1]Roster_1787503287932!$D$2:$AU$1370,25,0)</f>
        <v>Not Present</v>
      </c>
      <c r="Y1304" s="135">
        <f>VLOOKUP(Table1[[#This Row],[AMZ ID]],[1]Roster_1787503287932!$D$2:$AM$1370,35,0)</f>
        <v>0</v>
      </c>
    </row>
    <row r="1305" spans="1:25" ht="13" customHeight="1">
      <c r="A1305" s="11">
        <v>1299</v>
      </c>
      <c r="B1305" s="47">
        <v>112875012</v>
      </c>
      <c r="C1305" s="89" t="s">
        <v>2343</v>
      </c>
      <c r="D1305" s="11" t="s">
        <v>2344</v>
      </c>
      <c r="E1305" s="48" t="s">
        <v>34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32</v>
      </c>
      <c r="K1305" s="49" t="s">
        <v>76</v>
      </c>
      <c r="L1305" s="49" t="s">
        <v>78</v>
      </c>
      <c r="M1305" s="49" t="s">
        <v>92</v>
      </c>
      <c r="N1305" s="48" t="s">
        <v>1476</v>
      </c>
      <c r="O1305" s="49" t="s">
        <v>1475</v>
      </c>
      <c r="P1305" s="11" t="s">
        <v>1443</v>
      </c>
      <c r="Q1305" s="11" t="s">
        <v>98</v>
      </c>
      <c r="R1305" s="49" t="s">
        <v>2199</v>
      </c>
      <c r="S1305" s="11" t="s">
        <v>2726</v>
      </c>
      <c r="T1305" s="116" t="s">
        <v>10</v>
      </c>
      <c r="U1305" s="88"/>
      <c r="V1305" s="51">
        <v>45250</v>
      </c>
      <c r="W1305" s="97" t="s">
        <v>1583</v>
      </c>
      <c r="X1305" s="135" t="e">
        <f>VLOOKUP(Table1[[#This Row],[AMZ ID]],[1]Roster_1787503287932!$D$2:$AU$1370,25,0)</f>
        <v>#N/A</v>
      </c>
      <c r="Y1305" s="135" t="e">
        <f>VLOOKUP(Table1[[#This Row],[AMZ ID]],[1]Roster_1787503287932!$D$2:$AM$1370,35,0)</f>
        <v>#N/A</v>
      </c>
    </row>
    <row r="1306" spans="1:25" ht="13" customHeight="1">
      <c r="A1306" s="11">
        <v>1300</v>
      </c>
      <c r="B1306" s="47">
        <v>204341339</v>
      </c>
      <c r="C1306" s="89" t="s">
        <v>1477</v>
      </c>
      <c r="D1306" s="11" t="s">
        <v>1478</v>
      </c>
      <c r="E1306" s="48" t="s">
        <v>31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32</v>
      </c>
      <c r="K1306" s="49" t="s">
        <v>76</v>
      </c>
      <c r="L1306" s="49" t="s">
        <v>85</v>
      </c>
      <c r="M1306" s="49" t="s">
        <v>88</v>
      </c>
      <c r="N1306" s="48" t="s">
        <v>1479</v>
      </c>
      <c r="O1306" s="49" t="s">
        <v>1475</v>
      </c>
      <c r="P1306" s="11" t="s">
        <v>1443</v>
      </c>
      <c r="Q1306" s="11" t="s">
        <v>90</v>
      </c>
      <c r="R1306" s="11" t="s">
        <v>2199</v>
      </c>
      <c r="S1306" s="11" t="s">
        <v>2726</v>
      </c>
      <c r="T1306" s="88" t="s">
        <v>3</v>
      </c>
      <c r="U1306" s="88"/>
      <c r="V1306" s="51">
        <v>45589</v>
      </c>
      <c r="W1306" s="97" t="s">
        <v>1583</v>
      </c>
      <c r="X1306" s="135" t="str">
        <f>VLOOKUP(Table1[[#This Row],[AMZ ID]],[1]Roster_1787503287932!$D$2:$AU$1370,25,0)</f>
        <v>Not Present</v>
      </c>
      <c r="Y1306" s="135">
        <f>VLOOKUP(Table1[[#This Row],[AMZ ID]],[1]Roster_1787503287932!$D$2:$AM$1370,35,0)</f>
        <v>0</v>
      </c>
    </row>
    <row r="1307" spans="1:25" ht="13" customHeight="1">
      <c r="A1307" s="11">
        <v>1301</v>
      </c>
      <c r="B1307" s="47">
        <v>204246611</v>
      </c>
      <c r="C1307" s="89" t="s">
        <v>428</v>
      </c>
      <c r="D1307" s="11" t="s">
        <v>429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78</v>
      </c>
      <c r="M1307" s="49" t="s">
        <v>92</v>
      </c>
      <c r="N1307" s="48" t="s">
        <v>86</v>
      </c>
      <c r="O1307" s="49" t="s">
        <v>35</v>
      </c>
      <c r="P1307" s="11" t="s">
        <v>80</v>
      </c>
      <c r="Q1307" s="11" t="s">
        <v>87</v>
      </c>
      <c r="R1307" s="11" t="s">
        <v>225</v>
      </c>
      <c r="S1307" s="11" t="s">
        <v>226</v>
      </c>
      <c r="T1307" s="116" t="s">
        <v>10</v>
      </c>
      <c r="U1307" s="88"/>
      <c r="V1307" s="51">
        <v>45579</v>
      </c>
      <c r="W1307" s="97" t="s">
        <v>1572</v>
      </c>
      <c r="X1307" s="135" t="str">
        <f>VLOOKUP(Table1[[#This Row],[AMZ ID]],[1]Roster_1787503287932!$D$2:$AU$1370,25,0)</f>
        <v>Not Present</v>
      </c>
      <c r="Y1307" s="135" t="str">
        <f>VLOOKUP(Table1[[#This Row],[AMZ ID]],[1]Roster_1787503287932!$D$2:$AM$1370,35,0)</f>
        <v>Annual Leave</v>
      </c>
    </row>
    <row r="1308" spans="1:25" ht="13" customHeight="1">
      <c r="A1308" s="11">
        <v>1302</v>
      </c>
      <c r="B1308" s="47">
        <v>204155451</v>
      </c>
      <c r="C1308" s="89" t="s">
        <v>1482</v>
      </c>
      <c r="D1308" s="11" t="s">
        <v>1483</v>
      </c>
      <c r="E1308" s="48" t="s">
        <v>31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32</v>
      </c>
      <c r="K1308" s="49" t="s">
        <v>76</v>
      </c>
      <c r="L1308" s="49" t="s">
        <v>92</v>
      </c>
      <c r="M1308" s="49" t="s">
        <v>84</v>
      </c>
      <c r="N1308" s="48" t="s">
        <v>1479</v>
      </c>
      <c r="O1308" s="49" t="s">
        <v>1475</v>
      </c>
      <c r="P1308" s="11" t="s">
        <v>1443</v>
      </c>
      <c r="Q1308" s="11" t="s">
        <v>90</v>
      </c>
      <c r="R1308" s="49" t="s">
        <v>2199</v>
      </c>
      <c r="S1308" s="11" t="s">
        <v>2726</v>
      </c>
      <c r="T1308" s="116" t="s">
        <v>1</v>
      </c>
      <c r="U1308" s="88"/>
      <c r="V1308" s="51">
        <v>45567</v>
      </c>
      <c r="W1308" s="97" t="s">
        <v>1583</v>
      </c>
      <c r="X1308" s="135" t="str">
        <f>VLOOKUP(Table1[[#This Row],[AMZ ID]],[1]Roster_1787503287932!$D$2:$AU$1370,25,0)</f>
        <v>Present</v>
      </c>
      <c r="Y1308" s="135">
        <f>VLOOKUP(Table1[[#This Row],[AMZ ID]],[1]Roster_1787503287932!$D$2:$AM$1370,35,0)</f>
        <v>0</v>
      </c>
    </row>
    <row r="1309" spans="1:25" ht="13" customHeight="1">
      <c r="A1309" s="11">
        <v>1303</v>
      </c>
      <c r="B1309" s="47">
        <v>204469338</v>
      </c>
      <c r="C1309" s="89" t="s">
        <v>1484</v>
      </c>
      <c r="D1309" s="11" t="s">
        <v>1485</v>
      </c>
      <c r="E1309" s="48" t="s">
        <v>31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95</v>
      </c>
      <c r="M1309" s="49" t="s">
        <v>77</v>
      </c>
      <c r="N1309" s="48" t="s">
        <v>1486</v>
      </c>
      <c r="O1309" s="49" t="s">
        <v>1475</v>
      </c>
      <c r="P1309" s="11" t="s">
        <v>1443</v>
      </c>
      <c r="Q1309" s="11" t="s">
        <v>81</v>
      </c>
      <c r="R1309" s="11" t="s">
        <v>2199</v>
      </c>
      <c r="S1309" s="11" t="s">
        <v>2726</v>
      </c>
      <c r="T1309" s="116" t="s">
        <v>1</v>
      </c>
      <c r="U1309" s="88"/>
      <c r="V1309" s="51">
        <v>45603</v>
      </c>
      <c r="W1309" s="97" t="s">
        <v>1583</v>
      </c>
      <c r="X1309" s="135" t="str">
        <f>VLOOKUP(Table1[[#This Row],[AMZ ID]],[1]Roster_1787503287932!$D$2:$AU$1370,25,0)</f>
        <v>Present</v>
      </c>
      <c r="Y1309" s="135">
        <f>VLOOKUP(Table1[[#This Row],[AMZ ID]],[1]Roster_1787503287932!$D$2:$AM$1370,35,0)</f>
        <v>0</v>
      </c>
    </row>
    <row r="1310" spans="1:25" ht="13" customHeight="1">
      <c r="A1310" s="11">
        <v>1304</v>
      </c>
      <c r="B1310" s="47">
        <v>205837449</v>
      </c>
      <c r="C1310" s="89" t="s">
        <v>2203</v>
      </c>
      <c r="D1310" s="11" t="s">
        <v>2204</v>
      </c>
      <c r="E1310" s="48" t="s">
        <v>31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32</v>
      </c>
      <c r="K1310" s="49" t="s">
        <v>76</v>
      </c>
      <c r="L1310" s="49" t="s">
        <v>95</v>
      </c>
      <c r="M1310" s="49" t="s">
        <v>77</v>
      </c>
      <c r="N1310" s="48" t="s">
        <v>2205</v>
      </c>
      <c r="O1310" s="49" t="s">
        <v>1475</v>
      </c>
      <c r="P1310" s="11" t="s">
        <v>1443</v>
      </c>
      <c r="Q1310" s="11" t="s">
        <v>96</v>
      </c>
      <c r="R1310" s="11" t="s">
        <v>2199</v>
      </c>
      <c r="S1310" s="11" t="s">
        <v>2726</v>
      </c>
      <c r="T1310" s="116" t="s">
        <v>1</v>
      </c>
      <c r="U1310" s="88"/>
      <c r="V1310" s="51">
        <v>45890</v>
      </c>
      <c r="W1310" s="97" t="s">
        <v>1583</v>
      </c>
      <c r="X1310" s="135" t="str">
        <f>VLOOKUP(Table1[[#This Row],[AMZ ID]],[1]Roster_1787503287932!$D$2:$AU$1370,25,0)</f>
        <v>Present</v>
      </c>
      <c r="Y1310" s="135">
        <f>VLOOKUP(Table1[[#This Row],[AMZ ID]],[1]Roster_1787503287932!$D$2:$AM$1370,35,0)</f>
        <v>0</v>
      </c>
    </row>
    <row r="1311" spans="1:25" ht="13" customHeight="1">
      <c r="A1311" s="11">
        <v>1305</v>
      </c>
      <c r="B1311" s="47">
        <v>203174504</v>
      </c>
      <c r="C1311" s="89" t="s">
        <v>2463</v>
      </c>
      <c r="D1311" s="11" t="s">
        <v>2464</v>
      </c>
      <c r="E1311" s="48" t="s">
        <v>34</v>
      </c>
      <c r="F1311" s="48" t="s">
        <v>74</v>
      </c>
      <c r="G1311" s="11" t="s">
        <v>64</v>
      </c>
      <c r="H1311" s="11" t="s">
        <v>75</v>
      </c>
      <c r="I1311" s="11">
        <v>1299</v>
      </c>
      <c r="J1311" s="49" t="s">
        <v>32</v>
      </c>
      <c r="K1311" s="49" t="s">
        <v>76</v>
      </c>
      <c r="L1311" s="49" t="s">
        <v>88</v>
      </c>
      <c r="M1311" s="49" t="s">
        <v>95</v>
      </c>
      <c r="N1311" s="48" t="s">
        <v>1476</v>
      </c>
      <c r="O1311" s="49" t="s">
        <v>1475</v>
      </c>
      <c r="P1311" s="11" t="s">
        <v>1443</v>
      </c>
      <c r="Q1311" s="11" t="s">
        <v>98</v>
      </c>
      <c r="R1311" s="11" t="s">
        <v>2199</v>
      </c>
      <c r="S1311" s="11" t="s">
        <v>2726</v>
      </c>
      <c r="T1311" s="116" t="s">
        <v>1</v>
      </c>
      <c r="U1311" s="88"/>
      <c r="V1311" s="51">
        <v>46076</v>
      </c>
      <c r="W1311" s="97" t="s">
        <v>1583</v>
      </c>
      <c r="X1311" s="135" t="e">
        <f>VLOOKUP(Table1[[#This Row],[AMZ ID]],[1]Roster_1787503287932!$D$2:$AU$1370,25,0)</f>
        <v>#N/A</v>
      </c>
      <c r="Y1311" s="135" t="e">
        <f>VLOOKUP(Table1[[#This Row],[AMZ ID]],[1]Roster_1787503287932!$D$2:$AM$1370,35,0)</f>
        <v>#N/A</v>
      </c>
    </row>
    <row r="1312" spans="1:25" ht="13" customHeight="1">
      <c r="A1312" s="11">
        <v>1306</v>
      </c>
      <c r="B1312" s="47">
        <v>204033425</v>
      </c>
      <c r="C1312" s="89" t="s">
        <v>1487</v>
      </c>
      <c r="D1312" s="11" t="s">
        <v>1488</v>
      </c>
      <c r="E1312" s="48" t="s">
        <v>31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39</v>
      </c>
      <c r="K1312" s="49" t="s">
        <v>76</v>
      </c>
      <c r="L1312" s="49" t="s">
        <v>92</v>
      </c>
      <c r="M1312" s="49" t="s">
        <v>84</v>
      </c>
      <c r="N1312" s="48" t="s">
        <v>1486</v>
      </c>
      <c r="O1312" s="49" t="s">
        <v>1475</v>
      </c>
      <c r="P1312" s="11" t="s">
        <v>1443</v>
      </c>
      <c r="Q1312" s="11" t="s">
        <v>81</v>
      </c>
      <c r="R1312" s="11" t="s">
        <v>2199</v>
      </c>
      <c r="S1312" s="11" t="s">
        <v>2726</v>
      </c>
      <c r="T1312" s="88" t="s">
        <v>7</v>
      </c>
      <c r="U1312" s="88"/>
      <c r="V1312" s="51">
        <v>45553</v>
      </c>
      <c r="W1312" s="97" t="s">
        <v>1583</v>
      </c>
      <c r="X1312" s="135" t="str">
        <f>VLOOKUP(Table1[[#This Row],[AMZ ID]],[1]Roster_1787503287932!$D$2:$AU$1370,25,0)</f>
        <v>Not Present</v>
      </c>
      <c r="Y1312" s="135">
        <f>VLOOKUP(Table1[[#This Row],[AMZ ID]],[1]Roster_1787503287932!$D$2:$AM$1370,35,0)</f>
        <v>0</v>
      </c>
    </row>
    <row r="1313" spans="1:25" ht="13" customHeight="1">
      <c r="A1313" s="11">
        <v>1307</v>
      </c>
      <c r="B1313" s="47">
        <v>207282341</v>
      </c>
      <c r="C1313" s="89" t="s">
        <v>2325</v>
      </c>
      <c r="D1313" s="11" t="s">
        <v>2326</v>
      </c>
      <c r="E1313" s="48" t="s">
        <v>31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39</v>
      </c>
      <c r="K1313" s="49" t="s">
        <v>76</v>
      </c>
      <c r="L1313" s="49" t="s">
        <v>85</v>
      </c>
      <c r="M1313" s="49" t="s">
        <v>88</v>
      </c>
      <c r="N1313" s="48" t="s">
        <v>2205</v>
      </c>
      <c r="O1313" s="49" t="s">
        <v>1475</v>
      </c>
      <c r="P1313" s="11" t="s">
        <v>1443</v>
      </c>
      <c r="Q1313" s="11" t="s">
        <v>96</v>
      </c>
      <c r="R1313" s="11" t="s">
        <v>2199</v>
      </c>
      <c r="S1313" s="11" t="s">
        <v>2726</v>
      </c>
      <c r="T1313" s="116" t="s">
        <v>1</v>
      </c>
      <c r="U1313" s="88"/>
      <c r="V1313" s="51">
        <v>46123</v>
      </c>
      <c r="W1313" s="97" t="s">
        <v>1583</v>
      </c>
      <c r="X1313" s="135" t="str">
        <f>VLOOKUP(Table1[[#This Row],[AMZ ID]],[1]Roster_1787503287932!$D$2:$AU$1370,25,0)</f>
        <v>Present</v>
      </c>
      <c r="Y1313" s="135">
        <f>VLOOKUP(Table1[[#This Row],[AMZ ID]],[1]Roster_1787503287932!$D$2:$AM$1370,35,0)</f>
        <v>0</v>
      </c>
    </row>
    <row r="1314" spans="1:25" ht="13" customHeight="1">
      <c r="A1314" s="11">
        <v>1308</v>
      </c>
      <c r="B1314" s="47">
        <v>203555938</v>
      </c>
      <c r="C1314" s="89" t="s">
        <v>2459</v>
      </c>
      <c r="D1314" s="11" t="s">
        <v>2460</v>
      </c>
      <c r="E1314" s="48" t="s">
        <v>31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32</v>
      </c>
      <c r="K1314" s="49" t="s">
        <v>76</v>
      </c>
      <c r="L1314" s="49" t="s">
        <v>84</v>
      </c>
      <c r="M1314" s="49" t="s">
        <v>85</v>
      </c>
      <c r="N1314" s="48" t="s">
        <v>1474</v>
      </c>
      <c r="O1314" s="49" t="s">
        <v>1475</v>
      </c>
      <c r="P1314" s="11" t="s">
        <v>1443</v>
      </c>
      <c r="Q1314" s="11" t="s">
        <v>99</v>
      </c>
      <c r="R1314" s="11" t="s">
        <v>2199</v>
      </c>
      <c r="S1314" s="11" t="s">
        <v>2726</v>
      </c>
      <c r="T1314" s="88" t="s">
        <v>1</v>
      </c>
      <c r="U1314" s="88"/>
      <c r="V1314" s="51">
        <v>45469</v>
      </c>
      <c r="W1314" s="134" t="s">
        <v>1583</v>
      </c>
      <c r="X1314" s="135" t="str">
        <f>VLOOKUP(Table1[[#This Row],[AMZ ID]],[1]Roster_1787503287932!$D$2:$AU$1370,25,0)</f>
        <v>Not Present</v>
      </c>
      <c r="Y1314" s="135">
        <f>VLOOKUP(Table1[[#This Row],[AMZ ID]],[1]Roster_1787503287932!$D$2:$AM$1370,35,0)</f>
        <v>0</v>
      </c>
    </row>
    <row r="1315" spans="1:25" ht="13" customHeight="1">
      <c r="A1315" s="11">
        <v>1309</v>
      </c>
      <c r="B1315" s="47">
        <v>202460493</v>
      </c>
      <c r="C1315" s="89" t="s">
        <v>850</v>
      </c>
      <c r="D1315" s="11" t="s">
        <v>851</v>
      </c>
      <c r="E1315" s="48" t="s">
        <v>31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32</v>
      </c>
      <c r="K1315" s="49" t="s">
        <v>76</v>
      </c>
      <c r="L1315" s="49" t="s">
        <v>84</v>
      </c>
      <c r="M1315" s="49" t="s">
        <v>85</v>
      </c>
      <c r="N1315" s="48" t="s">
        <v>86</v>
      </c>
      <c r="O1315" s="49" t="s">
        <v>37</v>
      </c>
      <c r="P1315" s="11" t="s">
        <v>80</v>
      </c>
      <c r="Q1315" s="11" t="s">
        <v>87</v>
      </c>
      <c r="R1315" s="49" t="s">
        <v>627</v>
      </c>
      <c r="S1315" s="11" t="s">
        <v>628</v>
      </c>
      <c r="T1315" s="116" t="s">
        <v>7</v>
      </c>
      <c r="U1315" s="88" t="s">
        <v>3020</v>
      </c>
      <c r="V1315" s="51">
        <v>45586</v>
      </c>
      <c r="W1315" s="97" t="s">
        <v>1578</v>
      </c>
      <c r="X1315" s="135" t="str">
        <f>VLOOKUP(Table1[[#This Row],[AMZ ID]],[1]Roster_1787503287932!$D$2:$AU$1370,25,0)</f>
        <v>Not Present</v>
      </c>
      <c r="Y1315" s="135" t="str">
        <f>VLOOKUP(Table1[[#This Row],[AMZ ID]],[1]Roster_1787503287932!$D$2:$AM$1370,35,0)</f>
        <v>Maternity Leave</v>
      </c>
    </row>
    <row r="1316" spans="1:25" ht="13" customHeight="1">
      <c r="A1316" s="11">
        <v>1310</v>
      </c>
      <c r="B1316" s="47">
        <v>203750137</v>
      </c>
      <c r="C1316" s="89" t="s">
        <v>1489</v>
      </c>
      <c r="D1316" s="11" t="s">
        <v>1490</v>
      </c>
      <c r="E1316" s="48" t="s">
        <v>31</v>
      </c>
      <c r="F1316" s="48" t="s">
        <v>74</v>
      </c>
      <c r="G1316" s="11" t="s">
        <v>64</v>
      </c>
      <c r="H1316" s="11" t="s">
        <v>75</v>
      </c>
      <c r="I1316" s="11">
        <v>1299</v>
      </c>
      <c r="J1316" s="49" t="s">
        <v>39</v>
      </c>
      <c r="K1316" s="49" t="s">
        <v>76</v>
      </c>
      <c r="L1316" s="49" t="s">
        <v>85</v>
      </c>
      <c r="M1316" s="49" t="s">
        <v>88</v>
      </c>
      <c r="N1316" s="48" t="s">
        <v>1486</v>
      </c>
      <c r="O1316" s="49" t="s">
        <v>1475</v>
      </c>
      <c r="P1316" s="11" t="s">
        <v>1443</v>
      </c>
      <c r="Q1316" s="11" t="s">
        <v>81</v>
      </c>
      <c r="R1316" s="11" t="s">
        <v>2199</v>
      </c>
      <c r="S1316" s="11" t="s">
        <v>2726</v>
      </c>
      <c r="T1316" s="116" t="s">
        <v>1</v>
      </c>
      <c r="U1316" s="88"/>
      <c r="V1316" s="51">
        <v>45503</v>
      </c>
      <c r="W1316" s="134" t="s">
        <v>1583</v>
      </c>
      <c r="X1316" s="135" t="str">
        <f>VLOOKUP(Table1[[#This Row],[AMZ ID]],[1]Roster_1787503287932!$D$2:$AU$1370,25,0)</f>
        <v>Present</v>
      </c>
      <c r="Y1316" s="135">
        <f>VLOOKUP(Table1[[#This Row],[AMZ ID]],[1]Roster_1787503287932!$D$2:$AM$1370,35,0)</f>
        <v>0</v>
      </c>
    </row>
    <row r="1317" spans="1:25" ht="13" customHeight="1">
      <c r="A1317" s="11">
        <v>1311</v>
      </c>
      <c r="B1317" s="77">
        <v>203974084</v>
      </c>
      <c r="C1317" s="91" t="s">
        <v>1491</v>
      </c>
      <c r="D1317" s="75" t="s">
        <v>1492</v>
      </c>
      <c r="E1317" s="76" t="s">
        <v>31</v>
      </c>
      <c r="F1317" s="76" t="s">
        <v>74</v>
      </c>
      <c r="G1317" s="75" t="s">
        <v>64</v>
      </c>
      <c r="H1317" s="75" t="s">
        <v>75</v>
      </c>
      <c r="I1317" s="75">
        <v>1299</v>
      </c>
      <c r="J1317" s="73" t="s">
        <v>39</v>
      </c>
      <c r="K1317" s="73" t="s">
        <v>76</v>
      </c>
      <c r="L1317" s="49" t="s">
        <v>84</v>
      </c>
      <c r="M1317" s="49" t="s">
        <v>85</v>
      </c>
      <c r="N1317" s="76" t="s">
        <v>1479</v>
      </c>
      <c r="O1317" s="73" t="s">
        <v>1475</v>
      </c>
      <c r="P1317" s="75" t="s">
        <v>1443</v>
      </c>
      <c r="Q1317" s="75" t="s">
        <v>90</v>
      </c>
      <c r="R1317" s="75" t="s">
        <v>2199</v>
      </c>
      <c r="S1317" s="75" t="s">
        <v>2726</v>
      </c>
      <c r="T1317" s="116" t="s">
        <v>7</v>
      </c>
      <c r="U1317" s="88"/>
      <c r="V1317" s="98">
        <v>45545</v>
      </c>
      <c r="W1317" s="133" t="s">
        <v>1583</v>
      </c>
      <c r="X1317" s="135" t="str">
        <f>VLOOKUP(Table1[[#This Row],[AMZ ID]],[1]Roster_1787503287932!$D$2:$AU$1370,25,0)</f>
        <v>Not Present</v>
      </c>
      <c r="Y1317" s="135" t="str">
        <f>VLOOKUP(Table1[[#This Row],[AMZ ID]],[1]Roster_1787503287932!$D$2:$AM$1370,35,0)</f>
        <v>Carry Forwarded Annual Leave</v>
      </c>
    </row>
    <row r="1318" spans="1:25" ht="13" customHeight="1">
      <c r="A1318" s="11">
        <v>1312</v>
      </c>
      <c r="B1318" s="47">
        <v>206332542</v>
      </c>
      <c r="C1318" s="89" t="s">
        <v>1698</v>
      </c>
      <c r="D1318" s="11" t="s">
        <v>1699</v>
      </c>
      <c r="E1318" s="48" t="s">
        <v>31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39</v>
      </c>
      <c r="K1318" s="49" t="s">
        <v>76</v>
      </c>
      <c r="L1318" s="49" t="s">
        <v>78</v>
      </c>
      <c r="M1318" s="49" t="s">
        <v>92</v>
      </c>
      <c r="N1318" s="48" t="s">
        <v>1479</v>
      </c>
      <c r="O1318" s="49" t="s">
        <v>1475</v>
      </c>
      <c r="P1318" s="11" t="s">
        <v>1443</v>
      </c>
      <c r="Q1318" s="11" t="s">
        <v>90</v>
      </c>
      <c r="R1318" s="11" t="s">
        <v>2199</v>
      </c>
      <c r="S1318" s="11" t="s">
        <v>2726</v>
      </c>
      <c r="T1318" s="116" t="s">
        <v>10</v>
      </c>
      <c r="U1318" s="88"/>
      <c r="V1318" s="51">
        <v>45957</v>
      </c>
      <c r="W1318" s="97" t="s">
        <v>1583</v>
      </c>
      <c r="X1318" s="135" t="str">
        <f>VLOOKUP(Table1[[#This Row],[AMZ ID]],[1]Roster_1787503287932!$D$2:$AU$1370,25,0)</f>
        <v>Not Present</v>
      </c>
      <c r="Y1318" s="135">
        <f>VLOOKUP(Table1[[#This Row],[AMZ ID]],[1]Roster_1787503287932!$D$2:$AM$1370,35,0)</f>
        <v>0</v>
      </c>
    </row>
    <row r="1319" spans="1:25" ht="13" customHeight="1">
      <c r="A1319" s="11">
        <v>1313</v>
      </c>
      <c r="B1319" s="47">
        <v>205247340</v>
      </c>
      <c r="C1319" s="89" t="s">
        <v>2683</v>
      </c>
      <c r="D1319" s="11" t="s">
        <v>2684</v>
      </c>
      <c r="E1319" s="48" t="s">
        <v>31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32</v>
      </c>
      <c r="K1319" s="49" t="s">
        <v>76</v>
      </c>
      <c r="L1319" s="49" t="s">
        <v>36</v>
      </c>
      <c r="M1319" s="49" t="s">
        <v>92</v>
      </c>
      <c r="N1319" s="48" t="s">
        <v>1493</v>
      </c>
      <c r="O1319" s="49" t="s">
        <v>1475</v>
      </c>
      <c r="P1319" s="11" t="s">
        <v>1443</v>
      </c>
      <c r="Q1319" s="11" t="s">
        <v>87</v>
      </c>
      <c r="R1319" s="11" t="s">
        <v>2199</v>
      </c>
      <c r="S1319" s="11" t="s">
        <v>2726</v>
      </c>
      <c r="T1319" s="116" t="s">
        <v>1</v>
      </c>
      <c r="U1319" s="88" t="s">
        <v>3018</v>
      </c>
      <c r="V1319" s="51">
        <v>45784</v>
      </c>
      <c r="W1319" s="97" t="s">
        <v>1583</v>
      </c>
      <c r="X1319" s="135" t="str">
        <f>VLOOKUP(Table1[[#This Row],[AMZ ID]],[1]Roster_1787503287932!$D$2:$AU$1370,25,0)</f>
        <v>Present</v>
      </c>
      <c r="Y1319" s="135">
        <f>VLOOKUP(Table1[[#This Row],[AMZ ID]],[1]Roster_1787503287932!$D$2:$AM$1370,35,0)</f>
        <v>0</v>
      </c>
    </row>
    <row r="1320" spans="1:25" ht="13" customHeight="1">
      <c r="A1320" s="11">
        <v>1314</v>
      </c>
      <c r="B1320" s="47">
        <v>204886250</v>
      </c>
      <c r="C1320" s="89" t="s">
        <v>1494</v>
      </c>
      <c r="D1320" s="11" t="s">
        <v>1495</v>
      </c>
      <c r="E1320" s="48" t="s">
        <v>31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39</v>
      </c>
      <c r="K1320" s="49" t="s">
        <v>76</v>
      </c>
      <c r="L1320" s="49" t="s">
        <v>95</v>
      </c>
      <c r="M1320" s="49" t="s">
        <v>77</v>
      </c>
      <c r="N1320" s="48" t="s">
        <v>1493</v>
      </c>
      <c r="O1320" s="49" t="s">
        <v>1475</v>
      </c>
      <c r="P1320" s="11" t="s">
        <v>1443</v>
      </c>
      <c r="Q1320" s="11" t="s">
        <v>87</v>
      </c>
      <c r="R1320" s="11" t="s">
        <v>2199</v>
      </c>
      <c r="S1320" s="11" t="s">
        <v>2726</v>
      </c>
      <c r="T1320" s="116" t="s">
        <v>7</v>
      </c>
      <c r="U1320" s="88"/>
      <c r="V1320" s="51">
        <v>45691</v>
      </c>
      <c r="W1320" s="97" t="s">
        <v>1583</v>
      </c>
      <c r="X1320" s="135" t="str">
        <f>VLOOKUP(Table1[[#This Row],[AMZ ID]],[1]Roster_1787503287932!$D$2:$AU$1370,25,0)</f>
        <v>Not Present</v>
      </c>
      <c r="Y1320" s="135" t="str">
        <f>VLOOKUP(Table1[[#This Row],[AMZ ID]],[1]Roster_1787503287932!$D$2:$AM$1370,35,0)</f>
        <v>Carry Forwarded Annual Leave</v>
      </c>
    </row>
    <row r="1321" spans="1:25" ht="13" customHeight="1">
      <c r="A1321" s="11">
        <v>1315</v>
      </c>
      <c r="B1321" s="47">
        <v>207283258</v>
      </c>
      <c r="C1321" s="89" t="s">
        <v>2327</v>
      </c>
      <c r="D1321" s="11" t="s">
        <v>2328</v>
      </c>
      <c r="E1321" s="48" t="s">
        <v>31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39</v>
      </c>
      <c r="K1321" s="49" t="s">
        <v>76</v>
      </c>
      <c r="L1321" s="49" t="s">
        <v>88</v>
      </c>
      <c r="M1321" s="49" t="s">
        <v>95</v>
      </c>
      <c r="N1321" s="48" t="s">
        <v>1479</v>
      </c>
      <c r="O1321" s="49" t="s">
        <v>1475</v>
      </c>
      <c r="P1321" s="11" t="s">
        <v>1443</v>
      </c>
      <c r="Q1321" s="11" t="s">
        <v>90</v>
      </c>
      <c r="R1321" s="11" t="s">
        <v>2199</v>
      </c>
      <c r="S1321" s="11" t="s">
        <v>2726</v>
      </c>
      <c r="T1321" s="116" t="s">
        <v>1</v>
      </c>
      <c r="U1321" s="88"/>
      <c r="V1321" s="51">
        <v>46123</v>
      </c>
      <c r="W1321" s="97" t="s">
        <v>1583</v>
      </c>
      <c r="X1321" s="135" t="str">
        <f>VLOOKUP(Table1[[#This Row],[AMZ ID]],[1]Roster_1787503287932!$D$2:$AU$1370,25,0)</f>
        <v>Present</v>
      </c>
      <c r="Y1321" s="135">
        <f>VLOOKUP(Table1[[#This Row],[AMZ ID]],[1]Roster_1787503287932!$D$2:$AM$1370,35,0)</f>
        <v>0</v>
      </c>
    </row>
    <row r="1322" spans="1:25" ht="13" customHeight="1">
      <c r="A1322" s="11">
        <v>1316</v>
      </c>
      <c r="B1322" s="47">
        <v>202383469</v>
      </c>
      <c r="C1322" s="89" t="s">
        <v>1496</v>
      </c>
      <c r="D1322" s="11" t="s">
        <v>1497</v>
      </c>
      <c r="E1322" s="48" t="s">
        <v>31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84</v>
      </c>
      <c r="M1322" s="49" t="s">
        <v>85</v>
      </c>
      <c r="N1322" s="48" t="s">
        <v>1493</v>
      </c>
      <c r="O1322" s="49" t="s">
        <v>1475</v>
      </c>
      <c r="P1322" s="11" t="s">
        <v>1443</v>
      </c>
      <c r="Q1322" s="11" t="s">
        <v>87</v>
      </c>
      <c r="R1322" s="11" t="s">
        <v>2199</v>
      </c>
      <c r="S1322" s="11" t="s">
        <v>2726</v>
      </c>
      <c r="T1322" s="88" t="s">
        <v>7</v>
      </c>
      <c r="U1322" s="88"/>
      <c r="V1322" s="51">
        <v>45596</v>
      </c>
      <c r="W1322" s="97" t="s">
        <v>1583</v>
      </c>
      <c r="X1322" s="135" t="str">
        <f>VLOOKUP(Table1[[#This Row],[AMZ ID]],[1]Roster_1787503287932!$D$2:$AU$1370,25,0)</f>
        <v>Not Present</v>
      </c>
      <c r="Y1322" s="135">
        <f>VLOOKUP(Table1[[#This Row],[AMZ ID]],[1]Roster_1787503287932!$D$2:$AM$1370,35,0)</f>
        <v>0</v>
      </c>
    </row>
    <row r="1323" spans="1:25" ht="13" customHeight="1">
      <c r="A1323" s="11">
        <v>1317</v>
      </c>
      <c r="B1323" s="47">
        <v>106495539</v>
      </c>
      <c r="C1323" s="89" t="s">
        <v>1498</v>
      </c>
      <c r="D1323" s="11" t="s">
        <v>1499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1728</v>
      </c>
      <c r="J1323" s="49" t="s">
        <v>39</v>
      </c>
      <c r="K1323" s="49" t="s">
        <v>76</v>
      </c>
      <c r="L1323" s="49" t="s">
        <v>95</v>
      </c>
      <c r="M1323" s="49" t="s">
        <v>77</v>
      </c>
      <c r="N1323" s="48" t="s">
        <v>1476</v>
      </c>
      <c r="O1323" s="49" t="s">
        <v>1475</v>
      </c>
      <c r="P1323" s="11" t="s">
        <v>1443</v>
      </c>
      <c r="Q1323" s="11" t="s">
        <v>98</v>
      </c>
      <c r="R1323" s="11" t="s">
        <v>2199</v>
      </c>
      <c r="S1323" s="11" t="s">
        <v>2726</v>
      </c>
      <c r="T1323" s="116" t="s">
        <v>1</v>
      </c>
      <c r="U1323" s="88"/>
      <c r="V1323" s="51">
        <v>45502</v>
      </c>
      <c r="W1323" s="97" t="s">
        <v>1583</v>
      </c>
      <c r="X1323" s="135" t="e">
        <f>VLOOKUP(Table1[[#This Row],[AMZ ID]],[1]Roster_1787503287932!$D$2:$AU$1370,25,0)</f>
        <v>#N/A</v>
      </c>
      <c r="Y1323" s="135" t="e">
        <f>VLOOKUP(Table1[[#This Row],[AMZ ID]],[1]Roster_1787503287932!$D$2:$AM$1370,35,0)</f>
        <v>#N/A</v>
      </c>
    </row>
    <row r="1324" spans="1:25" ht="13" customHeight="1">
      <c r="A1324" s="11">
        <v>1318</v>
      </c>
      <c r="B1324" s="47">
        <v>203737146</v>
      </c>
      <c r="C1324" s="89" t="s">
        <v>1500</v>
      </c>
      <c r="D1324" s="11" t="s">
        <v>1501</v>
      </c>
      <c r="E1324" s="48" t="s">
        <v>31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32</v>
      </c>
      <c r="K1324" s="49" t="s">
        <v>76</v>
      </c>
      <c r="L1324" s="49" t="s">
        <v>78</v>
      </c>
      <c r="M1324" s="49" t="s">
        <v>92</v>
      </c>
      <c r="N1324" s="48" t="s">
        <v>79</v>
      </c>
      <c r="O1324" s="49" t="s">
        <v>35</v>
      </c>
      <c r="P1324" s="11" t="s">
        <v>1443</v>
      </c>
      <c r="Q1324" s="11" t="s">
        <v>81</v>
      </c>
      <c r="R1324" s="11" t="s">
        <v>647</v>
      </c>
      <c r="S1324" s="11" t="s">
        <v>1798</v>
      </c>
      <c r="T1324" s="116" t="s">
        <v>10</v>
      </c>
      <c r="U1324" s="88"/>
      <c r="V1324" s="51">
        <v>45502</v>
      </c>
      <c r="W1324" s="97" t="s">
        <v>1583</v>
      </c>
      <c r="X1324" s="135" t="str">
        <f>VLOOKUP(Table1[[#This Row],[AMZ ID]],[1]Roster_1787503287932!$D$2:$AU$1370,25,0)</f>
        <v>Not Present</v>
      </c>
      <c r="Y1324" s="135">
        <f>VLOOKUP(Table1[[#This Row],[AMZ ID]],[1]Roster_1787503287932!$D$2:$AM$1370,35,0)</f>
        <v>0</v>
      </c>
    </row>
    <row r="1325" spans="1:25" ht="13" customHeight="1">
      <c r="A1325" s="11">
        <v>1319</v>
      </c>
      <c r="B1325" s="47">
        <v>102865829</v>
      </c>
      <c r="C1325" s="89" t="s">
        <v>1502</v>
      </c>
      <c r="D1325" s="11" t="s">
        <v>1503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32</v>
      </c>
      <c r="K1325" s="49" t="s">
        <v>76</v>
      </c>
      <c r="L1325" s="49" t="s">
        <v>84</v>
      </c>
      <c r="M1325" s="49" t="s">
        <v>85</v>
      </c>
      <c r="N1325" s="48" t="s">
        <v>108</v>
      </c>
      <c r="O1325" s="49" t="s">
        <v>35</v>
      </c>
      <c r="P1325" s="11" t="s">
        <v>1443</v>
      </c>
      <c r="Q1325" s="11" t="s">
        <v>98</v>
      </c>
      <c r="R1325" s="11" t="s">
        <v>2845</v>
      </c>
      <c r="S1325" s="11" t="s">
        <v>2846</v>
      </c>
      <c r="T1325" s="116" t="s">
        <v>1</v>
      </c>
      <c r="U1325" s="88"/>
      <c r="V1325" s="51">
        <v>43012</v>
      </c>
      <c r="W1325" s="97" t="s">
        <v>1583</v>
      </c>
      <c r="X1325" s="135" t="str">
        <f>VLOOKUP(Table1[[#This Row],[AMZ ID]],[1]Roster_1787503287932!$D$2:$AU$1370,25,0)</f>
        <v>Present</v>
      </c>
      <c r="Y1325" s="135">
        <f>VLOOKUP(Table1[[#This Row],[AMZ ID]],[1]Roster_1787503287932!$D$2:$AM$1370,35,0)</f>
        <v>0</v>
      </c>
    </row>
    <row r="1326" spans="1:25" ht="13" customHeight="1">
      <c r="A1326" s="11">
        <v>1320</v>
      </c>
      <c r="B1326" s="47">
        <v>203183500</v>
      </c>
      <c r="C1326" s="89" t="s">
        <v>1504</v>
      </c>
      <c r="D1326" s="11" t="s">
        <v>1505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1230</v>
      </c>
      <c r="J1326" s="49" t="s">
        <v>32</v>
      </c>
      <c r="K1326" s="49" t="s">
        <v>76</v>
      </c>
      <c r="L1326" s="49" t="s">
        <v>78</v>
      </c>
      <c r="M1326" s="49" t="s">
        <v>92</v>
      </c>
      <c r="N1326" s="48" t="s">
        <v>1506</v>
      </c>
      <c r="O1326" s="49" t="s">
        <v>1507</v>
      </c>
      <c r="P1326" s="11" t="s">
        <v>1443</v>
      </c>
      <c r="Q1326" s="11" t="s">
        <v>98</v>
      </c>
      <c r="R1326" s="11" t="s">
        <v>1508</v>
      </c>
      <c r="S1326" s="11" t="s">
        <v>1509</v>
      </c>
      <c r="T1326" s="116" t="s">
        <v>10</v>
      </c>
      <c r="U1326" s="88"/>
      <c r="V1326" s="51">
        <v>45439</v>
      </c>
      <c r="W1326" s="97" t="s">
        <v>1583</v>
      </c>
      <c r="X1326" s="135" t="e">
        <f>VLOOKUP(Table1[[#This Row],[AMZ ID]],[1]Roster_1787503287932!$D$2:$AU$1370,25,0)</f>
        <v>#N/A</v>
      </c>
      <c r="Y1326" s="135" t="e">
        <f>VLOOKUP(Table1[[#This Row],[AMZ ID]],[1]Roster_1787503287932!$D$2:$AM$1370,35,0)</f>
        <v>#N/A</v>
      </c>
    </row>
    <row r="1327" spans="1:25" ht="13" customHeight="1">
      <c r="A1327" s="11">
        <v>1321</v>
      </c>
      <c r="B1327" s="47">
        <v>203183769</v>
      </c>
      <c r="C1327" s="89" t="s">
        <v>1510</v>
      </c>
      <c r="D1327" s="11" t="s">
        <v>1511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1230</v>
      </c>
      <c r="J1327" s="49" t="s">
        <v>39</v>
      </c>
      <c r="K1327" s="49" t="s">
        <v>76</v>
      </c>
      <c r="L1327" s="49" t="s">
        <v>78</v>
      </c>
      <c r="M1327" s="49" t="s">
        <v>92</v>
      </c>
      <c r="N1327" s="48" t="s">
        <v>1506</v>
      </c>
      <c r="O1327" s="49" t="s">
        <v>1507</v>
      </c>
      <c r="P1327" s="11" t="s">
        <v>1443</v>
      </c>
      <c r="Q1327" s="11" t="s">
        <v>98</v>
      </c>
      <c r="R1327" s="11" t="s">
        <v>1508</v>
      </c>
      <c r="S1327" s="11" t="s">
        <v>1509</v>
      </c>
      <c r="T1327" s="116" t="s">
        <v>10</v>
      </c>
      <c r="U1327" s="88"/>
      <c r="V1327" s="51">
        <v>45439</v>
      </c>
      <c r="W1327" s="97" t="s">
        <v>1583</v>
      </c>
      <c r="X1327" s="135" t="e">
        <f>VLOOKUP(Table1[[#This Row],[AMZ ID]],[1]Roster_1787503287932!$D$2:$AU$1370,25,0)</f>
        <v>#N/A</v>
      </c>
      <c r="Y1327" s="135" t="e">
        <f>VLOOKUP(Table1[[#This Row],[AMZ ID]],[1]Roster_1787503287932!$D$2:$AM$1370,35,0)</f>
        <v>#N/A</v>
      </c>
    </row>
    <row r="1328" spans="1:25" ht="13" customHeight="1">
      <c r="A1328" s="11">
        <v>1322</v>
      </c>
      <c r="B1328" s="47">
        <v>205280740</v>
      </c>
      <c r="C1328" s="89" t="s">
        <v>1512</v>
      </c>
      <c r="D1328" s="11" t="s">
        <v>1513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1230</v>
      </c>
      <c r="J1328" s="49" t="s">
        <v>32</v>
      </c>
      <c r="K1328" s="49" t="s">
        <v>76</v>
      </c>
      <c r="L1328" s="49" t="s">
        <v>95</v>
      </c>
      <c r="M1328" s="49" t="s">
        <v>77</v>
      </c>
      <c r="N1328" s="48" t="s">
        <v>1506</v>
      </c>
      <c r="O1328" s="49" t="s">
        <v>1507</v>
      </c>
      <c r="P1328" s="11" t="s">
        <v>1443</v>
      </c>
      <c r="Q1328" s="11" t="s">
        <v>98</v>
      </c>
      <c r="R1328" s="11" t="s">
        <v>1508</v>
      </c>
      <c r="S1328" s="11" t="s">
        <v>1509</v>
      </c>
      <c r="T1328" s="116" t="s">
        <v>1</v>
      </c>
      <c r="U1328" s="88"/>
      <c r="V1328" s="51">
        <v>45859</v>
      </c>
      <c r="W1328" s="97" t="s">
        <v>1583</v>
      </c>
      <c r="X1328" s="135" t="e">
        <f>VLOOKUP(Table1[[#This Row],[AMZ ID]],[1]Roster_1787503287932!$D$2:$AU$1370,25,0)</f>
        <v>#N/A</v>
      </c>
      <c r="Y1328" s="135" t="e">
        <f>VLOOKUP(Table1[[#This Row],[AMZ ID]],[1]Roster_1787503287932!$D$2:$AM$1370,35,0)</f>
        <v>#N/A</v>
      </c>
    </row>
    <row r="1329" spans="1:25" ht="13" customHeight="1">
      <c r="A1329" s="11">
        <v>1323</v>
      </c>
      <c r="B1329" s="47">
        <v>205665079</v>
      </c>
      <c r="C1329" s="89" t="s">
        <v>1514</v>
      </c>
      <c r="D1329" s="11" t="s">
        <v>1515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1299</v>
      </c>
      <c r="J1329" s="49" t="s">
        <v>39</v>
      </c>
      <c r="K1329" s="49" t="s">
        <v>76</v>
      </c>
      <c r="L1329" s="49" t="s">
        <v>95</v>
      </c>
      <c r="M1329" s="49" t="s">
        <v>77</v>
      </c>
      <c r="N1329" s="48" t="s">
        <v>1516</v>
      </c>
      <c r="O1329" s="49" t="s">
        <v>1517</v>
      </c>
      <c r="P1329" s="11" t="s">
        <v>1443</v>
      </c>
      <c r="Q1329" s="11" t="s">
        <v>98</v>
      </c>
      <c r="R1329" s="11" t="s">
        <v>1518</v>
      </c>
      <c r="S1329" s="11" t="s">
        <v>2728</v>
      </c>
      <c r="T1329" s="116" t="s">
        <v>1</v>
      </c>
      <c r="U1329" s="88"/>
      <c r="V1329" s="51">
        <v>45908</v>
      </c>
      <c r="W1329" s="97" t="s">
        <v>1584</v>
      </c>
      <c r="X1329" s="135" t="e">
        <f>VLOOKUP(Table1[[#This Row],[AMZ ID]],[1]Roster_1787503287932!$D$2:$AU$1370,25,0)</f>
        <v>#N/A</v>
      </c>
      <c r="Y1329" s="135" t="e">
        <f>VLOOKUP(Table1[[#This Row],[AMZ ID]],[1]Roster_1787503287932!$D$2:$AM$1370,35,0)</f>
        <v>#N/A</v>
      </c>
    </row>
    <row r="1330" spans="1:25" ht="13" customHeight="1">
      <c r="A1330" s="11">
        <v>1324</v>
      </c>
      <c r="B1330" s="47">
        <v>205537427</v>
      </c>
      <c r="C1330" s="89" t="s">
        <v>1632</v>
      </c>
      <c r="D1330" s="11" t="s">
        <v>1633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1299</v>
      </c>
      <c r="J1330" s="129" t="s">
        <v>32</v>
      </c>
      <c r="K1330" s="11" t="s">
        <v>76</v>
      </c>
      <c r="L1330" s="129" t="s">
        <v>95</v>
      </c>
      <c r="M1330" s="129" t="s">
        <v>77</v>
      </c>
      <c r="N1330" s="11" t="s">
        <v>1516</v>
      </c>
      <c r="O1330" s="11" t="s">
        <v>1517</v>
      </c>
      <c r="P1330" s="11" t="s">
        <v>1443</v>
      </c>
      <c r="Q1330" s="11" t="s">
        <v>98</v>
      </c>
      <c r="R1330" s="11" t="s">
        <v>1518</v>
      </c>
      <c r="S1330" s="11" t="s">
        <v>2728</v>
      </c>
      <c r="T1330" s="116" t="s">
        <v>1</v>
      </c>
      <c r="U1330" s="88"/>
      <c r="V1330" s="51">
        <v>45943</v>
      </c>
      <c r="W1330" s="102" t="s">
        <v>1584</v>
      </c>
      <c r="X1330" s="135" t="e">
        <f>VLOOKUP(Table1[[#This Row],[AMZ ID]],[1]Roster_1787503287932!$D$2:$AU$1370,25,0)</f>
        <v>#N/A</v>
      </c>
      <c r="Y1330" s="135" t="e">
        <f>VLOOKUP(Table1[[#This Row],[AMZ ID]],[1]Roster_1787503287932!$D$2:$AM$1370,35,0)</f>
        <v>#N/A</v>
      </c>
    </row>
    <row r="1331" spans="1:25" ht="13" customHeight="1">
      <c r="A1331" s="11">
        <v>1325</v>
      </c>
      <c r="B1331" s="47">
        <v>205079247</v>
      </c>
      <c r="C1331" s="89" t="s">
        <v>1519</v>
      </c>
      <c r="D1331" s="11" t="s">
        <v>1520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1299</v>
      </c>
      <c r="J1331" s="129" t="s">
        <v>32</v>
      </c>
      <c r="K1331" s="11" t="s">
        <v>76</v>
      </c>
      <c r="L1331" s="129" t="s">
        <v>95</v>
      </c>
      <c r="M1331" s="129" t="s">
        <v>77</v>
      </c>
      <c r="N1331" s="11" t="s">
        <v>1516</v>
      </c>
      <c r="O1331" s="11" t="s">
        <v>1517</v>
      </c>
      <c r="P1331" s="11" t="s">
        <v>1443</v>
      </c>
      <c r="Q1331" s="11" t="s">
        <v>98</v>
      </c>
      <c r="R1331" s="11" t="s">
        <v>1518</v>
      </c>
      <c r="S1331" s="11" t="s">
        <v>2728</v>
      </c>
      <c r="T1331" s="116" t="s">
        <v>1</v>
      </c>
      <c r="U1331" s="88"/>
      <c r="V1331" s="51">
        <v>45789</v>
      </c>
      <c r="W1331" s="102" t="s">
        <v>1584</v>
      </c>
      <c r="X1331" s="135" t="e">
        <f>VLOOKUP(Table1[[#This Row],[AMZ ID]],[1]Roster_1787503287932!$D$2:$AU$1370,25,0)</f>
        <v>#N/A</v>
      </c>
      <c r="Y1331" s="135" t="e">
        <f>VLOOKUP(Table1[[#This Row],[AMZ ID]],[1]Roster_1787503287932!$D$2:$AM$1370,35,0)</f>
        <v>#N/A</v>
      </c>
    </row>
    <row r="1332" spans="1:25" ht="13" customHeight="1">
      <c r="A1332" s="11">
        <v>1326</v>
      </c>
      <c r="B1332" s="47">
        <v>205001264</v>
      </c>
      <c r="C1332" s="89" t="s">
        <v>1521</v>
      </c>
      <c r="D1332" s="11" t="s">
        <v>1522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1299</v>
      </c>
      <c r="J1332" s="129" t="s">
        <v>39</v>
      </c>
      <c r="K1332" s="11" t="s">
        <v>76</v>
      </c>
      <c r="L1332" s="129" t="s">
        <v>78</v>
      </c>
      <c r="M1332" s="129" t="s">
        <v>92</v>
      </c>
      <c r="N1332" s="11" t="s">
        <v>1516</v>
      </c>
      <c r="O1332" s="11" t="s">
        <v>1517</v>
      </c>
      <c r="P1332" s="11" t="s">
        <v>1443</v>
      </c>
      <c r="Q1332" s="11" t="s">
        <v>98</v>
      </c>
      <c r="R1332" s="11" t="s">
        <v>1518</v>
      </c>
      <c r="S1332" s="11" t="s">
        <v>2728</v>
      </c>
      <c r="T1332" s="116" t="s">
        <v>10</v>
      </c>
      <c r="U1332" s="88"/>
      <c r="V1332" s="51">
        <v>45754</v>
      </c>
      <c r="W1332" s="102" t="s">
        <v>1584</v>
      </c>
      <c r="X1332" s="135" t="e">
        <f>VLOOKUP(Table1[[#This Row],[AMZ ID]],[1]Roster_1787503287932!$D$2:$AU$1370,25,0)</f>
        <v>#N/A</v>
      </c>
      <c r="Y1332" s="135" t="e">
        <f>VLOOKUP(Table1[[#This Row],[AMZ ID]],[1]Roster_1787503287932!$D$2:$AM$1370,35,0)</f>
        <v>#N/A</v>
      </c>
    </row>
    <row r="1333" spans="1:25" ht="13" customHeight="1">
      <c r="A1333" s="11">
        <v>1327</v>
      </c>
      <c r="B1333" s="47">
        <v>204341639</v>
      </c>
      <c r="C1333" s="89" t="s">
        <v>130</v>
      </c>
      <c r="D1333" s="11" t="s">
        <v>2709</v>
      </c>
      <c r="E1333" s="48" t="s">
        <v>31</v>
      </c>
      <c r="F1333" s="48" t="s">
        <v>74</v>
      </c>
      <c r="G1333" s="11" t="s">
        <v>65</v>
      </c>
      <c r="H1333" s="11" t="s">
        <v>1332</v>
      </c>
      <c r="I1333" s="11">
        <v>1299</v>
      </c>
      <c r="J1333" s="49" t="s">
        <v>32</v>
      </c>
      <c r="K1333" s="49" t="s">
        <v>76</v>
      </c>
      <c r="L1333" s="49" t="s">
        <v>92</v>
      </c>
      <c r="M1333" s="49" t="s">
        <v>84</v>
      </c>
      <c r="N1333" s="48" t="s">
        <v>86</v>
      </c>
      <c r="O1333" s="49" t="s">
        <v>68</v>
      </c>
      <c r="P1333" s="11" t="s">
        <v>80</v>
      </c>
      <c r="Q1333" s="11" t="s">
        <v>87</v>
      </c>
      <c r="R1333" s="11" t="s">
        <v>1336</v>
      </c>
      <c r="S1333" s="11" t="s">
        <v>1337</v>
      </c>
      <c r="T1333" s="116" t="s">
        <v>7</v>
      </c>
      <c r="U1333" s="88" t="s">
        <v>3015</v>
      </c>
      <c r="V1333" s="51">
        <v>45589</v>
      </c>
      <c r="W1333" s="97" t="s">
        <v>68</v>
      </c>
      <c r="X1333" s="135" t="str">
        <f>VLOOKUP(Table1[[#This Row],[AMZ ID]],[1]Roster_1787503287932!$D$2:$AU$1370,25,0)</f>
        <v>Not Present</v>
      </c>
      <c r="Y1333" s="135" t="str">
        <f>VLOOKUP(Table1[[#This Row],[AMZ ID]],[1]Roster_1787503287932!$D$2:$AM$1370,35,0)</f>
        <v>Annual Leave</v>
      </c>
    </row>
    <row r="1334" spans="1:25" ht="13" customHeight="1">
      <c r="A1334" s="11">
        <v>1328</v>
      </c>
      <c r="B1334" s="47">
        <v>203794558</v>
      </c>
      <c r="C1334" s="89" t="s">
        <v>1525</v>
      </c>
      <c r="D1334" s="11" t="s">
        <v>1526</v>
      </c>
      <c r="E1334" s="48" t="s">
        <v>34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129" t="s">
        <v>32</v>
      </c>
      <c r="K1334" s="11" t="s">
        <v>76</v>
      </c>
      <c r="L1334" s="129" t="s">
        <v>95</v>
      </c>
      <c r="M1334" s="129" t="s">
        <v>77</v>
      </c>
      <c r="N1334" s="11" t="s">
        <v>1516</v>
      </c>
      <c r="O1334" s="11" t="s">
        <v>1517</v>
      </c>
      <c r="P1334" s="11" t="s">
        <v>1443</v>
      </c>
      <c r="Q1334" s="11" t="s">
        <v>98</v>
      </c>
      <c r="R1334" s="11" t="s">
        <v>1518</v>
      </c>
      <c r="S1334" s="11" t="s">
        <v>2728</v>
      </c>
      <c r="T1334" s="116" t="s">
        <v>7</v>
      </c>
      <c r="U1334" s="88" t="s">
        <v>3015</v>
      </c>
      <c r="V1334" s="51">
        <v>45593</v>
      </c>
      <c r="W1334" s="102" t="s">
        <v>1584</v>
      </c>
      <c r="X1334" s="135" t="e">
        <f>VLOOKUP(Table1[[#This Row],[AMZ ID]],[1]Roster_1787503287932!$D$2:$AU$1370,25,0)</f>
        <v>#N/A</v>
      </c>
      <c r="Y1334" s="135" t="e">
        <f>VLOOKUP(Table1[[#This Row],[AMZ ID]],[1]Roster_1787503287932!$D$2:$AM$1370,35,0)</f>
        <v>#N/A</v>
      </c>
    </row>
    <row r="1335" spans="1:25" ht="13" customHeight="1">
      <c r="A1335" s="11">
        <v>1329</v>
      </c>
      <c r="B1335" s="47">
        <v>203927111</v>
      </c>
      <c r="C1335" s="89" t="s">
        <v>1527</v>
      </c>
      <c r="D1335" s="11" t="s">
        <v>1528</v>
      </c>
      <c r="E1335" s="48" t="s">
        <v>34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129" t="s">
        <v>32</v>
      </c>
      <c r="K1335" s="11" t="s">
        <v>76</v>
      </c>
      <c r="L1335" s="129" t="s">
        <v>78</v>
      </c>
      <c r="M1335" s="129" t="s">
        <v>92</v>
      </c>
      <c r="N1335" s="11" t="s">
        <v>1516</v>
      </c>
      <c r="O1335" s="11" t="s">
        <v>1517</v>
      </c>
      <c r="P1335" s="11" t="s">
        <v>1443</v>
      </c>
      <c r="Q1335" s="11" t="s">
        <v>98</v>
      </c>
      <c r="R1335" s="11" t="s">
        <v>1518</v>
      </c>
      <c r="S1335" s="11" t="s">
        <v>2728</v>
      </c>
      <c r="T1335" s="116" t="s">
        <v>10</v>
      </c>
      <c r="U1335" s="88"/>
      <c r="V1335" s="51">
        <v>45908</v>
      </c>
      <c r="W1335" s="102" t="s">
        <v>1584</v>
      </c>
      <c r="X1335" s="135" t="e">
        <f>VLOOKUP(Table1[[#This Row],[AMZ ID]],[1]Roster_1787503287932!$D$2:$AU$1370,25,0)</f>
        <v>#N/A</v>
      </c>
      <c r="Y1335" s="135" t="e">
        <f>VLOOKUP(Table1[[#This Row],[AMZ ID]],[1]Roster_1787503287932!$D$2:$AM$1370,35,0)</f>
        <v>#N/A</v>
      </c>
    </row>
    <row r="1336" spans="1:25" ht="13" customHeight="1">
      <c r="A1336" s="11">
        <v>1330</v>
      </c>
      <c r="B1336" s="47">
        <v>205207923</v>
      </c>
      <c r="C1336" s="89" t="s">
        <v>1529</v>
      </c>
      <c r="D1336" s="11" t="s">
        <v>1530</v>
      </c>
      <c r="E1336" s="48" t="s">
        <v>34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129" t="s">
        <v>32</v>
      </c>
      <c r="K1336" s="11" t="s">
        <v>76</v>
      </c>
      <c r="L1336" s="129" t="s">
        <v>95</v>
      </c>
      <c r="M1336" s="129" t="s">
        <v>77</v>
      </c>
      <c r="N1336" s="11" t="s">
        <v>1516</v>
      </c>
      <c r="O1336" s="11" t="s">
        <v>1517</v>
      </c>
      <c r="P1336" s="11" t="s">
        <v>1443</v>
      </c>
      <c r="Q1336" s="11" t="s">
        <v>98</v>
      </c>
      <c r="R1336" s="11" t="s">
        <v>1518</v>
      </c>
      <c r="S1336" s="11" t="s">
        <v>2728</v>
      </c>
      <c r="T1336" s="116" t="s">
        <v>7</v>
      </c>
      <c r="U1336" s="88" t="s">
        <v>3015</v>
      </c>
      <c r="V1336" s="51">
        <v>45831</v>
      </c>
      <c r="W1336" s="102" t="s">
        <v>1584</v>
      </c>
      <c r="X1336" s="135" t="e">
        <f>VLOOKUP(Table1[[#This Row],[AMZ ID]],[1]Roster_1787503287932!$D$2:$AU$1370,25,0)</f>
        <v>#N/A</v>
      </c>
      <c r="Y1336" s="135" t="e">
        <f>VLOOKUP(Table1[[#This Row],[AMZ ID]],[1]Roster_1787503287932!$D$2:$AM$1370,35,0)</f>
        <v>#N/A</v>
      </c>
    </row>
    <row r="1337" spans="1:25" ht="13" customHeight="1">
      <c r="A1337" s="11">
        <v>1331</v>
      </c>
      <c r="B1337" s="47">
        <v>204137712</v>
      </c>
      <c r="C1337" s="89" t="s">
        <v>1412</v>
      </c>
      <c r="D1337" s="11" t="s">
        <v>1413</v>
      </c>
      <c r="E1337" s="48" t="s">
        <v>31</v>
      </c>
      <c r="F1337" s="48" t="s">
        <v>74</v>
      </c>
      <c r="G1337" s="11" t="s">
        <v>65</v>
      </c>
      <c r="H1337" s="11" t="s">
        <v>1332</v>
      </c>
      <c r="I1337" s="11">
        <v>1181</v>
      </c>
      <c r="J1337" s="87" t="s">
        <v>32</v>
      </c>
      <c r="K1337" s="49" t="s">
        <v>76</v>
      </c>
      <c r="L1337" s="49" t="s">
        <v>85</v>
      </c>
      <c r="M1337" s="49" t="s">
        <v>88</v>
      </c>
      <c r="N1337" s="48" t="s">
        <v>86</v>
      </c>
      <c r="O1337" s="49" t="s">
        <v>68</v>
      </c>
      <c r="P1337" s="11" t="s">
        <v>80</v>
      </c>
      <c r="Q1337" s="11" t="s">
        <v>87</v>
      </c>
      <c r="R1337" s="11" t="s">
        <v>1336</v>
      </c>
      <c r="S1337" s="11" t="s">
        <v>1337</v>
      </c>
      <c r="T1337" s="116" t="s">
        <v>1</v>
      </c>
      <c r="U1337" s="88"/>
      <c r="V1337" s="51">
        <v>45565</v>
      </c>
      <c r="W1337" s="97" t="s">
        <v>68</v>
      </c>
      <c r="X1337" s="135" t="str">
        <f>VLOOKUP(Table1[[#This Row],[AMZ ID]],[1]Roster_1787503287932!$D$2:$AU$1370,25,0)</f>
        <v>Present</v>
      </c>
      <c r="Y1337" s="135">
        <f>VLOOKUP(Table1[[#This Row],[AMZ ID]],[1]Roster_1787503287932!$D$2:$AM$1370,35,0)</f>
        <v>0</v>
      </c>
    </row>
    <row r="1338" spans="1:25" ht="13" customHeight="1">
      <c r="A1338" s="11">
        <v>1332</v>
      </c>
      <c r="B1338" s="47">
        <v>204115629</v>
      </c>
      <c r="C1338" s="89" t="s">
        <v>1430</v>
      </c>
      <c r="D1338" s="11" t="s">
        <v>1431</v>
      </c>
      <c r="E1338" s="48" t="s">
        <v>31</v>
      </c>
      <c r="F1338" s="48" t="s">
        <v>74</v>
      </c>
      <c r="G1338" s="11" t="s">
        <v>65</v>
      </c>
      <c r="H1338" s="11" t="s">
        <v>1332</v>
      </c>
      <c r="I1338" s="11">
        <v>1181</v>
      </c>
      <c r="J1338" s="49" t="s">
        <v>32</v>
      </c>
      <c r="K1338" s="49" t="s">
        <v>76</v>
      </c>
      <c r="L1338" s="49" t="s">
        <v>77</v>
      </c>
      <c r="M1338" s="49" t="s">
        <v>78</v>
      </c>
      <c r="N1338" s="48" t="s">
        <v>86</v>
      </c>
      <c r="O1338" s="49" t="s">
        <v>68</v>
      </c>
      <c r="P1338" s="11" t="s">
        <v>80</v>
      </c>
      <c r="Q1338" s="11" t="s">
        <v>87</v>
      </c>
      <c r="R1338" s="11" t="s">
        <v>1336</v>
      </c>
      <c r="S1338" s="11" t="s">
        <v>1337</v>
      </c>
      <c r="T1338" s="116" t="s">
        <v>10</v>
      </c>
      <c r="U1338" s="88"/>
      <c r="V1338" s="51">
        <v>45561</v>
      </c>
      <c r="W1338" s="97" t="s">
        <v>68</v>
      </c>
      <c r="X1338" s="135" t="str">
        <f>VLOOKUP(Table1[[#This Row],[AMZ ID]],[1]Roster_1787503287932!$D$2:$AU$1370,25,0)</f>
        <v>Not Present</v>
      </c>
      <c r="Y1338" s="135">
        <f>VLOOKUP(Table1[[#This Row],[AMZ ID]],[1]Roster_1787503287932!$D$2:$AM$1370,35,0)</f>
        <v>0</v>
      </c>
    </row>
    <row r="1339" spans="1:25" ht="13" customHeight="1">
      <c r="A1339" s="11">
        <v>1333</v>
      </c>
      <c r="B1339" s="47">
        <v>206884114</v>
      </c>
      <c r="C1339" s="89" t="s">
        <v>2207</v>
      </c>
      <c r="D1339" s="11" t="s">
        <v>2208</v>
      </c>
      <c r="E1339" s="48" t="s">
        <v>34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129" t="s">
        <v>39</v>
      </c>
      <c r="K1339" s="11" t="s">
        <v>76</v>
      </c>
      <c r="L1339" s="129" t="s">
        <v>78</v>
      </c>
      <c r="M1339" s="129" t="s">
        <v>92</v>
      </c>
      <c r="N1339" s="11" t="s">
        <v>2731</v>
      </c>
      <c r="O1339" s="11" t="s">
        <v>1540</v>
      </c>
      <c r="P1339" s="11" t="s">
        <v>1443</v>
      </c>
      <c r="Q1339" s="11" t="s">
        <v>98</v>
      </c>
      <c r="R1339" s="11" t="s">
        <v>1541</v>
      </c>
      <c r="S1339" s="11" t="s">
        <v>1542</v>
      </c>
      <c r="T1339" s="116" t="s">
        <v>10</v>
      </c>
      <c r="U1339" s="88" t="s">
        <v>3025</v>
      </c>
      <c r="V1339" s="51">
        <v>46069</v>
      </c>
      <c r="W1339" s="102" t="s">
        <v>1583</v>
      </c>
      <c r="X1339" s="135" t="e">
        <f>VLOOKUP(Table1[[#This Row],[AMZ ID]],[1]Roster_1787503287932!$D$2:$AU$1370,25,0)</f>
        <v>#N/A</v>
      </c>
      <c r="Y1339" s="135" t="e">
        <f>VLOOKUP(Table1[[#This Row],[AMZ ID]],[1]Roster_1787503287932!$D$2:$AM$1370,35,0)</f>
        <v>#N/A</v>
      </c>
    </row>
    <row r="1340" spans="1:25" ht="13" customHeight="1">
      <c r="A1340" s="11">
        <v>1334</v>
      </c>
      <c r="B1340" s="47">
        <v>206980506</v>
      </c>
      <c r="C1340" s="89" t="s">
        <v>2888</v>
      </c>
      <c r="D1340" s="11" t="s">
        <v>2200</v>
      </c>
      <c r="E1340" s="48" t="s">
        <v>34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29" t="s">
        <v>32</v>
      </c>
      <c r="K1340" s="11" t="s">
        <v>76</v>
      </c>
      <c r="L1340" s="129" t="s">
        <v>95</v>
      </c>
      <c r="M1340" s="129" t="s">
        <v>77</v>
      </c>
      <c r="N1340" s="11" t="s">
        <v>2731</v>
      </c>
      <c r="O1340" s="11" t="s">
        <v>1540</v>
      </c>
      <c r="P1340" s="11" t="s">
        <v>1443</v>
      </c>
      <c r="Q1340" s="11" t="s">
        <v>98</v>
      </c>
      <c r="R1340" s="11" t="s">
        <v>1541</v>
      </c>
      <c r="S1340" s="11" t="s">
        <v>1542</v>
      </c>
      <c r="T1340" s="116" t="s">
        <v>1</v>
      </c>
      <c r="U1340" s="88"/>
      <c r="V1340" s="51">
        <v>46125</v>
      </c>
      <c r="W1340" s="102" t="s">
        <v>1583</v>
      </c>
      <c r="X1340" s="135" t="e">
        <f>VLOOKUP(Table1[[#This Row],[AMZ ID]],[1]Roster_1787503287932!$D$2:$AU$1370,25,0)</f>
        <v>#N/A</v>
      </c>
      <c r="Y1340" s="135" t="e">
        <f>VLOOKUP(Table1[[#This Row],[AMZ ID]],[1]Roster_1787503287932!$D$2:$AM$1370,35,0)</f>
        <v>#N/A</v>
      </c>
    </row>
    <row r="1341" spans="1:25" ht="13" customHeight="1">
      <c r="A1341" s="11">
        <v>1335</v>
      </c>
      <c r="B1341" s="47">
        <v>206930467</v>
      </c>
      <c r="C1341" s="89" t="s">
        <v>2209</v>
      </c>
      <c r="D1341" s="11" t="s">
        <v>2210</v>
      </c>
      <c r="E1341" s="48" t="s">
        <v>34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29" t="s">
        <v>39</v>
      </c>
      <c r="K1341" s="11" t="s">
        <v>76</v>
      </c>
      <c r="L1341" s="129" t="s">
        <v>95</v>
      </c>
      <c r="M1341" s="129" t="s">
        <v>77</v>
      </c>
      <c r="N1341" s="11" t="s">
        <v>2731</v>
      </c>
      <c r="O1341" s="11" t="s">
        <v>1540</v>
      </c>
      <c r="P1341" s="11" t="s">
        <v>1443</v>
      </c>
      <c r="Q1341" s="11" t="s">
        <v>98</v>
      </c>
      <c r="R1341" s="11" t="s">
        <v>1541</v>
      </c>
      <c r="S1341" s="11" t="s">
        <v>1542</v>
      </c>
      <c r="T1341" s="116" t="s">
        <v>1</v>
      </c>
      <c r="U1341" s="88"/>
      <c r="V1341" s="51">
        <v>46069</v>
      </c>
      <c r="W1341" s="102" t="s">
        <v>1583</v>
      </c>
      <c r="X1341" s="135" t="e">
        <f>VLOOKUP(Table1[[#This Row],[AMZ ID]],[1]Roster_1787503287932!$D$2:$AU$1370,25,0)</f>
        <v>#N/A</v>
      </c>
      <c r="Y1341" s="135" t="e">
        <f>VLOOKUP(Table1[[#This Row],[AMZ ID]],[1]Roster_1787503287932!$D$2:$AM$1370,35,0)</f>
        <v>#N/A</v>
      </c>
    </row>
    <row r="1342" spans="1:25" ht="13" customHeight="1">
      <c r="A1342" s="11">
        <v>1336</v>
      </c>
      <c r="B1342" s="47">
        <v>113239078</v>
      </c>
      <c r="C1342" s="89" t="s">
        <v>1702</v>
      </c>
      <c r="D1342" s="11" t="s">
        <v>1543</v>
      </c>
      <c r="E1342" s="48" t="s">
        <v>34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29" t="s">
        <v>39</v>
      </c>
      <c r="K1342" s="11" t="s">
        <v>76</v>
      </c>
      <c r="L1342" s="129" t="s">
        <v>85</v>
      </c>
      <c r="M1342" s="129" t="s">
        <v>88</v>
      </c>
      <c r="N1342" s="11" t="s">
        <v>2731</v>
      </c>
      <c r="O1342" s="11" t="s">
        <v>1540</v>
      </c>
      <c r="P1342" s="11" t="s">
        <v>1443</v>
      </c>
      <c r="Q1342" s="11" t="s">
        <v>98</v>
      </c>
      <c r="R1342" s="11" t="s">
        <v>1541</v>
      </c>
      <c r="S1342" s="11" t="s">
        <v>1542</v>
      </c>
      <c r="T1342" s="116" t="s">
        <v>7</v>
      </c>
      <c r="U1342" s="88" t="s">
        <v>3024</v>
      </c>
      <c r="V1342" s="51">
        <v>44935</v>
      </c>
      <c r="W1342" s="102" t="s">
        <v>1583</v>
      </c>
      <c r="X1342" s="135" t="e">
        <f>VLOOKUP(Table1[[#This Row],[AMZ ID]],[1]Roster_1787503287932!$D$2:$AU$1370,25,0)</f>
        <v>#N/A</v>
      </c>
      <c r="Y1342" s="135" t="e">
        <f>VLOOKUP(Table1[[#This Row],[AMZ ID]],[1]Roster_1787503287932!$D$2:$AM$1370,35,0)</f>
        <v>#N/A</v>
      </c>
    </row>
    <row r="1343" spans="1:25" ht="13" customHeight="1">
      <c r="A1343" s="11">
        <v>1337</v>
      </c>
      <c r="B1343" s="47">
        <v>203875181</v>
      </c>
      <c r="C1343" s="89" t="s">
        <v>1544</v>
      </c>
      <c r="D1343" s="11" t="s">
        <v>1545</v>
      </c>
      <c r="E1343" s="48" t="s">
        <v>31</v>
      </c>
      <c r="F1343" s="48" t="s">
        <v>74</v>
      </c>
      <c r="G1343" s="11" t="s">
        <v>66</v>
      </c>
      <c r="H1343" s="11" t="s">
        <v>1332</v>
      </c>
      <c r="I1343" s="11">
        <v>1181</v>
      </c>
      <c r="J1343" s="129" t="s">
        <v>39</v>
      </c>
      <c r="K1343" s="11" t="s">
        <v>76</v>
      </c>
      <c r="L1343" s="129" t="s">
        <v>85</v>
      </c>
      <c r="M1343" s="129" t="s">
        <v>88</v>
      </c>
      <c r="N1343" s="11" t="s">
        <v>79</v>
      </c>
      <c r="O1343" s="11" t="s">
        <v>68</v>
      </c>
      <c r="P1343" s="11" t="s">
        <v>1443</v>
      </c>
      <c r="Q1343" s="11" t="s">
        <v>81</v>
      </c>
      <c r="R1343" s="11" t="s">
        <v>2720</v>
      </c>
      <c r="S1343" s="11" t="s">
        <v>2721</v>
      </c>
      <c r="T1343" s="116" t="s">
        <v>1</v>
      </c>
      <c r="U1343" s="88"/>
      <c r="V1343" s="51">
        <v>45530</v>
      </c>
      <c r="W1343" s="102" t="s">
        <v>68</v>
      </c>
      <c r="X1343" s="135" t="str">
        <f>VLOOKUP(Table1[[#This Row],[AMZ ID]],[1]Roster_1787503287932!$D$2:$AU$1370,25,0)</f>
        <v>Present</v>
      </c>
      <c r="Y1343" s="135">
        <f>VLOOKUP(Table1[[#This Row],[AMZ ID]],[1]Roster_1787503287932!$D$2:$AM$1370,35,0)</f>
        <v>0</v>
      </c>
    </row>
    <row r="1344" spans="1:25" ht="13" customHeight="1">
      <c r="A1344" s="11">
        <v>1338</v>
      </c>
      <c r="B1344" s="47">
        <v>203875184</v>
      </c>
      <c r="C1344" s="89" t="s">
        <v>1546</v>
      </c>
      <c r="D1344" s="11" t="s">
        <v>1547</v>
      </c>
      <c r="E1344" s="48" t="s">
        <v>31</v>
      </c>
      <c r="F1344" s="48" t="s">
        <v>74</v>
      </c>
      <c r="G1344" s="11" t="s">
        <v>66</v>
      </c>
      <c r="H1344" s="11" t="s">
        <v>1332</v>
      </c>
      <c r="I1344" s="11">
        <v>1181</v>
      </c>
      <c r="J1344" s="129" t="s">
        <v>39</v>
      </c>
      <c r="K1344" s="11" t="s">
        <v>76</v>
      </c>
      <c r="L1344" s="129" t="s">
        <v>88</v>
      </c>
      <c r="M1344" s="129" t="s">
        <v>95</v>
      </c>
      <c r="N1344" s="11" t="s">
        <v>79</v>
      </c>
      <c r="O1344" s="11" t="s">
        <v>68</v>
      </c>
      <c r="P1344" s="11" t="s">
        <v>1443</v>
      </c>
      <c r="Q1344" s="11" t="s">
        <v>81</v>
      </c>
      <c r="R1344" s="11" t="s">
        <v>2720</v>
      </c>
      <c r="S1344" s="11" t="s">
        <v>2721</v>
      </c>
      <c r="T1344" s="116" t="s">
        <v>1</v>
      </c>
      <c r="U1344" s="88"/>
      <c r="V1344" s="51">
        <v>45530</v>
      </c>
      <c r="W1344" s="102" t="s">
        <v>68</v>
      </c>
      <c r="X1344" s="135" t="str">
        <f>VLOOKUP(Table1[[#This Row],[AMZ ID]],[1]Roster_1787503287932!$D$2:$AU$1370,25,0)</f>
        <v>Present</v>
      </c>
      <c r="Y1344" s="135">
        <f>VLOOKUP(Table1[[#This Row],[AMZ ID]],[1]Roster_1787503287932!$D$2:$AM$1370,35,0)</f>
        <v>0</v>
      </c>
    </row>
    <row r="1345" spans="1:25" ht="13" customHeight="1">
      <c r="A1345" s="11">
        <v>1339</v>
      </c>
      <c r="B1345" s="47">
        <v>203875092</v>
      </c>
      <c r="C1345" s="89" t="s">
        <v>1548</v>
      </c>
      <c r="D1345" s="11" t="s">
        <v>1549</v>
      </c>
      <c r="E1345" s="48" t="s">
        <v>31</v>
      </c>
      <c r="F1345" s="48" t="s">
        <v>74</v>
      </c>
      <c r="G1345" s="11" t="s">
        <v>66</v>
      </c>
      <c r="H1345" s="11" t="s">
        <v>1332</v>
      </c>
      <c r="I1345" s="11">
        <v>1181</v>
      </c>
      <c r="J1345" s="129" t="s">
        <v>39</v>
      </c>
      <c r="K1345" s="11" t="s">
        <v>76</v>
      </c>
      <c r="L1345" s="129" t="s">
        <v>84</v>
      </c>
      <c r="M1345" s="129" t="s">
        <v>85</v>
      </c>
      <c r="N1345" s="11" t="s">
        <v>79</v>
      </c>
      <c r="O1345" s="11" t="s">
        <v>68</v>
      </c>
      <c r="P1345" s="11" t="s">
        <v>1443</v>
      </c>
      <c r="Q1345" s="11" t="s">
        <v>81</v>
      </c>
      <c r="R1345" s="11" t="s">
        <v>2720</v>
      </c>
      <c r="S1345" s="11" t="s">
        <v>2721</v>
      </c>
      <c r="T1345" s="116" t="s">
        <v>1</v>
      </c>
      <c r="U1345" s="88"/>
      <c r="V1345" s="51">
        <v>45530</v>
      </c>
      <c r="W1345" s="102" t="s">
        <v>68</v>
      </c>
      <c r="X1345" s="135" t="str">
        <f>VLOOKUP(Table1[[#This Row],[AMZ ID]],[1]Roster_1787503287932!$D$2:$AU$1370,25,0)</f>
        <v>Present</v>
      </c>
      <c r="Y1345" s="135">
        <f>VLOOKUP(Table1[[#This Row],[AMZ ID]],[1]Roster_1787503287932!$D$2:$AM$1370,35,0)</f>
        <v>0</v>
      </c>
    </row>
    <row r="1346" spans="1:25" ht="13" customHeight="1">
      <c r="A1346" s="11">
        <v>1340</v>
      </c>
      <c r="B1346" s="47">
        <v>203875089</v>
      </c>
      <c r="C1346" s="89" t="s">
        <v>1550</v>
      </c>
      <c r="D1346" s="11" t="s">
        <v>1551</v>
      </c>
      <c r="E1346" s="48" t="s">
        <v>31</v>
      </c>
      <c r="F1346" s="48" t="s">
        <v>74</v>
      </c>
      <c r="G1346" s="11" t="s">
        <v>66</v>
      </c>
      <c r="H1346" s="11" t="s">
        <v>1332</v>
      </c>
      <c r="I1346" s="11">
        <v>1181</v>
      </c>
      <c r="J1346" s="129" t="s">
        <v>39</v>
      </c>
      <c r="K1346" s="11" t="s">
        <v>76</v>
      </c>
      <c r="L1346" s="129" t="s">
        <v>88</v>
      </c>
      <c r="M1346" s="129" t="s">
        <v>95</v>
      </c>
      <c r="N1346" s="11" t="s">
        <v>79</v>
      </c>
      <c r="O1346" s="11" t="s">
        <v>68</v>
      </c>
      <c r="P1346" s="11" t="s">
        <v>1443</v>
      </c>
      <c r="Q1346" s="11" t="s">
        <v>81</v>
      </c>
      <c r="R1346" s="11" t="s">
        <v>2720</v>
      </c>
      <c r="S1346" s="11" t="s">
        <v>2721</v>
      </c>
      <c r="T1346" s="116" t="s">
        <v>1</v>
      </c>
      <c r="U1346" s="88"/>
      <c r="V1346" s="51">
        <v>45530</v>
      </c>
      <c r="W1346" s="102" t="s">
        <v>68</v>
      </c>
      <c r="X1346" s="135" t="str">
        <f>VLOOKUP(Table1[[#This Row],[AMZ ID]],[1]Roster_1787503287932!$D$2:$AU$1370,25,0)</f>
        <v>Present</v>
      </c>
      <c r="Y1346" s="135">
        <f>VLOOKUP(Table1[[#This Row],[AMZ ID]],[1]Roster_1787503287932!$D$2:$AM$1370,35,0)</f>
        <v>0</v>
      </c>
    </row>
    <row r="1347" spans="1:25" ht="13" customHeight="1">
      <c r="A1347" s="11">
        <v>1341</v>
      </c>
      <c r="B1347" s="112">
        <v>203875090</v>
      </c>
      <c r="C1347" s="113" t="s">
        <v>1552</v>
      </c>
      <c r="D1347" s="11" t="s">
        <v>1553</v>
      </c>
      <c r="E1347" s="104" t="s">
        <v>31</v>
      </c>
      <c r="F1347" s="104" t="s">
        <v>74</v>
      </c>
      <c r="G1347" s="105" t="s">
        <v>66</v>
      </c>
      <c r="H1347" s="105" t="s">
        <v>1332</v>
      </c>
      <c r="I1347" s="11">
        <v>1181</v>
      </c>
      <c r="J1347" s="129" t="s">
        <v>39</v>
      </c>
      <c r="K1347" s="106" t="s">
        <v>76</v>
      </c>
      <c r="L1347" s="106" t="s">
        <v>95</v>
      </c>
      <c r="M1347" s="106" t="s">
        <v>77</v>
      </c>
      <c r="N1347" s="104" t="s">
        <v>79</v>
      </c>
      <c r="O1347" s="106" t="s">
        <v>68</v>
      </c>
      <c r="P1347" s="105" t="s">
        <v>1443</v>
      </c>
      <c r="Q1347" s="105" t="s">
        <v>81</v>
      </c>
      <c r="R1347" s="105" t="s">
        <v>2720</v>
      </c>
      <c r="S1347" s="105" t="s">
        <v>2721</v>
      </c>
      <c r="T1347" s="116" t="s">
        <v>1</v>
      </c>
      <c r="U1347" s="88"/>
      <c r="V1347" s="107">
        <v>45530</v>
      </c>
      <c r="W1347" s="108" t="s">
        <v>68</v>
      </c>
      <c r="X1347" s="135" t="str">
        <f>VLOOKUP(Table1[[#This Row],[AMZ ID]],[1]Roster_1787503287932!$D$2:$AU$1370,25,0)</f>
        <v>Present</v>
      </c>
      <c r="Y1347" s="135">
        <f>VLOOKUP(Table1[[#This Row],[AMZ ID]],[1]Roster_1787503287932!$D$2:$AM$1370,35,0)</f>
        <v>0</v>
      </c>
    </row>
    <row r="1348" spans="1:25" ht="13" customHeight="1">
      <c r="A1348" s="11">
        <v>1342</v>
      </c>
      <c r="B1348" s="47">
        <v>203875180</v>
      </c>
      <c r="C1348" s="89" t="s">
        <v>1554</v>
      </c>
      <c r="D1348" s="11" t="s">
        <v>1555</v>
      </c>
      <c r="E1348" s="48" t="s">
        <v>31</v>
      </c>
      <c r="F1348" s="48" t="s">
        <v>74</v>
      </c>
      <c r="G1348" s="75" t="s">
        <v>66</v>
      </c>
      <c r="H1348" s="75" t="s">
        <v>1332</v>
      </c>
      <c r="I1348" s="11">
        <v>1181</v>
      </c>
      <c r="J1348" s="49" t="s">
        <v>39</v>
      </c>
      <c r="K1348" s="49" t="s">
        <v>76</v>
      </c>
      <c r="L1348" s="49" t="s">
        <v>78</v>
      </c>
      <c r="M1348" s="49" t="s">
        <v>92</v>
      </c>
      <c r="N1348" s="48" t="s">
        <v>79</v>
      </c>
      <c r="O1348" s="49" t="s">
        <v>68</v>
      </c>
      <c r="P1348" s="11" t="s">
        <v>1443</v>
      </c>
      <c r="Q1348" s="11" t="s">
        <v>81</v>
      </c>
      <c r="R1348" s="11" t="s">
        <v>2720</v>
      </c>
      <c r="S1348" s="11" t="s">
        <v>2721</v>
      </c>
      <c r="T1348" s="116" t="s">
        <v>10</v>
      </c>
      <c r="U1348" s="88"/>
      <c r="V1348" s="51">
        <v>45530</v>
      </c>
      <c r="W1348" s="97" t="s">
        <v>68</v>
      </c>
      <c r="X1348" s="135" t="str">
        <f>VLOOKUP(Table1[[#This Row],[AMZ ID]],[1]Roster_1787503287932!$D$2:$AU$1370,25,0)</f>
        <v>Not Present</v>
      </c>
      <c r="Y1348" s="135">
        <f>VLOOKUP(Table1[[#This Row],[AMZ ID]],[1]Roster_1787503287932!$D$2:$AM$1370,35,0)</f>
        <v>0</v>
      </c>
    </row>
    <row r="1349" spans="1:25" ht="13" customHeight="1">
      <c r="A1349" s="11">
        <v>1343</v>
      </c>
      <c r="B1349" s="118">
        <v>203875183</v>
      </c>
      <c r="C1349" s="117" t="s">
        <v>1556</v>
      </c>
      <c r="D1349" s="119" t="s">
        <v>1557</v>
      </c>
      <c r="E1349" s="109" t="s">
        <v>31</v>
      </c>
      <c r="F1349" s="109" t="s">
        <v>74</v>
      </c>
      <c r="G1349" s="99" t="s">
        <v>66</v>
      </c>
      <c r="H1349" s="99" t="s">
        <v>1332</v>
      </c>
      <c r="I1349" s="11">
        <v>1181</v>
      </c>
      <c r="J1349" s="129" t="s">
        <v>39</v>
      </c>
      <c r="K1349" s="110" t="s">
        <v>76</v>
      </c>
      <c r="L1349" s="110" t="s">
        <v>85</v>
      </c>
      <c r="M1349" s="110" t="s">
        <v>88</v>
      </c>
      <c r="N1349" s="109" t="s">
        <v>79</v>
      </c>
      <c r="O1349" s="110" t="s">
        <v>68</v>
      </c>
      <c r="P1349" s="99" t="s">
        <v>1443</v>
      </c>
      <c r="Q1349" s="99" t="s">
        <v>81</v>
      </c>
      <c r="R1349" s="99" t="s">
        <v>2720</v>
      </c>
      <c r="S1349" s="99" t="s">
        <v>2721</v>
      </c>
      <c r="T1349" s="116" t="s">
        <v>1</v>
      </c>
      <c r="U1349" s="88"/>
      <c r="V1349" s="111">
        <v>45530</v>
      </c>
      <c r="W1349" s="120" t="s">
        <v>68</v>
      </c>
      <c r="X1349" s="135" t="str">
        <f>VLOOKUP(Table1[[#This Row],[AMZ ID]],[1]Roster_1787503287932!$D$2:$AU$1370,25,0)</f>
        <v>Present</v>
      </c>
      <c r="Y1349" s="135">
        <f>VLOOKUP(Table1[[#This Row],[AMZ ID]],[1]Roster_1787503287932!$D$2:$AM$1370,35,0)</f>
        <v>0</v>
      </c>
    </row>
    <row r="1350" spans="1:25" ht="13" customHeight="1">
      <c r="A1350" s="11">
        <v>1344</v>
      </c>
      <c r="B1350" s="118">
        <v>112463068</v>
      </c>
      <c r="C1350" s="117" t="s">
        <v>1558</v>
      </c>
      <c r="D1350" s="119" t="s">
        <v>1559</v>
      </c>
      <c r="E1350" s="109" t="s">
        <v>31</v>
      </c>
      <c r="F1350" s="109" t="s">
        <v>74</v>
      </c>
      <c r="G1350" s="99" t="s">
        <v>66</v>
      </c>
      <c r="H1350" s="99" t="s">
        <v>1332</v>
      </c>
      <c r="I1350" s="11">
        <v>1181</v>
      </c>
      <c r="J1350" s="129" t="s">
        <v>39</v>
      </c>
      <c r="K1350" s="110" t="s">
        <v>76</v>
      </c>
      <c r="L1350" s="110" t="s">
        <v>88</v>
      </c>
      <c r="M1350" s="110" t="s">
        <v>95</v>
      </c>
      <c r="N1350" s="109" t="s">
        <v>79</v>
      </c>
      <c r="O1350" s="110" t="s">
        <v>68</v>
      </c>
      <c r="P1350" s="99" t="s">
        <v>1443</v>
      </c>
      <c r="Q1350" s="99" t="s">
        <v>81</v>
      </c>
      <c r="R1350" s="99" t="s">
        <v>2720</v>
      </c>
      <c r="S1350" s="99" t="s">
        <v>2721</v>
      </c>
      <c r="T1350" s="116" t="s">
        <v>1</v>
      </c>
      <c r="U1350" s="88"/>
      <c r="V1350" s="111">
        <v>45530</v>
      </c>
      <c r="W1350" s="120" t="s">
        <v>68</v>
      </c>
      <c r="X1350" s="135" t="str">
        <f>VLOOKUP(Table1[[#This Row],[AMZ ID]],[1]Roster_1787503287932!$D$2:$AU$1370,25,0)</f>
        <v>Present</v>
      </c>
      <c r="Y1350" s="135">
        <f>VLOOKUP(Table1[[#This Row],[AMZ ID]],[1]Roster_1787503287932!$D$2:$AM$1370,35,0)</f>
        <v>0</v>
      </c>
    </row>
    <row r="1351" spans="1:25" ht="13" customHeight="1">
      <c r="A1351" s="11">
        <v>1345</v>
      </c>
      <c r="B1351" s="118">
        <v>203875088</v>
      </c>
      <c r="C1351" s="117" t="s">
        <v>1560</v>
      </c>
      <c r="D1351" s="119" t="s">
        <v>1561</v>
      </c>
      <c r="E1351" s="109" t="s">
        <v>31</v>
      </c>
      <c r="F1351" s="109" t="s">
        <v>74</v>
      </c>
      <c r="G1351" s="99" t="s">
        <v>66</v>
      </c>
      <c r="H1351" s="99" t="s">
        <v>1332</v>
      </c>
      <c r="I1351" s="11">
        <v>1181</v>
      </c>
      <c r="J1351" s="129" t="s">
        <v>39</v>
      </c>
      <c r="K1351" s="110" t="s">
        <v>76</v>
      </c>
      <c r="L1351" s="110" t="s">
        <v>92</v>
      </c>
      <c r="M1351" s="110" t="s">
        <v>84</v>
      </c>
      <c r="N1351" s="109" t="s">
        <v>79</v>
      </c>
      <c r="O1351" s="110" t="s">
        <v>68</v>
      </c>
      <c r="P1351" s="99" t="s">
        <v>1443</v>
      </c>
      <c r="Q1351" s="99" t="s">
        <v>81</v>
      </c>
      <c r="R1351" s="99" t="s">
        <v>2720</v>
      </c>
      <c r="S1351" s="99" t="s">
        <v>2721</v>
      </c>
      <c r="T1351" s="116" t="s">
        <v>7</v>
      </c>
      <c r="U1351" s="88"/>
      <c r="V1351" s="111">
        <v>45530</v>
      </c>
      <c r="W1351" s="120" t="s">
        <v>68</v>
      </c>
      <c r="X1351" s="135" t="str">
        <f>VLOOKUP(Table1[[#This Row],[AMZ ID]],[1]Roster_1787503287932!$D$2:$AU$1370,25,0)</f>
        <v>Not Present</v>
      </c>
      <c r="Y1351" s="135">
        <f>VLOOKUP(Table1[[#This Row],[AMZ ID]],[1]Roster_1787503287932!$D$2:$AM$1370,35,0)</f>
        <v>0</v>
      </c>
    </row>
    <row r="1352" spans="1:25" ht="13" customHeight="1">
      <c r="A1352" s="11">
        <v>1346</v>
      </c>
      <c r="B1352" s="118">
        <v>203875091</v>
      </c>
      <c r="C1352" s="117" t="s">
        <v>1562</v>
      </c>
      <c r="D1352" s="119" t="s">
        <v>1563</v>
      </c>
      <c r="E1352" s="109" t="s">
        <v>31</v>
      </c>
      <c r="F1352" s="109" t="s">
        <v>74</v>
      </c>
      <c r="G1352" s="99" t="s">
        <v>66</v>
      </c>
      <c r="H1352" s="99" t="s">
        <v>1332</v>
      </c>
      <c r="I1352" s="11">
        <v>1181</v>
      </c>
      <c r="J1352" s="129" t="s">
        <v>39</v>
      </c>
      <c r="K1352" s="110" t="s">
        <v>76</v>
      </c>
      <c r="L1352" s="110" t="s">
        <v>84</v>
      </c>
      <c r="M1352" s="110" t="s">
        <v>85</v>
      </c>
      <c r="N1352" s="109" t="s">
        <v>79</v>
      </c>
      <c r="O1352" s="110" t="s">
        <v>68</v>
      </c>
      <c r="P1352" s="99" t="s">
        <v>1443</v>
      </c>
      <c r="Q1352" s="99" t="s">
        <v>81</v>
      </c>
      <c r="R1352" s="99" t="s">
        <v>2720</v>
      </c>
      <c r="S1352" s="99" t="s">
        <v>2721</v>
      </c>
      <c r="T1352" s="116" t="s">
        <v>1</v>
      </c>
      <c r="U1352" s="88"/>
      <c r="V1352" s="111">
        <v>45530</v>
      </c>
      <c r="W1352" s="120" t="s">
        <v>68</v>
      </c>
      <c r="X1352" s="135" t="str">
        <f>VLOOKUP(Table1[[#This Row],[AMZ ID]],[1]Roster_1787503287932!$D$2:$AU$1370,25,0)</f>
        <v>Present</v>
      </c>
      <c r="Y1352" s="135">
        <f>VLOOKUP(Table1[[#This Row],[AMZ ID]],[1]Roster_1787503287932!$D$2:$AM$1370,35,0)</f>
        <v>0</v>
      </c>
    </row>
    <row r="1353" spans="1:25" ht="13" customHeight="1">
      <c r="A1353" s="11">
        <v>1347</v>
      </c>
      <c r="B1353" s="121">
        <v>203875185</v>
      </c>
      <c r="C1353" s="122" t="s">
        <v>1564</v>
      </c>
      <c r="D1353" s="123" t="s">
        <v>1565</v>
      </c>
      <c r="E1353" s="104" t="s">
        <v>31</v>
      </c>
      <c r="F1353" s="104" t="s">
        <v>74</v>
      </c>
      <c r="G1353" s="105" t="s">
        <v>66</v>
      </c>
      <c r="H1353" s="105" t="s">
        <v>1332</v>
      </c>
      <c r="I1353" s="11">
        <v>1181</v>
      </c>
      <c r="J1353" s="129" t="s">
        <v>39</v>
      </c>
      <c r="K1353" s="106" t="s">
        <v>76</v>
      </c>
      <c r="L1353" s="106" t="s">
        <v>95</v>
      </c>
      <c r="M1353" s="106" t="s">
        <v>77</v>
      </c>
      <c r="N1353" s="104" t="s">
        <v>79</v>
      </c>
      <c r="O1353" s="106" t="s">
        <v>68</v>
      </c>
      <c r="P1353" s="105" t="s">
        <v>1443</v>
      </c>
      <c r="Q1353" s="105" t="s">
        <v>81</v>
      </c>
      <c r="R1353" s="105" t="s">
        <v>2720</v>
      </c>
      <c r="S1353" s="105" t="s">
        <v>2721</v>
      </c>
      <c r="T1353" s="116" t="s">
        <v>1</v>
      </c>
      <c r="U1353" s="88"/>
      <c r="V1353" s="107">
        <v>45530</v>
      </c>
      <c r="W1353" s="108" t="s">
        <v>68</v>
      </c>
      <c r="X1353" s="135" t="str">
        <f>VLOOKUP(Table1[[#This Row],[AMZ ID]],[1]Roster_1787503287932!$D$2:$AU$1370,25,0)</f>
        <v>Present</v>
      </c>
      <c r="Y1353" s="135">
        <f>VLOOKUP(Table1[[#This Row],[AMZ ID]],[1]Roster_1787503287932!$D$2:$AM$1370,35,0)</f>
        <v>0</v>
      </c>
    </row>
    <row r="1354" spans="1:25" ht="13" customHeight="1">
      <c r="A1354" s="11">
        <v>1348</v>
      </c>
      <c r="B1354" s="118">
        <v>203875186</v>
      </c>
      <c r="C1354" s="117" t="s">
        <v>1566</v>
      </c>
      <c r="D1354" s="119" t="s">
        <v>1567</v>
      </c>
      <c r="E1354" s="109" t="s">
        <v>31</v>
      </c>
      <c r="F1354" s="109" t="s">
        <v>74</v>
      </c>
      <c r="G1354" s="99" t="s">
        <v>66</v>
      </c>
      <c r="H1354" s="99" t="s">
        <v>1332</v>
      </c>
      <c r="I1354" s="11">
        <v>1181</v>
      </c>
      <c r="J1354" s="129" t="s">
        <v>39</v>
      </c>
      <c r="K1354" s="110" t="s">
        <v>76</v>
      </c>
      <c r="L1354" s="110" t="s">
        <v>77</v>
      </c>
      <c r="M1354" s="110" t="s">
        <v>78</v>
      </c>
      <c r="N1354" s="109" t="s">
        <v>79</v>
      </c>
      <c r="O1354" s="110" t="s">
        <v>68</v>
      </c>
      <c r="P1354" s="99" t="s">
        <v>1443</v>
      </c>
      <c r="Q1354" s="99" t="s">
        <v>81</v>
      </c>
      <c r="R1354" s="11" t="s">
        <v>2720</v>
      </c>
      <c r="S1354" s="11" t="s">
        <v>2721</v>
      </c>
      <c r="T1354" s="116" t="s">
        <v>10</v>
      </c>
      <c r="U1354" s="88"/>
      <c r="V1354" s="111">
        <v>45528</v>
      </c>
      <c r="W1354" s="120" t="s">
        <v>68</v>
      </c>
      <c r="X1354" s="135" t="str">
        <f>VLOOKUP(Table1[[#This Row],[AMZ ID]],[1]Roster_1787503287932!$D$2:$AU$1370,25,0)</f>
        <v>Not Present</v>
      </c>
      <c r="Y1354" s="135">
        <f>VLOOKUP(Table1[[#This Row],[AMZ ID]],[1]Roster_1787503287932!$D$2:$AM$1370,35,0)</f>
        <v>0</v>
      </c>
    </row>
    <row r="1355" spans="1:25" ht="13" customHeight="1">
      <c r="A1355" s="11">
        <v>1349</v>
      </c>
      <c r="B1355" s="118">
        <v>206926977</v>
      </c>
      <c r="C1355" s="117" t="s">
        <v>2889</v>
      </c>
      <c r="D1355" s="119" t="s">
        <v>2914</v>
      </c>
      <c r="E1355" s="109" t="s">
        <v>31</v>
      </c>
      <c r="F1355" s="109" t="s">
        <v>74</v>
      </c>
      <c r="G1355" s="99" t="s">
        <v>64</v>
      </c>
      <c r="H1355" s="99" t="s">
        <v>75</v>
      </c>
      <c r="I1355" s="11">
        <v>1299</v>
      </c>
      <c r="J1355" s="129" t="s">
        <v>39</v>
      </c>
      <c r="K1355" s="110" t="s">
        <v>76</v>
      </c>
      <c r="L1355" s="110" t="s">
        <v>92</v>
      </c>
      <c r="M1355" s="110" t="s">
        <v>84</v>
      </c>
      <c r="N1355" s="109" t="s">
        <v>89</v>
      </c>
      <c r="O1355" s="110" t="s">
        <v>37</v>
      </c>
      <c r="P1355" s="99" t="s">
        <v>80</v>
      </c>
      <c r="Q1355" s="99" t="s">
        <v>81</v>
      </c>
      <c r="R1355" s="99" t="s">
        <v>2845</v>
      </c>
      <c r="S1355" s="99" t="s">
        <v>2846</v>
      </c>
      <c r="T1355" s="116" t="s">
        <v>1</v>
      </c>
      <c r="U1355" s="88"/>
      <c r="V1355" s="111">
        <v>46247</v>
      </c>
      <c r="W1355" s="120" t="s">
        <v>1576</v>
      </c>
      <c r="X1355" s="135" t="str">
        <f>VLOOKUP(Table1[[#This Row],[AMZ ID]],[1]Roster_1787503287932!$D$2:$AU$1370,25,0)</f>
        <v>Present</v>
      </c>
      <c r="Y1355" s="135">
        <f>VLOOKUP(Table1[[#This Row],[AMZ ID]],[1]Roster_1787503287932!$D$2:$AM$1370,35,0)</f>
        <v>0</v>
      </c>
    </row>
    <row r="1356" spans="1:25" ht="13" customHeight="1">
      <c r="A1356" s="11">
        <v>1350</v>
      </c>
      <c r="B1356" s="118">
        <v>206897639</v>
      </c>
      <c r="C1356" s="117" t="s">
        <v>2890</v>
      </c>
      <c r="D1356" s="119" t="s">
        <v>2915</v>
      </c>
      <c r="E1356" s="109" t="s">
        <v>31</v>
      </c>
      <c r="F1356" s="109" t="s">
        <v>74</v>
      </c>
      <c r="G1356" s="99" t="s">
        <v>64</v>
      </c>
      <c r="H1356" s="99" t="s">
        <v>75</v>
      </c>
      <c r="I1356" s="11">
        <v>1299</v>
      </c>
      <c r="J1356" s="129" t="s">
        <v>39</v>
      </c>
      <c r="K1356" s="110" t="s">
        <v>76</v>
      </c>
      <c r="L1356" s="110" t="s">
        <v>92</v>
      </c>
      <c r="M1356" s="110" t="s">
        <v>84</v>
      </c>
      <c r="N1356" s="109" t="s">
        <v>89</v>
      </c>
      <c r="O1356" s="110" t="s">
        <v>37</v>
      </c>
      <c r="P1356" s="99" t="s">
        <v>80</v>
      </c>
      <c r="Q1356" s="99" t="s">
        <v>81</v>
      </c>
      <c r="R1356" s="11" t="s">
        <v>1066</v>
      </c>
      <c r="S1356" s="11" t="s">
        <v>2717</v>
      </c>
      <c r="T1356" s="116" t="s">
        <v>1</v>
      </c>
      <c r="U1356" s="88"/>
      <c r="V1356" s="111">
        <v>46247</v>
      </c>
      <c r="W1356" s="120" t="s">
        <v>1576</v>
      </c>
      <c r="X1356" s="135" t="str">
        <f>VLOOKUP(Table1[[#This Row],[AMZ ID]],[1]Roster_1787503287932!$D$2:$AU$1370,25,0)</f>
        <v>Present</v>
      </c>
      <c r="Y1356" s="135">
        <f>VLOOKUP(Table1[[#This Row],[AMZ ID]],[1]Roster_1787503287932!$D$2:$AM$1370,35,0)</f>
        <v>0</v>
      </c>
    </row>
    <row r="1357" spans="1:25" ht="13" customHeight="1">
      <c r="A1357" s="11">
        <v>1351</v>
      </c>
      <c r="B1357" s="118">
        <v>206239217</v>
      </c>
      <c r="C1357" s="117" t="s">
        <v>2891</v>
      </c>
      <c r="D1357" s="119" t="s">
        <v>2916</v>
      </c>
      <c r="E1357" s="109" t="s">
        <v>31</v>
      </c>
      <c r="F1357" s="109" t="s">
        <v>74</v>
      </c>
      <c r="G1357" s="99" t="s">
        <v>64</v>
      </c>
      <c r="H1357" s="99" t="s">
        <v>75</v>
      </c>
      <c r="I1357" s="11">
        <v>1299</v>
      </c>
      <c r="J1357" s="129" t="s">
        <v>39</v>
      </c>
      <c r="K1357" s="110" t="s">
        <v>76</v>
      </c>
      <c r="L1357" s="110" t="s">
        <v>88</v>
      </c>
      <c r="M1357" s="110" t="s">
        <v>95</v>
      </c>
      <c r="N1357" s="109" t="s">
        <v>89</v>
      </c>
      <c r="O1357" s="110" t="s">
        <v>37</v>
      </c>
      <c r="P1357" s="99" t="s">
        <v>80</v>
      </c>
      <c r="Q1357" s="99" t="s">
        <v>81</v>
      </c>
      <c r="R1357" s="99" t="s">
        <v>2845</v>
      </c>
      <c r="S1357" s="99" t="s">
        <v>2846</v>
      </c>
      <c r="T1357" s="116" t="s">
        <v>1</v>
      </c>
      <c r="U1357" s="88"/>
      <c r="V1357" s="111">
        <v>46247</v>
      </c>
      <c r="W1357" s="120" t="s">
        <v>1576</v>
      </c>
      <c r="X1357" s="135" t="str">
        <f>VLOOKUP(Table1[[#This Row],[AMZ ID]],[1]Roster_1787503287932!$D$2:$AU$1370,25,0)</f>
        <v>Present</v>
      </c>
      <c r="Y1357" s="135">
        <f>VLOOKUP(Table1[[#This Row],[AMZ ID]],[1]Roster_1787503287932!$D$2:$AM$1370,35,0)</f>
        <v>0</v>
      </c>
    </row>
    <row r="1358" spans="1:25" ht="13" customHeight="1">
      <c r="A1358" s="11">
        <v>1352</v>
      </c>
      <c r="B1358" s="118">
        <v>206926985</v>
      </c>
      <c r="C1358" s="117" t="s">
        <v>2892</v>
      </c>
      <c r="D1358" s="119" t="s">
        <v>2917</v>
      </c>
      <c r="E1358" s="109" t="s">
        <v>31</v>
      </c>
      <c r="F1358" s="109" t="s">
        <v>74</v>
      </c>
      <c r="G1358" s="99" t="s">
        <v>64</v>
      </c>
      <c r="H1358" s="99" t="s">
        <v>75</v>
      </c>
      <c r="I1358" s="11">
        <v>1299</v>
      </c>
      <c r="J1358" s="129" t="s">
        <v>39</v>
      </c>
      <c r="K1358" s="110" t="s">
        <v>76</v>
      </c>
      <c r="L1358" s="110" t="s">
        <v>95</v>
      </c>
      <c r="M1358" s="110" t="s">
        <v>77</v>
      </c>
      <c r="N1358" s="109" t="s">
        <v>89</v>
      </c>
      <c r="O1358" s="110" t="s">
        <v>37</v>
      </c>
      <c r="P1358" s="99" t="s">
        <v>80</v>
      </c>
      <c r="Q1358" s="99" t="s">
        <v>81</v>
      </c>
      <c r="R1358" s="99" t="s">
        <v>631</v>
      </c>
      <c r="S1358" s="99" t="s">
        <v>632</v>
      </c>
      <c r="T1358" s="116" t="s">
        <v>1</v>
      </c>
      <c r="U1358" s="88"/>
      <c r="V1358" s="111">
        <v>46247</v>
      </c>
      <c r="W1358" s="120" t="s">
        <v>1576</v>
      </c>
      <c r="X1358" s="135" t="str">
        <f>VLOOKUP(Table1[[#This Row],[AMZ ID]],[1]Roster_1787503287932!$D$2:$AU$1370,25,0)</f>
        <v>Present</v>
      </c>
      <c r="Y1358" s="135">
        <f>VLOOKUP(Table1[[#This Row],[AMZ ID]],[1]Roster_1787503287932!$D$2:$AM$1370,35,0)</f>
        <v>0</v>
      </c>
    </row>
    <row r="1359" spans="1:25" ht="13" customHeight="1">
      <c r="A1359" s="11">
        <v>1353</v>
      </c>
      <c r="B1359" s="118">
        <v>206868290</v>
      </c>
      <c r="C1359" s="117" t="s">
        <v>2893</v>
      </c>
      <c r="D1359" s="119" t="s">
        <v>2918</v>
      </c>
      <c r="E1359" s="109" t="s">
        <v>31</v>
      </c>
      <c r="F1359" s="109" t="s">
        <v>74</v>
      </c>
      <c r="G1359" s="99" t="s">
        <v>64</v>
      </c>
      <c r="H1359" s="99" t="s">
        <v>75</v>
      </c>
      <c r="I1359" s="11">
        <v>1299</v>
      </c>
      <c r="J1359" s="129" t="s">
        <v>39</v>
      </c>
      <c r="K1359" s="110" t="s">
        <v>76</v>
      </c>
      <c r="L1359" s="110" t="s">
        <v>77</v>
      </c>
      <c r="M1359" s="110" t="s">
        <v>78</v>
      </c>
      <c r="N1359" s="109" t="s">
        <v>89</v>
      </c>
      <c r="O1359" s="110" t="s">
        <v>37</v>
      </c>
      <c r="P1359" s="99" t="s">
        <v>80</v>
      </c>
      <c r="Q1359" s="99" t="s">
        <v>81</v>
      </c>
      <c r="R1359" s="11" t="s">
        <v>627</v>
      </c>
      <c r="S1359" s="11" t="s">
        <v>628</v>
      </c>
      <c r="T1359" s="116" t="s">
        <v>10</v>
      </c>
      <c r="U1359" s="88"/>
      <c r="V1359" s="111">
        <v>46247</v>
      </c>
      <c r="W1359" s="120" t="s">
        <v>1576</v>
      </c>
      <c r="X1359" s="135" t="str">
        <f>VLOOKUP(Table1[[#This Row],[AMZ ID]],[1]Roster_1787503287932!$D$2:$AU$1370,25,0)</f>
        <v>Not Present</v>
      </c>
      <c r="Y1359" s="135">
        <f>VLOOKUP(Table1[[#This Row],[AMZ ID]],[1]Roster_1787503287932!$D$2:$AM$1370,35,0)</f>
        <v>0</v>
      </c>
    </row>
    <row r="1360" spans="1:25" ht="13" customHeight="1">
      <c r="A1360" s="11">
        <v>1354</v>
      </c>
      <c r="B1360" s="118">
        <v>206191963</v>
      </c>
      <c r="C1360" s="117" t="s">
        <v>2894</v>
      </c>
      <c r="D1360" s="119" t="s">
        <v>2919</v>
      </c>
      <c r="E1360" s="109" t="s">
        <v>31</v>
      </c>
      <c r="F1360" s="109" t="s">
        <v>74</v>
      </c>
      <c r="G1360" s="99" t="s">
        <v>64</v>
      </c>
      <c r="H1360" s="99" t="s">
        <v>75</v>
      </c>
      <c r="I1360" s="11">
        <v>1299</v>
      </c>
      <c r="J1360" s="129" t="s">
        <v>39</v>
      </c>
      <c r="K1360" s="110" t="s">
        <v>76</v>
      </c>
      <c r="L1360" s="110" t="s">
        <v>3008</v>
      </c>
      <c r="M1360" s="110" t="s">
        <v>92</v>
      </c>
      <c r="N1360" s="109" t="s">
        <v>89</v>
      </c>
      <c r="O1360" s="110" t="s">
        <v>37</v>
      </c>
      <c r="P1360" s="99" t="s">
        <v>80</v>
      </c>
      <c r="Q1360" s="99" t="s">
        <v>96</v>
      </c>
      <c r="R1360" s="99" t="s">
        <v>2845</v>
      </c>
      <c r="S1360" s="99" t="s">
        <v>2846</v>
      </c>
      <c r="T1360" s="116" t="s">
        <v>10</v>
      </c>
      <c r="U1360" s="88"/>
      <c r="V1360" s="111">
        <v>46247</v>
      </c>
      <c r="W1360" s="120" t="s">
        <v>1578</v>
      </c>
      <c r="X1360" s="135" t="str">
        <f>VLOOKUP(Table1[[#This Row],[AMZ ID]],[1]Roster_1787503287932!$D$2:$AU$1370,25,0)</f>
        <v>Not Present</v>
      </c>
      <c r="Y1360" s="135">
        <f>VLOOKUP(Table1[[#This Row],[AMZ ID]],[1]Roster_1787503287932!$D$2:$AM$1370,35,0)</f>
        <v>0</v>
      </c>
    </row>
    <row r="1361" spans="1:25" ht="13" customHeight="1">
      <c r="A1361" s="11">
        <v>1355</v>
      </c>
      <c r="B1361" s="118">
        <v>205275633</v>
      </c>
      <c r="C1361" s="117" t="s">
        <v>2895</v>
      </c>
      <c r="D1361" s="119" t="s">
        <v>2920</v>
      </c>
      <c r="E1361" s="109" t="s">
        <v>31</v>
      </c>
      <c r="F1361" s="109" t="s">
        <v>74</v>
      </c>
      <c r="G1361" s="99" t="s">
        <v>64</v>
      </c>
      <c r="H1361" s="99" t="s">
        <v>75</v>
      </c>
      <c r="I1361" s="11">
        <v>1299</v>
      </c>
      <c r="J1361" s="129" t="s">
        <v>39</v>
      </c>
      <c r="K1361" s="110" t="s">
        <v>76</v>
      </c>
      <c r="L1361" s="49" t="s">
        <v>36</v>
      </c>
      <c r="M1361" s="110" t="s">
        <v>92</v>
      </c>
      <c r="N1361" s="109" t="s">
        <v>89</v>
      </c>
      <c r="O1361" s="110" t="s">
        <v>37</v>
      </c>
      <c r="P1361" s="99" t="s">
        <v>80</v>
      </c>
      <c r="Q1361" s="99" t="s">
        <v>96</v>
      </c>
      <c r="R1361" s="99" t="s">
        <v>631</v>
      </c>
      <c r="S1361" s="99" t="s">
        <v>632</v>
      </c>
      <c r="T1361" s="116" t="s">
        <v>1</v>
      </c>
      <c r="U1361" s="88"/>
      <c r="V1361" s="111">
        <v>46247</v>
      </c>
      <c r="W1361" s="120" t="s">
        <v>1578</v>
      </c>
      <c r="X1361" s="135" t="str">
        <f>VLOOKUP(Table1[[#This Row],[AMZ ID]],[1]Roster_1787503287932!$D$2:$AU$1370,25,0)</f>
        <v>Present</v>
      </c>
      <c r="Y1361" s="135">
        <f>VLOOKUP(Table1[[#This Row],[AMZ ID]],[1]Roster_1787503287932!$D$2:$AM$1370,35,0)</f>
        <v>0</v>
      </c>
    </row>
    <row r="1362" spans="1:25" ht="13" customHeight="1">
      <c r="A1362" s="11">
        <v>1356</v>
      </c>
      <c r="B1362" s="118">
        <v>206606700</v>
      </c>
      <c r="C1362" s="117" t="s">
        <v>2896</v>
      </c>
      <c r="D1362" s="119" t="s">
        <v>2921</v>
      </c>
      <c r="E1362" s="109" t="s">
        <v>31</v>
      </c>
      <c r="F1362" s="109" t="s">
        <v>74</v>
      </c>
      <c r="G1362" s="99" t="s">
        <v>64</v>
      </c>
      <c r="H1362" s="99" t="s">
        <v>75</v>
      </c>
      <c r="I1362" s="11">
        <v>1299</v>
      </c>
      <c r="J1362" s="129" t="s">
        <v>39</v>
      </c>
      <c r="K1362" s="110" t="s">
        <v>76</v>
      </c>
      <c r="L1362" s="110" t="s">
        <v>92</v>
      </c>
      <c r="M1362" s="110" t="s">
        <v>84</v>
      </c>
      <c r="N1362" s="109" t="s">
        <v>89</v>
      </c>
      <c r="O1362" s="110" t="s">
        <v>37</v>
      </c>
      <c r="P1362" s="99" t="s">
        <v>80</v>
      </c>
      <c r="Q1362" s="99" t="s">
        <v>96</v>
      </c>
      <c r="R1362" s="99" t="s">
        <v>627</v>
      </c>
      <c r="S1362" s="99" t="s">
        <v>628</v>
      </c>
      <c r="T1362" s="116" t="s">
        <v>7</v>
      </c>
      <c r="U1362" s="88"/>
      <c r="V1362" s="111">
        <v>46247</v>
      </c>
      <c r="W1362" s="120" t="s">
        <v>1577</v>
      </c>
      <c r="X1362" s="135" t="str">
        <f>VLOOKUP(Table1[[#This Row],[AMZ ID]],[1]Roster_1787503287932!$D$2:$AU$1370,25,0)</f>
        <v>Not Present</v>
      </c>
      <c r="Y1362" s="135" t="str">
        <f>VLOOKUP(Table1[[#This Row],[AMZ ID]],[1]Roster_1787503287932!$D$2:$AM$1370,35,0)</f>
        <v>Annual Leave</v>
      </c>
    </row>
    <row r="1363" spans="1:25" ht="13" customHeight="1">
      <c r="A1363" s="11">
        <v>1357</v>
      </c>
      <c r="B1363" s="118">
        <v>206128850</v>
      </c>
      <c r="C1363" s="117" t="s">
        <v>2897</v>
      </c>
      <c r="D1363" s="119" t="s">
        <v>2922</v>
      </c>
      <c r="E1363" s="109" t="s">
        <v>31</v>
      </c>
      <c r="F1363" s="109" t="s">
        <v>74</v>
      </c>
      <c r="G1363" s="99" t="s">
        <v>64</v>
      </c>
      <c r="H1363" s="99" t="s">
        <v>75</v>
      </c>
      <c r="I1363" s="11">
        <v>1299</v>
      </c>
      <c r="J1363" s="129" t="s">
        <v>39</v>
      </c>
      <c r="K1363" s="110" t="s">
        <v>76</v>
      </c>
      <c r="L1363" s="110" t="s">
        <v>84</v>
      </c>
      <c r="M1363" s="110" t="s">
        <v>85</v>
      </c>
      <c r="N1363" s="109" t="s">
        <v>89</v>
      </c>
      <c r="O1363" s="110" t="s">
        <v>37</v>
      </c>
      <c r="P1363" s="99" t="s">
        <v>80</v>
      </c>
      <c r="Q1363" s="99" t="s">
        <v>96</v>
      </c>
      <c r="R1363" s="99" t="s">
        <v>647</v>
      </c>
      <c r="S1363" s="99" t="s">
        <v>1798</v>
      </c>
      <c r="T1363" s="116" t="s">
        <v>1</v>
      </c>
      <c r="U1363" s="88"/>
      <c r="V1363" s="111">
        <v>46247</v>
      </c>
      <c r="W1363" s="120" t="s">
        <v>1576</v>
      </c>
      <c r="X1363" s="135" t="str">
        <f>VLOOKUP(Table1[[#This Row],[AMZ ID]],[1]Roster_1787503287932!$D$2:$AU$1370,25,0)</f>
        <v>Present</v>
      </c>
      <c r="Y1363" s="135">
        <f>VLOOKUP(Table1[[#This Row],[AMZ ID]],[1]Roster_1787503287932!$D$2:$AM$1370,35,0)</f>
        <v>0</v>
      </c>
    </row>
    <row r="1364" spans="1:25" ht="13" customHeight="1">
      <c r="A1364" s="11">
        <v>1358</v>
      </c>
      <c r="B1364" s="118">
        <v>205853572</v>
      </c>
      <c r="C1364" s="117" t="s">
        <v>2898</v>
      </c>
      <c r="D1364" s="119" t="s">
        <v>2923</v>
      </c>
      <c r="E1364" s="109" t="s">
        <v>31</v>
      </c>
      <c r="F1364" s="109" t="s">
        <v>74</v>
      </c>
      <c r="G1364" s="99" t="s">
        <v>64</v>
      </c>
      <c r="H1364" s="99" t="s">
        <v>75</v>
      </c>
      <c r="I1364" s="11">
        <v>1299</v>
      </c>
      <c r="J1364" s="129" t="s">
        <v>39</v>
      </c>
      <c r="K1364" s="110" t="s">
        <v>76</v>
      </c>
      <c r="L1364" s="110" t="s">
        <v>95</v>
      </c>
      <c r="M1364" s="110" t="s">
        <v>77</v>
      </c>
      <c r="N1364" s="109" t="s">
        <v>89</v>
      </c>
      <c r="O1364" s="110" t="s">
        <v>37</v>
      </c>
      <c r="P1364" s="99" t="s">
        <v>80</v>
      </c>
      <c r="Q1364" s="99" t="s">
        <v>96</v>
      </c>
      <c r="R1364" s="99" t="s">
        <v>1066</v>
      </c>
      <c r="S1364" s="99" t="s">
        <v>2717</v>
      </c>
      <c r="T1364" s="116" t="s">
        <v>1</v>
      </c>
      <c r="U1364" s="88"/>
      <c r="V1364" s="111">
        <v>46247</v>
      </c>
      <c r="W1364" s="120" t="s">
        <v>1577</v>
      </c>
      <c r="X1364" s="135" t="str">
        <f>VLOOKUP(Table1[[#This Row],[AMZ ID]],[1]Roster_1787503287932!$D$2:$AU$1370,25,0)</f>
        <v>Present</v>
      </c>
      <c r="Y1364" s="135">
        <f>VLOOKUP(Table1[[#This Row],[AMZ ID]],[1]Roster_1787503287932!$D$2:$AM$1370,35,0)</f>
        <v>0</v>
      </c>
    </row>
    <row r="1365" spans="1:25" ht="13" customHeight="1">
      <c r="A1365" s="11">
        <v>1359</v>
      </c>
      <c r="B1365" s="118">
        <v>205271087</v>
      </c>
      <c r="C1365" s="117" t="s">
        <v>2899</v>
      </c>
      <c r="D1365" s="119" t="s">
        <v>2924</v>
      </c>
      <c r="E1365" s="109" t="s">
        <v>31</v>
      </c>
      <c r="F1365" s="109" t="s">
        <v>74</v>
      </c>
      <c r="G1365" s="99" t="s">
        <v>64</v>
      </c>
      <c r="H1365" s="99" t="s">
        <v>75</v>
      </c>
      <c r="I1365" s="11">
        <v>1299</v>
      </c>
      <c r="J1365" s="129" t="s">
        <v>39</v>
      </c>
      <c r="K1365" s="110" t="s">
        <v>76</v>
      </c>
      <c r="L1365" s="110" t="s">
        <v>95</v>
      </c>
      <c r="M1365" s="110" t="s">
        <v>77</v>
      </c>
      <c r="N1365" s="109" t="s">
        <v>89</v>
      </c>
      <c r="O1365" s="110" t="s">
        <v>37</v>
      </c>
      <c r="P1365" s="99" t="s">
        <v>80</v>
      </c>
      <c r="Q1365" s="99" t="s">
        <v>96</v>
      </c>
      <c r="R1365" s="99" t="s">
        <v>631</v>
      </c>
      <c r="S1365" s="99" t="s">
        <v>632</v>
      </c>
      <c r="T1365" s="116" t="s">
        <v>1</v>
      </c>
      <c r="U1365" s="88"/>
      <c r="V1365" s="111">
        <v>46247</v>
      </c>
      <c r="W1365" s="120" t="s">
        <v>1577</v>
      </c>
      <c r="X1365" s="135" t="str">
        <f>VLOOKUP(Table1[[#This Row],[AMZ ID]],[1]Roster_1787503287932!$D$2:$AU$1370,25,0)</f>
        <v>Not Present</v>
      </c>
      <c r="Y1365" s="135">
        <f>VLOOKUP(Table1[[#This Row],[AMZ ID]],[1]Roster_1787503287932!$D$2:$AM$1370,35,0)</f>
        <v>0</v>
      </c>
    </row>
    <row r="1366" spans="1:25" ht="13" customHeight="1">
      <c r="A1366" s="11">
        <v>1360</v>
      </c>
      <c r="B1366" s="118">
        <v>206890214</v>
      </c>
      <c r="C1366" s="117" t="s">
        <v>2900</v>
      </c>
      <c r="D1366" s="119" t="s">
        <v>2925</v>
      </c>
      <c r="E1366" s="109" t="s">
        <v>31</v>
      </c>
      <c r="F1366" s="109" t="s">
        <v>74</v>
      </c>
      <c r="G1366" s="99" t="s">
        <v>64</v>
      </c>
      <c r="H1366" s="99" t="s">
        <v>75</v>
      </c>
      <c r="I1366" s="11">
        <v>1299</v>
      </c>
      <c r="J1366" s="129" t="s">
        <v>39</v>
      </c>
      <c r="K1366" s="110" t="s">
        <v>76</v>
      </c>
      <c r="L1366" s="110" t="s">
        <v>77</v>
      </c>
      <c r="M1366" s="110" t="s">
        <v>78</v>
      </c>
      <c r="N1366" s="109" t="s">
        <v>89</v>
      </c>
      <c r="O1366" s="110" t="s">
        <v>37</v>
      </c>
      <c r="P1366" s="99" t="s">
        <v>80</v>
      </c>
      <c r="Q1366" s="99" t="s">
        <v>96</v>
      </c>
      <c r="R1366" s="11" t="s">
        <v>647</v>
      </c>
      <c r="S1366" s="11" t="s">
        <v>1798</v>
      </c>
      <c r="T1366" s="116" t="s">
        <v>10</v>
      </c>
      <c r="U1366" s="88"/>
      <c r="V1366" s="111">
        <v>46247</v>
      </c>
      <c r="W1366" s="120" t="s">
        <v>1577</v>
      </c>
      <c r="X1366" s="135" t="str">
        <f>VLOOKUP(Table1[[#This Row],[AMZ ID]],[1]Roster_1787503287932!$D$2:$AU$1370,25,0)</f>
        <v>Not Present</v>
      </c>
      <c r="Y1366" s="135">
        <f>VLOOKUP(Table1[[#This Row],[AMZ ID]],[1]Roster_1787503287932!$D$2:$AM$1370,35,0)</f>
        <v>0</v>
      </c>
    </row>
    <row r="1367" spans="1:25" ht="13" customHeight="1">
      <c r="A1367" s="11">
        <v>1361</v>
      </c>
      <c r="B1367" s="114">
        <v>206192238</v>
      </c>
      <c r="C1367" s="115" t="s">
        <v>2901</v>
      </c>
      <c r="D1367" s="125" t="s">
        <v>2926</v>
      </c>
      <c r="E1367" s="109" t="s">
        <v>31</v>
      </c>
      <c r="F1367" s="109" t="s">
        <v>74</v>
      </c>
      <c r="G1367" s="99" t="s">
        <v>64</v>
      </c>
      <c r="H1367" s="99" t="s">
        <v>75</v>
      </c>
      <c r="I1367" s="11">
        <v>1299</v>
      </c>
      <c r="J1367" s="129" t="s">
        <v>39</v>
      </c>
      <c r="K1367" s="110" t="s">
        <v>76</v>
      </c>
      <c r="L1367" s="110" t="s">
        <v>3008</v>
      </c>
      <c r="M1367" s="110" t="s">
        <v>92</v>
      </c>
      <c r="N1367" s="109" t="s">
        <v>89</v>
      </c>
      <c r="O1367" s="110" t="s">
        <v>37</v>
      </c>
      <c r="P1367" s="99" t="s">
        <v>80</v>
      </c>
      <c r="Q1367" s="99" t="s">
        <v>96</v>
      </c>
      <c r="R1367" s="99" t="s">
        <v>2845</v>
      </c>
      <c r="S1367" s="99" t="s">
        <v>2846</v>
      </c>
      <c r="T1367" s="116" t="s">
        <v>10</v>
      </c>
      <c r="U1367" s="88"/>
      <c r="V1367" s="111">
        <v>46247</v>
      </c>
      <c r="W1367" s="120" t="s">
        <v>1578</v>
      </c>
      <c r="X1367" s="135" t="str">
        <f>VLOOKUP(Table1[[#This Row],[AMZ ID]],[1]Roster_1787503287932!$D$2:$AU$1370,25,0)</f>
        <v>Not Present</v>
      </c>
      <c r="Y1367" s="135">
        <f>VLOOKUP(Table1[[#This Row],[AMZ ID]],[1]Roster_1787503287932!$D$2:$AM$1370,35,0)</f>
        <v>0</v>
      </c>
    </row>
    <row r="1368" spans="1:25" ht="13" customHeight="1">
      <c r="A1368" s="11">
        <v>1362</v>
      </c>
      <c r="B1368" s="82">
        <v>205853574</v>
      </c>
      <c r="C1368" s="11" t="s">
        <v>2902</v>
      </c>
      <c r="D1368" s="82" t="s">
        <v>2913</v>
      </c>
      <c r="E1368" s="109" t="s">
        <v>31</v>
      </c>
      <c r="F1368" s="109" t="s">
        <v>74</v>
      </c>
      <c r="G1368" s="99" t="s">
        <v>64</v>
      </c>
      <c r="H1368" s="99" t="s">
        <v>75</v>
      </c>
      <c r="I1368" s="11">
        <v>1299</v>
      </c>
      <c r="J1368" s="129" t="s">
        <v>39</v>
      </c>
      <c r="K1368" s="110" t="s">
        <v>76</v>
      </c>
      <c r="L1368" s="124" t="s">
        <v>95</v>
      </c>
      <c r="M1368" s="124" t="s">
        <v>77</v>
      </c>
      <c r="N1368" s="109" t="s">
        <v>89</v>
      </c>
      <c r="O1368" s="110" t="s">
        <v>37</v>
      </c>
      <c r="P1368" s="99" t="s">
        <v>80</v>
      </c>
      <c r="Q1368" s="82" t="s">
        <v>96</v>
      </c>
      <c r="R1368" s="99" t="s">
        <v>1066</v>
      </c>
      <c r="S1368" s="99" t="s">
        <v>2717</v>
      </c>
      <c r="T1368" s="116" t="s">
        <v>1</v>
      </c>
      <c r="U1368" s="88"/>
      <c r="V1368" s="111">
        <v>46247</v>
      </c>
      <c r="W1368" s="120" t="s">
        <v>1577</v>
      </c>
      <c r="X1368" s="135" t="str">
        <f>VLOOKUP(Table1[[#This Row],[AMZ ID]],[1]Roster_1787503287932!$D$2:$AU$1370,25,0)</f>
        <v>Present</v>
      </c>
      <c r="Y1368" s="135">
        <f>VLOOKUP(Table1[[#This Row],[AMZ ID]],[1]Roster_1787503287932!$D$2:$AM$1370,35,0)</f>
        <v>0</v>
      </c>
    </row>
    <row r="1369" spans="1:25" ht="13" customHeight="1">
      <c r="A1369" s="11">
        <v>1363</v>
      </c>
      <c r="B1369" s="82">
        <v>205281151</v>
      </c>
      <c r="C1369" s="11" t="s">
        <v>2927</v>
      </c>
      <c r="D1369" s="82" t="s">
        <v>2966</v>
      </c>
      <c r="E1369" s="109" t="s">
        <v>31</v>
      </c>
      <c r="F1369" s="109" t="s">
        <v>74</v>
      </c>
      <c r="G1369" s="99" t="s">
        <v>64</v>
      </c>
      <c r="H1369" s="99" t="s">
        <v>75</v>
      </c>
      <c r="I1369" s="11">
        <v>1299</v>
      </c>
      <c r="J1369" s="129" t="s">
        <v>39</v>
      </c>
      <c r="K1369" s="110" t="s">
        <v>76</v>
      </c>
      <c r="L1369" s="124" t="s">
        <v>3005</v>
      </c>
      <c r="M1369" s="124" t="s">
        <v>3006</v>
      </c>
      <c r="N1369" s="109" t="s">
        <v>89</v>
      </c>
      <c r="O1369" s="110" t="s">
        <v>37</v>
      </c>
      <c r="P1369" s="99" t="s">
        <v>80</v>
      </c>
      <c r="Q1369" s="82" t="s">
        <v>96</v>
      </c>
      <c r="R1369" s="99" t="s">
        <v>631</v>
      </c>
      <c r="S1369" s="99" t="s">
        <v>632</v>
      </c>
      <c r="T1369" s="116" t="s">
        <v>1</v>
      </c>
      <c r="U1369" s="88"/>
      <c r="V1369" s="111">
        <v>46252</v>
      </c>
      <c r="W1369" s="120" t="s">
        <v>1577</v>
      </c>
      <c r="X1369" s="135" t="str">
        <f>VLOOKUP(Table1[[#This Row],[AMZ ID]],[1]Roster_1787503287932!$D$2:$AU$1370,25,0)</f>
        <v>Present</v>
      </c>
      <c r="Y1369" s="135" t="str">
        <f>VLOOKUP(Table1[[#This Row],[AMZ ID]],[1]Roster_1787503287932!$D$2:$AM$1370,35,0)</f>
        <v>Annual Leave</v>
      </c>
    </row>
    <row r="1370" spans="1:25" ht="13" customHeight="1">
      <c r="A1370" s="11">
        <v>1364</v>
      </c>
      <c r="B1370" s="82">
        <v>206897551</v>
      </c>
      <c r="C1370" s="11" t="s">
        <v>2928</v>
      </c>
      <c r="D1370" s="82" t="s">
        <v>2967</v>
      </c>
      <c r="E1370" s="109" t="s">
        <v>31</v>
      </c>
      <c r="F1370" s="109" t="s">
        <v>74</v>
      </c>
      <c r="G1370" s="99" t="s">
        <v>64</v>
      </c>
      <c r="H1370" s="99" t="s">
        <v>75</v>
      </c>
      <c r="I1370" s="11">
        <v>1299</v>
      </c>
      <c r="J1370" s="129" t="s">
        <v>39</v>
      </c>
      <c r="K1370" s="110" t="s">
        <v>76</v>
      </c>
      <c r="L1370" s="130" t="s">
        <v>3006</v>
      </c>
      <c r="M1370" s="130" t="s">
        <v>3007</v>
      </c>
      <c r="N1370" s="109" t="s">
        <v>89</v>
      </c>
      <c r="O1370" s="110" t="s">
        <v>37</v>
      </c>
      <c r="P1370" s="99" t="s">
        <v>80</v>
      </c>
      <c r="Q1370" s="82" t="s">
        <v>81</v>
      </c>
      <c r="R1370" s="99" t="s">
        <v>627</v>
      </c>
      <c r="S1370" s="99" t="s">
        <v>628</v>
      </c>
      <c r="T1370" s="116" t="s">
        <v>1</v>
      </c>
      <c r="U1370" s="88"/>
      <c r="V1370" s="111">
        <v>46252</v>
      </c>
      <c r="W1370" s="120" t="s">
        <v>1578</v>
      </c>
      <c r="X1370" s="135" t="str">
        <f>VLOOKUP(Table1[[#This Row],[AMZ ID]],[1]Roster_1787503287932!$D$2:$AU$1370,25,0)</f>
        <v>Present</v>
      </c>
      <c r="Y1370" s="135">
        <f>VLOOKUP(Table1[[#This Row],[AMZ ID]],[1]Roster_1787503287932!$D$2:$AM$1370,35,0)</f>
        <v>0</v>
      </c>
    </row>
    <row r="1371" spans="1:25" ht="13" customHeight="1">
      <c r="A1371" s="11">
        <v>1365</v>
      </c>
      <c r="B1371" s="82">
        <v>205276302</v>
      </c>
      <c r="C1371" s="11" t="s">
        <v>2929</v>
      </c>
      <c r="D1371" s="82" t="s">
        <v>2968</v>
      </c>
      <c r="E1371" s="109" t="s">
        <v>31</v>
      </c>
      <c r="F1371" s="109" t="s">
        <v>74</v>
      </c>
      <c r="G1371" s="99" t="s">
        <v>64</v>
      </c>
      <c r="H1371" s="99" t="s">
        <v>75</v>
      </c>
      <c r="I1371" s="11">
        <v>1299</v>
      </c>
      <c r="J1371" s="129" t="s">
        <v>39</v>
      </c>
      <c r="K1371" s="110" t="s">
        <v>76</v>
      </c>
      <c r="L1371" s="124" t="s">
        <v>85</v>
      </c>
      <c r="M1371" s="124" t="s">
        <v>88</v>
      </c>
      <c r="N1371" s="109" t="s">
        <v>89</v>
      </c>
      <c r="O1371" s="110" t="s">
        <v>37</v>
      </c>
      <c r="P1371" s="99" t="s">
        <v>80</v>
      </c>
      <c r="Q1371" s="82" t="s">
        <v>96</v>
      </c>
      <c r="R1371" s="99" t="s">
        <v>631</v>
      </c>
      <c r="S1371" s="99" t="s">
        <v>632</v>
      </c>
      <c r="T1371" s="116" t="s">
        <v>1</v>
      </c>
      <c r="U1371" s="88"/>
      <c r="V1371" s="111">
        <v>46252</v>
      </c>
      <c r="W1371" s="120" t="s">
        <v>1577</v>
      </c>
      <c r="X1371" s="135" t="str">
        <f>VLOOKUP(Table1[[#This Row],[AMZ ID]],[1]Roster_1787503287932!$D$2:$AU$1370,25,0)</f>
        <v>Present</v>
      </c>
      <c r="Y1371" s="135">
        <f>VLOOKUP(Table1[[#This Row],[AMZ ID]],[1]Roster_1787503287932!$D$2:$AM$1370,35,0)</f>
        <v>0</v>
      </c>
    </row>
    <row r="1372" spans="1:25" ht="13" customHeight="1">
      <c r="A1372" s="11">
        <v>1366</v>
      </c>
      <c r="B1372" s="82">
        <v>206897556</v>
      </c>
      <c r="C1372" s="11" t="s">
        <v>2930</v>
      </c>
      <c r="D1372" s="82" t="s">
        <v>2969</v>
      </c>
      <c r="E1372" s="109" t="s">
        <v>31</v>
      </c>
      <c r="F1372" s="109" t="s">
        <v>74</v>
      </c>
      <c r="G1372" s="99" t="s">
        <v>64</v>
      </c>
      <c r="H1372" s="99" t="s">
        <v>75</v>
      </c>
      <c r="I1372" s="11">
        <v>1299</v>
      </c>
      <c r="J1372" s="129" t="s">
        <v>39</v>
      </c>
      <c r="K1372" s="110" t="s">
        <v>76</v>
      </c>
      <c r="L1372" s="124" t="s">
        <v>3008</v>
      </c>
      <c r="M1372" s="124" t="s">
        <v>3005</v>
      </c>
      <c r="N1372" s="109" t="s">
        <v>89</v>
      </c>
      <c r="O1372" s="110" t="s">
        <v>37</v>
      </c>
      <c r="P1372" s="99" t="s">
        <v>80</v>
      </c>
      <c r="Q1372" s="82" t="s">
        <v>81</v>
      </c>
      <c r="R1372" s="99" t="s">
        <v>627</v>
      </c>
      <c r="S1372" s="99" t="s">
        <v>628</v>
      </c>
      <c r="T1372" s="116" t="s">
        <v>10</v>
      </c>
      <c r="U1372" s="88"/>
      <c r="V1372" s="111">
        <v>46252</v>
      </c>
      <c r="W1372" s="120" t="s">
        <v>1577</v>
      </c>
      <c r="X1372" s="135" t="str">
        <f>VLOOKUP(Table1[[#This Row],[AMZ ID]],[1]Roster_1787503287932!$D$2:$AU$1370,25,0)</f>
        <v>Not Present</v>
      </c>
      <c r="Y1372" s="135">
        <f>VLOOKUP(Table1[[#This Row],[AMZ ID]],[1]Roster_1787503287932!$D$2:$AM$1370,35,0)</f>
        <v>0</v>
      </c>
    </row>
    <row r="1373" spans="1:25" ht="13" customHeight="1">
      <c r="A1373" s="11">
        <v>1367</v>
      </c>
      <c r="B1373" s="82">
        <v>206128580</v>
      </c>
      <c r="C1373" s="11" t="s">
        <v>2931</v>
      </c>
      <c r="D1373" s="82" t="s">
        <v>2970</v>
      </c>
      <c r="E1373" s="109" t="s">
        <v>31</v>
      </c>
      <c r="F1373" s="109" t="s">
        <v>74</v>
      </c>
      <c r="G1373" s="99" t="s">
        <v>64</v>
      </c>
      <c r="H1373" s="99" t="s">
        <v>75</v>
      </c>
      <c r="I1373" s="11">
        <v>1299</v>
      </c>
      <c r="J1373" s="129" t="s">
        <v>39</v>
      </c>
      <c r="K1373" s="110" t="s">
        <v>76</v>
      </c>
      <c r="L1373" s="124" t="s">
        <v>3005</v>
      </c>
      <c r="M1373" s="124" t="s">
        <v>3006</v>
      </c>
      <c r="N1373" s="109" t="s">
        <v>89</v>
      </c>
      <c r="O1373" s="110" t="s">
        <v>37</v>
      </c>
      <c r="P1373" s="99" t="s">
        <v>80</v>
      </c>
      <c r="Q1373" s="82" t="s">
        <v>96</v>
      </c>
      <c r="R1373" s="99" t="s">
        <v>631</v>
      </c>
      <c r="S1373" s="99" t="s">
        <v>632</v>
      </c>
      <c r="T1373" s="116" t="s">
        <v>1</v>
      </c>
      <c r="U1373" s="88"/>
      <c r="V1373" s="111">
        <v>46252</v>
      </c>
      <c r="W1373" s="120" t="s">
        <v>1576</v>
      </c>
      <c r="X1373" s="135" t="str">
        <f>VLOOKUP(Table1[[#This Row],[AMZ ID]],[1]Roster_1787503287932!$D$2:$AU$1370,25,0)</f>
        <v>Present</v>
      </c>
      <c r="Y1373" s="135">
        <f>VLOOKUP(Table1[[#This Row],[AMZ ID]],[1]Roster_1787503287932!$D$2:$AM$1370,35,0)</f>
        <v>0</v>
      </c>
    </row>
    <row r="1374" spans="1:25" ht="13" customHeight="1">
      <c r="A1374" s="11">
        <v>1368</v>
      </c>
      <c r="B1374" s="82">
        <v>205854276</v>
      </c>
      <c r="C1374" s="11" t="s">
        <v>2932</v>
      </c>
      <c r="D1374" s="82" t="s">
        <v>2971</v>
      </c>
      <c r="E1374" s="109" t="s">
        <v>31</v>
      </c>
      <c r="F1374" s="109" t="s">
        <v>74</v>
      </c>
      <c r="G1374" s="99" t="s">
        <v>64</v>
      </c>
      <c r="H1374" s="99" t="s">
        <v>75</v>
      </c>
      <c r="I1374" s="11">
        <v>1299</v>
      </c>
      <c r="J1374" s="129" t="s">
        <v>39</v>
      </c>
      <c r="K1374" s="110" t="s">
        <v>76</v>
      </c>
      <c r="L1374" s="124" t="s">
        <v>3006</v>
      </c>
      <c r="M1374" s="124" t="s">
        <v>3007</v>
      </c>
      <c r="N1374" s="109" t="s">
        <v>89</v>
      </c>
      <c r="O1374" s="110" t="s">
        <v>37</v>
      </c>
      <c r="P1374" s="99" t="s">
        <v>80</v>
      </c>
      <c r="Q1374" s="82" t="s">
        <v>96</v>
      </c>
      <c r="R1374" s="99" t="s">
        <v>631</v>
      </c>
      <c r="S1374" s="99" t="s">
        <v>632</v>
      </c>
      <c r="T1374" s="116" t="s">
        <v>1</v>
      </c>
      <c r="U1374" s="88"/>
      <c r="V1374" s="111">
        <v>46252</v>
      </c>
      <c r="W1374" s="120" t="s">
        <v>1577</v>
      </c>
      <c r="X1374" s="135" t="str">
        <f>VLOOKUP(Table1[[#This Row],[AMZ ID]],[1]Roster_1787503287932!$D$2:$AU$1370,25,0)</f>
        <v>Present</v>
      </c>
      <c r="Y1374" s="135">
        <f>VLOOKUP(Table1[[#This Row],[AMZ ID]],[1]Roster_1787503287932!$D$2:$AM$1370,35,0)</f>
        <v>0</v>
      </c>
    </row>
    <row r="1375" spans="1:25" ht="13" customHeight="1">
      <c r="A1375" s="11">
        <v>1369</v>
      </c>
      <c r="B1375" s="82">
        <v>206886517</v>
      </c>
      <c r="C1375" s="11" t="s">
        <v>2933</v>
      </c>
      <c r="D1375" s="82" t="s">
        <v>2972</v>
      </c>
      <c r="E1375" s="109" t="s">
        <v>31</v>
      </c>
      <c r="F1375" s="109" t="s">
        <v>74</v>
      </c>
      <c r="G1375" s="99" t="s">
        <v>64</v>
      </c>
      <c r="H1375" s="99" t="s">
        <v>75</v>
      </c>
      <c r="I1375" s="11">
        <v>1299</v>
      </c>
      <c r="J1375" s="129" t="s">
        <v>39</v>
      </c>
      <c r="K1375" s="110" t="s">
        <v>76</v>
      </c>
      <c r="L1375" s="124" t="s">
        <v>3007</v>
      </c>
      <c r="M1375" s="124" t="s">
        <v>3009</v>
      </c>
      <c r="N1375" s="109" t="s">
        <v>89</v>
      </c>
      <c r="O1375" s="110" t="s">
        <v>37</v>
      </c>
      <c r="P1375" s="99" t="s">
        <v>80</v>
      </c>
      <c r="Q1375" s="82" t="s">
        <v>96</v>
      </c>
      <c r="R1375" s="99" t="s">
        <v>631</v>
      </c>
      <c r="S1375" s="99" t="s">
        <v>632</v>
      </c>
      <c r="T1375" s="116" t="s">
        <v>1</v>
      </c>
      <c r="U1375" s="88"/>
      <c r="V1375" s="111">
        <v>46252</v>
      </c>
      <c r="W1375" s="120" t="s">
        <v>1577</v>
      </c>
      <c r="X1375" s="135" t="str">
        <f>VLOOKUP(Table1[[#This Row],[AMZ ID]],[1]Roster_1787503287932!$D$2:$AU$1370,25,0)</f>
        <v>Present</v>
      </c>
      <c r="Y1375" s="135">
        <f>VLOOKUP(Table1[[#This Row],[AMZ ID]],[1]Roster_1787503287932!$D$2:$AM$1370,35,0)</f>
        <v>0</v>
      </c>
    </row>
    <row r="1376" spans="1:25" ht="13" customHeight="1">
      <c r="A1376" s="11">
        <v>1370</v>
      </c>
      <c r="B1376" s="82">
        <v>205271074</v>
      </c>
      <c r="C1376" s="11" t="s">
        <v>2934</v>
      </c>
      <c r="D1376" s="82" t="s">
        <v>2973</v>
      </c>
      <c r="E1376" s="109" t="s">
        <v>31</v>
      </c>
      <c r="F1376" s="109" t="s">
        <v>74</v>
      </c>
      <c r="G1376" s="99" t="s">
        <v>64</v>
      </c>
      <c r="H1376" s="99" t="s">
        <v>75</v>
      </c>
      <c r="I1376" s="11">
        <v>1299</v>
      </c>
      <c r="J1376" s="129" t="s">
        <v>39</v>
      </c>
      <c r="K1376" s="110" t="s">
        <v>76</v>
      </c>
      <c r="L1376" s="124" t="s">
        <v>3009</v>
      </c>
      <c r="M1376" s="124" t="s">
        <v>3010</v>
      </c>
      <c r="N1376" s="109" t="s">
        <v>89</v>
      </c>
      <c r="O1376" s="110" t="s">
        <v>37</v>
      </c>
      <c r="P1376" s="99" t="s">
        <v>80</v>
      </c>
      <c r="Q1376" s="82" t="s">
        <v>96</v>
      </c>
      <c r="R1376" s="99" t="s">
        <v>631</v>
      </c>
      <c r="S1376" s="99" t="s">
        <v>632</v>
      </c>
      <c r="T1376" s="116" t="s">
        <v>1</v>
      </c>
      <c r="U1376" s="88"/>
      <c r="V1376" s="111">
        <v>46252</v>
      </c>
      <c r="W1376" s="120" t="s">
        <v>1577</v>
      </c>
      <c r="X1376" s="135" t="str">
        <f>VLOOKUP(Table1[[#This Row],[AMZ ID]],[1]Roster_1787503287932!$D$2:$AU$1370,25,0)</f>
        <v>Present</v>
      </c>
      <c r="Y1376" s="135">
        <f>VLOOKUP(Table1[[#This Row],[AMZ ID]],[1]Roster_1787503287932!$D$2:$AM$1370,35,0)</f>
        <v>0</v>
      </c>
    </row>
    <row r="1377" spans="1:25" ht="13" customHeight="1">
      <c r="A1377" s="11">
        <v>1371</v>
      </c>
      <c r="B1377" s="82">
        <v>205852634</v>
      </c>
      <c r="C1377" s="11" t="s">
        <v>2935</v>
      </c>
      <c r="D1377" s="82" t="s">
        <v>2974</v>
      </c>
      <c r="E1377" s="109" t="s">
        <v>31</v>
      </c>
      <c r="F1377" s="109" t="s">
        <v>74</v>
      </c>
      <c r="G1377" s="99" t="s">
        <v>64</v>
      </c>
      <c r="H1377" s="99" t="s">
        <v>75</v>
      </c>
      <c r="I1377" s="11">
        <v>1299</v>
      </c>
      <c r="J1377" s="129" t="s">
        <v>39</v>
      </c>
      <c r="K1377" s="110" t="s">
        <v>76</v>
      </c>
      <c r="L1377" s="124" t="s">
        <v>3010</v>
      </c>
      <c r="M1377" s="124" t="s">
        <v>3011</v>
      </c>
      <c r="N1377" s="109" t="s">
        <v>89</v>
      </c>
      <c r="O1377" s="110" t="s">
        <v>37</v>
      </c>
      <c r="P1377" s="99" t="s">
        <v>80</v>
      </c>
      <c r="Q1377" s="82" t="s">
        <v>96</v>
      </c>
      <c r="R1377" s="11" t="s">
        <v>631</v>
      </c>
      <c r="S1377" s="11" t="s">
        <v>632</v>
      </c>
      <c r="T1377" s="116" t="s">
        <v>1</v>
      </c>
      <c r="U1377" s="88"/>
      <c r="V1377" s="111">
        <v>46252</v>
      </c>
      <c r="W1377" s="120" t="s">
        <v>1577</v>
      </c>
      <c r="X1377" s="135" t="str">
        <f>VLOOKUP(Table1[[#This Row],[AMZ ID]],[1]Roster_1787503287932!$D$2:$AU$1370,25,0)</f>
        <v>Present</v>
      </c>
      <c r="Y1377" s="135">
        <f>VLOOKUP(Table1[[#This Row],[AMZ ID]],[1]Roster_1787503287932!$D$2:$AM$1370,35,0)</f>
        <v>0</v>
      </c>
    </row>
    <row r="1378" spans="1:25" ht="13" customHeight="1">
      <c r="A1378" s="11">
        <v>1372</v>
      </c>
      <c r="B1378" s="82">
        <v>205127248</v>
      </c>
      <c r="C1378" s="11" t="s">
        <v>2936</v>
      </c>
      <c r="D1378" s="82" t="s">
        <v>2975</v>
      </c>
      <c r="E1378" s="109" t="s">
        <v>31</v>
      </c>
      <c r="F1378" s="109" t="s">
        <v>74</v>
      </c>
      <c r="G1378" s="99" t="s">
        <v>64</v>
      </c>
      <c r="H1378" s="99" t="s">
        <v>75</v>
      </c>
      <c r="I1378" s="11">
        <v>1299</v>
      </c>
      <c r="J1378" s="129" t="s">
        <v>39</v>
      </c>
      <c r="K1378" s="110" t="s">
        <v>76</v>
      </c>
      <c r="L1378" s="124" t="s">
        <v>3011</v>
      </c>
      <c r="M1378" s="124" t="s">
        <v>78</v>
      </c>
      <c r="N1378" s="109" t="s">
        <v>89</v>
      </c>
      <c r="O1378" s="110" t="s">
        <v>37</v>
      </c>
      <c r="P1378" s="99" t="s">
        <v>80</v>
      </c>
      <c r="Q1378" s="82" t="s">
        <v>96</v>
      </c>
      <c r="R1378" s="99" t="s">
        <v>631</v>
      </c>
      <c r="S1378" s="99" t="s">
        <v>632</v>
      </c>
      <c r="T1378" s="116" t="s">
        <v>10</v>
      </c>
      <c r="U1378" s="88"/>
      <c r="V1378" s="111">
        <v>46252</v>
      </c>
      <c r="W1378" s="120" t="s">
        <v>1577</v>
      </c>
      <c r="X1378" s="135" t="str">
        <f>VLOOKUP(Table1[[#This Row],[AMZ ID]],[1]Roster_1787503287932!$D$2:$AU$1370,25,0)</f>
        <v>Not Present</v>
      </c>
      <c r="Y1378" s="135">
        <f>VLOOKUP(Table1[[#This Row],[AMZ ID]],[1]Roster_1787503287932!$D$2:$AM$1370,35,0)</f>
        <v>0</v>
      </c>
    </row>
    <row r="1379" spans="1:25" ht="13" customHeight="1">
      <c r="A1379" s="11">
        <v>1373</v>
      </c>
      <c r="B1379" s="82">
        <v>206138681</v>
      </c>
      <c r="C1379" s="11" t="s">
        <v>2937</v>
      </c>
      <c r="D1379" s="82" t="s">
        <v>2976</v>
      </c>
      <c r="E1379" s="109" t="s">
        <v>31</v>
      </c>
      <c r="F1379" s="109" t="s">
        <v>74</v>
      </c>
      <c r="G1379" s="99" t="s">
        <v>64</v>
      </c>
      <c r="H1379" s="99" t="s">
        <v>75</v>
      </c>
      <c r="I1379" s="11">
        <v>1299</v>
      </c>
      <c r="J1379" s="129" t="s">
        <v>39</v>
      </c>
      <c r="K1379" s="110" t="s">
        <v>76</v>
      </c>
      <c r="L1379" s="124" t="s">
        <v>3008</v>
      </c>
      <c r="M1379" s="124" t="s">
        <v>3005</v>
      </c>
      <c r="N1379" s="109" t="s">
        <v>89</v>
      </c>
      <c r="O1379" s="110" t="s">
        <v>37</v>
      </c>
      <c r="P1379" s="99" t="s">
        <v>80</v>
      </c>
      <c r="Q1379" s="82" t="s">
        <v>81</v>
      </c>
      <c r="R1379" s="99" t="s">
        <v>627</v>
      </c>
      <c r="S1379" s="99" t="s">
        <v>628</v>
      </c>
      <c r="T1379" s="116" t="s">
        <v>10</v>
      </c>
      <c r="U1379" s="88"/>
      <c r="V1379" s="111">
        <v>46252</v>
      </c>
      <c r="W1379" s="120" t="s">
        <v>1577</v>
      </c>
      <c r="X1379" s="135" t="str">
        <f>VLOOKUP(Table1[[#This Row],[AMZ ID]],[1]Roster_1787503287932!$D$2:$AU$1370,25,0)</f>
        <v>Not Present</v>
      </c>
      <c r="Y1379" s="135">
        <f>VLOOKUP(Table1[[#This Row],[AMZ ID]],[1]Roster_1787503287932!$D$2:$AM$1370,35,0)</f>
        <v>0</v>
      </c>
    </row>
    <row r="1380" spans="1:25" ht="13" customHeight="1">
      <c r="A1380" s="11">
        <v>1374</v>
      </c>
      <c r="B1380" s="82">
        <v>205252530</v>
      </c>
      <c r="C1380" s="11" t="s">
        <v>2938</v>
      </c>
      <c r="D1380" s="82" t="s">
        <v>2977</v>
      </c>
      <c r="E1380" s="109" t="s">
        <v>31</v>
      </c>
      <c r="F1380" s="109" t="s">
        <v>74</v>
      </c>
      <c r="G1380" s="99" t="s">
        <v>64</v>
      </c>
      <c r="H1380" s="99" t="s">
        <v>75</v>
      </c>
      <c r="I1380" s="11">
        <v>1299</v>
      </c>
      <c r="J1380" s="129" t="s">
        <v>39</v>
      </c>
      <c r="K1380" s="110" t="s">
        <v>76</v>
      </c>
      <c r="L1380" s="124" t="s">
        <v>3006</v>
      </c>
      <c r="M1380" s="124" t="s">
        <v>3007</v>
      </c>
      <c r="N1380" s="109" t="s">
        <v>89</v>
      </c>
      <c r="O1380" s="110" t="s">
        <v>37</v>
      </c>
      <c r="P1380" s="99" t="s">
        <v>80</v>
      </c>
      <c r="Q1380" s="82" t="s">
        <v>96</v>
      </c>
      <c r="R1380" s="99" t="s">
        <v>631</v>
      </c>
      <c r="S1380" s="99" t="s">
        <v>632</v>
      </c>
      <c r="T1380" s="116" t="s">
        <v>1</v>
      </c>
      <c r="U1380" s="88"/>
      <c r="V1380" s="111">
        <v>46252</v>
      </c>
      <c r="W1380" s="120" t="s">
        <v>1577</v>
      </c>
      <c r="X1380" s="135" t="str">
        <f>VLOOKUP(Table1[[#This Row],[AMZ ID]],[1]Roster_1787503287932!$D$2:$AU$1370,25,0)</f>
        <v>Present</v>
      </c>
      <c r="Y1380" s="135">
        <f>VLOOKUP(Table1[[#This Row],[AMZ ID]],[1]Roster_1787503287932!$D$2:$AM$1370,35,0)</f>
        <v>0</v>
      </c>
    </row>
    <row r="1381" spans="1:25" ht="13" customHeight="1">
      <c r="A1381" s="11">
        <v>1375</v>
      </c>
      <c r="B1381" s="82">
        <v>205852637</v>
      </c>
      <c r="C1381" s="11" t="s">
        <v>2939</v>
      </c>
      <c r="D1381" s="82" t="s">
        <v>2978</v>
      </c>
      <c r="E1381" s="109" t="s">
        <v>31</v>
      </c>
      <c r="F1381" s="109" t="s">
        <v>74</v>
      </c>
      <c r="G1381" s="99" t="s">
        <v>64</v>
      </c>
      <c r="H1381" s="99" t="s">
        <v>75</v>
      </c>
      <c r="I1381" s="11">
        <v>1299</v>
      </c>
      <c r="J1381" s="129" t="s">
        <v>39</v>
      </c>
      <c r="K1381" s="110" t="s">
        <v>76</v>
      </c>
      <c r="L1381" s="124" t="s">
        <v>3007</v>
      </c>
      <c r="M1381" s="124" t="s">
        <v>3009</v>
      </c>
      <c r="N1381" s="109" t="s">
        <v>89</v>
      </c>
      <c r="O1381" s="110" t="s">
        <v>37</v>
      </c>
      <c r="P1381" s="99" t="s">
        <v>80</v>
      </c>
      <c r="Q1381" s="82" t="s">
        <v>96</v>
      </c>
      <c r="R1381" s="11" t="s">
        <v>631</v>
      </c>
      <c r="S1381" s="11" t="s">
        <v>632</v>
      </c>
      <c r="T1381" s="116" t="s">
        <v>1</v>
      </c>
      <c r="U1381" s="88"/>
      <c r="V1381" s="111">
        <v>46252</v>
      </c>
      <c r="W1381" s="120" t="s">
        <v>1577</v>
      </c>
      <c r="X1381" s="135" t="str">
        <f>VLOOKUP(Table1[[#This Row],[AMZ ID]],[1]Roster_1787503287932!$D$2:$AU$1370,25,0)</f>
        <v>Present</v>
      </c>
      <c r="Y1381" s="135">
        <f>VLOOKUP(Table1[[#This Row],[AMZ ID]],[1]Roster_1787503287932!$D$2:$AM$1370,35,0)</f>
        <v>0</v>
      </c>
    </row>
    <row r="1382" spans="1:25" ht="13" customHeight="1">
      <c r="A1382" s="11">
        <v>1376</v>
      </c>
      <c r="B1382" s="82">
        <v>206868289</v>
      </c>
      <c r="C1382" s="11" t="s">
        <v>2940</v>
      </c>
      <c r="D1382" s="82" t="s">
        <v>2979</v>
      </c>
      <c r="E1382" s="109" t="s">
        <v>31</v>
      </c>
      <c r="F1382" s="109" t="s">
        <v>74</v>
      </c>
      <c r="G1382" s="99" t="s">
        <v>64</v>
      </c>
      <c r="H1382" s="99" t="s">
        <v>75</v>
      </c>
      <c r="I1382" s="11">
        <v>1299</v>
      </c>
      <c r="J1382" s="129" t="s">
        <v>39</v>
      </c>
      <c r="K1382" s="110" t="s">
        <v>76</v>
      </c>
      <c r="L1382" s="124" t="s">
        <v>3009</v>
      </c>
      <c r="M1382" s="124" t="s">
        <v>3010</v>
      </c>
      <c r="N1382" s="109" t="s">
        <v>89</v>
      </c>
      <c r="O1382" s="110" t="s">
        <v>37</v>
      </c>
      <c r="P1382" s="99" t="s">
        <v>80</v>
      </c>
      <c r="Q1382" s="82" t="s">
        <v>81</v>
      </c>
      <c r="R1382" s="99" t="s">
        <v>627</v>
      </c>
      <c r="S1382" s="99" t="s">
        <v>628</v>
      </c>
      <c r="T1382" s="116" t="s">
        <v>1</v>
      </c>
      <c r="U1382" s="88"/>
      <c r="V1382" s="111">
        <v>46252</v>
      </c>
      <c r="W1382" s="120" t="s">
        <v>1576</v>
      </c>
      <c r="X1382" s="135" t="str">
        <f>VLOOKUP(Table1[[#This Row],[AMZ ID]],[1]Roster_1787503287932!$D$2:$AU$1370,25,0)</f>
        <v>Present</v>
      </c>
      <c r="Y1382" s="135">
        <f>VLOOKUP(Table1[[#This Row],[AMZ ID]],[1]Roster_1787503287932!$D$2:$AM$1370,35,0)</f>
        <v>0</v>
      </c>
    </row>
    <row r="1383" spans="1:25" ht="13" customHeight="1">
      <c r="A1383" s="11">
        <v>1377</v>
      </c>
      <c r="B1383" s="82">
        <v>206605136</v>
      </c>
      <c r="C1383" s="11" t="s">
        <v>2941</v>
      </c>
      <c r="D1383" s="82" t="s">
        <v>2980</v>
      </c>
      <c r="E1383" s="109" t="s">
        <v>31</v>
      </c>
      <c r="F1383" s="109" t="s">
        <v>74</v>
      </c>
      <c r="G1383" s="99" t="s">
        <v>64</v>
      </c>
      <c r="H1383" s="99" t="s">
        <v>75</v>
      </c>
      <c r="I1383" s="11">
        <v>1299</v>
      </c>
      <c r="J1383" s="129" t="s">
        <v>39</v>
      </c>
      <c r="K1383" s="110" t="s">
        <v>76</v>
      </c>
      <c r="L1383" s="124" t="s">
        <v>3010</v>
      </c>
      <c r="M1383" s="124" t="s">
        <v>3011</v>
      </c>
      <c r="N1383" s="109" t="s">
        <v>89</v>
      </c>
      <c r="O1383" s="110" t="s">
        <v>37</v>
      </c>
      <c r="P1383" s="99" t="s">
        <v>80</v>
      </c>
      <c r="Q1383" s="82" t="s">
        <v>96</v>
      </c>
      <c r="R1383" s="99" t="s">
        <v>1066</v>
      </c>
      <c r="S1383" s="99" t="s">
        <v>2717</v>
      </c>
      <c r="T1383" s="116" t="s">
        <v>1</v>
      </c>
      <c r="U1383" s="88"/>
      <c r="V1383" s="111">
        <v>46252</v>
      </c>
      <c r="W1383" s="120" t="s">
        <v>1577</v>
      </c>
      <c r="X1383" s="135" t="str">
        <f>VLOOKUP(Table1[[#This Row],[AMZ ID]],[1]Roster_1787503287932!$D$2:$AU$1370,25,0)</f>
        <v>Present</v>
      </c>
      <c r="Y1383" s="135">
        <f>VLOOKUP(Table1[[#This Row],[AMZ ID]],[1]Roster_1787503287932!$D$2:$AM$1370,35,0)</f>
        <v>0</v>
      </c>
    </row>
    <row r="1384" spans="1:25" ht="13" customHeight="1">
      <c r="A1384" s="11">
        <v>1378</v>
      </c>
      <c r="B1384" s="82">
        <v>206886736</v>
      </c>
      <c r="C1384" s="11" t="s">
        <v>2942</v>
      </c>
      <c r="D1384" s="82" t="s">
        <v>2981</v>
      </c>
      <c r="E1384" s="109" t="s">
        <v>31</v>
      </c>
      <c r="F1384" s="109" t="s">
        <v>74</v>
      </c>
      <c r="G1384" s="99" t="s">
        <v>64</v>
      </c>
      <c r="H1384" s="99" t="s">
        <v>75</v>
      </c>
      <c r="I1384" s="11">
        <v>1299</v>
      </c>
      <c r="J1384" s="129" t="s">
        <v>39</v>
      </c>
      <c r="K1384" s="110" t="s">
        <v>76</v>
      </c>
      <c r="L1384" s="124" t="s">
        <v>3011</v>
      </c>
      <c r="M1384" s="124" t="s">
        <v>78</v>
      </c>
      <c r="N1384" s="109" t="s">
        <v>89</v>
      </c>
      <c r="O1384" s="110" t="s">
        <v>37</v>
      </c>
      <c r="P1384" s="99" t="s">
        <v>80</v>
      </c>
      <c r="Q1384" s="82" t="s">
        <v>96</v>
      </c>
      <c r="R1384" s="99" t="s">
        <v>1066</v>
      </c>
      <c r="S1384" s="99" t="s">
        <v>2717</v>
      </c>
      <c r="T1384" s="116" t="s">
        <v>10</v>
      </c>
      <c r="U1384" s="88"/>
      <c r="V1384" s="111">
        <v>46252</v>
      </c>
      <c r="W1384" s="120" t="s">
        <v>1578</v>
      </c>
      <c r="X1384" s="135" t="str">
        <f>VLOOKUP(Table1[[#This Row],[AMZ ID]],[1]Roster_1787503287932!$D$2:$AU$1370,25,0)</f>
        <v>Not Present</v>
      </c>
      <c r="Y1384" s="135">
        <f>VLOOKUP(Table1[[#This Row],[AMZ ID]],[1]Roster_1787503287932!$D$2:$AM$1370,35,0)</f>
        <v>0</v>
      </c>
    </row>
    <row r="1385" spans="1:25" ht="13" customHeight="1">
      <c r="A1385" s="11">
        <v>1379</v>
      </c>
      <c r="B1385" s="82">
        <v>206868002</v>
      </c>
      <c r="C1385" s="11" t="s">
        <v>2943</v>
      </c>
      <c r="D1385" s="82" t="s">
        <v>2982</v>
      </c>
      <c r="E1385" s="109" t="s">
        <v>31</v>
      </c>
      <c r="F1385" s="109" t="s">
        <v>74</v>
      </c>
      <c r="G1385" s="99" t="s">
        <v>64</v>
      </c>
      <c r="H1385" s="99" t="s">
        <v>75</v>
      </c>
      <c r="I1385" s="11">
        <v>1299</v>
      </c>
      <c r="J1385" s="129" t="s">
        <v>39</v>
      </c>
      <c r="K1385" s="110" t="s">
        <v>76</v>
      </c>
      <c r="L1385" s="124" t="s">
        <v>3008</v>
      </c>
      <c r="M1385" s="124" t="s">
        <v>3005</v>
      </c>
      <c r="N1385" s="109" t="s">
        <v>89</v>
      </c>
      <c r="O1385" s="110" t="s">
        <v>37</v>
      </c>
      <c r="P1385" s="99" t="s">
        <v>80</v>
      </c>
      <c r="Q1385" s="82" t="s">
        <v>81</v>
      </c>
      <c r="R1385" s="11" t="s">
        <v>627</v>
      </c>
      <c r="S1385" s="11" t="s">
        <v>628</v>
      </c>
      <c r="T1385" s="116" t="s">
        <v>10</v>
      </c>
      <c r="U1385" s="88"/>
      <c r="V1385" s="111">
        <v>46252</v>
      </c>
      <c r="W1385" s="120" t="s">
        <v>1576</v>
      </c>
      <c r="X1385" s="135" t="str">
        <f>VLOOKUP(Table1[[#This Row],[AMZ ID]],[1]Roster_1787503287932!$D$2:$AU$1370,25,0)</f>
        <v>Not Present</v>
      </c>
      <c r="Y1385" s="135">
        <f>VLOOKUP(Table1[[#This Row],[AMZ ID]],[1]Roster_1787503287932!$D$2:$AM$1370,35,0)</f>
        <v>0</v>
      </c>
    </row>
    <row r="1386" spans="1:25" ht="13" customHeight="1">
      <c r="A1386" s="11">
        <v>1380</v>
      </c>
      <c r="B1386" s="82">
        <v>206884029</v>
      </c>
      <c r="C1386" s="11" t="s">
        <v>2944</v>
      </c>
      <c r="D1386" s="82" t="s">
        <v>2983</v>
      </c>
      <c r="E1386" s="109" t="s">
        <v>31</v>
      </c>
      <c r="F1386" s="109" t="s">
        <v>74</v>
      </c>
      <c r="G1386" s="99" t="s">
        <v>64</v>
      </c>
      <c r="H1386" s="99" t="s">
        <v>75</v>
      </c>
      <c r="I1386" s="11">
        <v>1299</v>
      </c>
      <c r="J1386" s="129" t="s">
        <v>39</v>
      </c>
      <c r="K1386" s="110" t="s">
        <v>76</v>
      </c>
      <c r="L1386" s="124" t="s">
        <v>3005</v>
      </c>
      <c r="M1386" s="124" t="s">
        <v>3006</v>
      </c>
      <c r="N1386" s="109" t="s">
        <v>89</v>
      </c>
      <c r="O1386" s="110" t="s">
        <v>37</v>
      </c>
      <c r="P1386" s="99" t="s">
        <v>80</v>
      </c>
      <c r="Q1386" s="82" t="s">
        <v>96</v>
      </c>
      <c r="R1386" s="99" t="s">
        <v>1066</v>
      </c>
      <c r="S1386" s="99" t="s">
        <v>2717</v>
      </c>
      <c r="T1386" s="116" t="s">
        <v>1</v>
      </c>
      <c r="U1386" s="88"/>
      <c r="V1386" s="111">
        <v>46252</v>
      </c>
      <c r="W1386" s="120" t="s">
        <v>1578</v>
      </c>
      <c r="X1386" s="135" t="str">
        <f>VLOOKUP(Table1[[#This Row],[AMZ ID]],[1]Roster_1787503287932!$D$2:$AU$1370,25,0)</f>
        <v>Present</v>
      </c>
      <c r="Y1386" s="135">
        <f>VLOOKUP(Table1[[#This Row],[AMZ ID]],[1]Roster_1787503287932!$D$2:$AM$1370,35,0)</f>
        <v>0</v>
      </c>
    </row>
    <row r="1387" spans="1:25" ht="13" customHeight="1">
      <c r="A1387" s="11">
        <v>1381</v>
      </c>
      <c r="B1387" s="82">
        <v>206890216</v>
      </c>
      <c r="C1387" s="11" t="s">
        <v>2945</v>
      </c>
      <c r="D1387" s="82" t="s">
        <v>2984</v>
      </c>
      <c r="E1387" s="109" t="s">
        <v>31</v>
      </c>
      <c r="F1387" s="109" t="s">
        <v>74</v>
      </c>
      <c r="G1387" s="99" t="s">
        <v>64</v>
      </c>
      <c r="H1387" s="99" t="s">
        <v>75</v>
      </c>
      <c r="I1387" s="11">
        <v>1299</v>
      </c>
      <c r="J1387" s="129" t="s">
        <v>39</v>
      </c>
      <c r="K1387" s="110" t="s">
        <v>76</v>
      </c>
      <c r="L1387" s="124" t="s">
        <v>3006</v>
      </c>
      <c r="M1387" s="124" t="s">
        <v>3007</v>
      </c>
      <c r="N1387" s="109" t="s">
        <v>89</v>
      </c>
      <c r="O1387" s="110" t="s">
        <v>37</v>
      </c>
      <c r="P1387" s="99" t="s">
        <v>80</v>
      </c>
      <c r="Q1387" s="82" t="s">
        <v>96</v>
      </c>
      <c r="R1387" s="11" t="s">
        <v>1066</v>
      </c>
      <c r="S1387" s="11" t="s">
        <v>2717</v>
      </c>
      <c r="T1387" s="116" t="s">
        <v>1</v>
      </c>
      <c r="U1387" s="88"/>
      <c r="V1387" s="111">
        <v>46252</v>
      </c>
      <c r="W1387" s="120" t="s">
        <v>1577</v>
      </c>
      <c r="X1387" s="135" t="str">
        <f>VLOOKUP(Table1[[#This Row],[AMZ ID]],[1]Roster_1787503287932!$D$2:$AU$1370,25,0)</f>
        <v>Present</v>
      </c>
      <c r="Y1387" s="135">
        <f>VLOOKUP(Table1[[#This Row],[AMZ ID]],[1]Roster_1787503287932!$D$2:$AM$1370,35,0)</f>
        <v>0</v>
      </c>
    </row>
    <row r="1388" spans="1:25" ht="13" customHeight="1">
      <c r="A1388" s="11">
        <v>1382</v>
      </c>
      <c r="B1388" s="82">
        <v>205252539</v>
      </c>
      <c r="C1388" s="11" t="s">
        <v>2946</v>
      </c>
      <c r="D1388" s="82" t="s">
        <v>2985</v>
      </c>
      <c r="E1388" s="109" t="s">
        <v>31</v>
      </c>
      <c r="F1388" s="109" t="s">
        <v>74</v>
      </c>
      <c r="G1388" s="99" t="s">
        <v>64</v>
      </c>
      <c r="H1388" s="99" t="s">
        <v>75</v>
      </c>
      <c r="I1388" s="11">
        <v>1299</v>
      </c>
      <c r="J1388" s="129" t="s">
        <v>39</v>
      </c>
      <c r="K1388" s="110" t="s">
        <v>76</v>
      </c>
      <c r="L1388" s="124" t="s">
        <v>3007</v>
      </c>
      <c r="M1388" s="124" t="s">
        <v>3009</v>
      </c>
      <c r="N1388" s="109" t="s">
        <v>89</v>
      </c>
      <c r="O1388" s="110" t="s">
        <v>37</v>
      </c>
      <c r="P1388" s="99" t="s">
        <v>80</v>
      </c>
      <c r="Q1388" s="82" t="s">
        <v>96</v>
      </c>
      <c r="R1388" s="11" t="s">
        <v>1066</v>
      </c>
      <c r="S1388" s="11" t="s">
        <v>2717</v>
      </c>
      <c r="T1388" s="116" t="s">
        <v>1</v>
      </c>
      <c r="U1388" s="88"/>
      <c r="V1388" s="111">
        <v>46252</v>
      </c>
      <c r="W1388" s="120" t="s">
        <v>1577</v>
      </c>
      <c r="X1388" s="135" t="str">
        <f>VLOOKUP(Table1[[#This Row],[AMZ ID]],[1]Roster_1787503287932!$D$2:$AU$1370,25,0)</f>
        <v>Present</v>
      </c>
      <c r="Y1388" s="135" t="str">
        <f>VLOOKUP(Table1[[#This Row],[AMZ ID]],[1]Roster_1787503287932!$D$2:$AM$1370,35,0)</f>
        <v>Annual Leave</v>
      </c>
    </row>
    <row r="1389" spans="1:25" ht="13" customHeight="1">
      <c r="A1389" s="11">
        <v>1383</v>
      </c>
      <c r="B1389" s="82">
        <v>205627233</v>
      </c>
      <c r="C1389" s="11" t="s">
        <v>2947</v>
      </c>
      <c r="D1389" s="82" t="s">
        <v>2986</v>
      </c>
      <c r="E1389" s="109" t="s">
        <v>31</v>
      </c>
      <c r="F1389" s="109" t="s">
        <v>74</v>
      </c>
      <c r="G1389" s="99" t="s">
        <v>64</v>
      </c>
      <c r="H1389" s="99" t="s">
        <v>75</v>
      </c>
      <c r="I1389" s="11">
        <v>1299</v>
      </c>
      <c r="J1389" s="129" t="s">
        <v>39</v>
      </c>
      <c r="K1389" s="110" t="s">
        <v>76</v>
      </c>
      <c r="L1389" s="124" t="s">
        <v>3009</v>
      </c>
      <c r="M1389" s="124" t="s">
        <v>3010</v>
      </c>
      <c r="N1389" s="109" t="s">
        <v>89</v>
      </c>
      <c r="O1389" s="110" t="s">
        <v>37</v>
      </c>
      <c r="P1389" s="99" t="s">
        <v>80</v>
      </c>
      <c r="Q1389" s="82" t="s">
        <v>96</v>
      </c>
      <c r="R1389" s="99" t="s">
        <v>1066</v>
      </c>
      <c r="S1389" s="99" t="s">
        <v>2717</v>
      </c>
      <c r="T1389" s="116" t="s">
        <v>1</v>
      </c>
      <c r="U1389" s="88"/>
      <c r="V1389" s="111">
        <v>46252</v>
      </c>
      <c r="W1389" s="120" t="s">
        <v>1577</v>
      </c>
      <c r="X1389" s="135" t="str">
        <f>VLOOKUP(Table1[[#This Row],[AMZ ID]],[1]Roster_1787503287932!$D$2:$AU$1370,25,0)</f>
        <v>Present</v>
      </c>
      <c r="Y1389" s="135">
        <f>VLOOKUP(Table1[[#This Row],[AMZ ID]],[1]Roster_1787503287932!$D$2:$AM$1370,35,0)</f>
        <v>0</v>
      </c>
    </row>
    <row r="1390" spans="1:25" ht="13" customHeight="1">
      <c r="A1390" s="11">
        <v>1384</v>
      </c>
      <c r="B1390" s="82">
        <v>205996133</v>
      </c>
      <c r="C1390" s="11" t="s">
        <v>2948</v>
      </c>
      <c r="D1390" s="82" t="s">
        <v>2987</v>
      </c>
      <c r="E1390" s="109" t="s">
        <v>31</v>
      </c>
      <c r="F1390" s="109" t="s">
        <v>74</v>
      </c>
      <c r="G1390" s="99" t="s">
        <v>64</v>
      </c>
      <c r="H1390" s="99" t="s">
        <v>75</v>
      </c>
      <c r="I1390" s="11">
        <v>1299</v>
      </c>
      <c r="J1390" s="129" t="s">
        <v>39</v>
      </c>
      <c r="K1390" s="110" t="s">
        <v>76</v>
      </c>
      <c r="L1390" s="124" t="s">
        <v>3010</v>
      </c>
      <c r="M1390" s="124" t="s">
        <v>3011</v>
      </c>
      <c r="N1390" s="109" t="s">
        <v>89</v>
      </c>
      <c r="O1390" s="110" t="s">
        <v>37</v>
      </c>
      <c r="P1390" s="99" t="s">
        <v>80</v>
      </c>
      <c r="Q1390" s="82" t="s">
        <v>81</v>
      </c>
      <c r="R1390" s="99" t="s">
        <v>627</v>
      </c>
      <c r="S1390" s="99" t="s">
        <v>628</v>
      </c>
      <c r="T1390" s="116" t="s">
        <v>1</v>
      </c>
      <c r="U1390" s="88"/>
      <c r="V1390" s="111">
        <v>46252</v>
      </c>
      <c r="W1390" s="120" t="s">
        <v>1577</v>
      </c>
      <c r="X1390" s="135" t="str">
        <f>VLOOKUP(Table1[[#This Row],[AMZ ID]],[1]Roster_1787503287932!$D$2:$AU$1370,25,0)</f>
        <v>Present</v>
      </c>
      <c r="Y1390" s="135">
        <f>VLOOKUP(Table1[[#This Row],[AMZ ID]],[1]Roster_1787503287932!$D$2:$AM$1370,35,0)</f>
        <v>0</v>
      </c>
    </row>
    <row r="1391" spans="1:25" ht="13" customHeight="1">
      <c r="A1391" s="11">
        <v>1385</v>
      </c>
      <c r="B1391" s="82">
        <v>206491340</v>
      </c>
      <c r="C1391" s="11" t="s">
        <v>2949</v>
      </c>
      <c r="D1391" s="82" t="s">
        <v>2988</v>
      </c>
      <c r="E1391" s="109" t="s">
        <v>31</v>
      </c>
      <c r="F1391" s="109" t="s">
        <v>74</v>
      </c>
      <c r="G1391" s="99" t="s">
        <v>64</v>
      </c>
      <c r="H1391" s="99" t="s">
        <v>75</v>
      </c>
      <c r="I1391" s="11">
        <v>1299</v>
      </c>
      <c r="J1391" s="129" t="s">
        <v>39</v>
      </c>
      <c r="K1391" s="110" t="s">
        <v>76</v>
      </c>
      <c r="L1391" s="124" t="s">
        <v>3011</v>
      </c>
      <c r="M1391" s="124" t="s">
        <v>78</v>
      </c>
      <c r="N1391" s="109" t="s">
        <v>89</v>
      </c>
      <c r="O1391" s="110" t="s">
        <v>37</v>
      </c>
      <c r="P1391" s="99" t="s">
        <v>80</v>
      </c>
      <c r="Q1391" s="82" t="s">
        <v>96</v>
      </c>
      <c r="R1391" s="99" t="s">
        <v>1066</v>
      </c>
      <c r="S1391" s="99" t="s">
        <v>2717</v>
      </c>
      <c r="T1391" s="116" t="s">
        <v>10</v>
      </c>
      <c r="U1391" s="88"/>
      <c r="V1391" s="111">
        <v>46252</v>
      </c>
      <c r="W1391" s="120" t="s">
        <v>1577</v>
      </c>
      <c r="X1391" s="135" t="str">
        <f>VLOOKUP(Table1[[#This Row],[AMZ ID]],[1]Roster_1787503287932!$D$2:$AU$1370,25,0)</f>
        <v>Not Present</v>
      </c>
      <c r="Y1391" s="135" t="str">
        <f>VLOOKUP(Table1[[#This Row],[AMZ ID]],[1]Roster_1787503287932!$D$2:$AM$1370,35,0)</f>
        <v>Annual Leave</v>
      </c>
    </row>
    <row r="1392" spans="1:25" ht="13" customHeight="1">
      <c r="A1392" s="11">
        <v>1386</v>
      </c>
      <c r="B1392" s="82">
        <v>206607035</v>
      </c>
      <c r="C1392" s="11" t="s">
        <v>2950</v>
      </c>
      <c r="D1392" s="82" t="s">
        <v>2989</v>
      </c>
      <c r="E1392" s="109" t="s">
        <v>31</v>
      </c>
      <c r="F1392" s="109" t="s">
        <v>74</v>
      </c>
      <c r="G1392" s="99" t="s">
        <v>64</v>
      </c>
      <c r="H1392" s="99" t="s">
        <v>75</v>
      </c>
      <c r="I1392" s="11">
        <v>1299</v>
      </c>
      <c r="J1392" s="129" t="s">
        <v>39</v>
      </c>
      <c r="K1392" s="110" t="s">
        <v>76</v>
      </c>
      <c r="L1392" s="124" t="s">
        <v>3008</v>
      </c>
      <c r="M1392" s="124" t="s">
        <v>3005</v>
      </c>
      <c r="N1392" s="109" t="s">
        <v>89</v>
      </c>
      <c r="O1392" s="110" t="s">
        <v>37</v>
      </c>
      <c r="P1392" s="99" t="s">
        <v>80</v>
      </c>
      <c r="Q1392" s="82" t="s">
        <v>96</v>
      </c>
      <c r="R1392" s="11" t="s">
        <v>1066</v>
      </c>
      <c r="S1392" s="11" t="s">
        <v>2717</v>
      </c>
      <c r="T1392" s="116" t="s">
        <v>10</v>
      </c>
      <c r="U1392" s="88"/>
      <c r="V1392" s="111">
        <v>46252</v>
      </c>
      <c r="W1392" s="120" t="s">
        <v>1577</v>
      </c>
      <c r="X1392" s="135" t="str">
        <f>VLOOKUP(Table1[[#This Row],[AMZ ID]],[1]Roster_1787503287932!$D$2:$AU$1370,25,0)</f>
        <v>Not Present</v>
      </c>
      <c r="Y1392" s="135">
        <f>VLOOKUP(Table1[[#This Row],[AMZ ID]],[1]Roster_1787503287932!$D$2:$AM$1370,35,0)</f>
        <v>0</v>
      </c>
    </row>
    <row r="1393" spans="1:25" ht="13" customHeight="1">
      <c r="A1393" s="11">
        <v>1387</v>
      </c>
      <c r="B1393" s="82">
        <v>206868006</v>
      </c>
      <c r="C1393" s="11" t="s">
        <v>2951</v>
      </c>
      <c r="D1393" s="82" t="s">
        <v>2990</v>
      </c>
      <c r="E1393" s="109" t="s">
        <v>31</v>
      </c>
      <c r="F1393" s="109" t="s">
        <v>74</v>
      </c>
      <c r="G1393" s="99" t="s">
        <v>64</v>
      </c>
      <c r="H1393" s="99" t="s">
        <v>75</v>
      </c>
      <c r="I1393" s="11">
        <v>1299</v>
      </c>
      <c r="J1393" s="129" t="s">
        <v>39</v>
      </c>
      <c r="K1393" s="110" t="s">
        <v>76</v>
      </c>
      <c r="L1393" s="124" t="s">
        <v>3005</v>
      </c>
      <c r="M1393" s="124" t="s">
        <v>3006</v>
      </c>
      <c r="N1393" s="109" t="s">
        <v>89</v>
      </c>
      <c r="O1393" s="110" t="s">
        <v>37</v>
      </c>
      <c r="P1393" s="99" t="s">
        <v>80</v>
      </c>
      <c r="Q1393" s="82" t="s">
        <v>81</v>
      </c>
      <c r="R1393" s="11" t="s">
        <v>627</v>
      </c>
      <c r="S1393" s="11" t="s">
        <v>628</v>
      </c>
      <c r="T1393" s="116" t="s">
        <v>1</v>
      </c>
      <c r="U1393" s="88"/>
      <c r="V1393" s="111">
        <v>46252</v>
      </c>
      <c r="W1393" s="120" t="s">
        <v>1576</v>
      </c>
      <c r="X1393" s="135" t="str">
        <f>VLOOKUP(Table1[[#This Row],[AMZ ID]],[1]Roster_1787503287932!$D$2:$AU$1370,25,0)</f>
        <v>Present</v>
      </c>
      <c r="Y1393" s="135">
        <f>VLOOKUP(Table1[[#This Row],[AMZ ID]],[1]Roster_1787503287932!$D$2:$AM$1370,35,0)</f>
        <v>0</v>
      </c>
    </row>
    <row r="1394" spans="1:25" ht="13" customHeight="1">
      <c r="A1394" s="11">
        <v>1388</v>
      </c>
      <c r="B1394" s="82">
        <v>206886731</v>
      </c>
      <c r="C1394" s="11" t="s">
        <v>2952</v>
      </c>
      <c r="D1394" s="82" t="s">
        <v>2991</v>
      </c>
      <c r="E1394" s="109" t="s">
        <v>31</v>
      </c>
      <c r="F1394" s="109" t="s">
        <v>74</v>
      </c>
      <c r="G1394" s="99" t="s">
        <v>64</v>
      </c>
      <c r="H1394" s="99" t="s">
        <v>75</v>
      </c>
      <c r="I1394" s="11">
        <v>1299</v>
      </c>
      <c r="J1394" s="129" t="s">
        <v>39</v>
      </c>
      <c r="K1394" s="110" t="s">
        <v>76</v>
      </c>
      <c r="L1394" s="124" t="s">
        <v>3006</v>
      </c>
      <c r="M1394" s="124" t="s">
        <v>3007</v>
      </c>
      <c r="N1394" s="109" t="s">
        <v>89</v>
      </c>
      <c r="O1394" s="110" t="s">
        <v>37</v>
      </c>
      <c r="P1394" s="99" t="s">
        <v>80</v>
      </c>
      <c r="Q1394" s="82" t="s">
        <v>96</v>
      </c>
      <c r="R1394" s="11" t="s">
        <v>1066</v>
      </c>
      <c r="S1394" s="11" t="s">
        <v>2717</v>
      </c>
      <c r="T1394" s="116" t="s">
        <v>1</v>
      </c>
      <c r="U1394" s="88"/>
      <c r="V1394" s="111">
        <v>46252</v>
      </c>
      <c r="W1394" s="120" t="s">
        <v>1577</v>
      </c>
      <c r="X1394" s="135" t="str">
        <f>VLOOKUP(Table1[[#This Row],[AMZ ID]],[1]Roster_1787503287932!$D$2:$AU$1370,25,0)</f>
        <v>Present</v>
      </c>
      <c r="Y1394" s="135">
        <f>VLOOKUP(Table1[[#This Row],[AMZ ID]],[1]Roster_1787503287932!$D$2:$AM$1370,35,0)</f>
        <v>0</v>
      </c>
    </row>
    <row r="1395" spans="1:25" ht="13" customHeight="1">
      <c r="A1395" s="11">
        <v>1389</v>
      </c>
      <c r="B1395" s="82">
        <v>206136719</v>
      </c>
      <c r="C1395" s="11" t="s">
        <v>2953</v>
      </c>
      <c r="D1395" s="82" t="s">
        <v>2992</v>
      </c>
      <c r="E1395" s="109" t="s">
        <v>31</v>
      </c>
      <c r="F1395" s="109" t="s">
        <v>74</v>
      </c>
      <c r="G1395" s="99" t="s">
        <v>64</v>
      </c>
      <c r="H1395" s="99" t="s">
        <v>75</v>
      </c>
      <c r="I1395" s="11">
        <v>1299</v>
      </c>
      <c r="J1395" s="129" t="s">
        <v>39</v>
      </c>
      <c r="K1395" s="110" t="s">
        <v>76</v>
      </c>
      <c r="L1395" s="124" t="s">
        <v>3008</v>
      </c>
      <c r="M1395" s="124" t="s">
        <v>3005</v>
      </c>
      <c r="N1395" s="109" t="s">
        <v>89</v>
      </c>
      <c r="O1395" s="110" t="s">
        <v>37</v>
      </c>
      <c r="P1395" s="99" t="s">
        <v>80</v>
      </c>
      <c r="Q1395" s="82" t="s">
        <v>96</v>
      </c>
      <c r="R1395" s="99" t="s">
        <v>1066</v>
      </c>
      <c r="S1395" s="99" t="s">
        <v>2717</v>
      </c>
      <c r="T1395" s="116" t="s">
        <v>10</v>
      </c>
      <c r="U1395" s="88"/>
      <c r="V1395" s="111">
        <v>46252</v>
      </c>
      <c r="W1395" s="120" t="s">
        <v>1576</v>
      </c>
      <c r="X1395" s="135" t="str">
        <f>VLOOKUP(Table1[[#This Row],[AMZ ID]],[1]Roster_1787503287932!$D$2:$AU$1370,25,0)</f>
        <v>Not Present</v>
      </c>
      <c r="Y1395" s="135">
        <f>VLOOKUP(Table1[[#This Row],[AMZ ID]],[1]Roster_1787503287932!$D$2:$AM$1370,35,0)</f>
        <v>0</v>
      </c>
    </row>
    <row r="1396" spans="1:25" ht="13" customHeight="1">
      <c r="A1396" s="11">
        <v>1390</v>
      </c>
      <c r="B1396" s="82">
        <v>206191926</v>
      </c>
      <c r="C1396" s="11" t="s">
        <v>2954</v>
      </c>
      <c r="D1396" s="82" t="s">
        <v>2993</v>
      </c>
      <c r="E1396" s="109" t="s">
        <v>31</v>
      </c>
      <c r="F1396" s="109" t="s">
        <v>74</v>
      </c>
      <c r="G1396" s="99" t="s">
        <v>64</v>
      </c>
      <c r="H1396" s="99" t="s">
        <v>75</v>
      </c>
      <c r="I1396" s="11">
        <v>1299</v>
      </c>
      <c r="J1396" s="129" t="s">
        <v>39</v>
      </c>
      <c r="K1396" s="110" t="s">
        <v>76</v>
      </c>
      <c r="L1396" s="124" t="s">
        <v>3005</v>
      </c>
      <c r="M1396" s="124" t="s">
        <v>3006</v>
      </c>
      <c r="N1396" s="109" t="s">
        <v>89</v>
      </c>
      <c r="O1396" s="110" t="s">
        <v>37</v>
      </c>
      <c r="P1396" s="99" t="s">
        <v>80</v>
      </c>
      <c r="Q1396" s="82" t="s">
        <v>96</v>
      </c>
      <c r="R1396" s="99" t="s">
        <v>627</v>
      </c>
      <c r="S1396" s="99" t="s">
        <v>628</v>
      </c>
      <c r="T1396" s="116" t="s">
        <v>1</v>
      </c>
      <c r="U1396" s="88"/>
      <c r="V1396" s="111">
        <v>46252</v>
      </c>
      <c r="W1396" s="120" t="s">
        <v>1578</v>
      </c>
      <c r="X1396" s="135" t="str">
        <f>VLOOKUP(Table1[[#This Row],[AMZ ID]],[1]Roster_1787503287932!$D$2:$AU$1370,25,0)</f>
        <v>Present</v>
      </c>
      <c r="Y1396" s="135">
        <f>VLOOKUP(Table1[[#This Row],[AMZ ID]],[1]Roster_1787503287932!$D$2:$AM$1370,35,0)</f>
        <v>0</v>
      </c>
    </row>
    <row r="1397" spans="1:25" ht="13" customHeight="1">
      <c r="A1397" s="11">
        <v>1391</v>
      </c>
      <c r="B1397" s="82">
        <v>206250638</v>
      </c>
      <c r="C1397" s="11" t="s">
        <v>2955</v>
      </c>
      <c r="D1397" s="82" t="s">
        <v>2994</v>
      </c>
      <c r="E1397" s="109" t="s">
        <v>31</v>
      </c>
      <c r="F1397" s="109" t="s">
        <v>74</v>
      </c>
      <c r="G1397" s="99" t="s">
        <v>64</v>
      </c>
      <c r="H1397" s="99" t="s">
        <v>75</v>
      </c>
      <c r="I1397" s="11">
        <v>1299</v>
      </c>
      <c r="J1397" s="129" t="s">
        <v>39</v>
      </c>
      <c r="K1397" s="110" t="s">
        <v>76</v>
      </c>
      <c r="L1397" s="124" t="s">
        <v>3006</v>
      </c>
      <c r="M1397" s="124" t="s">
        <v>3007</v>
      </c>
      <c r="N1397" s="109" t="s">
        <v>89</v>
      </c>
      <c r="O1397" s="110" t="s">
        <v>37</v>
      </c>
      <c r="P1397" s="99" t="s">
        <v>80</v>
      </c>
      <c r="Q1397" s="82" t="s">
        <v>81</v>
      </c>
      <c r="R1397" s="99" t="s">
        <v>627</v>
      </c>
      <c r="S1397" s="99" t="s">
        <v>628</v>
      </c>
      <c r="T1397" s="116" t="s">
        <v>1</v>
      </c>
      <c r="U1397" s="88"/>
      <c r="V1397" s="111">
        <v>46252</v>
      </c>
      <c r="W1397" s="120" t="s">
        <v>1576</v>
      </c>
      <c r="X1397" s="135" t="str">
        <f>VLOOKUP(Table1[[#This Row],[AMZ ID]],[1]Roster_1787503287932!$D$2:$AU$1370,25,0)</f>
        <v>Present</v>
      </c>
      <c r="Y1397" s="135">
        <f>VLOOKUP(Table1[[#This Row],[AMZ ID]],[1]Roster_1787503287932!$D$2:$AM$1370,35,0)</f>
        <v>0</v>
      </c>
    </row>
    <row r="1398" spans="1:25" ht="13" customHeight="1">
      <c r="A1398" s="11">
        <v>1392</v>
      </c>
      <c r="B1398" s="82">
        <v>205853893</v>
      </c>
      <c r="C1398" s="11" t="s">
        <v>2956</v>
      </c>
      <c r="D1398" s="82" t="s">
        <v>2995</v>
      </c>
      <c r="E1398" s="109" t="s">
        <v>31</v>
      </c>
      <c r="F1398" s="109" t="s">
        <v>74</v>
      </c>
      <c r="G1398" s="99" t="s">
        <v>64</v>
      </c>
      <c r="H1398" s="99" t="s">
        <v>75</v>
      </c>
      <c r="I1398" s="11">
        <v>1299</v>
      </c>
      <c r="J1398" s="129" t="s">
        <v>39</v>
      </c>
      <c r="K1398" s="110" t="s">
        <v>76</v>
      </c>
      <c r="L1398" s="124" t="s">
        <v>3007</v>
      </c>
      <c r="M1398" s="124" t="s">
        <v>3009</v>
      </c>
      <c r="N1398" s="109" t="s">
        <v>89</v>
      </c>
      <c r="O1398" s="110" t="s">
        <v>37</v>
      </c>
      <c r="P1398" s="99" t="s">
        <v>80</v>
      </c>
      <c r="Q1398" s="82" t="s">
        <v>96</v>
      </c>
      <c r="R1398" s="11" t="s">
        <v>627</v>
      </c>
      <c r="S1398" s="11" t="s">
        <v>628</v>
      </c>
      <c r="T1398" s="116" t="s">
        <v>1</v>
      </c>
      <c r="U1398" s="88"/>
      <c r="V1398" s="111">
        <v>46252</v>
      </c>
      <c r="W1398" s="120" t="s">
        <v>1577</v>
      </c>
      <c r="X1398" s="135" t="str">
        <f>VLOOKUP(Table1[[#This Row],[AMZ ID]],[1]Roster_1787503287932!$D$2:$AU$1370,25,0)</f>
        <v>Present</v>
      </c>
      <c r="Y1398" s="135">
        <f>VLOOKUP(Table1[[#This Row],[AMZ ID]],[1]Roster_1787503287932!$D$2:$AM$1370,35,0)</f>
        <v>0</v>
      </c>
    </row>
    <row r="1399" spans="1:25" ht="13" customHeight="1">
      <c r="A1399" s="11">
        <v>1393</v>
      </c>
      <c r="B1399" s="82">
        <v>206926976</v>
      </c>
      <c r="C1399" s="11" t="s">
        <v>2957</v>
      </c>
      <c r="D1399" s="82" t="s">
        <v>2996</v>
      </c>
      <c r="E1399" s="109" t="s">
        <v>31</v>
      </c>
      <c r="F1399" s="109" t="s">
        <v>74</v>
      </c>
      <c r="G1399" s="99" t="s">
        <v>64</v>
      </c>
      <c r="H1399" s="99" t="s">
        <v>75</v>
      </c>
      <c r="I1399" s="11">
        <v>1299</v>
      </c>
      <c r="J1399" s="129" t="s">
        <v>39</v>
      </c>
      <c r="K1399" s="110" t="s">
        <v>76</v>
      </c>
      <c r="L1399" s="124" t="s">
        <v>3009</v>
      </c>
      <c r="M1399" s="124" t="s">
        <v>3010</v>
      </c>
      <c r="N1399" s="109" t="s">
        <v>89</v>
      </c>
      <c r="O1399" s="110" t="s">
        <v>37</v>
      </c>
      <c r="P1399" s="99" t="s">
        <v>80</v>
      </c>
      <c r="Q1399" s="82" t="s">
        <v>81</v>
      </c>
      <c r="R1399" s="99" t="s">
        <v>627</v>
      </c>
      <c r="S1399" s="99" t="s">
        <v>628</v>
      </c>
      <c r="T1399" s="116" t="s">
        <v>1</v>
      </c>
      <c r="U1399" s="88"/>
      <c r="V1399" s="111">
        <v>46252</v>
      </c>
      <c r="W1399" s="120" t="s">
        <v>1576</v>
      </c>
      <c r="X1399" s="135" t="str">
        <f>VLOOKUP(Table1[[#This Row],[AMZ ID]],[1]Roster_1787503287932!$D$2:$AU$1370,25,0)</f>
        <v>Present</v>
      </c>
      <c r="Y1399" s="135">
        <f>VLOOKUP(Table1[[#This Row],[AMZ ID]],[1]Roster_1787503287932!$D$2:$AM$1370,35,0)</f>
        <v>0</v>
      </c>
    </row>
    <row r="1400" spans="1:25" ht="13" customHeight="1">
      <c r="A1400" s="11">
        <v>1394</v>
      </c>
      <c r="B1400" s="82">
        <v>206250613</v>
      </c>
      <c r="C1400" s="11" t="s">
        <v>2958</v>
      </c>
      <c r="D1400" s="82" t="s">
        <v>2997</v>
      </c>
      <c r="E1400" s="109" t="s">
        <v>31</v>
      </c>
      <c r="F1400" s="109" t="s">
        <v>74</v>
      </c>
      <c r="G1400" s="99" t="s">
        <v>64</v>
      </c>
      <c r="H1400" s="99" t="s">
        <v>75</v>
      </c>
      <c r="I1400" s="11">
        <v>1299</v>
      </c>
      <c r="J1400" s="129" t="s">
        <v>39</v>
      </c>
      <c r="K1400" s="110" t="s">
        <v>76</v>
      </c>
      <c r="L1400" s="124" t="s">
        <v>3010</v>
      </c>
      <c r="M1400" s="124" t="s">
        <v>3011</v>
      </c>
      <c r="N1400" s="109" t="s">
        <v>89</v>
      </c>
      <c r="O1400" s="110" t="s">
        <v>37</v>
      </c>
      <c r="P1400" s="99" t="s">
        <v>80</v>
      </c>
      <c r="Q1400" s="82" t="s">
        <v>81</v>
      </c>
      <c r="R1400" s="99" t="s">
        <v>627</v>
      </c>
      <c r="S1400" s="11" t="s">
        <v>628</v>
      </c>
      <c r="T1400" s="116" t="s">
        <v>1</v>
      </c>
      <c r="U1400" s="88"/>
      <c r="V1400" s="111">
        <v>46252</v>
      </c>
      <c r="W1400" s="120" t="s">
        <v>1576</v>
      </c>
      <c r="X1400" s="135" t="str">
        <f>VLOOKUP(Table1[[#This Row],[AMZ ID]],[1]Roster_1787503287932!$D$2:$AU$1370,25,0)</f>
        <v>Present</v>
      </c>
      <c r="Y1400" s="135">
        <f>VLOOKUP(Table1[[#This Row],[AMZ ID]],[1]Roster_1787503287932!$D$2:$AM$1370,35,0)</f>
        <v>0</v>
      </c>
    </row>
    <row r="1401" spans="1:25" ht="13" customHeight="1">
      <c r="A1401" s="11">
        <v>1395</v>
      </c>
      <c r="B1401" s="82">
        <v>206890218</v>
      </c>
      <c r="C1401" s="11" t="s">
        <v>2959</v>
      </c>
      <c r="D1401" s="82" t="s">
        <v>2998</v>
      </c>
      <c r="E1401" s="109" t="s">
        <v>31</v>
      </c>
      <c r="F1401" s="109" t="s">
        <v>74</v>
      </c>
      <c r="G1401" s="99" t="s">
        <v>64</v>
      </c>
      <c r="H1401" s="99" t="s">
        <v>75</v>
      </c>
      <c r="I1401" s="11">
        <v>1299</v>
      </c>
      <c r="J1401" s="129" t="s">
        <v>39</v>
      </c>
      <c r="K1401" s="110" t="s">
        <v>76</v>
      </c>
      <c r="L1401" s="124" t="s">
        <v>3011</v>
      </c>
      <c r="M1401" s="124" t="s">
        <v>78</v>
      </c>
      <c r="N1401" s="109" t="s">
        <v>89</v>
      </c>
      <c r="O1401" s="110" t="s">
        <v>37</v>
      </c>
      <c r="P1401" s="99" t="s">
        <v>80</v>
      </c>
      <c r="Q1401" s="82" t="s">
        <v>96</v>
      </c>
      <c r="R1401" s="99" t="s">
        <v>627</v>
      </c>
      <c r="S1401" s="99" t="s">
        <v>628</v>
      </c>
      <c r="T1401" s="116" t="s">
        <v>10</v>
      </c>
      <c r="U1401" s="88"/>
      <c r="V1401" s="111">
        <v>46252</v>
      </c>
      <c r="W1401" s="120" t="s">
        <v>1576</v>
      </c>
      <c r="X1401" s="135" t="str">
        <f>VLOOKUP(Table1[[#This Row],[AMZ ID]],[1]Roster_1787503287932!$D$2:$AU$1370,25,0)</f>
        <v>Not Present</v>
      </c>
      <c r="Y1401" s="135">
        <f>VLOOKUP(Table1[[#This Row],[AMZ ID]],[1]Roster_1787503287932!$D$2:$AM$1370,35,0)</f>
        <v>0</v>
      </c>
    </row>
    <row r="1402" spans="1:25" ht="13" customHeight="1">
      <c r="A1402" s="11">
        <v>1396</v>
      </c>
      <c r="B1402" s="82">
        <v>205853884</v>
      </c>
      <c r="C1402" s="11" t="s">
        <v>2960</v>
      </c>
      <c r="D1402" s="82" t="s">
        <v>2999</v>
      </c>
      <c r="E1402" s="109" t="s">
        <v>31</v>
      </c>
      <c r="F1402" s="109" t="s">
        <v>74</v>
      </c>
      <c r="G1402" s="99" t="s">
        <v>64</v>
      </c>
      <c r="H1402" s="99" t="s">
        <v>75</v>
      </c>
      <c r="I1402" s="11">
        <v>1299</v>
      </c>
      <c r="J1402" s="129" t="s">
        <v>39</v>
      </c>
      <c r="K1402" s="110" t="s">
        <v>76</v>
      </c>
      <c r="L1402" s="124" t="s">
        <v>3008</v>
      </c>
      <c r="M1402" s="124" t="s">
        <v>3005</v>
      </c>
      <c r="N1402" s="109" t="s">
        <v>89</v>
      </c>
      <c r="O1402" s="110" t="s">
        <v>37</v>
      </c>
      <c r="P1402" s="99" t="s">
        <v>80</v>
      </c>
      <c r="Q1402" s="82" t="s">
        <v>96</v>
      </c>
      <c r="R1402" s="11" t="s">
        <v>627</v>
      </c>
      <c r="S1402" s="11" t="s">
        <v>628</v>
      </c>
      <c r="T1402" s="116" t="s">
        <v>10</v>
      </c>
      <c r="U1402" s="88"/>
      <c r="V1402" s="111">
        <v>46252</v>
      </c>
      <c r="W1402" s="120" t="s">
        <v>1577</v>
      </c>
      <c r="X1402" s="135" t="str">
        <f>VLOOKUP(Table1[[#This Row],[AMZ ID]],[1]Roster_1787503287932!$D$2:$AU$1370,25,0)</f>
        <v>Not Present</v>
      </c>
      <c r="Y1402" s="135">
        <f>VLOOKUP(Table1[[#This Row],[AMZ ID]],[1]Roster_1787503287932!$D$2:$AM$1370,35,0)</f>
        <v>0</v>
      </c>
    </row>
    <row r="1403" spans="1:25" ht="13" customHeight="1">
      <c r="A1403" s="11">
        <v>1397</v>
      </c>
      <c r="B1403" s="82">
        <v>206886516</v>
      </c>
      <c r="C1403" s="11" t="s">
        <v>2961</v>
      </c>
      <c r="D1403" s="82" t="s">
        <v>3000</v>
      </c>
      <c r="E1403" s="109" t="s">
        <v>31</v>
      </c>
      <c r="F1403" s="109" t="s">
        <v>74</v>
      </c>
      <c r="G1403" s="99" t="s">
        <v>64</v>
      </c>
      <c r="H1403" s="99" t="s">
        <v>75</v>
      </c>
      <c r="I1403" s="11">
        <v>1299</v>
      </c>
      <c r="J1403" s="129" t="s">
        <v>39</v>
      </c>
      <c r="K1403" s="110" t="s">
        <v>76</v>
      </c>
      <c r="L1403" s="124" t="s">
        <v>3005</v>
      </c>
      <c r="M1403" s="124" t="s">
        <v>3006</v>
      </c>
      <c r="N1403" s="109" t="s">
        <v>89</v>
      </c>
      <c r="O1403" s="110" t="s">
        <v>37</v>
      </c>
      <c r="P1403" s="99" t="s">
        <v>80</v>
      </c>
      <c r="Q1403" s="82" t="s">
        <v>96</v>
      </c>
      <c r="R1403" s="99" t="s">
        <v>627</v>
      </c>
      <c r="S1403" s="99" t="s">
        <v>628</v>
      </c>
      <c r="T1403" s="116" t="s">
        <v>1</v>
      </c>
      <c r="U1403" s="88"/>
      <c r="V1403" s="111">
        <v>46252</v>
      </c>
      <c r="W1403" s="120" t="s">
        <v>1576</v>
      </c>
      <c r="X1403" s="135" t="str">
        <f>VLOOKUP(Table1[[#This Row],[AMZ ID]],[1]Roster_1787503287932!$D$2:$AU$1370,25,0)</f>
        <v>Present</v>
      </c>
      <c r="Y1403" s="135">
        <f>VLOOKUP(Table1[[#This Row],[AMZ ID]],[1]Roster_1787503287932!$D$2:$AM$1370,35,0)</f>
        <v>0</v>
      </c>
    </row>
    <row r="1404" spans="1:25" ht="13" customHeight="1">
      <c r="A1404" s="11">
        <v>1398</v>
      </c>
      <c r="B1404" s="82">
        <v>206239531</v>
      </c>
      <c r="C1404" s="11" t="s">
        <v>2962</v>
      </c>
      <c r="D1404" s="82" t="s">
        <v>3001</v>
      </c>
      <c r="E1404" s="109" t="s">
        <v>31</v>
      </c>
      <c r="F1404" s="109" t="s">
        <v>74</v>
      </c>
      <c r="G1404" s="99" t="s">
        <v>64</v>
      </c>
      <c r="H1404" s="99" t="s">
        <v>75</v>
      </c>
      <c r="I1404" s="11">
        <v>1299</v>
      </c>
      <c r="J1404" s="129" t="s">
        <v>39</v>
      </c>
      <c r="K1404" s="110" t="s">
        <v>76</v>
      </c>
      <c r="L1404" s="124" t="s">
        <v>3006</v>
      </c>
      <c r="M1404" s="124" t="s">
        <v>3007</v>
      </c>
      <c r="N1404" s="109" t="s">
        <v>89</v>
      </c>
      <c r="O1404" s="110" t="s">
        <v>37</v>
      </c>
      <c r="P1404" s="99" t="s">
        <v>80</v>
      </c>
      <c r="Q1404" s="82" t="s">
        <v>81</v>
      </c>
      <c r="R1404" s="99" t="s">
        <v>627</v>
      </c>
      <c r="S1404" s="99" t="s">
        <v>628</v>
      </c>
      <c r="T1404" s="116" t="s">
        <v>1</v>
      </c>
      <c r="U1404" s="88"/>
      <c r="V1404" s="111">
        <v>46252</v>
      </c>
      <c r="W1404" s="120" t="s">
        <v>1576</v>
      </c>
      <c r="X1404" s="135" t="str">
        <f>VLOOKUP(Table1[[#This Row],[AMZ ID]],[1]Roster_1787503287932!$D$2:$AU$1370,25,0)</f>
        <v>Present</v>
      </c>
      <c r="Y1404" s="135">
        <f>VLOOKUP(Table1[[#This Row],[AMZ ID]],[1]Roster_1787503287932!$D$2:$AM$1370,35,0)</f>
        <v>0</v>
      </c>
    </row>
    <row r="1405" spans="1:25" ht="13" customHeight="1">
      <c r="A1405" s="11">
        <v>1399</v>
      </c>
      <c r="B1405" s="82">
        <v>205280267</v>
      </c>
      <c r="C1405" s="11" t="s">
        <v>2963</v>
      </c>
      <c r="D1405" s="82" t="s">
        <v>3002</v>
      </c>
      <c r="E1405" s="109" t="s">
        <v>31</v>
      </c>
      <c r="F1405" s="109" t="s">
        <v>74</v>
      </c>
      <c r="G1405" s="99" t="s">
        <v>64</v>
      </c>
      <c r="H1405" s="99" t="s">
        <v>75</v>
      </c>
      <c r="I1405" s="11">
        <v>1299</v>
      </c>
      <c r="J1405" s="129" t="s">
        <v>39</v>
      </c>
      <c r="K1405" s="110" t="s">
        <v>76</v>
      </c>
      <c r="L1405" s="124" t="s">
        <v>3007</v>
      </c>
      <c r="M1405" s="124" t="s">
        <v>3009</v>
      </c>
      <c r="N1405" s="109" t="s">
        <v>89</v>
      </c>
      <c r="O1405" s="110" t="s">
        <v>37</v>
      </c>
      <c r="P1405" s="99" t="s">
        <v>80</v>
      </c>
      <c r="Q1405" s="82" t="s">
        <v>96</v>
      </c>
      <c r="R1405" s="99" t="s">
        <v>627</v>
      </c>
      <c r="S1405" s="99" t="s">
        <v>628</v>
      </c>
      <c r="T1405" s="116" t="s">
        <v>1</v>
      </c>
      <c r="U1405" s="88"/>
      <c r="V1405" s="111">
        <v>46252</v>
      </c>
      <c r="W1405" s="120" t="s">
        <v>1576</v>
      </c>
      <c r="X1405" s="135" t="str">
        <f>VLOOKUP(Table1[[#This Row],[AMZ ID]],[1]Roster_1787503287932!$D$2:$AU$1370,25,0)</f>
        <v>Present</v>
      </c>
      <c r="Y1405" s="135">
        <f>VLOOKUP(Table1[[#This Row],[AMZ ID]],[1]Roster_1787503287932!$D$2:$AM$1370,35,0)</f>
        <v>0</v>
      </c>
    </row>
    <row r="1406" spans="1:25" ht="13" customHeight="1">
      <c r="A1406" s="11">
        <v>1400</v>
      </c>
      <c r="B1406" s="126">
        <v>206192282</v>
      </c>
      <c r="C1406" s="117" t="s">
        <v>2964</v>
      </c>
      <c r="D1406" s="127" t="s">
        <v>3003</v>
      </c>
      <c r="E1406" s="109" t="s">
        <v>31</v>
      </c>
      <c r="F1406" s="109" t="s">
        <v>74</v>
      </c>
      <c r="G1406" s="99" t="s">
        <v>64</v>
      </c>
      <c r="H1406" s="99" t="s">
        <v>75</v>
      </c>
      <c r="I1406" s="99">
        <v>1299</v>
      </c>
      <c r="J1406" s="129" t="s">
        <v>39</v>
      </c>
      <c r="K1406" s="110" t="s">
        <v>76</v>
      </c>
      <c r="L1406" s="110" t="s">
        <v>3009</v>
      </c>
      <c r="M1406" s="110" t="s">
        <v>3010</v>
      </c>
      <c r="N1406" s="109" t="s">
        <v>89</v>
      </c>
      <c r="O1406" s="110" t="s">
        <v>37</v>
      </c>
      <c r="P1406" s="99" t="s">
        <v>80</v>
      </c>
      <c r="Q1406" s="128" t="s">
        <v>96</v>
      </c>
      <c r="R1406" s="99" t="s">
        <v>627</v>
      </c>
      <c r="S1406" s="99" t="s">
        <v>628</v>
      </c>
      <c r="T1406" s="116" t="s">
        <v>1</v>
      </c>
      <c r="U1406" s="88"/>
      <c r="V1406" s="111">
        <v>46252</v>
      </c>
      <c r="W1406" s="120" t="s">
        <v>1577</v>
      </c>
      <c r="X1406" s="135" t="str">
        <f>VLOOKUP(Table1[[#This Row],[AMZ ID]],[1]Roster_1787503287932!$D$2:$AU$1370,25,0)</f>
        <v>Present</v>
      </c>
      <c r="Y1406" s="135">
        <f>VLOOKUP(Table1[[#This Row],[AMZ ID]],[1]Roster_1787503287932!$D$2:$AM$1370,35,0)</f>
        <v>0</v>
      </c>
    </row>
    <row r="1407" spans="1:25" ht="13" customHeight="1">
      <c r="A1407" s="11">
        <v>1401</v>
      </c>
      <c r="B1407" s="126">
        <v>204869099</v>
      </c>
      <c r="C1407" s="117" t="s">
        <v>2965</v>
      </c>
      <c r="D1407" s="127" t="s">
        <v>3004</v>
      </c>
      <c r="E1407" s="109" t="s">
        <v>31</v>
      </c>
      <c r="F1407" s="109" t="s">
        <v>74</v>
      </c>
      <c r="G1407" s="99" t="s">
        <v>64</v>
      </c>
      <c r="H1407" s="99" t="s">
        <v>75</v>
      </c>
      <c r="I1407" s="99">
        <v>1299</v>
      </c>
      <c r="J1407" s="129" t="s">
        <v>39</v>
      </c>
      <c r="K1407" s="110" t="s">
        <v>76</v>
      </c>
      <c r="L1407" s="110" t="s">
        <v>3010</v>
      </c>
      <c r="M1407" s="110" t="s">
        <v>3011</v>
      </c>
      <c r="N1407" s="109" t="s">
        <v>89</v>
      </c>
      <c r="O1407" s="110" t="s">
        <v>37</v>
      </c>
      <c r="P1407" s="99" t="s">
        <v>80</v>
      </c>
      <c r="Q1407" s="128" t="s">
        <v>87</v>
      </c>
      <c r="R1407" s="99" t="s">
        <v>627</v>
      </c>
      <c r="S1407" s="99" t="s">
        <v>628</v>
      </c>
      <c r="T1407" s="116" t="s">
        <v>1</v>
      </c>
      <c r="U1407" s="88"/>
      <c r="V1407" s="111">
        <v>46252</v>
      </c>
      <c r="W1407" s="120" t="s">
        <v>1577</v>
      </c>
      <c r="X1407" s="135" t="str">
        <f>VLOOKUP(Table1[[#This Row],[AMZ ID]],[1]Roster_1787503287932!$D$2:$AU$1370,25,0)</f>
        <v>Present</v>
      </c>
      <c r="Y1407" s="135">
        <f>VLOOKUP(Table1[[#This Row],[AMZ ID]],[1]Roster_1787503287932!$D$2:$AM$1370,35,0)</f>
        <v>0</v>
      </c>
    </row>
  </sheetData>
  <phoneticPr fontId="11" type="noConversion"/>
  <conditionalFormatting sqref="A6">
    <cfRule type="duplicateValues" dxfId="1200" priority="45773"/>
  </conditionalFormatting>
  <conditionalFormatting sqref="B1:B1367">
    <cfRule type="duplicateValues" dxfId="1199" priority="68494"/>
    <cfRule type="duplicateValues" dxfId="1198" priority="68495"/>
    <cfRule type="duplicateValues" dxfId="1197" priority="68496"/>
  </conditionalFormatting>
  <conditionalFormatting sqref="B6">
    <cfRule type="duplicateValues" dxfId="1196" priority="68167"/>
    <cfRule type="duplicateValues" dxfId="1195" priority="68168"/>
    <cfRule type="duplicateValues" dxfId="1194" priority="68169"/>
  </conditionalFormatting>
  <conditionalFormatting sqref="B7:B1367">
    <cfRule type="duplicateValues" dxfId="1193" priority="68500"/>
    <cfRule type="duplicateValues" dxfId="1192" priority="68501"/>
  </conditionalFormatting>
  <conditionalFormatting sqref="B591">
    <cfRule type="duplicateValues" dxfId="1191" priority="68170"/>
  </conditionalFormatting>
  <conditionalFormatting sqref="B971">
    <cfRule type="duplicateValues" dxfId="1190" priority="68171"/>
  </conditionalFormatting>
  <conditionalFormatting sqref="B972 B933:B970">
    <cfRule type="duplicateValues" dxfId="1189" priority="68172"/>
  </conditionalFormatting>
  <conditionalFormatting sqref="B973:B991">
    <cfRule type="duplicateValues" dxfId="1188" priority="68174"/>
  </conditionalFormatting>
  <conditionalFormatting sqref="B992">
    <cfRule type="duplicateValues" dxfId="1187" priority="68175"/>
    <cfRule type="duplicateValues" dxfId="1186" priority="68176"/>
    <cfRule type="duplicateValues" dxfId="1185" priority="68177"/>
  </conditionalFormatting>
  <conditionalFormatting sqref="B1005">
    <cfRule type="duplicateValues" dxfId="1184" priority="68178"/>
  </conditionalFormatting>
  <conditionalFormatting sqref="B1006:B1048 B993:B1004">
    <cfRule type="duplicateValues" dxfId="1183" priority="68179"/>
  </conditionalFormatting>
  <conditionalFormatting sqref="B1049:B1092">
    <cfRule type="duplicateValues" dxfId="1182" priority="68181"/>
  </conditionalFormatting>
  <conditionalFormatting sqref="B1093:B1114">
    <cfRule type="duplicateValues" dxfId="1181" priority="68182"/>
  </conditionalFormatting>
  <conditionalFormatting sqref="B1115:B1128">
    <cfRule type="duplicateValues" dxfId="1180" priority="68183"/>
  </conditionalFormatting>
  <conditionalFormatting sqref="B1129:B1135">
    <cfRule type="duplicateValues" dxfId="1179" priority="68184"/>
  </conditionalFormatting>
  <conditionalFormatting sqref="B1136:B1159">
    <cfRule type="duplicateValues" dxfId="1178" priority="68342"/>
  </conditionalFormatting>
  <conditionalFormatting sqref="B1160:B1169">
    <cfRule type="duplicateValues" dxfId="1177" priority="68186"/>
  </conditionalFormatting>
  <conditionalFormatting sqref="B1170:B1171">
    <cfRule type="duplicateValues" dxfId="1176" priority="68187"/>
  </conditionalFormatting>
  <conditionalFormatting sqref="B1172:B1199">
    <cfRule type="duplicateValues" dxfId="1175" priority="68188"/>
  </conditionalFormatting>
  <conditionalFormatting sqref="B1200">
    <cfRule type="duplicateValues" dxfId="1174" priority="68189"/>
  </conditionalFormatting>
  <conditionalFormatting sqref="B1201:B1219">
    <cfRule type="duplicateValues" dxfId="1173" priority="68190"/>
  </conditionalFormatting>
  <conditionalFormatting sqref="B1220:B1245">
    <cfRule type="duplicateValues" dxfId="1172" priority="68191"/>
  </conditionalFormatting>
  <conditionalFormatting sqref="B1246:B1247">
    <cfRule type="duplicateValues" dxfId="1171" priority="68192"/>
  </conditionalFormatting>
  <conditionalFormatting sqref="B1248:B1261">
    <cfRule type="duplicateValues" dxfId="1170" priority="68193"/>
    <cfRule type="duplicateValues" dxfId="1169" priority="68194"/>
    <cfRule type="duplicateValues" dxfId="1168" priority="68195"/>
    <cfRule type="duplicateValues" dxfId="1167" priority="68196"/>
    <cfRule type="duplicateValues" dxfId="1166" priority="68197"/>
    <cfRule type="duplicateValues" dxfId="1165" priority="68198"/>
    <cfRule type="duplicateValues" dxfId="1164" priority="68199"/>
    <cfRule type="duplicateValues" dxfId="1163" priority="68200"/>
  </conditionalFormatting>
  <conditionalFormatting sqref="B1262:B1263">
    <cfRule type="duplicateValues" dxfId="1162" priority="68201"/>
  </conditionalFormatting>
  <conditionalFormatting sqref="B1264">
    <cfRule type="duplicateValues" dxfId="1161" priority="68202"/>
  </conditionalFormatting>
  <conditionalFormatting sqref="B1265">
    <cfRule type="duplicateValues" dxfId="1160" priority="68203"/>
  </conditionalFormatting>
  <conditionalFormatting sqref="B1266:B1268">
    <cfRule type="duplicateValues" dxfId="1159" priority="68204"/>
  </conditionalFormatting>
  <conditionalFormatting sqref="B1273:B1318">
    <cfRule type="duplicateValues" dxfId="1158" priority="68205"/>
    <cfRule type="duplicateValues" dxfId="1157" priority="68206"/>
  </conditionalFormatting>
  <conditionalFormatting sqref="B1347:B1367 B1:B6">
    <cfRule type="duplicateValues" dxfId="1156" priority="68269"/>
  </conditionalFormatting>
  <conditionalFormatting sqref="B1349:B1367">
    <cfRule type="duplicateValues" dxfId="1155" priority="68271"/>
  </conditionalFormatting>
  <conditionalFormatting sqref="B1368:B1407">
    <cfRule type="duplicateValues" dxfId="1154" priority="68314"/>
    <cfRule type="duplicateValues" dxfId="1153" priority="68315"/>
    <cfRule type="duplicateValues" dxfId="1152" priority="68316"/>
    <cfRule type="duplicateValues" dxfId="1151" priority="68317"/>
    <cfRule type="duplicateValues" dxfId="1150" priority="68318"/>
  </conditionalFormatting>
  <conditionalFormatting sqref="B879:C889">
    <cfRule type="duplicateValues" dxfId="1149" priority="68217"/>
  </conditionalFormatting>
  <conditionalFormatting sqref="B890:C908">
    <cfRule type="duplicateValues" dxfId="1148" priority="68219"/>
    <cfRule type="duplicateValues" dxfId="1147" priority="68220"/>
  </conditionalFormatting>
  <conditionalFormatting sqref="B909:C925">
    <cfRule type="duplicateValues" dxfId="1146" priority="68223"/>
    <cfRule type="duplicateValues" dxfId="1145" priority="68224"/>
  </conditionalFormatting>
  <conditionalFormatting sqref="B926:C929">
    <cfRule type="duplicateValues" dxfId="1144" priority="68227"/>
    <cfRule type="duplicateValues" dxfId="1143" priority="68228"/>
  </conditionalFormatting>
  <conditionalFormatting sqref="B930:C932">
    <cfRule type="duplicateValues" dxfId="1142" priority="68231"/>
    <cfRule type="duplicateValues" dxfId="1141" priority="68232"/>
  </conditionalFormatting>
  <conditionalFormatting sqref="B1269:C1269">
    <cfRule type="duplicateValues" dxfId="1140" priority="68235"/>
    <cfRule type="duplicateValues" dxfId="1139" priority="68236"/>
  </conditionalFormatting>
  <conditionalFormatting sqref="B1270:C1270">
    <cfRule type="duplicateValues" dxfId="1138" priority="68239"/>
    <cfRule type="duplicateValues" dxfId="1137" priority="68240"/>
  </conditionalFormatting>
  <conditionalFormatting sqref="B1271:C1271">
    <cfRule type="duplicateValues" dxfId="1136" priority="68243"/>
    <cfRule type="duplicateValues" dxfId="1135" priority="68244"/>
  </conditionalFormatting>
  <conditionalFormatting sqref="B1272:C1272">
    <cfRule type="duplicateValues" dxfId="1134" priority="68247"/>
    <cfRule type="duplicateValues" dxfId="1133" priority="68248"/>
  </conditionalFormatting>
  <conditionalFormatting sqref="B1273:D1318">
    <cfRule type="duplicateValues" dxfId="1132" priority="68364"/>
    <cfRule type="duplicateValues" dxfId="1131" priority="68365"/>
  </conditionalFormatting>
  <conditionalFormatting sqref="C1">
    <cfRule type="duplicateValues" dxfId="1130" priority="13720"/>
    <cfRule type="duplicateValues" dxfId="1129" priority="13721"/>
    <cfRule type="duplicateValues" dxfId="1128" priority="13722"/>
    <cfRule type="duplicateValues" dxfId="1127" priority="13723"/>
    <cfRule type="duplicateValues" dxfId="1126" priority="13724"/>
    <cfRule type="duplicateValues" dxfId="1125" priority="13725"/>
    <cfRule type="duplicateValues" dxfId="1124" priority="13726"/>
    <cfRule type="duplicateValues" dxfId="1123" priority="13727"/>
    <cfRule type="duplicateValues" dxfId="1122" priority="13728"/>
    <cfRule type="duplicateValues" dxfId="1121" priority="13729"/>
    <cfRule type="duplicateValues" dxfId="1120" priority="13730"/>
    <cfRule type="duplicateValues" dxfId="1119" priority="13731"/>
    <cfRule type="duplicateValues" dxfId="1118" priority="13732"/>
    <cfRule type="duplicateValues" dxfId="1117" priority="13733"/>
    <cfRule type="duplicateValues" dxfId="1116" priority="13734"/>
    <cfRule type="duplicateValues" dxfId="1115" priority="13735"/>
    <cfRule type="duplicateValues" dxfId="1114" priority="13736"/>
  </conditionalFormatting>
  <conditionalFormatting sqref="C1:C1367">
    <cfRule type="duplicateValues" dxfId="1113" priority="68504"/>
    <cfRule type="duplicateValues" dxfId="1112" priority="68505"/>
  </conditionalFormatting>
  <conditionalFormatting sqref="C2:C6">
    <cfRule type="duplicateValues" dxfId="1111" priority="47779"/>
    <cfRule type="duplicateValues" dxfId="1110" priority="47780"/>
    <cfRule type="duplicateValues" dxfId="1109" priority="47781"/>
    <cfRule type="duplicateValues" dxfId="1108" priority="47782"/>
    <cfRule type="duplicateValues" dxfId="1107" priority="47873"/>
    <cfRule type="duplicateValues" dxfId="1106" priority="47874"/>
    <cfRule type="duplicateValues" dxfId="1105" priority="47875"/>
    <cfRule type="duplicateValues" dxfId="1104" priority="47876"/>
    <cfRule type="duplicateValues" dxfId="1103" priority="47877"/>
    <cfRule type="duplicateValues" dxfId="1102" priority="47878"/>
    <cfRule type="duplicateValues" dxfId="1101" priority="47879"/>
    <cfRule type="duplicateValues" dxfId="1100" priority="47880"/>
    <cfRule type="duplicateValues" dxfId="1099" priority="47890"/>
    <cfRule type="duplicateValues" dxfId="1098" priority="48885"/>
    <cfRule type="duplicateValues" dxfId="1097" priority="66216"/>
  </conditionalFormatting>
  <conditionalFormatting sqref="C6">
    <cfRule type="duplicateValues" dxfId="1096" priority="47783"/>
    <cfRule type="duplicateValues" dxfId="1095" priority="47784"/>
    <cfRule type="duplicateValues" dxfId="1094" priority="47785"/>
  </conditionalFormatting>
  <conditionalFormatting sqref="C7:C1367">
    <cfRule type="duplicateValues" dxfId="1093" priority="68508"/>
    <cfRule type="duplicateValues" dxfId="1092" priority="68509"/>
  </conditionalFormatting>
  <conditionalFormatting sqref="C933:C972">
    <cfRule type="duplicateValues" dxfId="1091" priority="1333"/>
    <cfRule type="duplicateValues" dxfId="1090" priority="1334"/>
  </conditionalFormatting>
  <conditionalFormatting sqref="C973:C991">
    <cfRule type="duplicateValues" dxfId="1089" priority="1329"/>
    <cfRule type="duplicateValues" dxfId="1088" priority="1330"/>
    <cfRule type="duplicateValues" dxfId="1087" priority="1331"/>
    <cfRule type="duplicateValues" dxfId="1086" priority="1332"/>
  </conditionalFormatting>
  <conditionalFormatting sqref="C992">
    <cfRule type="duplicateValues" dxfId="1085" priority="1327"/>
    <cfRule type="duplicateValues" dxfId="1084" priority="1328"/>
  </conditionalFormatting>
  <conditionalFormatting sqref="C995">
    <cfRule type="duplicateValues" dxfId="1083" priority="1323"/>
    <cfRule type="duplicateValues" dxfId="1082" priority="1324"/>
    <cfRule type="duplicateValues" dxfId="1081" priority="1325"/>
    <cfRule type="duplicateValues" dxfId="1080" priority="1326"/>
  </conditionalFormatting>
  <conditionalFormatting sqref="C1005">
    <cfRule type="duplicateValues" dxfId="1079" priority="1319"/>
    <cfRule type="duplicateValues" dxfId="1078" priority="1320"/>
    <cfRule type="duplicateValues" dxfId="1077" priority="1321"/>
    <cfRule type="duplicateValues" dxfId="1076" priority="1322"/>
  </conditionalFormatting>
  <conditionalFormatting sqref="C1008">
    <cfRule type="duplicateValues" dxfId="1075" priority="1315"/>
    <cfRule type="duplicateValues" dxfId="1074" priority="1316"/>
    <cfRule type="duplicateValues" dxfId="1073" priority="1317"/>
    <cfRule type="duplicateValues" dxfId="1072" priority="1318"/>
  </conditionalFormatting>
  <conditionalFormatting sqref="C1011">
    <cfRule type="duplicateValues" dxfId="1071" priority="1311"/>
    <cfRule type="duplicateValues" dxfId="1070" priority="1312"/>
    <cfRule type="duplicateValues" dxfId="1069" priority="1313"/>
    <cfRule type="duplicateValues" dxfId="1068" priority="1314"/>
  </conditionalFormatting>
  <conditionalFormatting sqref="C1017">
    <cfRule type="duplicateValues" dxfId="1067" priority="1307"/>
    <cfRule type="duplicateValues" dxfId="1066" priority="1308"/>
    <cfRule type="duplicateValues" dxfId="1065" priority="1309"/>
    <cfRule type="duplicateValues" dxfId="1064" priority="1310"/>
  </conditionalFormatting>
  <conditionalFormatting sqref="C1018:C1022 C1006:C1007 C993:C994 C1012:C1016 C1009:C1010 C996:C1004">
    <cfRule type="duplicateValues" dxfId="1063" priority="1303"/>
    <cfRule type="duplicateValues" dxfId="1062" priority="1304"/>
    <cfRule type="duplicateValues" dxfId="1061" priority="1305"/>
    <cfRule type="duplicateValues" dxfId="1060" priority="1306"/>
  </conditionalFormatting>
  <conditionalFormatting sqref="C1252">
    <cfRule type="duplicateValues" dxfId="1059" priority="1296"/>
    <cfRule type="duplicateValues" dxfId="1058" priority="1297"/>
    <cfRule type="duplicateValues" dxfId="1057" priority="1298"/>
    <cfRule type="duplicateValues" dxfId="1056" priority="1299"/>
    <cfRule type="duplicateValues" dxfId="1055" priority="1300"/>
    <cfRule type="duplicateValues" dxfId="1054" priority="1301"/>
    <cfRule type="duplicateValues" dxfId="1053" priority="1302"/>
  </conditionalFormatting>
  <conditionalFormatting sqref="C1253:C1261 C7:C1251">
    <cfRule type="duplicateValues" dxfId="1052" priority="1293"/>
    <cfRule type="duplicateValues" dxfId="1051" priority="1294"/>
    <cfRule type="duplicateValues" dxfId="1050" priority="1295"/>
  </conditionalFormatting>
  <conditionalFormatting sqref="C1254:C1261 C7:C932">
    <cfRule type="duplicateValues" dxfId="1049" priority="1292"/>
  </conditionalFormatting>
  <conditionalFormatting sqref="C1254:C1261 C7:C972">
    <cfRule type="duplicateValues" dxfId="1048" priority="1290"/>
    <cfRule type="duplicateValues" dxfId="1047" priority="1291"/>
  </conditionalFormatting>
  <conditionalFormatting sqref="C1254:C1261">
    <cfRule type="duplicateValues" dxfId="1046" priority="1288"/>
    <cfRule type="duplicateValues" dxfId="1045" priority="1289"/>
  </conditionalFormatting>
  <conditionalFormatting sqref="C1262:C1263">
    <cfRule type="duplicateValues" dxfId="1044" priority="1280"/>
    <cfRule type="duplicateValues" dxfId="1043" priority="1281"/>
    <cfRule type="duplicateValues" dxfId="1042" priority="1282"/>
    <cfRule type="duplicateValues" dxfId="1041" priority="1283"/>
    <cfRule type="duplicateValues" dxfId="1040" priority="1284"/>
    <cfRule type="duplicateValues" dxfId="1039" priority="1285"/>
    <cfRule type="duplicateValues" dxfId="1038" priority="1286"/>
    <cfRule type="duplicateValues" dxfId="1037" priority="1287"/>
  </conditionalFormatting>
  <conditionalFormatting sqref="C1264">
    <cfRule type="duplicateValues" dxfId="1036" priority="1272"/>
    <cfRule type="duplicateValues" dxfId="1035" priority="1273"/>
    <cfRule type="duplicateValues" dxfId="1034" priority="1274"/>
    <cfRule type="duplicateValues" dxfId="1033" priority="1275"/>
    <cfRule type="duplicateValues" dxfId="1032" priority="1276"/>
    <cfRule type="duplicateValues" dxfId="1031" priority="1277"/>
    <cfRule type="duplicateValues" dxfId="1030" priority="1278"/>
    <cfRule type="duplicateValues" dxfId="1029" priority="1279"/>
  </conditionalFormatting>
  <conditionalFormatting sqref="C1265">
    <cfRule type="duplicateValues" dxfId="1028" priority="1264"/>
    <cfRule type="duplicateValues" dxfId="1027" priority="1265"/>
    <cfRule type="duplicateValues" dxfId="1026" priority="1266"/>
    <cfRule type="duplicateValues" dxfId="1025" priority="1267"/>
    <cfRule type="duplicateValues" dxfId="1024" priority="1268"/>
    <cfRule type="duplicateValues" dxfId="1023" priority="1269"/>
    <cfRule type="duplicateValues" dxfId="1022" priority="1270"/>
    <cfRule type="duplicateValues" dxfId="1021" priority="1271"/>
  </conditionalFormatting>
  <conditionalFormatting sqref="C1266:C1268">
    <cfRule type="duplicateValues" dxfId="1020" priority="1256"/>
    <cfRule type="duplicateValues" dxfId="1019" priority="1257"/>
    <cfRule type="duplicateValues" dxfId="1018" priority="1258"/>
    <cfRule type="duplicateValues" dxfId="1017" priority="1259"/>
    <cfRule type="duplicateValues" dxfId="1016" priority="1260"/>
    <cfRule type="duplicateValues" dxfId="1015" priority="1261"/>
    <cfRule type="duplicateValues" dxfId="1014" priority="1262"/>
    <cfRule type="duplicateValues" dxfId="1013" priority="1263"/>
  </conditionalFormatting>
  <conditionalFormatting sqref="C1269">
    <cfRule type="duplicateValues" dxfId="1012" priority="1250"/>
    <cfRule type="duplicateValues" dxfId="1011" priority="1251"/>
    <cfRule type="duplicateValues" dxfId="1010" priority="1252"/>
    <cfRule type="duplicateValues" dxfId="1009" priority="1253"/>
    <cfRule type="duplicateValues" dxfId="1008" priority="1254"/>
    <cfRule type="duplicateValues" dxfId="1007" priority="1255"/>
  </conditionalFormatting>
  <conditionalFormatting sqref="C1270:C1318">
    <cfRule type="duplicateValues" dxfId="1006" priority="1244"/>
    <cfRule type="duplicateValues" dxfId="1005" priority="1245"/>
    <cfRule type="duplicateValues" dxfId="1004" priority="1246"/>
    <cfRule type="duplicateValues" dxfId="1003" priority="1247"/>
    <cfRule type="duplicateValues" dxfId="1002" priority="1248"/>
    <cfRule type="duplicateValues" dxfId="1001" priority="1249"/>
  </conditionalFormatting>
  <conditionalFormatting sqref="C1273:C1318">
    <cfRule type="duplicateValues" dxfId="1000" priority="1243"/>
  </conditionalFormatting>
  <conditionalFormatting sqref="C1347:C1367 C1:C6">
    <cfRule type="duplicateValues" dxfId="999" priority="68259"/>
  </conditionalFormatting>
  <conditionalFormatting sqref="C1347:C1367">
    <cfRule type="duplicateValues" dxfId="998" priority="68261"/>
    <cfRule type="duplicateValues" dxfId="997" priority="68262"/>
    <cfRule type="duplicateValues" dxfId="996" priority="68263"/>
    <cfRule type="duplicateValues" dxfId="995" priority="68264"/>
  </conditionalFormatting>
  <conditionalFormatting sqref="C1349:C1367">
    <cfRule type="duplicateValues" dxfId="994" priority="68265"/>
  </conditionalFormatting>
  <conditionalFormatting sqref="C1368:C1407">
    <cfRule type="duplicateValues" dxfId="993" priority="68324"/>
    <cfRule type="duplicateValues" dxfId="992" priority="68325"/>
    <cfRule type="duplicateValues" dxfId="991" priority="68326"/>
    <cfRule type="duplicateValues" dxfId="990" priority="68327"/>
    <cfRule type="duplicateValues" dxfId="989" priority="68328"/>
    <cfRule type="duplicateValues" dxfId="988" priority="68329"/>
    <cfRule type="duplicateValues" dxfId="987" priority="68330"/>
    <cfRule type="duplicateValues" dxfId="986" priority="68331"/>
  </conditionalFormatting>
  <conditionalFormatting sqref="C6:D6">
    <cfRule type="duplicateValues" dxfId="985" priority="68366"/>
  </conditionalFormatting>
  <conditionalFormatting sqref="D1 C2:D6 B1:B6">
    <cfRule type="duplicateValues" dxfId="984" priority="68367"/>
  </conditionalFormatting>
  <conditionalFormatting sqref="D6">
    <cfRule type="duplicateValues" dxfId="983" priority="68370"/>
  </conditionalFormatting>
  <conditionalFormatting sqref="D7:D1250">
    <cfRule type="duplicateValues" dxfId="982" priority="68518"/>
  </conditionalFormatting>
  <conditionalFormatting sqref="D622:D826 C622:C889 B592:B889 B512:B590 C512:D621 B7:D511">
    <cfRule type="duplicateValues" dxfId="981" priority="68371"/>
  </conditionalFormatting>
  <conditionalFormatting sqref="D827:D972">
    <cfRule type="duplicateValues" dxfId="980" priority="68377"/>
  </conditionalFormatting>
  <conditionalFormatting sqref="D973:D991">
    <cfRule type="duplicateValues" dxfId="979" priority="68378"/>
  </conditionalFormatting>
  <conditionalFormatting sqref="D1262:D1263">
    <cfRule type="duplicateValues" dxfId="978" priority="68379"/>
    <cfRule type="duplicateValues" dxfId="977" priority="68380"/>
    <cfRule type="duplicateValues" dxfId="976" priority="68381"/>
    <cfRule type="duplicateValues" dxfId="975" priority="68382"/>
    <cfRule type="duplicateValues" dxfId="974" priority="68383"/>
    <cfRule type="duplicateValues" dxfId="973" priority="68384"/>
    <cfRule type="duplicateValues" dxfId="972" priority="68385"/>
    <cfRule type="duplicateValues" dxfId="971" priority="68386"/>
  </conditionalFormatting>
  <conditionalFormatting sqref="D1264">
    <cfRule type="duplicateValues" dxfId="970" priority="68387"/>
    <cfRule type="duplicateValues" dxfId="969" priority="68388"/>
    <cfRule type="duplicateValues" dxfId="968" priority="68389"/>
    <cfRule type="duplicateValues" dxfId="967" priority="68390"/>
    <cfRule type="duplicateValues" dxfId="966" priority="68391"/>
    <cfRule type="duplicateValues" dxfId="965" priority="68392"/>
    <cfRule type="duplicateValues" dxfId="964" priority="68393"/>
    <cfRule type="duplicateValues" dxfId="963" priority="68394"/>
  </conditionalFormatting>
  <conditionalFormatting sqref="D1265">
    <cfRule type="duplicateValues" dxfId="962" priority="68395"/>
    <cfRule type="duplicateValues" dxfId="961" priority="68396"/>
    <cfRule type="duplicateValues" dxfId="960" priority="68397"/>
    <cfRule type="duplicateValues" dxfId="959" priority="68398"/>
    <cfRule type="duplicateValues" dxfId="958" priority="68399"/>
    <cfRule type="duplicateValues" dxfId="957" priority="68400"/>
    <cfRule type="duplicateValues" dxfId="956" priority="68401"/>
    <cfRule type="duplicateValues" dxfId="955" priority="68402"/>
  </conditionalFormatting>
  <conditionalFormatting sqref="D1266:D1268">
    <cfRule type="duplicateValues" dxfId="954" priority="68403"/>
    <cfRule type="duplicateValues" dxfId="953" priority="68404"/>
    <cfRule type="duplicateValues" dxfId="952" priority="68405"/>
    <cfRule type="duplicateValues" dxfId="951" priority="68406"/>
    <cfRule type="duplicateValues" dxfId="950" priority="68407"/>
    <cfRule type="duplicateValues" dxfId="949" priority="68408"/>
    <cfRule type="duplicateValues" dxfId="948" priority="68409"/>
    <cfRule type="duplicateValues" dxfId="947" priority="68410"/>
  </conditionalFormatting>
  <conditionalFormatting sqref="D1269">
    <cfRule type="duplicateValues" dxfId="946" priority="68411"/>
    <cfRule type="duplicateValues" dxfId="945" priority="68412"/>
  </conditionalFormatting>
  <conditionalFormatting sqref="D1270:D1318">
    <cfRule type="duplicateValues" dxfId="944" priority="68413"/>
    <cfRule type="duplicateValues" dxfId="943" priority="68414"/>
  </conditionalFormatting>
  <conditionalFormatting sqref="D1273:D1318">
    <cfRule type="duplicateValues" dxfId="942" priority="68415"/>
    <cfRule type="duplicateValues" dxfId="941" priority="68416"/>
    <cfRule type="duplicateValues" dxfId="940" priority="68417"/>
    <cfRule type="duplicateValues" dxfId="939" priority="68418"/>
    <cfRule type="duplicateValues" dxfId="938" priority="68419"/>
    <cfRule type="duplicateValues" dxfId="937" priority="68420"/>
    <cfRule type="duplicateValues" dxfId="936" priority="68421"/>
    <cfRule type="duplicateValues" dxfId="935" priority="68422"/>
  </conditionalFormatting>
  <conditionalFormatting sqref="S1:S3 U13:U41 U291:U293 U548 U749:U750 U783:U784 U786 U813:U814 U825:U826 U884 U960:U961 U965 U996:U998 U1024:U1025 U1072:U1073 U1091:U1092 U1111:U1112 U1150:U1151 U1162 U1182:U1183 U1265:U1266 U1319 U1343:U1344 T667:U667 T1237 T48:U48 T61:U61 T91 T90:U90 T92:U92 T105:U105 T190:U190 T202:U202 T324:U324 T337:U337 T515:U515 T517:U517 T586:U586 T600:U600 T775:U775 T799:U799 T885:U885 T936:U936 T1043:U1043 T1086:U1086 T1152:U1152 T1221:U1221 U1227:U1228 T1263:U1263 T1285:U1285 T1315:U1315 T1317:U1317 T1320:U1320 T1333:U1333 T1362:U1362 T1369:U1369 T1388:U1388 T341:T343 T349 T358 T364 T366 T388 T396 T398 T402 T404 T435 T438 T440 T444:T445 T613:T617 T629:T630 T632 T640:T641 T649 T654:T655 T668:T670 T672 T675 T688 T703 T712:T716 T723:T725 T727 T738 T740 T753 T758 T760 T763:T764 T937:T945 T1234:T1235 T1242 T49:T60 T93:T104 T345 T375:T376 T425 T428 T442 T566:T573 T622:T627 T645:T647 T660 T684 T767:T768 T1232 T1264:T1266 T1268:T1284 T1286:T1314 T7:T47 T62:T89 T354:T355 T360:T361 T408:T413 T422 T431:T432 T518:T564 T635:T637 T662:T664 T678:T681 T705 T707:T710 T718:T719 T731:T734 T743:T748 T750:T751 T755:T756 T800:T801 T947:T955 T957:T998 T1000:T1042 T1044:T1085 T1087:T1150 T1170:T1202 T1204:T1220 T1222:T1223 T1225:T1230 T1245:T1255 T1257:T1262 T106:T323 T325:T337 T448:T516 T575:T610 T695:T697 T769:U770 T772:U773 T774:T798 T803:T934 T1152:T1168 T1334:T1048576 T1316:T1332">
    <cfRule type="containsText" dxfId="934" priority="45751" operator="containsText" text="P">
      <formula>NOT(ISERROR(SEARCH("P",S1)))</formula>
    </cfRule>
  </conditionalFormatting>
  <conditionalFormatting sqref="S1:S3 U13:U41 U291:U293 U548 U667 U749:U750 U783:U784 U786 U813:U814 T815:T825 U825:U826 T827:T844 T846:T864 T876:T884 T886:T887 T891:T896 T898:T901 T903:T904 T906:T928 T930:T931 T933:T934 T937:T945 U960:U961 T962:T966 U965 T968:T973 T975:T984 T986:T995 U996:U998 T1002:T1010 T1013:T1014 T1016:T1020 T1022:T1023 U1024:U1025 T1026:T1033 T1037 T1041:T1042 T1045:T1050 T1052:T1058 T1060:T1065 T1068:T1072 U1072:U1073 T1074:T1076 T1078:T1085 T1087:T1091 U1091:U1092 T1098:T1111 U1111:U1112 T1113:T1116 T1118:T1120 T1145:T1147 T1149:T1150 T1153:T1157 T1159:T1164 U1162 T1166:T1168 T1170:T1174 T1176:T1181 U1182:U1183 T1184:T1185 T1187:T1202 T1207 T1209 T1213:T1215 T1217:T1220 T1222:T1223 T1225:T1226 T1229:T1230 T1242 T1246:T1255 T1259:T1262 T1264 U1265:U1266 T1268:T1277 T1279:T1284 T1287:T1302 T1304:T1306 T1308:T1314 T1316 T1334:T1343 U1343:U1344 T1345:T1361 T1363:T1368 T1378:T1382 T1384:T1387 T1401:T1048576 T1122:T1143 T947:T955 T957:T960 T1204:T1205 T1232 T1234:T1235 T1237 T1257 U190 U515 U769:U770 U772:U773 U884:U885 U1150:U1152 T1318:T1319 U1319:U1320 T1370:T1376 T1389:T1399 T1321:T1332">
    <cfRule type="containsText" dxfId="933" priority="45748" operator="containsText" text="SL">
      <formula>NOT(ISERROR(SEARCH("SL",S1)))</formula>
    </cfRule>
    <cfRule type="containsText" dxfId="932" priority="45749" operator="containsText" text="EL">
      <formula>NOT(ISERROR(SEARCH("EL",S1)))</formula>
    </cfRule>
    <cfRule type="containsText" dxfId="931" priority="45750" operator="containsText" text="PL">
      <formula>NOT(ISERROR(SEARCH("PL",S1)))</formula>
    </cfRule>
  </conditionalFormatting>
  <conditionalFormatting sqref="S1:S3 U13:U41 U291:U293 U783:U784 U786 U996:U998 T1345:T1361 T1363:T1368 T1378:T1382 T1384:T1387 U548 U667 U749:U750 U825:U826 U960:U961 U1072:U1073 U1091:U1092 U1111:U1112 U1162 U1182:U1183 U1265:U1266 U1343:U1344 U813:U814 U965 U1024:U1025 T815:T825 T827:T844 T846:T864 T876:T884 T886:T887 T891:T896 T898:T901 T903:T904 T906:T928 T930:T931 T933:T934 T937:T945 T962:T966 T968:T973 T975:T984 T986:T995 T1002:T1010 T1013:T1014 T1016:T1020 T1022:T1023 T1026:T1033 T1037 T1041:T1042 T1045:T1050 T1052:T1058 T1060:T1065 T1068:T1072 T1074:T1076 T1078:T1085 T1087:T1091 T1098:T1111 T1113:T1116 T1118:T1120 T1145:T1147 T1149:T1150 T1153:T1157 T1159:T1168 T1184:T1185 T1187:T1202 T1207 T1209 T1213:T1215 T1217:T1220 T1222:T1223 T1225:T1226 T1229:T1230 T1242 T1246:T1255 T1259:T1262 T1264 T1268:T1277 T1279:T1284 T1287:T1302 T1304:T1306 T1308:T1314 T1316 T1334:T1343 T1401:T1048576 T1122:T1143 T947:T955 T957:T960 T1170:T1181 T1204:T1205 T1232 T1234:T1235 T1237 T1257 U190 U515 U769:U770 U772:U773 U884:U885 U1150:U1152 T1318:T1319 U1319:U1320 T1370:T1376 T1389:T1399 T1321:T1332">
    <cfRule type="containsText" dxfId="930" priority="45747" operator="containsText" text="AB">
      <formula>NOT(ISERROR(SEARCH("AB",S1)))</formula>
    </cfRule>
  </conditionalFormatting>
  <conditionalFormatting sqref="T1237 T341:T343 T349 T358 T364 T366 T388 T396 T398 T402 T404 T435 T438 T440 T444:T445 T613:T617 T629:T630 T632 T640:T641 T649 T654:T655 T668:T670 T672 T675 T688 T703 T712:T716 T723:T725 T727 T738 T740 T753 T758 T760 T763:T764 T936:T945 T1234:T1235 T1242 T345 T375:T376 T425 T428 T442 T566:T573 T622:T627 T645:T647 T660 T684 T1232 T354:T355 T360:T361 T408:T413 T422 T431:T432 T635:T637 T662:T664 T678:T681 T705 T707:T710 T718:T719 T731:T734 T743:T748 T750:T751 T755:T756 T947:T955 T957:T998 T1000:T1150 T1170:T1202 T1204:T1223 T1225:T1230 T1245:T1255 T1257:T1266 T7:T337 T448:T564 T575:T610 T695:T697 T767:T770 T772:T801 T803:T934 T1152:T1168 T1268:T1407">
    <cfRule type="containsText" dxfId="929" priority="649" operator="containsText" text="ABWI">
      <formula>NOT(ISERROR(SEARCH("ABWI",T7)))</formula>
    </cfRule>
    <cfRule type="containsText" dxfId="928" priority="650" operator="containsText" text="AB">
      <formula>NOT(ISERROR(SEARCH("AB",T7)))</formula>
    </cfRule>
    <cfRule type="containsText" dxfId="927" priority="651" operator="containsText" text="SL">
      <formula>NOT(ISERROR(SEARCH("SL",T7)))</formula>
    </cfRule>
    <cfRule type="containsText" dxfId="926" priority="652" operator="containsText" text="EL">
      <formula>NOT(ISERROR(SEARCH("EL",T7)))</formula>
    </cfRule>
    <cfRule type="containsText" dxfId="925" priority="653" operator="containsText" text="PL">
      <formula>NOT(ISERROR(SEARCH("PL",T7)))</formula>
    </cfRule>
  </conditionalFormatting>
  <conditionalFormatting sqref="T1023 T1157 T1025:T1027 T1159">
    <cfRule type="containsText" dxfId="924" priority="207" operator="containsText" text="AB">
      <formula>NOT(ISERROR(SEARCH("AB",T1023)))</formula>
    </cfRule>
    <cfRule type="containsText" dxfId="923" priority="208" operator="containsText" text="SL">
      <formula>NOT(ISERROR(SEARCH("SL",T1023)))</formula>
    </cfRule>
    <cfRule type="containsText" dxfId="922" priority="209" operator="containsText" text="EL">
      <formula>NOT(ISERROR(SEARCH("EL",T1023)))</formula>
    </cfRule>
    <cfRule type="containsText" dxfId="921" priority="210" operator="containsText" text="PL">
      <formula>NOT(ISERROR(SEARCH("PL",T1023)))</formula>
    </cfRule>
    <cfRule type="containsText" dxfId="920" priority="211" operator="containsText" text="P">
      <formula>NOT(ISERROR(SEARCH("P",T1023)))</formula>
    </cfRule>
  </conditionalFormatting>
  <conditionalFormatting sqref="T984 T1010 T1025:T1033 T1044 T1077:T1085 T1092 T1215 T1218:T1220 T1280:T1284 T1304:T1306 T1359:T1361 T352 T365 T671 T721 T1037 T1041 T1097:T1098 T1207 T1209 T1213 T1287:T1292 T1308:T1311 T439 T620 T446 T701 T1203:T1205 T1238:T1239 T1334:T1338 T1087 T1222:T1226 T1241 T1363">
    <cfRule type="containsText" dxfId="919" priority="240" operator="containsText" text="AB">
      <formula>NOT(ISERROR(SEARCH("AB",T352)))</formula>
    </cfRule>
    <cfRule type="containsText" dxfId="918" priority="241" operator="containsText" text="SL">
      <formula>NOT(ISERROR(SEARCH("SL",T352)))</formula>
    </cfRule>
    <cfRule type="containsText" dxfId="917" priority="242" operator="containsText" text="EL">
      <formula>NOT(ISERROR(SEARCH("EL",T352)))</formula>
    </cfRule>
    <cfRule type="containsText" dxfId="916" priority="243" operator="containsText" text="PL">
      <formula>NOT(ISERROR(SEARCH("PL",T352)))</formula>
    </cfRule>
    <cfRule type="containsText" dxfId="915" priority="244" operator="containsText" text="P">
      <formula>NOT(ISERROR(SEARCH("P",T352)))</formula>
    </cfRule>
  </conditionalFormatting>
  <conditionalFormatting sqref="T1224 T352 T365 T671 T721 T439 T620 T446 T701 T1238:T1239 T1241">
    <cfRule type="containsText" dxfId="914" priority="238" operator="containsText" text="OFF">
      <formula>NOT(ISERROR(SEARCH("OFF",T352)))</formula>
    </cfRule>
    <cfRule type="containsText" dxfId="913" priority="239" operator="containsText" text="ABWI">
      <formula>NOT(ISERROR(SEARCH("ABWI",T352)))</formula>
    </cfRule>
  </conditionalFormatting>
  <conditionalFormatting sqref="T1224">
    <cfRule type="containsText" dxfId="912" priority="225" operator="containsText" text="AB">
      <formula>NOT(ISERROR(SEARCH("AB",T1224)))</formula>
    </cfRule>
    <cfRule type="containsText" dxfId="911" priority="226" operator="containsText" text="SL">
      <formula>NOT(ISERROR(SEARCH("SL",T1224)))</formula>
    </cfRule>
    <cfRule type="containsText" dxfId="910" priority="227" operator="containsText" text="EL">
      <formula>NOT(ISERROR(SEARCH("EL",T1224)))</formula>
    </cfRule>
    <cfRule type="containsText" dxfId="909" priority="228" operator="containsText" text="PL">
      <formula>NOT(ISERROR(SEARCH("PL",T1224)))</formula>
    </cfRule>
    <cfRule type="containsText" dxfId="908" priority="229" operator="containsText" text="P">
      <formula>NOT(ISERROR(SEARCH("P",T1224)))</formula>
    </cfRule>
    <cfRule type="containsText" dxfId="907" priority="230" operator="containsText" text="ABWI">
      <formula>NOT(ISERROR(SEARCH("ABWI",T1224)))</formula>
    </cfRule>
    <cfRule type="containsText" dxfId="906" priority="231" operator="containsText" text="Miss SOS">
      <formula>NOT(ISERROR(SEARCH("Miss SOS",T1224)))</formula>
    </cfRule>
    <cfRule type="containsText" dxfId="905" priority="232" operator="containsText" text="ABWI">
      <formula>NOT(ISERROR(SEARCH("ABWI",T1224)))</formula>
    </cfRule>
    <cfRule type="containsText" dxfId="904" priority="233" operator="containsText" text="OFF">
      <formula>NOT(ISERROR(SEARCH("OFF",T1224)))</formula>
    </cfRule>
    <cfRule type="containsText" dxfId="903" priority="234" operator="containsText" text="AB">
      <formula>NOT(ISERROR(SEARCH("AB",T1224)))</formula>
    </cfRule>
    <cfRule type="containsText" dxfId="902" priority="235" operator="containsText" text="SL">
      <formula>NOT(ISERROR(SEARCH("SL",T1224)))</formula>
    </cfRule>
    <cfRule type="containsText" dxfId="901" priority="236" operator="containsText" text="EL">
      <formula>NOT(ISERROR(SEARCH("EL",T1224)))</formula>
    </cfRule>
    <cfRule type="containsText" dxfId="900" priority="237" operator="containsText" text="PL">
      <formula>NOT(ISERROR(SEARCH("PL",T1224)))</formula>
    </cfRule>
  </conditionalFormatting>
  <conditionalFormatting sqref="T1224 T1401:T1048576">
    <cfRule type="containsText" dxfId="899" priority="224" operator="containsText" text="OFF">
      <formula>NOT(ISERROR(SEARCH("OFF",T1224)))</formula>
    </cfRule>
  </conditionalFormatting>
  <conditionalFormatting sqref="T1224">
    <cfRule type="containsText" dxfId="898" priority="219" operator="containsText" text="AB">
      <formula>NOT(ISERROR(SEARCH("AB",T1224)))</formula>
    </cfRule>
    <cfRule type="containsText" dxfId="897" priority="220" operator="containsText" text="SL">
      <formula>NOT(ISERROR(SEARCH("SL",T1224)))</formula>
    </cfRule>
    <cfRule type="containsText" dxfId="896" priority="221" operator="containsText" text="EL">
      <formula>NOT(ISERROR(SEARCH("EL",T1224)))</formula>
    </cfRule>
    <cfRule type="containsText" dxfId="895" priority="222" operator="containsText" text="PL">
      <formula>NOT(ISERROR(SEARCH("PL",T1224)))</formula>
    </cfRule>
    <cfRule type="containsText" dxfId="894" priority="223" operator="containsText" text="P">
      <formula>NOT(ISERROR(SEARCH("P",T1224)))</formula>
    </cfRule>
  </conditionalFormatting>
  <conditionalFormatting sqref="T548">
    <cfRule type="containsText" dxfId="893" priority="304" operator="containsText" text="Miss SOS">
      <formula>NOT(ISERROR(SEARCH("Miss SOS",T548)))</formula>
    </cfRule>
    <cfRule type="containsText" dxfId="892" priority="305" operator="containsText" text="ABWI">
      <formula>NOT(ISERROR(SEARCH("ABWI",T548)))</formula>
    </cfRule>
    <cfRule type="containsText" dxfId="891" priority="306" operator="containsText" text="OFF">
      <formula>NOT(ISERROR(SEARCH("OFF",T548)))</formula>
    </cfRule>
    <cfRule type="containsText" dxfId="890" priority="307" operator="containsText" text="AB">
      <formula>NOT(ISERROR(SEARCH("AB",T548)))</formula>
    </cfRule>
    <cfRule type="containsText" dxfId="889" priority="308" operator="containsText" text="SL">
      <formula>NOT(ISERROR(SEARCH("SL",T548)))</formula>
    </cfRule>
    <cfRule type="containsText" dxfId="888" priority="309" operator="containsText" text="EL">
      <formula>NOT(ISERROR(SEARCH("EL",T548)))</formula>
    </cfRule>
    <cfRule type="containsText" dxfId="887" priority="310" operator="containsText" text="PL">
      <formula>NOT(ISERROR(SEARCH("PL",T548)))</formula>
    </cfRule>
    <cfRule type="containsText" dxfId="886" priority="311" operator="containsText" text="P">
      <formula>NOT(ISERROR(SEARCH("P",T548)))</formula>
    </cfRule>
    <cfRule type="containsText" dxfId="885" priority="312" operator="containsText" text="AB">
      <formula>NOT(ISERROR(SEARCH("AB",T548)))</formula>
    </cfRule>
    <cfRule type="containsText" dxfId="884" priority="313" operator="containsText" text="SL">
      <formula>NOT(ISERROR(SEARCH("SL",T548)))</formula>
    </cfRule>
    <cfRule type="containsText" dxfId="883" priority="314" operator="containsText" text="EL">
      <formula>NOT(ISERROR(SEARCH("EL",T548)))</formula>
    </cfRule>
    <cfRule type="containsText" dxfId="882" priority="315" operator="containsText" text="PL">
      <formula>NOT(ISERROR(SEARCH("PL",T548)))</formula>
    </cfRule>
  </conditionalFormatting>
  <conditionalFormatting sqref="U1316 U1318:U1319 U1321:U1332 U1334:U1361 U1363:U1368 U1370:U1387 U1389:U1048576">
    <cfRule type="containsText" dxfId="881" priority="286" operator="containsText" text="Miss SOS">
      <formula>NOT(ISERROR(SEARCH("Miss SOS",U1316)))</formula>
    </cfRule>
  </conditionalFormatting>
  <conditionalFormatting sqref="T782:T797 T815:T825 T827 T829:T837 T839:T844 T846:T865 T876:T884 T886:T887 T891:T896 T905:T916 T918:T931 T938:T945 T958:T960 T962:T966 T968 T974:T984 T986:T995 T1002:T1010 T1013:T1014 T1016:T1020 T1022:T1023 T1026:T1033 T1037 T1041:T1042 T1045:T1058 T1061:T1065 T1068:T1072 T1074:T1077 T1079:T1085 T1087:T1091 T1098:T1116 T1119:T1120 T1122:T1132 T1145:T1147 T1149:T1150 T1153:T1157 T1159:T1163 T1165:T1168 T1170:T1174 T1177:T1181 T1184:T1185 T1187:T1199 T1204:T1205 T1207 T1209 T1214:T1215 T1217:T1220 T1225:T1226 T1230 T1234 T1242 T1248:T1255 T1257 T1259:T1260 T1264 T1268:T1277 T1287:T1288 T1321:T1322 T1342:T1350 T1352:T1361 T1136:T1143 T947:T954 T1232">
    <cfRule type="containsText" dxfId="880" priority="615" operator="containsText" text="P">
      <formula>NOT(ISERROR(SEARCH("P",T782)))</formula>
    </cfRule>
  </conditionalFormatting>
  <conditionalFormatting sqref="T782:T797 T815:T825 T827 T829:T837 T839:T844 T846:T865 T876:T884 T886:T887 T891:T896 T905:T916 T918:T931 T938:T945 T958:T960 T962:T966 T968 T974:T984 T986:T995 T1002:T1010 T1013:T1014 T1016:T1020 T1022:T1023 T1026:T1033 T1037 T1041:T1042 T1045:T1058 T1061:T1065 T1068:T1072 T1074:T1077 T1079:T1085 T1087:T1091 T1098:T1116 T1119:T1120 T1122:T1132 T1145:T1147 T1149:T1150 T1153:T1157 T1159:T1163 T1165:T1168 T1170:T1174 T1177:T1181 T1184:T1185 T1187:T1199 T1204:T1205 T1207 T1209 T1214:T1215 T1217:T1220 T1225:T1226 T1230 T1234 T1242 T1248:T1255 T1257 T1259:T1260 T1264 T1268:T1277 T1321:T1322 T1342:T1350 T1352:T1361 T1287:T1288 T1136:T1143 T947:T954 T1232">
    <cfRule type="containsText" dxfId="879" priority="614" operator="containsText" text="PL">
      <formula>NOT(ISERROR(SEARCH("PL",T782)))</formula>
    </cfRule>
  </conditionalFormatting>
  <conditionalFormatting sqref="T782:T797 T815:T825 T827 T829:T837 T839:T844 T846:T865 T876:T884 T886:T887 T891:T896 T905:T916 T918:T931 T938:T945 T958:T960 T962:T966 T968 T974:T984 T986:T995 T1002:T1010 T1013:T1014 T1016:T1020 T1022:T1023 T1026:T1033 T1037 T1041:T1042 T1045:T1058 T1061:T1065 T1068:T1072 T1074:T1077 T1079:T1085 T1087:T1091 T1098:T1116 T1119:T1120 T1122:T1132 T1145:T1147 T1149:T1150 T1153:T1157 T1159:T1168 T1177:T1181 T1184:T1185 T1187:T1199 T1204:T1205 T1207 T1209 T1214:T1215 T1217:T1220 T1225:T1226 T1230 T1234 T1242 T1248:T1255 T1257 T1259:T1260 T1264 T1268:T1277 T1321:T1322 T1342:T1350 T1352:T1361 T1136:T1143 T947:T954 T1170:T1175 T1232">
    <cfRule type="containsText" dxfId="878" priority="613" operator="containsText" text="EL">
      <formula>NOT(ISERROR(SEARCH("EL",T782)))</formula>
    </cfRule>
  </conditionalFormatting>
  <conditionalFormatting sqref="T782:T797 T815:T825 T827 T829:T837 T839:T844 T846:T865 T876:T884 T886:T887 T891:T896 T905:T916 T918:T931 T938:T945 T958:T960 T962:T966 T968 T974:T984 T986:T995 T1002:T1010 T1013:T1014 T1016:T1020 T1022:T1023 T1026:T1033 T1037 T1041:T1042 T1045:T1058 T1061:T1065 T1068:T1072 T1074:T1077 T1079:T1085 T1087:T1091 T1098:T1116 T1119:T1120 T1122:T1132 T1145:T1147 T1149:T1150 T1159:T1168 T1177:T1181 T1184:T1185 T1187:T1199 T1204:T1205 T1207 T1209 T1214:T1215 T1217:T1220 T1225:T1226 T1230 T1234 T1242 T1248:T1255 T1257 T1259:T1260 T1264 T1268:T1277 T1321:T1322 T1342:T1350 T1352:T1361 T1153:T1157 T1136:T1143 T947:T954 T1170:T1175 T1232">
    <cfRule type="containsText" dxfId="877" priority="612" operator="containsText" text="SL">
      <formula>NOT(ISERROR(SEARCH("SL",T782)))</formula>
    </cfRule>
  </conditionalFormatting>
  <conditionalFormatting sqref="T782:T797 T815:T825 T839:T844 T846:T865 T938:T945 T962:T966 T1002:T1010 T1068:T1072 T1122:T1132 T1159:T1163 T1170:T1174 T1177:T1181 T1184:T1185 T1187:T1199 T1268:T1277 T876:T884 T905:T916 T1016:T1020 T1209 T1248:T1255 T1352:T1361 T1098:T1116 T1165:T1168 T1342:T1350 T1045:T1058 T1087:T1091 T1204:T1205 T1217:T1220 T1230 T1234 T891:T896 T918:T931 T974:T984 T1022:T1023 T1119:T1120 T1145:T1147 T1149:T1150 T1257 T1259:T1260 T1321:T1322 T827 T829:T837 T886:T887 T958:T960 T968 T986:T995 T1013:T1014 T1026:T1033 T1037 T1041:T1042 T1061:T1065 T1074:T1077 T1079:T1085 T1207 T1214:T1215 T1225:T1226 T1264 T1242 T1136:T1143 T947:T954 T1232">
    <cfRule type="containsText" dxfId="876" priority="611" operator="containsText" text="AB">
      <formula>NOT(ISERROR(SEARCH("AB",T782)))</formula>
    </cfRule>
  </conditionalFormatting>
  <conditionalFormatting sqref="T783 T824 T841 T846 T939 T953 T963 T1010 T1072 T1130:T1135 T1137 T1154 T1163 T1170 T1177 T1181 T1185 T1189 T1192 T1268 T1304 T1313">
    <cfRule type="containsText" dxfId="875" priority="607" operator="containsText" text="SL">
      <formula>NOT(ISERROR(SEARCH("SL",T783)))</formula>
    </cfRule>
    <cfRule type="containsText" dxfId="874" priority="608" operator="containsText" text="EL">
      <formula>NOT(ISERROR(SEARCH("EL",T783)))</formula>
    </cfRule>
    <cfRule type="containsText" dxfId="873" priority="609" operator="containsText" text="PL">
      <formula>NOT(ISERROR(SEARCH("PL",T783)))</formula>
    </cfRule>
    <cfRule type="containsText" dxfId="872" priority="610" operator="containsText" text="P">
      <formula>NOT(ISERROR(SEARCH("P",T783)))</formula>
    </cfRule>
  </conditionalFormatting>
  <conditionalFormatting sqref="T788:T789 T797 T821:T822 T862:T863 T877:T878 T880 T916 T966 T1017 T1141 T1209 T1255 T1262 T1275 T1279:T1284 T1316 T1352 T1370:T1371 T1393 T1318">
    <cfRule type="containsText" dxfId="871" priority="605" operator="containsText" text="P">
      <formula>NOT(ISERROR(SEARCH("P",T788)))</formula>
    </cfRule>
  </conditionalFormatting>
  <conditionalFormatting sqref="T788:T789 T797 T821:T822 T862:T863 T877:T878 T880 T916 T966 T1017 T1141 T1209 T1255 T1262 T1275 T1316 T1352 T1370:T1371 T1393 T1279:T1284 T1318">
    <cfRule type="containsText" dxfId="870" priority="604" operator="containsText" text="PL">
      <formula>NOT(ISERROR(SEARCH("PL",T788)))</formula>
    </cfRule>
  </conditionalFormatting>
  <conditionalFormatting sqref="T788:T789 T797 T821:T822 T862:T863 T877:T878 T880 T916 T966 T1017 T1141 T1209 T1255 T1262 T1275 T1316 T1352 T1370:T1371 T1393 T1318">
    <cfRule type="containsText" dxfId="869" priority="602" operator="containsText" text="SL">
      <formula>NOT(ISERROR(SEARCH("SL",T788)))</formula>
    </cfRule>
    <cfRule type="containsText" dxfId="868" priority="603" operator="containsText" text="EL">
      <formula>NOT(ISERROR(SEARCH("EL",T788)))</formula>
    </cfRule>
  </conditionalFormatting>
  <conditionalFormatting sqref="T800 T865:T866 T888 T986:T995 T891:T900 T1002:T1010">
    <cfRule type="containsText" dxfId="867" priority="254" operator="containsText" text="AB">
      <formula>NOT(ISERROR(SEARCH("AB",T800)))</formula>
    </cfRule>
    <cfRule type="containsText" dxfId="866" priority="255" operator="containsText" text="SL">
      <formula>NOT(ISERROR(SEARCH("SL",T800)))</formula>
    </cfRule>
    <cfRule type="containsText" dxfId="865" priority="256" operator="containsText" text="EL">
      <formula>NOT(ISERROR(SEARCH("EL",T800)))</formula>
    </cfRule>
    <cfRule type="containsText" dxfId="864" priority="257" operator="containsText" text="PL">
      <formula>NOT(ISERROR(SEARCH("PL",T800)))</formula>
    </cfRule>
    <cfRule type="containsText" dxfId="863" priority="258" operator="containsText" text="P">
      <formula>NOT(ISERROR(SEARCH("P",T800)))</formula>
    </cfRule>
  </conditionalFormatting>
  <conditionalFormatting sqref="T809 T817:T844 T848:T866 T876:T884 T891:T894 T896:T901 T906:T910 T912:T916 T918:T923 T928:T934 T948:T954 T958:T972 T975:T977 T986:T995 T1006:T1010 T1013:T1023 T1025:T1033 T1037 T1041:T1042 T1044:T1049 T1054:T1059 T1061:T1085 T1119:T1123 T1125:T1134 T1177:T1181 T1184:T1185 T1187:T1199 T1204:T1205 T1207 T1209 T1213:T1214 T1222:T1223 T1225:T1226 T1249:T1255 T1259:T1260 T1264 T1268:T1272 T1275:T1277 T1279:T1284 T1287:T1288 T1342:T1349 T1097:T1113 T937:T941 T886:T888">
    <cfRule type="containsText" dxfId="862" priority="553" operator="containsText" text="P">
      <formula>NOT(ISERROR(SEARCH("P",T809)))</formula>
    </cfRule>
  </conditionalFormatting>
  <conditionalFormatting sqref="T809 T817:T844 T848:T866 T876:T884 T891:T894 T896:T901 T906:T910 T912:T916 T918:T923 T928:T934 T948:T954 T958:T972 T975:T977 T986:T995 T1006:T1010 T1013:T1023 T1025:T1033 T1037 T1041:T1042 T1044:T1049 T1054:T1059 T1061:T1085 T1119:T1123 T1125:T1134 T1177:T1181 T1184:T1185 T1187:T1199 T1204:T1205 T1207 T1209 T1213:T1214 T1222:T1223 T1225:T1226 T1249:T1255 T1259:T1260 T1264 T1268:T1272 T1275:T1277 T1279:T1284 T1287:T1288 T1342:T1349 T1159:T1168 T1153:T1157 T937:T941 T1170:T1175 T886:T888">
    <cfRule type="containsText" dxfId="861" priority="552" operator="containsText" text="PL">
      <formula>NOT(ISERROR(SEARCH("PL",T809)))</formula>
    </cfRule>
  </conditionalFormatting>
  <conditionalFormatting sqref="T809 T817:T844 T848:T866 T876:T884 T891:T894 T896:T901 T906:T910 T912:T916 T918:T923 T928:T934 T948:T954 T958:T972 T975:T977 T986:T995 T1006:T1010 T1013:T1023 T1025:T1033 T1037 T1041:T1042 T1044:T1049 T1054:T1059 T1061:T1085 T1119:T1123 T1125:T1134 T1177:T1181 T1184:T1185 T1187:T1199 T1204:T1205 T1207 T1209 T1213:T1214 T1222:T1223 T1225:T1226 T1249:T1255 T1259:T1260 T1264 T1268:T1272 T1275:T1277 T1279:T1284 T1287:T1288 T1342:T1349 T937:T941 T886:T888">
    <cfRule type="containsText" dxfId="860" priority="550" operator="containsText" text="SL">
      <formula>NOT(ISERROR(SEARCH("SL",T809)))</formula>
    </cfRule>
    <cfRule type="containsText" dxfId="859" priority="551" operator="containsText" text="EL">
      <formula>NOT(ISERROR(SEARCH("EL",T809)))</formula>
    </cfRule>
  </conditionalFormatting>
  <conditionalFormatting sqref="T809:T815 T845:T848 T898:T904 T1023 T1087:T1090 T1114:T1119 T1143:T1150 T1175 T1245:T1246 T1257:T1260 T1279:T1284 T1287:T1288 T1316 T1319 T1363:T1365 T1382:T1383 T1396:T1400 T1321:T1322">
    <cfRule type="containsText" dxfId="858" priority="560" operator="containsText" text="SL">
      <formula>NOT(ISERROR(SEARCH("SL",T809)))</formula>
    </cfRule>
    <cfRule type="containsText" dxfId="857" priority="561" operator="containsText" text="EL">
      <formula>NOT(ISERROR(SEARCH("EL",T809)))</formula>
    </cfRule>
  </conditionalFormatting>
  <conditionalFormatting sqref="T809:T815 T845:T848 T898:T904 T1023 T1087:T1090 T1114:T1119 T1143:T1150 T1175 T1245:T1246 T1257:T1260 T1316 T1319 T1363:T1365 T1382:T1383 T1396:T1400 T1321:T1322">
    <cfRule type="containsText" dxfId="856" priority="562" operator="containsText" text="PL">
      <formula>NOT(ISERROR(SEARCH("PL",T809)))</formula>
    </cfRule>
    <cfRule type="containsText" dxfId="855" priority="563" operator="containsText" text="P">
      <formula>NOT(ISERROR(SEARCH("P",T809)))</formula>
    </cfRule>
  </conditionalFormatting>
  <conditionalFormatting sqref="T809:T815 T845:T848 T898:T904 T1023 T1114:T1119 T1257:T1260 T1279:T1284 T1287:T1288 T1175 T1319 T1363:T1365 T1087:T1090 T1382:T1383 T1396:T1400 T1143:T1150 T1245:T1246 T1316 T1321:T1322">
    <cfRule type="containsText" dxfId="854" priority="559" operator="containsText" text="AB">
      <formula>NOT(ISERROR(SEARCH("AB",T809)))</formula>
    </cfRule>
  </conditionalFormatting>
  <conditionalFormatting sqref="T809:T815 T902:T903 T1015 T1021 T1117 T1144:T1145 T1170 T1235 T1245:T1246 T1274">
    <cfRule type="containsText" dxfId="853" priority="402" operator="containsText" text="P">
      <formula>NOT(ISERROR(SEARCH("P",T809)))</formula>
    </cfRule>
  </conditionalFormatting>
  <conditionalFormatting sqref="T811:T815">
    <cfRule type="containsText" dxfId="852" priority="534" operator="containsText" text="AB">
      <formula>NOT(ISERROR(SEARCH("AB",T811)))</formula>
    </cfRule>
    <cfRule type="containsText" dxfId="851" priority="535" operator="containsText" text="SL">
      <formula>NOT(ISERROR(SEARCH("SL",T811)))</formula>
    </cfRule>
    <cfRule type="containsText" dxfId="850" priority="536" operator="containsText" text="EL">
      <formula>NOT(ISERROR(SEARCH("EL",T811)))</formula>
    </cfRule>
    <cfRule type="containsText" dxfId="849" priority="537" operator="containsText" text="PL">
      <formula>NOT(ISERROR(SEARCH("PL",T811)))</formula>
    </cfRule>
    <cfRule type="containsText" dxfId="848" priority="538" operator="containsText" text="P">
      <formula>NOT(ISERROR(SEARCH("P",T811)))</formula>
    </cfRule>
  </conditionalFormatting>
  <conditionalFormatting sqref="T814:T815 T902:T903 T1015 T1021 T1117 T1144:T1145 T1170 T1235 T1245:T1246 T1274">
    <cfRule type="containsText" dxfId="847" priority="398" operator="containsText" text="AB">
      <formula>NOT(ISERROR(SEARCH("AB",T814)))</formula>
    </cfRule>
    <cfRule type="containsText" dxfId="846" priority="399" operator="containsText" text="SL">
      <formula>NOT(ISERROR(SEARCH("SL",T814)))</formula>
    </cfRule>
    <cfRule type="containsText" dxfId="845" priority="400" operator="containsText" text="EL">
      <formula>NOT(ISERROR(SEARCH("EL",T814)))</formula>
    </cfRule>
    <cfRule type="containsText" dxfId="844" priority="401" operator="containsText" text="PL">
      <formula>NOT(ISERROR(SEARCH("PL",T814)))</formula>
    </cfRule>
  </conditionalFormatting>
  <conditionalFormatting sqref="T817:T819 T821:T824 T829 T831:T841 T844 T846 T848:T850 T852:T863 T877:T882 T886:T888 T902:T913 T915:T916 T918:T923 T926:T927 T929 T932 T938:T939 T941 T944 T948:T949 T952:T955 T966:T973 T975:T979 T983:T984 T1013:T1021 T1049 T1054 T1056 T1059 T1064:T1070 T1072 T1087:T1092 T1097:T1100 T1103 T1108 T1112:T1123 T1130:T1131 T1134 T1140:T1142 T1147 T1149:T1150 T1154 T1156:T1157 T1159:T1163 T1165:T1168 T1180:T1181 T1189:T1202 T1232 T1242 T1249:T1255 T1257 T1259:T1260 T1268:T1277 T1343:T1350 T1352:T1356 T1365:T1367 T1370:T1375 T1382:T1387 T1136:T1137 T957:T963 T1170:T1177 T1389:T1407">
    <cfRule type="containsText" dxfId="843" priority="422" operator="containsText" text="SL">
      <formula>NOT(ISERROR(SEARCH("SL",T817)))</formula>
    </cfRule>
    <cfRule type="containsText" dxfId="842" priority="423" operator="containsText" text="EL">
      <formula>NOT(ISERROR(SEARCH("EL",T817)))</formula>
    </cfRule>
    <cfRule type="containsText" dxfId="841" priority="424" operator="containsText" text="PL">
      <formula>NOT(ISERROR(SEARCH("PL",T817)))</formula>
    </cfRule>
    <cfRule type="containsText" dxfId="840" priority="425" operator="containsText" text="P">
      <formula>NOT(ISERROR(SEARCH("P",T817)))</formula>
    </cfRule>
  </conditionalFormatting>
  <conditionalFormatting sqref="T817:T844 T896:T901 T986:T995 T1044:T1049 T1061:T1085 T1249:T1255 T1268:T1272 T1279:T1284 T1342:T1349 T948:T954 T1006:T1010 T1187:T1199 T958:T972 T848:T866 T912:T916 T928:T934 T1041:T1042 T1177:T1181 T876:T884 T1204:T1205 T1054:T1059 T1119:T1123 T1125:T1134 T1184:T1185 T1213:T1214 T1259:T1260 T1275:T1277 T906:T910 T918:T923 T975:T977 T1013:T1023 T809 T1264 T891:T894 T1025:T1033 T1037 T1207 T1209 T1222:T1223 T1225:T1226 T1287:T1288 T937:T941 T886:T888">
    <cfRule type="containsText" dxfId="839" priority="549" operator="containsText" text="AB">
      <formula>NOT(ISERROR(SEARCH("AB",T809)))</formula>
    </cfRule>
  </conditionalFormatting>
  <conditionalFormatting sqref="T819:T821 T824:T830 T851:T853 T863:T866 T913:T914 T939:T940 T942:T945 T949:T951 T979:T984 T1041:T1042 T1109:T1112 T1157 T1163:T1165 T1181 T1293:T1297 T947">
    <cfRule type="containsText" dxfId="838" priority="462" operator="containsText" text="SL">
      <formula>NOT(ISERROR(SEARCH("SL",T819)))</formula>
    </cfRule>
    <cfRule type="containsText" dxfId="837" priority="463" operator="containsText" text="EL">
      <formula>NOT(ISERROR(SEARCH("EL",T819)))</formula>
    </cfRule>
    <cfRule type="containsText" dxfId="836" priority="464" operator="containsText" text="PL">
      <formula>NOT(ISERROR(SEARCH("PL",T819)))</formula>
    </cfRule>
    <cfRule type="containsText" dxfId="835" priority="465" operator="containsText" text="P">
      <formula>NOT(ISERROR(SEARCH("P",T819)))</formula>
    </cfRule>
  </conditionalFormatting>
  <conditionalFormatting sqref="T826 T841:T843 T845:T847 T876:T877 T925:T934 T963:T973 T1044:T1055 T1071:T1075 T1101:T1107 T1123:T1133 T1153:T1155 T1184:T1185 T1257 T1299:T1301 T1321 T1355 T1358:T1359 T937">
    <cfRule type="containsText" dxfId="834" priority="442" operator="containsText" text="SL">
      <formula>NOT(ISERROR(SEARCH("SL",T826)))</formula>
    </cfRule>
    <cfRule type="containsText" dxfId="833" priority="443" operator="containsText" text="EL">
      <formula>NOT(ISERROR(SEARCH("EL",T826)))</formula>
    </cfRule>
    <cfRule type="containsText" dxfId="832" priority="444" operator="containsText" text="PL">
      <formula>NOT(ISERROR(SEARCH("PL",T826)))</formula>
    </cfRule>
    <cfRule type="containsText" dxfId="831" priority="445" operator="containsText" text="P">
      <formula>NOT(ISERROR(SEARCH("P",T826)))</formula>
    </cfRule>
  </conditionalFormatting>
  <conditionalFormatting sqref="T834 T837 T899 T986:T987 T1002:T1004 T1048:T1052 T1082 T1172 T1217:T1220 T1230 T1234 T1251 T1270 T1273 T1279 T1283 T1321 T1346 T1364:T1368 T1370:T1377">
    <cfRule type="containsText" dxfId="830" priority="545" operator="containsText" text="SL">
      <formula>NOT(ISERROR(SEARCH("SL",T834)))</formula>
    </cfRule>
    <cfRule type="containsText" dxfId="829" priority="546" operator="containsText" text="EL">
      <formula>NOT(ISERROR(SEARCH("EL",T834)))</formula>
    </cfRule>
    <cfRule type="containsText" dxfId="828" priority="547" operator="containsText" text="PL">
      <formula>NOT(ISERROR(SEARCH("PL",T834)))</formula>
    </cfRule>
    <cfRule type="containsText" dxfId="827" priority="548" operator="containsText" text="P">
      <formula>NOT(ISERROR(SEARCH("P",T834)))</formula>
    </cfRule>
  </conditionalFormatting>
  <conditionalFormatting sqref="T865 T1112 T1165 T1343:T1345">
    <cfRule type="containsText" dxfId="826" priority="597" operator="containsText" text="SL">
      <formula>NOT(ISERROR(SEARCH("SL",T865)))</formula>
    </cfRule>
    <cfRule type="containsText" dxfId="825" priority="598" operator="containsText" text="EL">
      <formula>NOT(ISERROR(SEARCH("EL",T865)))</formula>
    </cfRule>
    <cfRule type="containsText" dxfId="824" priority="599" operator="containsText" text="PL">
      <formula>NOT(ISERROR(SEARCH("PL",T865)))</formula>
    </cfRule>
    <cfRule type="containsText" dxfId="823" priority="600" operator="containsText" text="P">
      <formula>NOT(ISERROR(SEARCH("P",T865)))</formula>
    </cfRule>
  </conditionalFormatting>
  <conditionalFormatting sqref="T865 T1112 T1343:T1345 T1165">
    <cfRule type="containsText" dxfId="822" priority="596" operator="containsText" text="AB">
      <formula>NOT(ISERROR(SEARCH("AB",T865)))</formula>
    </cfRule>
  </conditionalFormatting>
  <conditionalFormatting sqref="T883:T884 T981 T1176:T1179 T1201:T1202 T1296 T1375:T1376 T1204">
    <cfRule type="containsText" dxfId="821" priority="447" operator="containsText" text="SL">
      <formula>NOT(ISERROR(SEARCH("SL",T883)))</formula>
    </cfRule>
    <cfRule type="containsText" dxfId="820" priority="448" operator="containsText" text="EL">
      <formula>NOT(ISERROR(SEARCH("EL",T883)))</formula>
    </cfRule>
    <cfRule type="containsText" dxfId="819" priority="449" operator="containsText" text="PL">
      <formula>NOT(ISERROR(SEARCH("PL",T883)))</formula>
    </cfRule>
    <cfRule type="containsText" dxfId="818" priority="450" operator="containsText" text="P">
      <formula>NOT(ISERROR(SEARCH("P",T883)))</formula>
    </cfRule>
  </conditionalFormatting>
  <conditionalFormatting sqref="T883:T884 T1176:T1179 T1201:T1202 T1375:T1376 T1296 T981 T1204">
    <cfRule type="containsText" dxfId="817" priority="446" operator="containsText" text="AB">
      <formula>NOT(ISERROR(SEARCH("AB",T883)))</formula>
    </cfRule>
  </conditionalFormatting>
  <conditionalFormatting sqref="T893:T895 T1290:T1291 T1300 T1313 T1357:T1358 T1386:T1387 T1403:T1406 T1389">
    <cfRule type="containsText" dxfId="816" priority="578" operator="containsText" text="SL">
      <formula>NOT(ISERROR(SEARCH("SL",T893)))</formula>
    </cfRule>
    <cfRule type="containsText" dxfId="815" priority="579" operator="containsText" text="EL">
      <formula>NOT(ISERROR(SEARCH("EL",T893)))</formula>
    </cfRule>
    <cfRule type="containsText" dxfId="814" priority="580" operator="containsText" text="PL">
      <formula>NOT(ISERROR(SEARCH("PL",T893)))</formula>
    </cfRule>
    <cfRule type="containsText" dxfId="813" priority="581" operator="containsText" text="P">
      <formula>NOT(ISERROR(SEARCH("P",T893)))</formula>
    </cfRule>
  </conditionalFormatting>
  <conditionalFormatting sqref="T893:T895 T1357:T1358 T1386:T1387 T1403:T1406 T1300 T1313 T1290:T1291 T1389">
    <cfRule type="containsText" dxfId="812" priority="577" operator="containsText" text="AB">
      <formula>NOT(ISERROR(SEARCH("AB",T893)))</formula>
    </cfRule>
  </conditionalFormatting>
  <conditionalFormatting sqref="T902:T913 T1013:T1021 T1112:T1123 T1165:T1168 T1268:T1277 T952:T955 T1064:T1070 T1189:T1202 T1370:T1375 T1382:T1387 T886:T888 T983:T984 T1087:T1092 T1097:T1100 T1149:T1150 T1156:T1157 T1159:T1163 T817:T819 T821:T824 T829 T831:T841 T844 T846 T848:T850 T852:T863 T877:T882 T915:T916 T918:T923 T926:T927 T929 T932 T938:T939 T941 T944 T948:T949 T966:T973 T975:T979 T1049 T1054 T1056 T1059 T1072 T1103 T1108 T1130:T1131 T1134 T1140:T1142 T1147 T1154 T1180:T1181 T1232 T1242 T1249:T1255 T1257 T1259:T1260 T1343:T1350 T1352:T1356 T1365:T1367 T1136:T1137 T957:T963 T1170:T1177 T1389:T1407">
    <cfRule type="containsText" dxfId="811" priority="421" operator="containsText" text="AB">
      <formula>NOT(ISERROR(SEARCH("AB",T817)))</formula>
    </cfRule>
  </conditionalFormatting>
  <conditionalFormatting sqref="T923:T925 T942:T945 T980:T984 T1134:T1135 T1296:T1297 T1304:T1306 T1308:T1311 T1324:T1325 T1328 T1331 T1137:T1139 T947:T949">
    <cfRule type="containsText" dxfId="810" priority="573" operator="containsText" text="SL">
      <formula>NOT(ISERROR(SEARCH("SL",T923)))</formula>
    </cfRule>
    <cfRule type="containsText" dxfId="809" priority="574" operator="containsText" text="EL">
      <formula>NOT(ISERROR(SEARCH("EL",T923)))</formula>
    </cfRule>
    <cfRule type="containsText" dxfId="808" priority="575" operator="containsText" text="PL">
      <formula>NOT(ISERROR(SEARCH("PL",T923)))</formula>
    </cfRule>
    <cfRule type="containsText" dxfId="807" priority="576" operator="containsText" text="P">
      <formula>NOT(ISERROR(SEARCH("P",T923)))</formula>
    </cfRule>
  </conditionalFormatting>
  <conditionalFormatting sqref="T923:T925 T942:T945 T1134:T1135 T980:T984 T1296:T1297 T1304:T1306 T1308:T1311 T1324:T1325 T1328 T1331 T1137:T1139 T947:T949">
    <cfRule type="containsText" dxfId="806" priority="572" operator="containsText" text="AB">
      <formula>NOT(ISERROR(SEARCH("AB",T923)))</formula>
    </cfRule>
  </conditionalFormatting>
  <conditionalFormatting sqref="T933:T934 T973:T974 T1077:T1078 T1246 T1284 T1363:T1364 T1382">
    <cfRule type="containsText" dxfId="805" priority="622" operator="containsText" text="SL">
      <formula>NOT(ISERROR(SEARCH("SL",T933)))</formula>
    </cfRule>
    <cfRule type="containsText" dxfId="804" priority="623" operator="containsText" text="EL">
      <formula>NOT(ISERROR(SEARCH("EL",T933)))</formula>
    </cfRule>
    <cfRule type="containsText" dxfId="803" priority="624" operator="containsText" text="PL">
      <formula>NOT(ISERROR(SEARCH("PL",T933)))</formula>
    </cfRule>
    <cfRule type="containsText" dxfId="802" priority="625" operator="containsText" text="P">
      <formula>NOT(ISERROR(SEARCH("P",T933)))</formula>
    </cfRule>
  </conditionalFormatting>
  <conditionalFormatting sqref="T953 T1010 T1090:T1092 T1097:T1113 T1192 T1342:T1344 T1349:T1350 T1352:T1361 T1371 T1382:T1387 T1389:T1407">
    <cfRule type="containsText" dxfId="801" priority="540" operator="containsText" text="SL">
      <formula>NOT(ISERROR(SEARCH("SL",T953)))</formula>
    </cfRule>
    <cfRule type="containsText" dxfId="800" priority="541" operator="containsText" text="EL">
      <formula>NOT(ISERROR(SEARCH("EL",T953)))</formula>
    </cfRule>
    <cfRule type="containsText" dxfId="799" priority="542" operator="containsText" text="PL">
      <formula>NOT(ISERROR(SEARCH("PL",T953)))</formula>
    </cfRule>
  </conditionalFormatting>
  <conditionalFormatting sqref="T953 T1010 T1090:T1092 T1192 T1342:T1344 T1349:T1350 T1352:T1361 T1371 T1382:T1387 T1389:T1407">
    <cfRule type="containsText" dxfId="798" priority="543" operator="containsText" text="P">
      <formula>NOT(ISERROR(SEARCH("P",T953)))</formula>
    </cfRule>
  </conditionalFormatting>
  <conditionalFormatting sqref="T1296:T1297 T1304:T1306 T1309 T1311 T1324:T1326 T1328 T1330:T1331 T1335:T1338">
    <cfRule type="containsText" dxfId="797" priority="634" operator="containsText" text="SL">
      <formula>NOT(ISERROR(SEARCH("SL",T1296)))</formula>
    </cfRule>
    <cfRule type="containsText" dxfId="796" priority="635" operator="containsText" text="EL">
      <formula>NOT(ISERROR(SEARCH("EL",T1296)))</formula>
    </cfRule>
    <cfRule type="containsText" dxfId="795" priority="636" operator="containsText" text="PL">
      <formula>NOT(ISERROR(SEARCH("PL",T1296)))</formula>
    </cfRule>
    <cfRule type="containsText" dxfId="794" priority="637" operator="containsText" text="P">
      <formula>NOT(ISERROR(SEARCH("P",T1296)))</formula>
    </cfRule>
  </conditionalFormatting>
  <conditionalFormatting sqref="T957 T1067 T1115 T1121 T1199:T1200">
    <cfRule type="containsText" dxfId="793" priority="361" operator="containsText" text="AB">
      <formula>NOT(ISERROR(SEARCH("AB",T957)))</formula>
    </cfRule>
    <cfRule type="containsText" dxfId="792" priority="362" operator="containsText" text="SL">
      <formula>NOT(ISERROR(SEARCH("SL",T957)))</formula>
    </cfRule>
    <cfRule type="containsText" dxfId="791" priority="363" operator="containsText" text="EL">
      <formula>NOT(ISERROR(SEARCH("EL",T957)))</formula>
    </cfRule>
    <cfRule type="containsText" dxfId="790" priority="364" operator="containsText" text="PL">
      <formula>NOT(ISERROR(SEARCH("PL",T957)))</formula>
    </cfRule>
    <cfRule type="containsText" dxfId="789" priority="365" operator="containsText" text="P">
      <formula>NOT(ISERROR(SEARCH("P",T957)))</formula>
    </cfRule>
  </conditionalFormatting>
  <conditionalFormatting sqref="T961">
    <cfRule type="containsText" dxfId="788" priority="501" operator="containsText" text="AB">
      <formula>NOT(ISERROR(SEARCH("AB",T961)))</formula>
    </cfRule>
    <cfRule type="containsText" dxfId="787" priority="502" operator="containsText" text="SL">
      <formula>NOT(ISERROR(SEARCH("SL",T961)))</formula>
    </cfRule>
    <cfRule type="containsText" dxfId="786" priority="503" operator="containsText" text="EL">
      <formula>NOT(ISERROR(SEARCH("EL",T961)))</formula>
    </cfRule>
    <cfRule type="containsText" dxfId="785" priority="504" operator="containsText" text="PL">
      <formula>NOT(ISERROR(SEARCH("PL",T961)))</formula>
    </cfRule>
    <cfRule type="containsText" dxfId="784" priority="505" operator="containsText" text="P">
      <formula>NOT(ISERROR(SEARCH("P",T961)))</formula>
    </cfRule>
  </conditionalFormatting>
  <conditionalFormatting sqref="T973:T974 T1077:T1078 T1284 T1246 T1363:T1364 T1382 T933:T934">
    <cfRule type="containsText" dxfId="783" priority="621" operator="containsText" text="AB">
      <formula>NOT(ISERROR(SEARCH("AB",T933)))</formula>
    </cfRule>
  </conditionalFormatting>
  <conditionalFormatting sqref="T979:T984 T1293:T1297 T824:T830 T819:T821 T851:T853 T863:T866 T913:T914 T939:T940 T942:T945 T949:T951 T1109:T1112 T1157 T1163:T1165 T1181 T1041:T1042 T947">
    <cfRule type="containsText" dxfId="782" priority="461" operator="containsText" text="AB">
      <formula>NOT(ISERROR(SEARCH("AB",T819)))</formula>
    </cfRule>
  </conditionalFormatting>
  <conditionalFormatting sqref="T1053:T1054 T1090:T1091 T1123:T1124 T1201:T1202 T1220 T1222:T1223 T1229:T1230 T1234 T1237 T1272:T1273 T1299:T1300 T1349:T1350 T1374:T1376 T1204">
    <cfRule type="containsText" dxfId="781" priority="583" operator="containsText" text="SL">
      <formula>NOT(ISERROR(SEARCH("SL",T1053)))</formula>
    </cfRule>
    <cfRule type="containsText" dxfId="780" priority="584" operator="containsText" text="EL">
      <formula>NOT(ISERROR(SEARCH("EL",T1053)))</formula>
    </cfRule>
    <cfRule type="containsText" dxfId="779" priority="585" operator="containsText" text="PL">
      <formula>NOT(ISERROR(SEARCH("PL",T1053)))</formula>
    </cfRule>
    <cfRule type="containsText" dxfId="778" priority="586" operator="containsText" text="P">
      <formula>NOT(ISERROR(SEARCH("P",T1053)))</formula>
    </cfRule>
  </conditionalFormatting>
  <conditionalFormatting sqref="T1057:T1067 T1135 T1214:T1215 T1229:T1230 T1242 T1260:T1262 T1268 T1277 T1279:T1280 T1137:T1150 T1232 T1234:T1235 T1237 T1245:T1248">
    <cfRule type="containsText" dxfId="777" priority="437" operator="containsText" text="SL">
      <formula>NOT(ISERROR(SEARCH("SL",T1057)))</formula>
    </cfRule>
    <cfRule type="containsText" dxfId="776" priority="438" operator="containsText" text="EL">
      <formula>NOT(ISERROR(SEARCH("EL",T1057)))</formula>
    </cfRule>
    <cfRule type="containsText" dxfId="775" priority="439" operator="containsText" text="PL">
      <formula>NOT(ISERROR(SEARCH("PL",T1057)))</formula>
    </cfRule>
    <cfRule type="containsText" dxfId="774" priority="440" operator="containsText" text="P">
      <formula>NOT(ISERROR(SEARCH("P",T1057)))</formula>
    </cfRule>
  </conditionalFormatting>
  <conditionalFormatting sqref="T1057:T1067 T1135 T1229:T1230 T1242 T1260:T1262 T1268 T1277 T1214:T1215 T1279:T1280 T1137:T1150 T1232 T1234:T1235 T1237 T1245:T1248">
    <cfRule type="containsText" dxfId="773" priority="436" operator="containsText" text="AB">
      <formula>NOT(ISERROR(SEARCH("AB",T1057)))</formula>
    </cfRule>
  </conditionalFormatting>
  <conditionalFormatting sqref="T1097:T1113 T1352:T1361 T953 T1090:T1092 T1192 T1342:T1344 T1349:T1350 T1371 T1382:T1387 T1010 T1389:T1407">
    <cfRule type="containsText" dxfId="772" priority="539" operator="containsText" text="AB">
      <formula>NOT(ISERROR(SEARCH("AB",T953)))</formula>
    </cfRule>
  </conditionalFormatting>
  <conditionalFormatting sqref="T1185 T1262 T1313:T1314 T1391 T1187:T1189 T1264 T1316">
    <cfRule type="containsText" dxfId="771" priority="271" operator="containsText" text="AB">
      <formula>NOT(ISERROR(SEARCH("AB",T1185)))</formula>
    </cfRule>
    <cfRule type="containsText" dxfId="770" priority="272" operator="containsText" text="SL">
      <formula>NOT(ISERROR(SEARCH("SL",T1185)))</formula>
    </cfRule>
    <cfRule type="containsText" dxfId="769" priority="273" operator="containsText" text="EL">
      <formula>NOT(ISERROR(SEARCH("EL",T1185)))</formula>
    </cfRule>
    <cfRule type="containsText" dxfId="768" priority="274" operator="containsText" text="PL">
      <formula>NOT(ISERROR(SEARCH("PL",T1185)))</formula>
    </cfRule>
    <cfRule type="containsText" dxfId="767" priority="275" operator="containsText" text="P">
      <formula>NOT(ISERROR(SEARCH("P",T1185)))</formula>
    </cfRule>
  </conditionalFormatting>
  <conditionalFormatting sqref="T1391">
    <cfRule type="containsText" dxfId="766" priority="270" operator="containsText" text="ABWI">
      <formula>NOT(ISERROR(SEARCH("ABWI",T1391)))</formula>
    </cfRule>
    <cfRule type="containsText" dxfId="765" priority="276" operator="containsText" text="Miss SOS">
      <formula>NOT(ISERROR(SEARCH("Miss SOS",T1391)))</formula>
    </cfRule>
    <cfRule type="containsText" dxfId="764" priority="277" operator="containsText" text="ABWI">
      <formula>NOT(ISERROR(SEARCH("ABWI",T1391)))</formula>
    </cfRule>
  </conditionalFormatting>
  <conditionalFormatting sqref="T1391">
    <cfRule type="containsText" dxfId="763" priority="269" operator="containsText" text="OFF">
      <formula>NOT(ISERROR(SEARCH("OFF",T1391)))</formula>
    </cfRule>
  </conditionalFormatting>
  <conditionalFormatting sqref="T1391">
    <cfRule type="containsText" dxfId="762" priority="267" operator="containsText" text="OFF">
      <formula>NOT(ISERROR(SEARCH("OFF",T1391)))</formula>
    </cfRule>
    <cfRule type="containsText" dxfId="761" priority="268" operator="containsText" text="ABWI">
      <formula>NOT(ISERROR(SEARCH("ABWI",T1391)))</formula>
    </cfRule>
  </conditionalFormatting>
  <conditionalFormatting sqref="T1262 T1293 T1313:T1314 T1316">
    <cfRule type="containsText" dxfId="760" priority="639" operator="containsText" text="SL">
      <formula>NOT(ISERROR(SEARCH("SL",T1262)))</formula>
    </cfRule>
    <cfRule type="containsText" dxfId="759" priority="640" operator="containsText" text="EL">
      <formula>NOT(ISERROR(SEARCH("EL",T1262)))</formula>
    </cfRule>
    <cfRule type="containsText" dxfId="758" priority="641" operator="containsText" text="PL">
      <formula>NOT(ISERROR(SEARCH("PL",T1262)))</formula>
    </cfRule>
    <cfRule type="containsText" dxfId="757" priority="642" operator="containsText" text="P">
      <formula>NOT(ISERROR(SEARCH("P",T1262)))</formula>
    </cfRule>
  </conditionalFormatting>
  <conditionalFormatting sqref="T1237 T341:T343 T349 T358 T364 T366 T388 T396 T398 T402 T404 T435 T438 T440 T444:T445 T613:T617 T629:T630 T632 T640:T641 T649 T654:T655 T668:T670 T672 T675 T688 T703 T712:T716 T723:T725 T727 T738 T740 T753 T758 T760 T763:T764 T936:T945 T1234:T1235 T1242 T345 T375:T376 T425 T428 T442 T566:T573 T622:T627 T645:T647 T660 T684 T1232 T354:T355 T360:T361 T408:T413 T422 T431:T432 T635:T637 T662:T664 T678:T681 T705 T707:T710 T718:T719 T731:T734 T743:T748 T750:T751 T755:T756 T947:T955 T957:T998 T1000:T1150 T1170:T1202 T1204:T1223 T1225:T1230 T1245:T1255 T1257:T1266 T7:T337 T448:T564 T575:T610 T695:T697 T767:T770 T772:T801 T803:T934 T1152:T1168 T1268:T1407">
    <cfRule type="containsText" dxfId="756" priority="648" operator="containsText" text="OFF">
      <formula>NOT(ISERROR(SEARCH("OFF",T7)))</formula>
    </cfRule>
  </conditionalFormatting>
  <conditionalFormatting sqref="T1290:T1291 T1357">
    <cfRule type="containsText" dxfId="755" priority="644" operator="containsText" text="SL">
      <formula>NOT(ISERROR(SEARCH("SL",T1290)))</formula>
    </cfRule>
    <cfRule type="containsText" dxfId="754" priority="645" operator="containsText" text="EL">
      <formula>NOT(ISERROR(SEARCH("EL",T1290)))</formula>
    </cfRule>
    <cfRule type="containsText" dxfId="753" priority="646" operator="containsText" text="PL">
      <formula>NOT(ISERROR(SEARCH("PL",T1290)))</formula>
    </cfRule>
    <cfRule type="containsText" dxfId="752" priority="647" operator="containsText" text="P">
      <formula>NOT(ISERROR(SEARCH("P",T1290)))</formula>
    </cfRule>
  </conditionalFormatting>
  <conditionalFormatting sqref="T1296">
    <cfRule type="containsText" dxfId="751" priority="188" operator="containsText" text="AB">
      <formula>NOT(ISERROR(SEARCH("AB",T1296)))</formula>
    </cfRule>
    <cfRule type="containsText" dxfId="750" priority="189" operator="containsText" text="SL">
      <formula>NOT(ISERROR(SEARCH("SL",T1296)))</formula>
    </cfRule>
    <cfRule type="containsText" dxfId="749" priority="190" operator="containsText" text="EL">
      <formula>NOT(ISERROR(SEARCH("EL",T1296)))</formula>
    </cfRule>
    <cfRule type="containsText" dxfId="748" priority="191" operator="containsText" text="PL">
      <formula>NOT(ISERROR(SEARCH("PL",T1296)))</formula>
    </cfRule>
    <cfRule type="containsText" dxfId="747" priority="192" operator="containsText" text="P">
      <formula>NOT(ISERROR(SEARCH("P",T1296)))</formula>
    </cfRule>
    <cfRule type="containsText" dxfId="746" priority="193" operator="containsText" text="AB">
      <formula>NOT(ISERROR(SEARCH("AB",T1296)))</formula>
    </cfRule>
    <cfRule type="containsText" dxfId="745" priority="194" operator="containsText" text="SL">
      <formula>NOT(ISERROR(SEARCH("SL",T1296)))</formula>
    </cfRule>
    <cfRule type="containsText" dxfId="744" priority="195" operator="containsText" text="EL">
      <formula>NOT(ISERROR(SEARCH("EL",T1296)))</formula>
    </cfRule>
    <cfRule type="containsText" dxfId="743" priority="196" operator="containsText" text="PL">
      <formula>NOT(ISERROR(SEARCH("PL",T1296)))</formula>
    </cfRule>
    <cfRule type="containsText" dxfId="742" priority="197" operator="containsText" text="P">
      <formula>NOT(ISERROR(SEARCH("P",T1296)))</formula>
    </cfRule>
  </conditionalFormatting>
  <conditionalFormatting sqref="T1299:T1300 T1090:T1091 T1053:T1054 T1123:T1124 T1201:T1202 T1222:T1223 T1272:T1273 T1349:T1350 T1220 T1229:T1230 T1234 T1374:T1376 T1237 T1204">
    <cfRule type="containsText" dxfId="741" priority="582" operator="containsText" text="AB">
      <formula>NOT(ISERROR(SEARCH("AB",T1053)))</formula>
    </cfRule>
  </conditionalFormatting>
  <conditionalFormatting sqref="T1304:T1306 T1296:T1297 T1309 T1311 T1324:T1326 T1328 T1330:T1331 T1335:T1338">
    <cfRule type="containsText" dxfId="740" priority="633" operator="containsText" text="AB">
      <formula>NOT(ISERROR(SEARCH("AB",T1296)))</formula>
    </cfRule>
  </conditionalFormatting>
  <conditionalFormatting sqref="T1313 T1130:T1135 T1137 T1304 T846 T824 T841 T939 T953 T963 T1010 T1072 T1177 T1181 T1185 T1189 T1192 T1268 T1154 T1163 T1170 T783">
    <cfRule type="containsText" dxfId="739" priority="606" operator="containsText" text="AB">
      <formula>NOT(ISERROR(SEARCH("AB",T783)))</formula>
    </cfRule>
  </conditionalFormatting>
  <conditionalFormatting sqref="T1313:T1314 T1262 T1316 T1293">
    <cfRule type="containsText" dxfId="738" priority="638" operator="containsText" text="AB">
      <formula>NOT(ISERROR(SEARCH("AB",T1262)))</formula>
    </cfRule>
  </conditionalFormatting>
  <conditionalFormatting sqref="T1316 T821:T822 T862:T863 T877:T878 T880 T916 T966 T1017 T1209 T1255 T1275 T1370:T1371 T1352 T1393 T1141 T1262 T788:T789 T797 T1318">
    <cfRule type="containsText" dxfId="737" priority="601" operator="containsText" text="AB">
      <formula>NOT(ISERROR(SEARCH("AB",T788)))</formula>
    </cfRule>
  </conditionalFormatting>
  <conditionalFormatting sqref="T1338:T1341 T1323:T1332">
    <cfRule type="containsText" dxfId="736" priority="183" operator="containsText" text="AB">
      <formula>NOT(ISERROR(SEARCH("AB",T1323)))</formula>
    </cfRule>
    <cfRule type="containsText" dxfId="735" priority="184" operator="containsText" text="SL">
      <formula>NOT(ISERROR(SEARCH("SL",T1323)))</formula>
    </cfRule>
    <cfRule type="containsText" dxfId="734" priority="185" operator="containsText" text="EL">
      <formula>NOT(ISERROR(SEARCH("EL",T1323)))</formula>
    </cfRule>
    <cfRule type="containsText" dxfId="733" priority="186" operator="containsText" text="PL">
      <formula>NOT(ISERROR(SEARCH("PL",T1323)))</formula>
    </cfRule>
    <cfRule type="containsText" dxfId="732" priority="187" operator="containsText" text="P">
      <formula>NOT(ISERROR(SEARCH("P",T1323)))</formula>
    </cfRule>
  </conditionalFormatting>
  <conditionalFormatting sqref="T1327 T1335:T1336 T1339 T1332">
    <cfRule type="containsText" dxfId="731" priority="178" operator="containsText" text="AB">
      <formula>NOT(ISERROR(SEARCH("AB",T1327)))</formula>
    </cfRule>
    <cfRule type="containsText" dxfId="730" priority="179" operator="containsText" text="SL">
      <formula>NOT(ISERROR(SEARCH("SL",T1327)))</formula>
    </cfRule>
    <cfRule type="containsText" dxfId="729" priority="180" operator="containsText" text="EL">
      <formula>NOT(ISERROR(SEARCH("EL",T1327)))</formula>
    </cfRule>
    <cfRule type="containsText" dxfId="728" priority="181" operator="containsText" text="PL">
      <formula>NOT(ISERROR(SEARCH("PL",T1327)))</formula>
    </cfRule>
    <cfRule type="containsText" dxfId="727" priority="182" operator="containsText" text="P">
      <formula>NOT(ISERROR(SEARCH("P",T1327)))</formula>
    </cfRule>
  </conditionalFormatting>
  <conditionalFormatting sqref="T1355 T1358:T1359 T841:T843 T845:T847 T876:T877 T925:T934 T963:T973 T1044:T1055 T1071:T1075 T1101:T1107 T1123:T1133 T1153:T1155 T1257 T1184:T1185 T826 T1299:T1301 T1321 T937">
    <cfRule type="containsText" dxfId="726" priority="441" operator="containsText" text="AB">
      <formula>NOT(ISERROR(SEARCH("AB",T826)))</formula>
    </cfRule>
  </conditionalFormatting>
  <conditionalFormatting sqref="T1355 T1359">
    <cfRule type="containsText" dxfId="725" priority="426" operator="containsText" text="AB">
      <formula>NOT(ISERROR(SEARCH("AB",T1355)))</formula>
    </cfRule>
    <cfRule type="containsText" dxfId="724" priority="427" operator="containsText" text="SL">
      <formula>NOT(ISERROR(SEARCH("SL",T1355)))</formula>
    </cfRule>
    <cfRule type="containsText" dxfId="723" priority="428" operator="containsText" text="EL">
      <formula>NOT(ISERROR(SEARCH("EL",T1355)))</formula>
    </cfRule>
    <cfRule type="containsText" dxfId="722" priority="429" operator="containsText" text="PL">
      <formula>NOT(ISERROR(SEARCH("PL",T1355)))</formula>
    </cfRule>
    <cfRule type="containsText" dxfId="721" priority="430" operator="containsText" text="P">
      <formula>NOT(ISERROR(SEARCH("P",T1355)))</formula>
    </cfRule>
  </conditionalFormatting>
  <conditionalFormatting sqref="T1357 T1290:T1291">
    <cfRule type="containsText" dxfId="720" priority="643" operator="containsText" text="AB">
      <formula>NOT(ISERROR(SEARCH("AB",T1290)))</formula>
    </cfRule>
  </conditionalFormatting>
  <conditionalFormatting sqref="T1364:T1368 T1048:T1052 T1321 T1230 T1234 T1279 T834 T837 T1172 T1251 T1270 T1273 T1346 T899 T986:T987 T1002:T1004 T1082 T1217:T1220 T1283 T1370:T1377">
    <cfRule type="containsText" dxfId="719" priority="544" operator="containsText" text="AB">
      <formula>NOT(ISERROR(SEARCH("AB",T834)))</formula>
    </cfRule>
  </conditionalFormatting>
  <conditionalFormatting sqref="U1:U895 U897:U1038 U1040:U1135 U1137:U1159 U1161:U1315">
    <cfRule type="containsText" dxfId="718" priority="1187" operator="containsText" text="Miss SOS">
      <formula>NOT(ISERROR(SEARCH("Miss SOS",U1)))</formula>
    </cfRule>
  </conditionalFormatting>
  <conditionalFormatting sqref="U13:U41 U82 U84 U94 U100 U109 U116 U131:U132 U134 U139:U140 U144 U146 U148 U150 U160 U165:U167 U170 U204 U208 U226 U235 U243:U245 U247 U253 U256 U262 U264:U269 U273:U274 U295:U296 U300:U302 U305 U311 U316:U319 U345 U355:U356 U361:U362 U367:U368 U375 U393:U394 U398 U403 U407 U412:U417 U436 U441:U443 U454:U455 U474 U480 U482:U483 U501 U503:U504 U529:U533 U540:U541 U548 U598 U609 U612 U620:U621 U626:U627 U642:U643 U646:U648 U653:U654 U663:U665 U679 U731 U733:U734 U749:U751 U756:U759 U761:U762 U764 U766:U767 U810 U813:U814 U825:U826 U828:U829 U833 U836 U853 U856 U897:U899 U901:U902 U910:U911 U913 U918 U940 U948 U950 U953 U960:U961 U965 U969 U972 U979 U983:U985 U996:U1000 U1015:U1017 U1062:U1068 U1070 U1072:U1073 U1077 U1091:U1092 U1110:U1112 U1126:U1128 U1143:U1144 U1147:U1148 U1173:U1177 U1181:U1183 U1211 U1214 U1236 U1250:U1251 U1265:U1266 U1298:U1299 U1324 U1343:U1344 U250:U251 U291:U293 U470:U471 U667:U668 U705:U709 U725:U727 U783:U786 U859:U861 U1028:U1029 U386:U388 U429:U430 U739 U816:U817 U1205 U1279:U1281 U1283 U1020:U1022 U1024:U1025 U659 U68:U76 U271 U282:U285 U331:U333 U349 U461 U1270 U78 U888:U890 U923:U924 U987:U989 U1002:U1003 U1095:U1097 U1185 T1364:T1368 T1378:T1381 T1384:T1387 U1160:U1162 U1134:U1137 U1167:U1169 U43:U54 U56:U62 U190 U323:U327 U515 U517:U519 U600:U602 U616:U618 U695:U699 U701:U702 U769:U775 U865:U869 U884:U886 U1042:U1044 U1084:U1087 U1150:U1152 U1240:U1243 U1319:U1320 T1370:T1376 T1389:T1399">
    <cfRule type="containsText" dxfId="717" priority="5017" operator="containsText" text="OFF">
      <formula>NOT(ISERROR(SEARCH("OFF",T13)))</formula>
    </cfRule>
  </conditionalFormatting>
  <conditionalFormatting sqref="U43:U47 U49:U54 U56:U60 U62 U64:U66 U68 U70:U76 U82 U84 U94 U100 U109 U116 U132 U134 U139:U140 U144 U146 U148 U150 U160 U165:U167 U170 U204 U208 U226 U235 U243:U245 U247 U256 U262 U264:U267 U269 U271 U273:U274 U282:U285 U295:U296 U301:U302 U305 U311 U317:U319 U326:U327 U331:U332 U345 U349 U356 U362 U367:U368 U375 U386:U388 U393:U394 U398 U403 U407 U415:U417 U430 U436 U441:U443 U455 U461 U470:U471 U474 U480 U482:U483 U501 U503:U504 U518:U519 U530:U533 U541 U548 U598 U601:U602 U609 U612 U616 U621 U626:U627 U642:U643 U646:U648 U654 U659 U663:U665 U667:U668 U679 U695:U696 U698 U701 U706 U708:U709 U725:U727 U731 U733:U734 U739 U749 U751 U756:U759 U761:U762 U764 U766 U769 U771:U772 U785 U810 U816:U817 U825 U828:U829 U833 U836 U853 U856 U859:U861 U865 U867:U868 U884 U886 U889 U898:U899 U901 U910:U911 U913 U918 U923:U924 U940 U948 U950 U953 U960 U969 U972 U979 U983:U984 U987:U989 U999 U1016:U1017 U1020 U1022 U1028:U1029 U1034:U1035 U1042 U1062:U1065 U1068 U1070 U1072 U1084:U1085 U1087 U1091 U1095:U1097 U1110:U1111 U1126:U1128 U1143 U1147 U1150 U1173:U1174 U1176:U1177 U1181:U1182 U1185 U1205 U1211 U1214 U1236 U1241:U1243 U1250:U1251 U1265 U1270 U1279:U1281 U1283 U1298:U1299 U1319 U1324 U1343 U1160:U1162 U1134:U1137 U1167:U1168 U618 U774">
    <cfRule type="containsText" dxfId="716" priority="5019" operator="containsText" text="SL">
      <formula>NOT(ISERROR(SEARCH("SL",U43)))</formula>
    </cfRule>
    <cfRule type="containsText" dxfId="715" priority="5020" operator="containsText" text="EL">
      <formula>NOT(ISERROR(SEARCH("EL",U43)))</formula>
    </cfRule>
    <cfRule type="containsText" dxfId="714" priority="5021" operator="containsText" text="PL">
      <formula>NOT(ISERROR(SEARCH("PL",U43)))</formula>
    </cfRule>
    <cfRule type="containsText" dxfId="713" priority="5022" operator="containsText" text="P">
      <formula>NOT(ISERROR(SEARCH("P",U43)))</formula>
    </cfRule>
  </conditionalFormatting>
  <conditionalFormatting sqref="U43:U47 U49:U54 U56:U60 U62 U68 U70:U76 U82 U84 U94 U100 U109 U116 U132 U134 U139:U140 U144 U146 U148 U150 U160 U165:U167 U170 U204 U208 U226 U235 U243:U245 U247 U256 U262 U264:U267 U269 U271 U273:U274 U282:U285 U295:U296 U301:U302 U305 U311 U317:U319 U326:U327 U331:U332 U345 U349 U356 U362 U367:U368 U375 U386:U388 U393:U394 U398 U403 U407 U415:U417 U430 U436 U441:U443 U455 U461 U470:U471 U474 U480 U482:U483 U501 U503:U504 U518:U519 U530:U533 U541 U548 U598 U601:U602 U609 U612 U616 U621 U626:U627 U642:U643 U646:U648 U654 U659 U663:U665 U667:U668 U679 U695:U696 U698 U701 U706 U708:U709 U725:U727 U731 U733:U734 U739 U749 U751 U756:U759 U761:U762 U764 U766 U769 U771:U772 U785 U810 U816:U817 U825 U828:U829 U833 U836 U853 U856 U859:U861 U865 U867:U868 U884 U886 U889 U898:U899 U901 U910:U911 U913 U918 U923:U924 U940 U948 U950 U953 U960 U969 U972 U979 U983:U984 U987:U989 U999 U1016:U1017 U1020 U1022 U1028:U1029 U1042 U1062:U1065 U1068 U1070 U1072 U1084:U1085 U1087 U1091 U1095:U1097 U1110:U1111 U1126:U1128 U1143 U1147 U1150 U1173:U1174 U1176:U1177 U1181:U1182 U1185 U1205 U1211 U1214 U1236 U1241:U1243 U1250:U1251 U1265 U1270 U1279:U1281 U1283 U1298:U1299 U1319 U1324 U1343 U1034:U1035 U64:U66 U1160:U1162 U1134:U1137 U1167:U1168 U618 U774">
    <cfRule type="containsText" dxfId="712" priority="5018" operator="containsText" text="AB">
      <formula>NOT(ISERROR(SEARCH("AB",U43)))</formula>
    </cfRule>
  </conditionalFormatting>
  <conditionalFormatting sqref="U297 U316 U325 U454 U1157:U1158 U1278 U1303">
    <cfRule type="containsText" dxfId="711" priority="201" operator="containsText" text="SL">
      <formula>NOT(ISERROR(SEARCH("SL",U297)))</formula>
    </cfRule>
    <cfRule type="containsText" dxfId="710" priority="202" operator="containsText" text="EL">
      <formula>NOT(ISERROR(SEARCH("EL",U297)))</formula>
    </cfRule>
    <cfRule type="containsText" dxfId="709" priority="203" operator="containsText" text="PL">
      <formula>NOT(ISERROR(SEARCH("PL",U297)))</formula>
    </cfRule>
    <cfRule type="containsText" dxfId="708" priority="204" operator="containsText" text="P">
      <formula>NOT(ISERROR(SEARCH("P",U297)))</formula>
    </cfRule>
  </conditionalFormatting>
  <conditionalFormatting sqref="U69 U78 U91 U123 U131 U186 U206 U231 U253 U268 U280 U300 U323 U333 U355 U412:U414 U420:U421 U423 U427 U429 U445:U446 U448 U454 U521 U529 U536 U538 U540 U551 U553 U620 U638 U687:U688 U705 U712:U713 U720:U721 U736 U767 U798 U844:U845 U866 U888 U890 U897 U902 U932 U934:U935 U965:U967 U1000 U1014:U1015 U1020:U1021 U1036 U1044 U1058:U1059 U1066:U1067 U1116:U1117 U1120:U1121 U1143:U1144 U1148 U1157:U1158 U1169 U1175 U1245 U1258 U1286 U1314 U1361 U1377 U1382:U1383 U1400 U325 U1363">
    <cfRule type="containsText" dxfId="707" priority="567" operator="containsText" text="SL">
      <formula>NOT(ISERROR(SEARCH("SL",U69)))</formula>
    </cfRule>
  </conditionalFormatting>
  <conditionalFormatting sqref="U69 U78 U91 U123 U131 U186 U206 U231 U253 U268 U280 U300 U323 U333 U355 U412:U414 U420:U421 U423 U427 U429 U445:U446 U448 U454 U521 U529 U536 U538 U540 U551 U553 U620 U638 U687:U688 U705 U712:U713 U720:U721 U736 U767 U798 U844:U845 U866 U888 U890 U897 U902 U932 U934:U935 U965:U967 U1000 U1014:U1015 U1020:U1021 U1036 U1044 U1058:U1059 U1066:U1067 U1116:U1117 U1120:U1121 U1143:U1144 U1148 U1157:U1158 U1169 U1175 U1245 U1258 U1286 U1361 U1377 U1382:U1383 U1400 U325 U1363">
    <cfRule type="containsText" dxfId="706" priority="568" operator="containsText" text="EL">
      <formula>NOT(ISERROR(SEARCH("EL",U69)))</formula>
    </cfRule>
    <cfRule type="containsText" dxfId="705" priority="569" operator="containsText" text="PL">
      <formula>NOT(ISERROR(SEARCH("PL",U69)))</formula>
    </cfRule>
    <cfRule type="containsText" dxfId="704" priority="570" operator="containsText" text="P">
      <formula>NOT(ISERROR(SEARCH("P",U69)))</formula>
    </cfRule>
  </conditionalFormatting>
  <conditionalFormatting sqref="U114 U199 U361 U653 U699 U707 U804 U905 U928:U929 U974 U985 U1050:U1051 U1077 U1164:U1165">
    <cfRule type="containsText" dxfId="703" priority="629" operator="containsText" text="SL">
      <formula>NOT(ISERROR(SEARCH("SL",U114)))</formula>
    </cfRule>
    <cfRule type="containsText" dxfId="702" priority="630" operator="containsText" text="EL">
      <formula>NOT(ISERROR(SEARCH("EL",U114)))</formula>
    </cfRule>
    <cfRule type="containsText" dxfId="701" priority="631" operator="containsText" text="PL">
      <formula>NOT(ISERROR(SEARCH("PL",U114)))</formula>
    </cfRule>
    <cfRule type="containsText" dxfId="700" priority="632" operator="containsText" text="P">
      <formula>NOT(ISERROR(SEARCH("P",U114)))</formula>
    </cfRule>
  </conditionalFormatting>
  <conditionalFormatting sqref="U64:U66 T1349:T1360">
    <cfRule type="containsText" dxfId="699" priority="11862" operator="containsText" text="OFF">
      <formula>NOT(ISERROR(SEARCH("OFF",T64)))</formula>
    </cfRule>
  </conditionalFormatting>
  <conditionalFormatting sqref="U64:U66 T1364:T1368 T1378:T1381 T1384:T1387 T1401:T1048576 T1370:T1376 T1389:T1399">
    <cfRule type="containsText" dxfId="698" priority="11638" operator="containsText" text="ABWI">
      <formula>NOT(ISERROR(SEARCH("ABWI",T64)))</formula>
    </cfRule>
  </conditionalFormatting>
  <conditionalFormatting sqref="U69 U78 U91 U123 U186 U206 U231 U280 U333 U420:U421 U423 U427 U429 U445:U446 U448 U521 U536 U538 U551 U638 U687:U688 U705 U712:U713 U720:U721 U736 U798 U844:U845 U888 U890 U932 U934:U935 U965:U967 U1020:U1021 U1036 U1058:U1059 U1116:U1117 U1120:U1121 U1157:U1158 U1245 U1258 U1286 U1361 U1377 U1382:U1383 U1400 U1314 U355 U767 U902 U1143:U1144 U454 U866 U1044 U1000 U1014:U1015 U1169 U553 U1066:U1067 U323 U131 U253 U268 U300 U412:U414 U529 U540 U620 U897 U1148 U1175 U325 U1363">
    <cfRule type="containsText" dxfId="697" priority="566" operator="containsText" text="AB">
      <formula>NOT(ISERROR(SEARCH("AB",U69)))</formula>
    </cfRule>
  </conditionalFormatting>
  <conditionalFormatting sqref="U70:U71 U82 U94 U100 U109 U140 U150 U166:U167 U247 U256 U266:U267 U388 U443 U455 U471 U519 U530:U531 U533 U541 U601 U642 U663 U668 U708:U709 U727 U758 U828 U861 U910 U948 U983 U1016:U1017 U1029 U1034 U1062 U1084 U1126 U1134:U1135 U1137 U1174 U1205 U1211 U1214 U1236 U1250 U1281 U32:U38 U40 U250:U251 U292:U293 U783:U784 U786 U996:U998 U1049 U492 U684:U685 U1331 U459 U1201 S1:S3">
    <cfRule type="containsText" dxfId="696" priority="45746" operator="containsText" text="ABWI">
      <formula>NOT(ISERROR(SEARCH("ABWI",S1)))</formula>
    </cfRule>
  </conditionalFormatting>
  <conditionalFormatting sqref="U73 U209 U227 U291 U316:U317 U339 U490 U554 U574 U583 U750 U1243">
    <cfRule type="containsText" dxfId="695" priority="381" operator="containsText" text="SL">
      <formula>NOT(ISERROR(SEARCH("SL",U73)))</formula>
    </cfRule>
    <cfRule type="containsText" dxfId="694" priority="382" operator="containsText" text="EL">
      <formula>NOT(ISERROR(SEARCH("EL",U73)))</formula>
    </cfRule>
    <cfRule type="containsText" dxfId="693" priority="383" operator="containsText" text="PL">
      <formula>NOT(ISERROR(SEARCH("PL",U73)))</formula>
    </cfRule>
    <cfRule type="containsText" dxfId="692" priority="384" operator="containsText" text="P">
      <formula>NOT(ISERROR(SEARCH("P",U73)))</formula>
    </cfRule>
  </conditionalFormatting>
  <conditionalFormatting sqref="U73 U209 U227 U291 U339 U490 U553:U554 U574 U583 U186 U206 U280 U705">
    <cfRule type="containsText" dxfId="691" priority="385" operator="containsText" text="ABWI">
      <formula>NOT(ISERROR(SEARCH("ABWI",U73)))</formula>
    </cfRule>
  </conditionalFormatting>
  <conditionalFormatting sqref="U87:U89 U91 U93:U95">
    <cfRule type="containsText" dxfId="690" priority="5010" operator="containsText" text="OFF">
      <formula>NOT(ISERROR(SEARCH("OFF",U87)))</formula>
    </cfRule>
    <cfRule type="containsText" dxfId="689" priority="5011" operator="containsText" text="AB">
      <formula>NOT(ISERROR(SEARCH("AB",U87)))</formula>
    </cfRule>
    <cfRule type="containsText" dxfId="688" priority="5012" operator="containsText" text="SL">
      <formula>NOT(ISERROR(SEARCH("SL",U87)))</formula>
    </cfRule>
    <cfRule type="containsText" dxfId="687" priority="5013" operator="containsText" text="EL">
      <formula>NOT(ISERROR(SEARCH("EL",U87)))</formula>
    </cfRule>
    <cfRule type="containsText" dxfId="686" priority="5014" operator="containsText" text="PL">
      <formula>NOT(ISERROR(SEARCH("PL",U87)))</formula>
    </cfRule>
    <cfRule type="containsText" dxfId="685" priority="5015" operator="containsText" text="P">
      <formula>NOT(ISERROR(SEARCH("P",U87)))</formula>
    </cfRule>
  </conditionalFormatting>
  <conditionalFormatting sqref="U87:U89 U93:U95 U91">
    <cfRule type="containsText" dxfId="684" priority="5009" operator="containsText" text="ABWI">
      <formula>NOT(ISERROR(SEARCH("ABWI",U87)))</formula>
    </cfRule>
  </conditionalFormatting>
  <conditionalFormatting sqref="U123 U186:U187 U206 U231 U280:U281 U338 U420:U421 U423 U427 U446 U448 U521 U536 U538 U551 U638 U688 U713 U845 U935 U967 U1059 U1121 U1158 U1245 U1258 U1286 U1377 U1382:U1383 U1400 U1025 U705 U932 U888:U891 U1021 U1095:U1097 U1117 U1035:U1036 U69:U70 U78 U333 U429 U1319">
    <cfRule type="containsText" dxfId="683" priority="565" operator="containsText" text="ABWI">
      <formula>NOT(ISERROR(SEARCH("ABWI",U69)))</formula>
    </cfRule>
  </conditionalFormatting>
  <conditionalFormatting sqref="U94 U646:U649 U100 U109 U247 U375:U376 U529:U530 U540:U541 U170 U1062:U1067 U295:U296 U355:U356 U361:U362 U367:U368 U436 U441:U442 U454:U455 U474 U480 U482:U483 U501 U503:U504 U759 U1015:U1017 U1137 U1175:U1177 U1181:U1183 U1211 U1214 U1298:U1299 U82 U84 U116 U131:U132 U134 U139:U140 U144 U146 U148 U150 U160 U165:U167 U273:U274 U412:U417 U609 U612 U620:U621 U626:U627 U642:U643 U663:U665 U749:U751 U910:U911 U913 U948 U950 U953 U969 U972 U979 U983:U985 U1126:U1128 U1236 U1250:U1251 U828:U829 U833 U1070 U853 U256 U262 U264:U269 U1110:U1112 U1077:U1078 U598 U13:U31 U34 U36:U37 U39 U204 U208 U226 U235 U243:U245 U253 U300:U302 U305 U311 U316:U319 U345 U393:U394 U398 U403 U407 U548 U653:U654 U731 U733:U734 U761:U762 U764 U766:U767 U810 U813:U814 U825:U826 U836 U856 U897:U899 U901:U902 U918 U940 U960:U961 U965 U999:U1000 U1072:U1073 U1091:U1092 U1143:U1144 U1147:U1148 U1161:U1162 U1168:U1169 U1265:U1266 U1324 U1343:U1344 U43:U54 U56:U62 U190 U323:U327 U515 U600:U602 U616:U618 U677:U680 U695:U699 U701:U702 U772:U775 U865:U869 U884:U886 U1042:U1044 U1084:U1087 U1150:U1152 U1240:U1243">
    <cfRule type="containsText" dxfId="682" priority="5016" operator="containsText" text="ABWI">
      <formula>NOT(ISERROR(SEARCH("ABWI",U13)))</formula>
    </cfRule>
  </conditionalFormatting>
  <conditionalFormatting sqref="U97:U104 U192 U214 U217 U221:U223 U241 U247 U338 U352 U376:U377 U384 U478 U489:U491 U496 U519 U530 U541 U552 U554 U578:U579 U581 U605 U623 U670:U671 U685:U686 U789:U792 U796 U806:U808 U977 U1141 U1219 U1223 U1262 U1329:U1331 U106:U113">
    <cfRule type="containsText" dxfId="681" priority="4116" operator="containsText" text="AB">
      <formula>NOT(ISERROR(SEARCH("AB",U97)))</formula>
    </cfRule>
    <cfRule type="containsText" dxfId="680" priority="4117" operator="containsText" text="SL">
      <formula>NOT(ISERROR(SEARCH("SL",U97)))</formula>
    </cfRule>
    <cfRule type="containsText" dxfId="679" priority="4118" operator="containsText" text="EL">
      <formula>NOT(ISERROR(SEARCH("EL",U97)))</formula>
    </cfRule>
    <cfRule type="containsText" dxfId="678" priority="4119" operator="containsText" text="PL">
      <formula>NOT(ISERROR(SEARCH("PL",U97)))</formula>
    </cfRule>
    <cfRule type="containsText" dxfId="677" priority="4120" operator="containsText" text="P">
      <formula>NOT(ISERROR(SEARCH("P",U97)))</formula>
    </cfRule>
  </conditionalFormatting>
  <conditionalFormatting sqref="U97:U104 U192 U214 U217 U241 U247 U338 U352 U376:U377 U384 U478 U489:U491 U496 U519 U530 U541 U552 U554 U578:U579 U581 U605 U623 U670:U671 U685:U686 U789:U792 U796 U806:U808 U977 U1141 U1223 U221:U223 U1219 U1329:U1331 U1262 U106:U113">
    <cfRule type="containsText" dxfId="676" priority="4115" operator="containsText" text="OFF">
      <formula>NOT(ISERROR(SEARCH("OFF",U97)))</formula>
    </cfRule>
  </conditionalFormatting>
  <conditionalFormatting sqref="U114 U199 U707 U804 U905 U928:U929 U974 U1050:U1051 U1164:U1165 U361 U985 U653 U699 U1077">
    <cfRule type="containsText" dxfId="675" priority="628" operator="containsText" text="AB">
      <formula>NOT(ISERROR(SEARCH("AB",U114)))</formula>
    </cfRule>
  </conditionalFormatting>
  <conditionalFormatting sqref="U114:U115 U199 U905:U906 U929 U974 U1051 U1165 U707">
    <cfRule type="containsText" dxfId="674" priority="627" operator="containsText" text="ABWI">
      <formula>NOT(ISERROR(SEARCH("ABWI",U114)))</formula>
    </cfRule>
  </conditionalFormatting>
  <conditionalFormatting sqref="U115 U281 U306 U431 U488 U497 U511 U526 U549 U563 U580 U791 U821 U1076 U1163 U1179 U1184 U1188 U1255 U1313">
    <cfRule type="containsText" dxfId="673" priority="889" operator="containsText" text="AB">
      <formula>NOT(ISERROR(SEARCH("AB",U115)))</formula>
    </cfRule>
    <cfRule type="containsText" dxfId="672" priority="890" operator="containsText" text="SL">
      <formula>NOT(ISERROR(SEARCH("SL",U115)))</formula>
    </cfRule>
    <cfRule type="containsText" dxfId="671" priority="891" operator="containsText" text="EL">
      <formula>NOT(ISERROR(SEARCH("EL",U115)))</formula>
    </cfRule>
    <cfRule type="containsText" dxfId="670" priority="892" operator="containsText" text="PL">
      <formula>NOT(ISERROR(SEARCH("PL",U115)))</formula>
    </cfRule>
    <cfRule type="containsText" dxfId="669" priority="893" operator="containsText" text="P">
      <formula>NOT(ISERROR(SEARCH("P",U115)))</formula>
    </cfRule>
  </conditionalFormatting>
  <conditionalFormatting sqref="U166 U376">
    <cfRule type="containsText" dxfId="668" priority="2839" operator="containsText" text="AB">
      <formula>NOT(ISERROR(SEARCH("AB",U166)))</formula>
    </cfRule>
    <cfRule type="containsText" dxfId="667" priority="2840" operator="containsText" text="SL">
      <formula>NOT(ISERROR(SEARCH("SL",U166)))</formula>
    </cfRule>
    <cfRule type="containsText" dxfId="666" priority="2841" operator="containsText" text="EL">
      <formula>NOT(ISERROR(SEARCH("EL",U166)))</formula>
    </cfRule>
    <cfRule type="containsText" dxfId="665" priority="2842" operator="containsText" text="PL">
      <formula>NOT(ISERROR(SEARCH("PL",U166)))</formula>
    </cfRule>
    <cfRule type="containsText" dxfId="664" priority="2843" operator="containsText" text="P">
      <formula>NOT(ISERROR(SEARCH("P",U166)))</formula>
    </cfRule>
  </conditionalFormatting>
  <conditionalFormatting sqref="U166:U167 U187:U189 U461:U463 U554:U574 U630:U637 U729:U732 U818:U824 U1032 U1127 U1137 U1163 U1218:U1219 U1287:U1290 U986:U996 U207:U215 U1222:U1226 U132 U191:U198 U200:U201 U203:U205 U269:U270 U415 U689:U696 U734:U735 U738:U739 U1166:U1167 U1170:U1173">
    <cfRule type="containsText" dxfId="663" priority="918" operator="containsText" text="Miss SOS">
      <formula>NOT(ISERROR(SEARCH("Miss SOS",U132)))</formula>
    </cfRule>
  </conditionalFormatting>
  <conditionalFormatting sqref="U169:U170 U871 U882 U904 U908 U1037:U1038 U1063 U1087">
    <cfRule type="containsText" dxfId="662" priority="3667" operator="containsText" text="AB">
      <formula>NOT(ISERROR(SEARCH("AB",U169)))</formula>
    </cfRule>
    <cfRule type="containsText" dxfId="661" priority="3668" operator="containsText" text="SL">
      <formula>NOT(ISERROR(SEARCH("SL",U169)))</formula>
    </cfRule>
    <cfRule type="containsText" dxfId="660" priority="3669" operator="containsText" text="EL">
      <formula>NOT(ISERROR(SEARCH("EL",U169)))</formula>
    </cfRule>
    <cfRule type="containsText" dxfId="659" priority="3670" operator="containsText" text="PL">
      <formula>NOT(ISERROR(SEARCH("PL",U169)))</formula>
    </cfRule>
    <cfRule type="containsText" dxfId="658" priority="3671" operator="containsText" text="P">
      <formula>NOT(ISERROR(SEARCH("P",U169)))</formula>
    </cfRule>
  </conditionalFormatting>
  <conditionalFormatting sqref="U169:U170 U871 U882 U904 U1087 U1034:U1038 U1063 U908">
    <cfRule type="containsText" dxfId="657" priority="3666" operator="containsText" text="OFF">
      <formula>NOT(ISERROR(SEARCH("OFF",U169)))</formula>
    </cfRule>
  </conditionalFormatting>
  <conditionalFormatting sqref="U169:U170 U882 U871 U904">
    <cfRule type="containsText" dxfId="656" priority="3665" operator="containsText" text="ABWI">
      <formula>NOT(ISERROR(SEARCH("ABWI",U169)))</formula>
    </cfRule>
  </conditionalFormatting>
  <conditionalFormatting sqref="U173 U175 U229 U276:U277 U444 U458:U459 U466:U467 U745:U746 U893:U894 U926:U927 U946 U992 U1101:U1102 U1115:U1116 U1198 U1201:U1202">
    <cfRule type="containsText" dxfId="655" priority="3896" operator="containsText" text="OFF">
      <formula>NOT(ISERROR(SEARCH("OFF",U173)))</formula>
    </cfRule>
    <cfRule type="containsText" dxfId="654" priority="3897" operator="containsText" text="AB">
      <formula>NOT(ISERROR(SEARCH("AB",U173)))</formula>
    </cfRule>
    <cfRule type="containsText" dxfId="653" priority="3898" operator="containsText" text="SL">
      <formula>NOT(ISERROR(SEARCH("SL",U173)))</formula>
    </cfRule>
    <cfRule type="containsText" dxfId="652" priority="3899" operator="containsText" text="EL">
      <formula>NOT(ISERROR(SEARCH("EL",U173)))</formula>
    </cfRule>
    <cfRule type="containsText" dxfId="651" priority="3900" operator="containsText" text="PL">
      <formula>NOT(ISERROR(SEARCH("PL",U173)))</formula>
    </cfRule>
    <cfRule type="containsText" dxfId="650" priority="3901" operator="containsText" text="P">
      <formula>NOT(ISERROR(SEARCH("P",U173)))</formula>
    </cfRule>
  </conditionalFormatting>
  <conditionalFormatting sqref="U187 U275 U281 U314 U463 U488 U497 U574 U636 U717 U791:U792 U821 U1032 U1047:U1049 U1076 U1101 U1163 U1218 U1290 U166 U731 U1017 U1127 U1137">
    <cfRule type="containsText" dxfId="649" priority="917" operator="containsText" text="ABWI">
      <formula>NOT(ISERROR(SEARCH("ABWI",U166)))</formula>
    </cfRule>
  </conditionalFormatting>
  <conditionalFormatting sqref="U187 U275 U281 U314 U463 U488 U497 U574 U636 U717 U791:U792 U821 U1032 U1047:U1049 U1076 U1101 U1163 U1218 U1290">
    <cfRule type="containsText" dxfId="648" priority="912" operator="containsText" text="AB">
      <formula>NOT(ISERROR(SEARCH("AB",U187)))</formula>
    </cfRule>
    <cfRule type="containsText" dxfId="647" priority="913" operator="containsText" text="SL">
      <formula>NOT(ISERROR(SEARCH("SL",U187)))</formula>
    </cfRule>
    <cfRule type="containsText" dxfId="646" priority="914" operator="containsText" text="EL">
      <formula>NOT(ISERROR(SEARCH("EL",U187)))</formula>
    </cfRule>
    <cfRule type="containsText" dxfId="645" priority="915" operator="containsText" text="PL">
      <formula>NOT(ISERROR(SEARCH("PL",U187)))</formula>
    </cfRule>
    <cfRule type="containsText" dxfId="644" priority="916" operator="containsText" text="P">
      <formula>NOT(ISERROR(SEARCH("P",U187)))</formula>
    </cfRule>
  </conditionalFormatting>
  <conditionalFormatting sqref="U400 U590 U813 U864 U1024 U1308:U1309 U804 U928 U1048:U1050 U1163:U1164 U91 U445 U720:U721 U736 U844 U934 U965:U966 U1014 U1020 U1116 U1120 U1363 U41 U284:U285 U386 U667">
    <cfRule type="containsText" dxfId="643" priority="736" operator="containsText" text="ABWI">
      <formula>NOT(ISERROR(SEARCH("ABWI",U41)))</formula>
    </cfRule>
  </conditionalFormatting>
  <conditionalFormatting sqref="U400 U590 U813 U864 U1024 U1308:U1309">
    <cfRule type="containsText" dxfId="642" priority="732" operator="containsText" text="SL">
      <formula>NOT(ISERROR(SEARCH("SL",U400)))</formula>
    </cfRule>
    <cfRule type="containsText" dxfId="641" priority="733" operator="containsText" text="EL">
      <formula>NOT(ISERROR(SEARCH("EL",U400)))</formula>
    </cfRule>
    <cfRule type="containsText" dxfId="640" priority="734" operator="containsText" text="PL">
      <formula>NOT(ISERROR(SEARCH("PL",U400)))</formula>
    </cfRule>
    <cfRule type="containsText" dxfId="639" priority="735" operator="containsText" text="P">
      <formula>NOT(ISERROR(SEARCH("P",U400)))</formula>
    </cfRule>
  </conditionalFormatting>
  <conditionalFormatting sqref="U400 U590 U864 U813 U1024 U1308:U1309">
    <cfRule type="containsText" dxfId="638" priority="731" operator="containsText" text="AB">
      <formula>NOT(ISERROR(SEARCH("AB",U400)))</formula>
    </cfRule>
  </conditionalFormatting>
  <conditionalFormatting sqref="U400 U590 U864">
    <cfRule type="containsText" dxfId="637" priority="730" operator="containsText" text="OFF">
      <formula>NOT(ISERROR(SEARCH("OFF",U400)))</formula>
    </cfRule>
  </conditionalFormatting>
  <conditionalFormatting sqref="U200 U649">
    <cfRule type="containsText" dxfId="636" priority="4334" operator="containsText" text="OFF">
      <formula>NOT(ISERROR(SEARCH("OFF",U200)))</formula>
    </cfRule>
    <cfRule type="containsText" dxfId="635" priority="4335" operator="containsText" text="AB">
      <formula>NOT(ISERROR(SEARCH("AB",U200)))</formula>
    </cfRule>
    <cfRule type="containsText" dxfId="634" priority="4336" operator="containsText" text="SL">
      <formula>NOT(ISERROR(SEARCH("SL",U200)))</formula>
    </cfRule>
    <cfRule type="containsText" dxfId="633" priority="4337" operator="containsText" text="EL">
      <formula>NOT(ISERROR(SEARCH("EL",U200)))</formula>
    </cfRule>
    <cfRule type="containsText" dxfId="632" priority="4338" operator="containsText" text="PL">
      <formula>NOT(ISERROR(SEARCH("PL",U200)))</formula>
    </cfRule>
    <cfRule type="containsText" dxfId="631" priority="4339" operator="containsText" text="P">
      <formula>NOT(ISERROR(SEARCH("P",U200)))</formula>
    </cfRule>
  </conditionalFormatting>
  <conditionalFormatting sqref="U200">
    <cfRule type="containsText" dxfId="630" priority="4333" operator="containsText" text="ABWI">
      <formula>NOT(ISERROR(SEARCH("ABWI",U200)))</formula>
    </cfRule>
  </conditionalFormatting>
  <conditionalFormatting sqref="U209 U227 U339 U490 U554 U574 U583 U316:U317 U73 U291 U750 U1243">
    <cfRule type="containsText" dxfId="629" priority="380" operator="containsText" text="AB">
      <formula>NOT(ISERROR(SEARCH("AB",U73)))</formula>
    </cfRule>
  </conditionalFormatting>
  <conditionalFormatting sqref="U217 U247 U377 U384 U478 U489:U491 U496 U518:U519 U530 U541 U578:U579 U581 U789:U792 U1141 U108:U111 U113 U605 U623 U685:U686 U977 U97:U104 U670:U671 U192 U214 U241 U338 U352 U552 U554 U796 U806:U808 U1223 U106">
    <cfRule type="containsText" dxfId="628" priority="4114" operator="containsText" text="ABWI">
      <formula>NOT(ISERROR(SEARCH("ABWI",U97)))</formula>
    </cfRule>
  </conditionalFormatting>
  <conditionalFormatting sqref="U220 U247 U290 U388 U431 U443 U459 U471 U481 U492 U500 U519 U530:U531 U533 U541 U578 U649 U668 U708 U727 U758 U861 U1017 U1029 U1033 U1174 U1281">
    <cfRule type="containsText" dxfId="627" priority="3132" operator="containsText" text="AB">
      <formula>NOT(ISERROR(SEARCH("AB",U220)))</formula>
    </cfRule>
    <cfRule type="containsText" dxfId="626" priority="3133" operator="containsText" text="SL">
      <formula>NOT(ISERROR(SEARCH("SL",U220)))</formula>
    </cfRule>
    <cfRule type="containsText" dxfId="625" priority="3134" operator="containsText" text="EL">
      <formula>NOT(ISERROR(SEARCH("EL",U220)))</formula>
    </cfRule>
    <cfRule type="containsText" dxfId="624" priority="3135" operator="containsText" text="PL">
      <formula>NOT(ISERROR(SEARCH("PL",U220)))</formula>
    </cfRule>
    <cfRule type="containsText" dxfId="623" priority="3136" operator="containsText" text="P">
      <formula>NOT(ISERROR(SEARCH("P",U220)))</formula>
    </cfRule>
  </conditionalFormatting>
  <conditionalFormatting sqref="U220 U247">
    <cfRule type="containsText" dxfId="622" priority="3108" operator="containsText" text="AB">
      <formula>NOT(ISERROR(SEARCH("AB",U220)))</formula>
    </cfRule>
    <cfRule type="containsText" dxfId="621" priority="3109" operator="containsText" text="SL">
      <formula>NOT(ISERROR(SEARCH("SL",U220)))</formula>
    </cfRule>
    <cfRule type="containsText" dxfId="620" priority="3110" operator="containsText" text="EL">
      <formula>NOT(ISERROR(SEARCH("EL",U220)))</formula>
    </cfRule>
    <cfRule type="containsText" dxfId="619" priority="3111" operator="containsText" text="PL">
      <formula>NOT(ISERROR(SEARCH("PL",U220)))</formula>
    </cfRule>
    <cfRule type="containsText" dxfId="618" priority="3112" operator="containsText" text="P">
      <formula>NOT(ISERROR(SEARCH("P",U220)))</formula>
    </cfRule>
    <cfRule type="containsText" dxfId="617" priority="3113" operator="containsText" text="ABWI">
      <formula>NOT(ISERROR(SEARCH("ABWI",U220)))</formula>
    </cfRule>
  </conditionalFormatting>
  <conditionalFormatting sqref="U220:U223 U247 U290 U387:U388 U430:U431 U443 U459 U470:U471 U480:U481 U492 U500 U519 U530:U533 U541 U578 U649 U667:U668 U708 U725:U727 U755:U758 U859:U861 U1016:U1017 U1028:U1029 U1033:U1034 U1174 U1279:U1281 U1205 U1283 U1087 U784:U786 U1068 U376 U1134:U1135 U816:U817 U739:U740 U1048:U1049 U296 U706 U1319 U1137">
    <cfRule type="containsText" dxfId="616" priority="3137" operator="containsText" text="ABWI">
      <formula>NOT(ISERROR(SEARCH("ABWI",U220)))</formula>
    </cfRule>
  </conditionalFormatting>
  <conditionalFormatting sqref="U247 U220">
    <cfRule type="containsText" dxfId="615" priority="3107" operator="containsText" text="OFF">
      <formula>NOT(ISERROR(SEARCH("OFF",U220)))</formula>
    </cfRule>
  </conditionalFormatting>
  <conditionalFormatting sqref="U247 U376">
    <cfRule type="containsText" dxfId="614" priority="2837" operator="containsText" text="ABWI">
      <formula>NOT(ISERROR(SEARCH("ABWI",U247)))</formula>
    </cfRule>
  </conditionalFormatting>
  <conditionalFormatting sqref="U247 U827:U828 U1034 U1208 U830:U835 U1068:U1071 U1074">
    <cfRule type="containsText" dxfId="613" priority="3042" operator="containsText" text="Miss SOS">
      <formula>NOT(ISERROR(SEARCH("Miss SOS",U247)))</formula>
    </cfRule>
  </conditionalFormatting>
  <conditionalFormatting sqref="U250:U251 U275 U281 U286 U488 U497 U661 U684 U717 U778 U894 U906 U994 U1006 U1054 U1101:U1102 U1124 U1130 U1132 U1256 U1261 U1287 U1337">
    <cfRule type="containsText" dxfId="612" priority="1174" operator="containsText" text="SL">
      <formula>NOT(ISERROR(SEARCH("SL",U250)))</formula>
    </cfRule>
    <cfRule type="containsText" dxfId="611" priority="1175" operator="containsText" text="EL">
      <formula>NOT(ISERROR(SEARCH("EL",U250)))</formula>
    </cfRule>
    <cfRule type="containsText" dxfId="610" priority="1176" operator="containsText" text="PL">
      <formula>NOT(ISERROR(SEARCH("PL",U250)))</formula>
    </cfRule>
    <cfRule type="containsText" dxfId="609" priority="1177" operator="containsText" text="P">
      <formula>NOT(ISERROR(SEARCH("P",U250)))</formula>
    </cfRule>
  </conditionalFormatting>
  <conditionalFormatting sqref="U251 U275 U281 U286 U488 U497 U661:U662 U684:U685 U717 U777:U778 U894 U906 U994 U1006 U1054 U1101:U1102 U1124:U1125 U1130 U1132 U1256 U1261:U1262 U1287 U1337 U708:U709 U76 U817">
    <cfRule type="containsText" dxfId="608" priority="1178" operator="containsText" text="ABWI">
      <formula>NOT(ISERROR(SEARCH("ABWI",U76)))</formula>
    </cfRule>
  </conditionalFormatting>
  <conditionalFormatting sqref="U266:U267 U774 U254:U264 U612 U93:U104 U470 U482 U530 U532 U618:U619 U648 U757 U106">
    <cfRule type="containsText" dxfId="607" priority="2477" operator="containsText" text="Miss SOS">
      <formula>NOT(ISERROR(SEARCH("Miss SOS",U93)))</formula>
    </cfRule>
  </conditionalFormatting>
  <conditionalFormatting sqref="U275 U281 U286 U488 U497 U661 U684 U717 U778 U894 U906 U994 U1006 U1054 U1101:U1102 U1124 U1130 U1132 U1256 U1261 U1287 U1337 U250:U251">
    <cfRule type="containsText" dxfId="606" priority="1173" operator="containsText" text="AB">
      <formula>NOT(ISERROR(SEARCH("AB",U250)))</formula>
    </cfRule>
  </conditionalFormatting>
  <conditionalFormatting sqref="U275 U281 U314 U463 U488 U497 U636 U717 U791:U792 U821 U1032 U1047:U1049 U1076 U1101 U1163 U1218 U1290 U187 U574">
    <cfRule type="containsText" dxfId="605" priority="911" operator="containsText" text="OFF">
      <formula>NOT(ISERROR(SEARCH("OFF",U187)))</formula>
    </cfRule>
  </conditionalFormatting>
  <conditionalFormatting sqref="U281 U286 U314 U342:U343 U488:U489 U496:U497 U671 U720 U792 U894 U1102 U1161">
    <cfRule type="containsText" dxfId="604" priority="1186" operator="containsText" text="ABWI">
      <formula>NOT(ISERROR(SEARCH("ABWI",U281)))</formula>
    </cfRule>
  </conditionalFormatting>
  <conditionalFormatting sqref="U281 U286 U314 U343 U488 U496:U497 U671 U720 U792 U894 U1102 U1161">
    <cfRule type="containsText" dxfId="603" priority="1181" operator="containsText" text="AB">
      <formula>NOT(ISERROR(SEARCH("AB",U281)))</formula>
    </cfRule>
    <cfRule type="containsText" dxfId="602" priority="1182" operator="containsText" text="SL">
      <formula>NOT(ISERROR(SEARCH("SL",U281)))</formula>
    </cfRule>
    <cfRule type="containsText" dxfId="601" priority="1183" operator="containsText" text="EL">
      <formula>NOT(ISERROR(SEARCH("EL",U281)))</formula>
    </cfRule>
    <cfRule type="containsText" dxfId="600" priority="1184" operator="containsText" text="PL">
      <formula>NOT(ISERROR(SEARCH("PL",U281)))</formula>
    </cfRule>
    <cfRule type="containsText" dxfId="599" priority="1185" operator="containsText" text="P">
      <formula>NOT(ISERROR(SEARCH("P",U281)))</formula>
    </cfRule>
  </conditionalFormatting>
  <conditionalFormatting sqref="U281 U488 U497 U791 U821 U1076 U1163 U1048 U275 U314 U463 U636 U717 U1032 U1101 U1218 U1290">
    <cfRule type="containsText" dxfId="598" priority="910" operator="containsText" text="ABWI">
      <formula>NOT(ISERROR(SEARCH("ABWI",U275)))</formula>
    </cfRule>
  </conditionalFormatting>
  <conditionalFormatting sqref="U292 U923:U924 U972 U132 U695 U987:U989 U317 U43 U51 U59 U62 U243 U264 U301 U626 U654 U659 U701 U762 U807 U836 U856 U898 U1161">
    <cfRule type="containsText" dxfId="597" priority="1179" operator="containsText" text="ABWI">
      <formula>NOT(ISERROR(SEARCH("ABWI",U43)))</formula>
    </cfRule>
  </conditionalFormatting>
  <conditionalFormatting sqref="U297 U1024 U1157:U1158 U1278 U1303">
    <cfRule type="containsText" dxfId="596" priority="198" operator="containsText" text="ABWI">
      <formula>NOT(ISERROR(SEARCH("ABWI",U297)))</formula>
    </cfRule>
  </conditionalFormatting>
  <conditionalFormatting sqref="U297 U1157:U1158 U1278 U1303 U316 U325 U454">
    <cfRule type="containsText" dxfId="595" priority="200" operator="containsText" text="AB">
      <formula>NOT(ISERROR(SEARCH("AB",U297)))</formula>
    </cfRule>
  </conditionalFormatting>
  <conditionalFormatting sqref="U297 U1157:U1158 U1278 U1303">
    <cfRule type="containsText" dxfId="594" priority="199" operator="containsText" text="OFF">
      <formula>NOT(ISERROR(SEARCH("OFF",U297)))</formula>
    </cfRule>
  </conditionalFormatting>
  <conditionalFormatting sqref="U306 U431 U488 U497 U526 U549 U563 U580 U791 U821 U1076 U1179 U1188 U1255 U1313 U1163 U115 U281 U1184 U511">
    <cfRule type="containsText" dxfId="593" priority="888" operator="containsText" text="OFF">
      <formula>NOT(ISERROR(SEARCH("OFF",U115)))</formula>
    </cfRule>
  </conditionalFormatting>
  <conditionalFormatting sqref="U186 U206 U209 U227 U280 U339 U490 U553:U554 U574 U583">
    <cfRule type="containsText" dxfId="592" priority="379" operator="containsText" text="OFF">
      <formula>NOT(ISERROR(SEARCH("OFF",U186)))</formula>
    </cfRule>
  </conditionalFormatting>
  <conditionalFormatting sqref="U338 U778 U802 U891 U906 U926 U1048:U1049 U1124 U1142 U1149">
    <cfRule type="containsText" dxfId="591" priority="882" operator="containsText" text="AB">
      <formula>NOT(ISERROR(SEARCH("AB",U338)))</formula>
    </cfRule>
    <cfRule type="containsText" dxfId="590" priority="883" operator="containsText" text="SL">
      <formula>NOT(ISERROR(SEARCH("SL",U338)))</formula>
    </cfRule>
    <cfRule type="containsText" dxfId="589" priority="884" operator="containsText" text="EL">
      <formula>NOT(ISERROR(SEARCH("EL",U338)))</formula>
    </cfRule>
    <cfRule type="containsText" dxfId="588" priority="885" operator="containsText" text="PL">
      <formula>NOT(ISERROR(SEARCH("PL",U338)))</formula>
    </cfRule>
    <cfRule type="containsText" dxfId="587" priority="886" operator="containsText" text="P">
      <formula>NOT(ISERROR(SEARCH("P",U338)))</formula>
    </cfRule>
  </conditionalFormatting>
  <conditionalFormatting sqref="U342">
    <cfRule type="containsText" dxfId="586" priority="3453" operator="containsText" text="OFF">
      <formula>NOT(ISERROR(SEARCH("OFF",U342)))</formula>
    </cfRule>
    <cfRule type="containsText" dxfId="585" priority="3454" operator="containsText" text="AB">
      <formula>NOT(ISERROR(SEARCH("AB",U342)))</formula>
    </cfRule>
    <cfRule type="containsText" dxfId="584" priority="3455" operator="containsText" text="SL">
      <formula>NOT(ISERROR(SEARCH("SL",U342)))</formula>
    </cfRule>
    <cfRule type="containsText" dxfId="583" priority="3456" operator="containsText" text="EL">
      <formula>NOT(ISERROR(SEARCH("EL",U342)))</formula>
    </cfRule>
    <cfRule type="containsText" dxfId="582" priority="3457" operator="containsText" text="PL">
      <formula>NOT(ISERROR(SEARCH("PL",U342)))</formula>
    </cfRule>
    <cfRule type="containsText" dxfId="581" priority="3458" operator="containsText" text="P">
      <formula>NOT(ISERROR(SEARCH("P",U342)))</formula>
    </cfRule>
  </conditionalFormatting>
  <conditionalFormatting sqref="U350 U462 U628 U641">
    <cfRule type="containsText" dxfId="580" priority="1903" operator="containsText" text="OFF">
      <formula>NOT(ISERROR(SEARCH("OFF",U350)))</formula>
    </cfRule>
    <cfRule type="containsText" dxfId="579" priority="1904" operator="containsText" text="AB">
      <formula>NOT(ISERROR(SEARCH("AB",U350)))</formula>
    </cfRule>
    <cfRule type="containsText" dxfId="578" priority="1905" operator="containsText" text="SL">
      <formula>NOT(ISERROR(SEARCH("SL",U350)))</formula>
    </cfRule>
    <cfRule type="containsText" dxfId="577" priority="1906" operator="containsText" text="EL">
      <formula>NOT(ISERROR(SEARCH("EL",U350)))</formula>
    </cfRule>
    <cfRule type="containsText" dxfId="576" priority="1907" operator="containsText" text="PL">
      <formula>NOT(ISERROR(SEARCH("PL",U350)))</formula>
    </cfRule>
    <cfRule type="containsText" dxfId="575" priority="1908" operator="containsText" text="P">
      <formula>NOT(ISERROR(SEARCH("P",U350)))</formula>
    </cfRule>
  </conditionalFormatting>
  <conditionalFormatting sqref="U355 U510:U511 U565 U612 U767 U814 U902 U1015 U1040 U1144 U1151 U1169 U1216 U1235 U1238 U1266 U1274 U1278">
    <cfRule type="containsText" dxfId="574" priority="397" operator="containsText" text="ABWI">
      <formula>NOT(ISERROR(SEARCH("ABWI",U355)))</formula>
    </cfRule>
  </conditionalFormatting>
  <conditionalFormatting sqref="U355">
    <cfRule type="containsText" dxfId="573" priority="523" operator="containsText" text="ABWI">
      <formula>NOT(ISERROR(SEARCH("ABWI",U355)))</formula>
    </cfRule>
  </conditionalFormatting>
  <conditionalFormatting sqref="U355 U767 U985 U1012 U1040 U1206 U1208 U1211:U1212 U1216 U1224 U1241 U1266 U1307">
    <cfRule type="containsText" dxfId="572" priority="218" operator="containsText" text="ABWI">
      <formula>NOT(ISERROR(SEARCH("ABWI",U355)))</formula>
    </cfRule>
  </conditionalFormatting>
  <conditionalFormatting sqref="U355">
    <cfRule type="containsText" dxfId="571" priority="522" operator="containsText" text="OFF">
      <formula>NOT(ISERROR(SEARCH("OFF",U355)))</formula>
    </cfRule>
  </conditionalFormatting>
  <conditionalFormatting sqref="U361 U1165">
    <cfRule type="containsText" dxfId="570" priority="592" operator="containsText" text="SL">
      <formula>NOT(ISERROR(SEARCH("SL",U361)))</formula>
    </cfRule>
    <cfRule type="containsText" dxfId="569" priority="593" operator="containsText" text="EL">
      <formula>NOT(ISERROR(SEARCH("EL",U361)))</formula>
    </cfRule>
    <cfRule type="containsText" dxfId="568" priority="594" operator="containsText" text="PL">
      <formula>NOT(ISERROR(SEARCH("PL",U361)))</formula>
    </cfRule>
    <cfRule type="containsText" dxfId="567" priority="595" operator="containsText" text="P">
      <formula>NOT(ISERROR(SEARCH("P",U361)))</formula>
    </cfRule>
  </conditionalFormatting>
  <conditionalFormatting sqref="U367">
    <cfRule type="containsText" dxfId="566" priority="2813" operator="containsText" text="ABWI">
      <formula>NOT(ISERROR(SEARCH("ABWI",U367)))</formula>
    </cfRule>
  </conditionalFormatting>
  <conditionalFormatting sqref="U369:U371">
    <cfRule type="containsText" dxfId="565" priority="3138" operator="containsText" text="ABWI">
      <formula>NOT(ISERROR(SEARCH("ABWI",U369)))</formula>
    </cfRule>
    <cfRule type="containsText" dxfId="564" priority="3139" operator="containsText" text="OFF">
      <formula>NOT(ISERROR(SEARCH("OFF",U369)))</formula>
    </cfRule>
    <cfRule type="containsText" dxfId="563" priority="3140" operator="containsText" text="AB">
      <formula>NOT(ISERROR(SEARCH("AB",U369)))</formula>
    </cfRule>
    <cfRule type="containsText" dxfId="562" priority="3141" operator="containsText" text="SL">
      <formula>NOT(ISERROR(SEARCH("SL",U369)))</formula>
    </cfRule>
    <cfRule type="containsText" dxfId="561" priority="3142" operator="containsText" text="EL">
      <formula>NOT(ISERROR(SEARCH("EL",U369)))</formula>
    </cfRule>
    <cfRule type="containsText" dxfId="560" priority="3143" operator="containsText" text="PL">
      <formula>NOT(ISERROR(SEARCH("PL",U369)))</formula>
    </cfRule>
    <cfRule type="containsText" dxfId="559" priority="3144" operator="containsText" text="P">
      <formula>NOT(ISERROR(SEARCH("P",U369)))</formula>
    </cfRule>
  </conditionalFormatting>
  <conditionalFormatting sqref="U370:U375">
    <cfRule type="containsText" dxfId="558" priority="901" operator="containsText" text="Miss SOS">
      <formula>NOT(ISERROR(SEARCH("Miss SOS",U370)))</formula>
    </cfRule>
  </conditionalFormatting>
  <conditionalFormatting sqref="U376 U166">
    <cfRule type="containsText" dxfId="557" priority="2838" operator="containsText" text="OFF">
      <formula>NOT(ISERROR(SEARCH("OFF",U166)))</formula>
    </cfRule>
  </conditionalFormatting>
  <conditionalFormatting sqref="U388 U431 U459 U492 U500 U578 U649 U727 U758 U1017 U1281 U220 U247 U443 U1033 U471 U519 U530:U531 U533 U861 U1029 U290 U481 U541 U1174 U668 U708">
    <cfRule type="containsText" dxfId="556" priority="3131" operator="containsText" text="OFF">
      <formula>NOT(ISERROR(SEARCH("OFF",U220)))</formula>
    </cfRule>
  </conditionalFormatting>
  <conditionalFormatting sqref="U419 U422">
    <cfRule type="containsText" dxfId="555" priority="3145" operator="containsText" text="ABWI">
      <formula>NOT(ISERROR(SEARCH("ABWI",U419)))</formula>
    </cfRule>
    <cfRule type="containsText" dxfId="554" priority="3146" operator="containsText" text="OFF">
      <formula>NOT(ISERROR(SEARCH("OFF",U419)))</formula>
    </cfRule>
    <cfRule type="containsText" dxfId="553" priority="3147" operator="containsText" text="AB">
      <formula>NOT(ISERROR(SEARCH("AB",U419)))</formula>
    </cfRule>
    <cfRule type="containsText" dxfId="552" priority="3148" operator="containsText" text="SL">
      <formula>NOT(ISERROR(SEARCH("SL",U419)))</formula>
    </cfRule>
    <cfRule type="containsText" dxfId="551" priority="3149" operator="containsText" text="EL">
      <formula>NOT(ISERROR(SEARCH("EL",U419)))</formula>
    </cfRule>
    <cfRule type="containsText" dxfId="550" priority="3150" operator="containsText" text="PL">
      <formula>NOT(ISERROR(SEARCH("PL",U419)))</formula>
    </cfRule>
    <cfRule type="containsText" dxfId="549" priority="3151" operator="containsText" text="P">
      <formula>NOT(ISERROR(SEARCH("P",U419)))</formula>
    </cfRule>
  </conditionalFormatting>
  <conditionalFormatting sqref="U428">
    <cfRule type="containsText" dxfId="548" priority="1938" operator="containsText" text="ABWI">
      <formula>NOT(ISERROR(SEARCH("ABWI",U428)))</formula>
    </cfRule>
    <cfRule type="containsText" dxfId="547" priority="1939" operator="containsText" text="OFF">
      <formula>NOT(ISERROR(SEARCH("OFF",U428)))</formula>
    </cfRule>
    <cfRule type="containsText" dxfId="546" priority="1940" operator="containsText" text="AB">
      <formula>NOT(ISERROR(SEARCH("AB",U428)))</formula>
    </cfRule>
    <cfRule type="containsText" dxfId="545" priority="1941" operator="containsText" text="SL">
      <formula>NOT(ISERROR(SEARCH("SL",U428)))</formula>
    </cfRule>
    <cfRule type="containsText" dxfId="544" priority="1942" operator="containsText" text="EL">
      <formula>NOT(ISERROR(SEARCH("EL",U428)))</formula>
    </cfRule>
    <cfRule type="containsText" dxfId="543" priority="1943" operator="containsText" text="PL">
      <formula>NOT(ISERROR(SEARCH("PL",U428)))</formula>
    </cfRule>
    <cfRule type="containsText" dxfId="542" priority="1944" operator="containsText" text="P">
      <formula>NOT(ISERROR(SEARCH("P",U428)))</formula>
    </cfRule>
    <cfRule type="containsText" dxfId="541" priority="1945" operator="containsText" text="ABWI">
      <formula>NOT(ISERROR(SEARCH("ABWI",U428)))</formula>
    </cfRule>
  </conditionalFormatting>
  <conditionalFormatting sqref="U442 U456 U484 U621 U643">
    <cfRule type="containsText" dxfId="540" priority="3086" operator="containsText" text="AB">
      <formula>NOT(ISERROR(SEARCH("AB",U442)))</formula>
    </cfRule>
    <cfRule type="containsText" dxfId="539" priority="3087" operator="containsText" text="SL">
      <formula>NOT(ISERROR(SEARCH("SL",U442)))</formula>
    </cfRule>
    <cfRule type="containsText" dxfId="538" priority="3088" operator="containsText" text="EL">
      <formula>NOT(ISERROR(SEARCH("EL",U442)))</formula>
    </cfRule>
    <cfRule type="containsText" dxfId="537" priority="3089" operator="containsText" text="PL">
      <formula>NOT(ISERROR(SEARCH("PL",U442)))</formula>
    </cfRule>
    <cfRule type="containsText" dxfId="536" priority="3090" operator="containsText" text="P">
      <formula>NOT(ISERROR(SEARCH("P",U442)))</formula>
    </cfRule>
  </conditionalFormatting>
  <conditionalFormatting sqref="U442:U443 U455:U456 U484 U621 U642:U643 U678 U680 U685 U1214 U82 U150 U1236">
    <cfRule type="containsText" dxfId="535" priority="3091" operator="containsText" text="ABWI">
      <formula>NOT(ISERROR(SEARCH("ABWI",U82)))</formula>
    </cfRule>
  </conditionalFormatting>
  <conditionalFormatting sqref="U444 U458 U893:U894 U1115:U1116 U173 U175 U745:U746 U946 U1201:U1202 U466:U467 U229 U276:U277 U926:U927 U992 U1101:U1102 U1198">
    <cfRule type="containsText" dxfId="534" priority="3895" operator="containsText" text="ABWI">
      <formula>NOT(ISERROR(SEARCH("ABWI",U173)))</formula>
    </cfRule>
  </conditionalFormatting>
  <conditionalFormatting sqref="U447 U449 U479 U489 U522:U523 U587:U589 U591:U592 U756 U957 U1049 U1052:U1054 U1192:U1193 U1202:U1204 U1321">
    <cfRule type="containsText" dxfId="533" priority="1968" operator="containsText" text="AB">
      <formula>NOT(ISERROR(SEARCH("AB",U447)))</formula>
    </cfRule>
    <cfRule type="containsText" dxfId="532" priority="1969" operator="containsText" text="SL">
      <formula>NOT(ISERROR(SEARCH("SL",U447)))</formula>
    </cfRule>
    <cfRule type="containsText" dxfId="531" priority="1970" operator="containsText" text="EL">
      <formula>NOT(ISERROR(SEARCH("EL",U447)))</formula>
    </cfRule>
    <cfRule type="containsText" dxfId="530" priority="1971" operator="containsText" text="PL">
      <formula>NOT(ISERROR(SEARCH("PL",U447)))</formula>
    </cfRule>
    <cfRule type="containsText" dxfId="529" priority="1972" operator="containsText" text="P">
      <formula>NOT(ISERROR(SEARCH("P",U447)))</formula>
    </cfRule>
  </conditionalFormatting>
  <conditionalFormatting sqref="U454">
    <cfRule type="containsText" dxfId="528" priority="500" operator="containsText" text="ABWI">
      <formula>NOT(ISERROR(SEARCH("ABWI",U454)))</formula>
    </cfRule>
  </conditionalFormatting>
  <conditionalFormatting sqref="U479 U522:U523 U587:U589 U591:U592 U756 U957 U1049 U1052:U1054 U1192:U1193 U1202:U1204 U1321 U447 U449 U489">
    <cfRule type="containsText" dxfId="527" priority="1967" operator="containsText" text="OFF">
      <formula>NOT(ISERROR(SEARCH("OFF",U447)))</formula>
    </cfRule>
  </conditionalFormatting>
  <conditionalFormatting sqref="U479:U480">
    <cfRule type="containsText" dxfId="526" priority="1965" operator="containsText" text="Miss SOS">
      <formula>NOT(ISERROR(SEARCH("Miss SOS",U479)))</formula>
    </cfRule>
  </conditionalFormatting>
  <conditionalFormatting sqref="U479:U481 U587:U589 U591:U592 U522:U523 U541 U756 U816 U957 U1049 U1052:U1054 U1192:U1193 U1202:U1203 U1321">
    <cfRule type="containsText" dxfId="525" priority="1966" operator="containsText" text="ABWI">
      <formula>NOT(ISERROR(SEARCH("ABWI",U479)))</formula>
    </cfRule>
  </conditionalFormatting>
  <conditionalFormatting sqref="U492:U493 U564 U629:U630 U657 U753 U755">
    <cfRule type="containsText" dxfId="524" priority="4764" operator="containsText" text="AB">
      <formula>NOT(ISERROR(SEARCH("AB",U492)))</formula>
    </cfRule>
    <cfRule type="containsText" dxfId="523" priority="4765" operator="containsText" text="SL">
      <formula>NOT(ISERROR(SEARCH("SL",U492)))</formula>
    </cfRule>
    <cfRule type="containsText" dxfId="522" priority="4766" operator="containsText" text="EL">
      <formula>NOT(ISERROR(SEARCH("EL",U492)))</formula>
    </cfRule>
    <cfRule type="containsText" dxfId="521" priority="4767" operator="containsText" text="PL">
      <formula>NOT(ISERROR(SEARCH("PL",U492)))</formula>
    </cfRule>
    <cfRule type="containsText" dxfId="520" priority="4768" operator="containsText" text="P">
      <formula>NOT(ISERROR(SEARCH("P",U492)))</formula>
    </cfRule>
  </conditionalFormatting>
  <conditionalFormatting sqref="U492:U493 U564 U629:U630 U753 U755 U657">
    <cfRule type="containsText" dxfId="519" priority="4763" operator="containsText" text="OFF">
      <formula>NOT(ISERROR(SEARCH("OFF",U492)))</formula>
    </cfRule>
  </conditionalFormatting>
  <conditionalFormatting sqref="U493 U629:U630 U753 U564">
    <cfRule type="containsText" dxfId="518" priority="4762" operator="containsText" text="ABWI">
      <formula>NOT(ISERROR(SEARCH("ABWI",U493)))</formula>
    </cfRule>
  </conditionalFormatting>
  <conditionalFormatting sqref="U498:U514 U418:U419 U362:U369 U216:U220 U246:U250 U287:U290 U293:U299 U376:U385 U431:U440 U442:U444 U455:U460 U471:U478 U480:U481 U490:U496 U519:U520 U530:U531 U533:U535 U541:U547 U575:U585 U649:U652 U668:U669 U708 U727:U728 U740:U742 U758:U760 U783:U784 U786:U790 U861:U863 U1017:U1019 U1029:U1031 U1033 U1049 U1087:U1090 U1133:U1135 U1174 U1177:U1181 U483:U487 U1209:U1217 U1023 U356:U360 U1084 U525:U528 U1184 U891:U893 U1113:U1115 U516 U537 U539 U765 U768 U809 U1118:U1119 U1137:U1142">
    <cfRule type="containsText" dxfId="517" priority="3664" operator="containsText" text="Miss SOS">
      <formula>NOT(ISERROR(SEARCH("Miss SOS",U216)))</formula>
    </cfRule>
  </conditionalFormatting>
  <conditionalFormatting sqref="U510 U565 U612 U814 U1025 U1040 U1096:U1097 U1151 U1216 U1235 U1238 U1266 U1274 U1278 U355 U767 U888 U902 U1014:U1015 U1021 U1144 U1169">
    <cfRule type="containsText" dxfId="516" priority="396" operator="containsText" text="OFF">
      <formula>NOT(ISERROR(SEARCH("OFF",U355)))</formula>
    </cfRule>
  </conditionalFormatting>
  <conditionalFormatting sqref="U510 U565 U612 U814 U1025 U1040 U1096:U1097 U1151 U1216 U1235 U1238 U1266 U1274 U1278">
    <cfRule type="containsText" dxfId="515" priority="392" operator="containsText" text="SL">
      <formula>NOT(ISERROR(SEARCH("SL",U510)))</formula>
    </cfRule>
    <cfRule type="containsText" dxfId="514" priority="393" operator="containsText" text="EL">
      <formula>NOT(ISERROR(SEARCH("EL",U510)))</formula>
    </cfRule>
    <cfRule type="containsText" dxfId="513" priority="394" operator="containsText" text="PL">
      <formula>NOT(ISERROR(SEARCH("PL",U510)))</formula>
    </cfRule>
    <cfRule type="containsText" dxfId="512" priority="395" operator="containsText" text="P">
      <formula>NOT(ISERROR(SEARCH("P",U510)))</formula>
    </cfRule>
  </conditionalFormatting>
  <conditionalFormatting sqref="U511">
    <cfRule type="containsText" dxfId="511" priority="3152" operator="containsText" text="ABWI">
      <formula>NOT(ISERROR(SEARCH("ABWI",U511)))</formula>
    </cfRule>
    <cfRule type="containsText" dxfId="510" priority="3153" operator="containsText" text="OFF">
      <formula>NOT(ISERROR(SEARCH("OFF",U511)))</formula>
    </cfRule>
    <cfRule type="containsText" dxfId="509" priority="3154" operator="containsText" text="AB">
      <formula>NOT(ISERROR(SEARCH("AB",U511)))</formula>
    </cfRule>
    <cfRule type="containsText" dxfId="508" priority="3155" operator="containsText" text="SL">
      <formula>NOT(ISERROR(SEARCH("SL",U511)))</formula>
    </cfRule>
    <cfRule type="containsText" dxfId="507" priority="3156" operator="containsText" text="EL">
      <formula>NOT(ISERROR(SEARCH("EL",U511)))</formula>
    </cfRule>
    <cfRule type="containsText" dxfId="506" priority="3157" operator="containsText" text="PL">
      <formula>NOT(ISERROR(SEARCH("PL",U511)))</formula>
    </cfRule>
    <cfRule type="containsText" dxfId="505" priority="3158" operator="containsText" text="P">
      <formula>NOT(ISERROR(SEARCH("P",U511)))</formula>
    </cfRule>
  </conditionalFormatting>
  <conditionalFormatting sqref="U454">
    <cfRule type="containsText" dxfId="504" priority="499" operator="containsText" text="OFF">
      <formula>NOT(ISERROR(SEARCH("OFF",U454)))</formula>
    </cfRule>
  </conditionalFormatting>
  <conditionalFormatting sqref="U601:U616 U81:U89 U132:U164 U621:U626 U640:U647 U674:U676 U685:U686 U1229:U1239 U751:U756 U776:U777 U910:U913 U1126:U1129 U1200:U1203 U1205:U1207 U1283:U1284 U166:U185 U941:U959 U743:U748 U878:U883 U415:U417 U975:U983 U1291:U1301 U628:U629 U662:U664 U933 U968:U973 U1281 U1279 U115:U122 U108:U111 U113 U124:U130 U272:U273 U410:U411 U930:U931 U937 U962:U964 U678:U683">
    <cfRule type="containsText" dxfId="503" priority="3129" operator="containsText" text="Miss SOS">
      <formula>NOT(ISERROR(SEARCH("Miss SOS",U81)))</formula>
    </cfRule>
  </conditionalFormatting>
  <conditionalFormatting sqref="U607 U828">
    <cfRule type="containsText" dxfId="502" priority="2180" operator="containsText" text="Miss SOS">
      <formula>NOT(ISERROR(SEARCH("Miss SOS",U607)))</formula>
    </cfRule>
  </conditionalFormatting>
  <conditionalFormatting sqref="U609">
    <cfRule type="containsText" dxfId="501" priority="3106" operator="containsText" text="ABWI">
      <formula>NOT(ISERROR(SEARCH("ABWI",U609)))</formula>
    </cfRule>
  </conditionalFormatting>
  <conditionalFormatting sqref="U643 U442 U456 U484 U621">
    <cfRule type="containsText" dxfId="500" priority="3085" operator="containsText" text="OFF">
      <formula>NOT(ISERROR(SEARCH("OFF",U442)))</formula>
    </cfRule>
  </conditionalFormatting>
  <conditionalFormatting sqref="U643">
    <cfRule type="containsText" dxfId="499" priority="2812" operator="containsText" text="ABWI">
      <formula>NOT(ISERROR(SEARCH("ABWI",U643)))</formula>
    </cfRule>
  </conditionalFormatting>
  <conditionalFormatting sqref="U628 U641 U350 U356 U462">
    <cfRule type="containsText" dxfId="498" priority="1902" operator="containsText" text="ABWI">
      <formula>NOT(ISERROR(SEARCH("ABWI",U350)))</formula>
    </cfRule>
  </conditionalFormatting>
  <conditionalFormatting sqref="U628 U641 U662 U673 U777 U802 U876 U880 U954 U969 U1125">
    <cfRule type="containsText" dxfId="497" priority="1605" operator="containsText" text="AB">
      <formula>NOT(ISERROR(SEARCH("AB",U628)))</formula>
    </cfRule>
    <cfRule type="containsText" dxfId="496" priority="1606" operator="containsText" text="SL">
      <formula>NOT(ISERROR(SEARCH("SL",U628)))</formula>
    </cfRule>
    <cfRule type="containsText" dxfId="495" priority="1607" operator="containsText" text="EL">
      <formula>NOT(ISERROR(SEARCH("EL",U628)))</formula>
    </cfRule>
    <cfRule type="containsText" dxfId="494" priority="1608" operator="containsText" text="PL">
      <formula>NOT(ISERROR(SEARCH("PL",U628)))</formula>
    </cfRule>
    <cfRule type="containsText" dxfId="493" priority="1609" operator="containsText" text="P">
      <formula>NOT(ISERROR(SEARCH("P",U628)))</formula>
    </cfRule>
  </conditionalFormatting>
  <conditionalFormatting sqref="U628 U641 U673 U802 U876 U880 U954 U969 U662 U777 U1125">
    <cfRule type="containsText" dxfId="492" priority="1604" operator="containsText" text="OFF">
      <formula>NOT(ISERROR(SEARCH("OFF",U628)))</formula>
    </cfRule>
  </conditionalFormatting>
  <conditionalFormatting sqref="U628 U641 U673 U802 U876 U880 U954 U969">
    <cfRule type="containsText" dxfId="491" priority="1603" operator="containsText" text="ABWI">
      <formula>NOT(ISERROR(SEARCH("ABWI",U628)))</formula>
    </cfRule>
  </conditionalFormatting>
  <conditionalFormatting sqref="U637 U1107:U1108">
    <cfRule type="containsText" dxfId="490" priority="4122" operator="containsText" text="OFF">
      <formula>NOT(ISERROR(SEARCH("OFF",U637)))</formula>
    </cfRule>
    <cfRule type="containsText" dxfId="489" priority="4123" operator="containsText" text="AB">
      <formula>NOT(ISERROR(SEARCH("AB",U637)))</formula>
    </cfRule>
    <cfRule type="containsText" dxfId="488" priority="4124" operator="containsText" text="SL">
      <formula>NOT(ISERROR(SEARCH("SL",U637)))</formula>
    </cfRule>
    <cfRule type="containsText" dxfId="487" priority="4125" operator="containsText" text="EL">
      <formula>NOT(ISERROR(SEARCH("EL",U637)))</formula>
    </cfRule>
    <cfRule type="containsText" dxfId="486" priority="4126" operator="containsText" text="PL">
      <formula>NOT(ISERROR(SEARCH("PL",U637)))</formula>
    </cfRule>
    <cfRule type="containsText" dxfId="485" priority="4127" operator="containsText" text="P">
      <formula>NOT(ISERROR(SEARCH("P",U637)))</formula>
    </cfRule>
  </conditionalFormatting>
  <conditionalFormatting sqref="U657:U659">
    <cfRule type="containsText" dxfId="484" priority="2836" operator="containsText" text="ABWI">
      <formula>NOT(ISERROR(SEARCH("ABWI",U657)))</formula>
    </cfRule>
  </conditionalFormatting>
  <conditionalFormatting sqref="U658 U678 U680 U685 U716:U718 U740 U743:U744 U880:U881">
    <cfRule type="containsText" dxfId="483" priority="2514" operator="containsText" text="OFF">
      <formula>NOT(ISERROR(SEARCH("OFF",U658)))</formula>
    </cfRule>
    <cfRule type="containsText" dxfId="482" priority="2515" operator="containsText" text="AB">
      <formula>NOT(ISERROR(SEARCH("AB",U658)))</formula>
    </cfRule>
    <cfRule type="containsText" dxfId="481" priority="2516" operator="containsText" text="SL">
      <formula>NOT(ISERROR(SEARCH("SL",U658)))</formula>
    </cfRule>
    <cfRule type="containsText" dxfId="480" priority="2517" operator="containsText" text="EL">
      <formula>NOT(ISERROR(SEARCH("EL",U658)))</formula>
    </cfRule>
    <cfRule type="containsText" dxfId="479" priority="2518" operator="containsText" text="PL">
      <formula>NOT(ISERROR(SEARCH("PL",U658)))</formula>
    </cfRule>
    <cfRule type="containsText" dxfId="478" priority="2519" operator="containsText" text="P">
      <formula>NOT(ISERROR(SEARCH("P",U658)))</formula>
    </cfRule>
  </conditionalFormatting>
  <conditionalFormatting sqref="U661 U684 U778 U906 U1124 U1256 U1261 U994 U1287 U275 U281 U488 U497 U717 U1101:U1102 U286 U894 U1006 U1054 U1130 U1132 U1337">
    <cfRule type="containsText" dxfId="477" priority="1172" operator="containsText" text="OFF">
      <formula>NOT(ISERROR(SEARCH("OFF",U275)))</formula>
    </cfRule>
  </conditionalFormatting>
  <conditionalFormatting sqref="U662 U743 U777 U803 U877">
    <cfRule type="containsText" dxfId="476" priority="1896" operator="containsText" text="AB">
      <formula>NOT(ISERROR(SEARCH("AB",U662)))</formula>
    </cfRule>
    <cfRule type="containsText" dxfId="475" priority="1897" operator="containsText" text="SL">
      <formula>NOT(ISERROR(SEARCH("SL",U662)))</formula>
    </cfRule>
    <cfRule type="containsText" dxfId="474" priority="1898" operator="containsText" text="EL">
      <formula>NOT(ISERROR(SEARCH("EL",U662)))</formula>
    </cfRule>
    <cfRule type="containsText" dxfId="473" priority="1899" operator="containsText" text="PL">
      <formula>NOT(ISERROR(SEARCH("PL",U662)))</formula>
    </cfRule>
    <cfRule type="containsText" dxfId="472" priority="1900" operator="containsText" text="P">
      <formula>NOT(ISERROR(SEARCH("P",U662)))</formula>
    </cfRule>
  </conditionalFormatting>
  <conditionalFormatting sqref="U662 U777 U803 U877 U743">
    <cfRule type="containsText" dxfId="471" priority="1895" operator="containsText" text="OFF">
      <formula>NOT(ISERROR(SEARCH("OFF",U662)))</formula>
    </cfRule>
  </conditionalFormatting>
  <conditionalFormatting sqref="U671:U673 U800:U803 U870:U877 U1125:U1127 U587:U589 U591:U599 U867">
    <cfRule type="containsText" dxfId="470" priority="1610" operator="containsText" text="Miss SOS">
      <formula>NOT(ISERROR(SEARCH("Miss SOS",U587)))</formula>
    </cfRule>
  </conditionalFormatting>
  <conditionalFormatting sqref="U985 U1012 U1040 U1096 U1206 U1208 U1211:U1212 U1216 U1220 U1224 U1266 U1307:U1309 U355 U767 U1036">
    <cfRule type="containsText" dxfId="469" priority="217" operator="containsText" text="OFF">
      <formula>NOT(ISERROR(SEARCH("OFF",U355)))</formula>
    </cfRule>
  </conditionalFormatting>
  <conditionalFormatting sqref="U985 U1012 U1040 U1096 U1206 U1208 U1211:U1212 U1216 U1224 U1266 U1307">
    <cfRule type="containsText" dxfId="468" priority="216" operator="containsText" text="P">
      <formula>NOT(ISERROR(SEARCH("P",U985)))</formula>
    </cfRule>
  </conditionalFormatting>
  <conditionalFormatting sqref="U985 U1012 U1040 U1096 U1206 U1208 U1211:U1212 U1216 U1224 U1266 U1307">
    <cfRule type="containsText" dxfId="467" priority="215" operator="containsText" text="PL">
      <formula>NOT(ISERROR(SEARCH("PL",U985)))</formula>
    </cfRule>
  </conditionalFormatting>
  <conditionalFormatting sqref="U985 U1012 U1040 U1096 U1206 U1208 U1211:U1212 U1216 U1224 U1266 U1307">
    <cfRule type="containsText" dxfId="466" priority="212" operator="containsText" text="AB">
      <formula>NOT(ISERROR(SEARCH("AB",U985)))</formula>
    </cfRule>
    <cfRule type="containsText" dxfId="465" priority="213" operator="containsText" text="SL">
      <formula>NOT(ISERROR(SEARCH("SL",U985)))</formula>
    </cfRule>
    <cfRule type="containsText" dxfId="464" priority="214" operator="containsText" text="EL">
      <formula>NOT(ISERROR(SEARCH("EL",U985)))</formula>
    </cfRule>
  </conditionalFormatting>
  <conditionalFormatting sqref="U678 U470:U471 U530:U533 U680 U685 U743:U745 U166:U167 U518:U519 U658 U716:U718 U740">
    <cfRule type="containsText" dxfId="463" priority="2513" operator="containsText" text="ABWI">
      <formula>NOT(ISERROR(SEARCH("ABWI",U166)))</formula>
    </cfRule>
  </conditionalFormatting>
  <conditionalFormatting sqref="U678 U680:U683 U933">
    <cfRule type="containsText" dxfId="462" priority="3672" operator="containsText" text="ABWI">
      <formula>NOT(ISERROR(SEARCH("ABWI",U678)))</formula>
    </cfRule>
    <cfRule type="containsText" dxfId="461" priority="3673" operator="containsText" text="OFF">
      <formula>NOT(ISERROR(SEARCH("OFF",U678)))</formula>
    </cfRule>
    <cfRule type="containsText" dxfId="460" priority="3674" operator="containsText" text="AB">
      <formula>NOT(ISERROR(SEARCH("AB",U678)))</formula>
    </cfRule>
    <cfRule type="containsText" dxfId="459" priority="3675" operator="containsText" text="SL">
      <formula>NOT(ISERROR(SEARCH("SL",U678)))</formula>
    </cfRule>
    <cfRule type="containsText" dxfId="458" priority="3676" operator="containsText" text="EL">
      <formula>NOT(ISERROR(SEARCH("EL",U678)))</formula>
    </cfRule>
    <cfRule type="containsText" dxfId="457" priority="3677" operator="containsText" text="PL">
      <formula>NOT(ISERROR(SEARCH("PL",U678)))</formula>
    </cfRule>
    <cfRule type="containsText" dxfId="456" priority="3678" operator="containsText" text="P">
      <formula>NOT(ISERROR(SEARCH("P",U678)))</formula>
    </cfRule>
  </conditionalFormatting>
  <conditionalFormatting sqref="U678">
    <cfRule type="containsText" dxfId="455" priority="2489" operator="containsText" text="ABWI">
      <formula>NOT(ISERROR(SEARCH("ABWI",U678)))</formula>
    </cfRule>
    <cfRule type="containsText" dxfId="454" priority="2490" operator="containsText" text="OFF">
      <formula>NOT(ISERROR(SEARCH("OFF",U678)))</formula>
    </cfRule>
    <cfRule type="containsText" dxfId="453" priority="2491" operator="containsText" text="AB">
      <formula>NOT(ISERROR(SEARCH("AB",U678)))</formula>
    </cfRule>
    <cfRule type="containsText" dxfId="452" priority="2492" operator="containsText" text="SL">
      <formula>NOT(ISERROR(SEARCH("SL",U678)))</formula>
    </cfRule>
    <cfRule type="containsText" dxfId="451" priority="2493" operator="containsText" text="EL">
      <formula>NOT(ISERROR(SEARCH("EL",U678)))</formula>
    </cfRule>
    <cfRule type="containsText" dxfId="450" priority="2494" operator="containsText" text="PL">
      <formula>NOT(ISERROR(SEARCH("PL",U678)))</formula>
    </cfRule>
    <cfRule type="containsText" dxfId="449" priority="2495" operator="containsText" text="P">
      <formula>NOT(ISERROR(SEARCH("P",U678)))</formula>
    </cfRule>
  </conditionalFormatting>
  <conditionalFormatting sqref="U680 U685">
    <cfRule type="containsText" dxfId="448" priority="2468" operator="containsText" text="OFF">
      <formula>NOT(ISERROR(SEARCH("OFF",U680)))</formula>
    </cfRule>
    <cfRule type="containsText" dxfId="447" priority="2469" operator="containsText" text="AB">
      <formula>NOT(ISERROR(SEARCH("AB",U680)))</formula>
    </cfRule>
    <cfRule type="containsText" dxfId="446" priority="2470" operator="containsText" text="SL">
      <formula>NOT(ISERROR(SEARCH("SL",U680)))</formula>
    </cfRule>
    <cfRule type="containsText" dxfId="445" priority="2471" operator="containsText" text="EL">
      <formula>NOT(ISERROR(SEARCH("EL",U680)))</formula>
    </cfRule>
    <cfRule type="containsText" dxfId="444" priority="2472" operator="containsText" text="PL">
      <formula>NOT(ISERROR(SEARCH("PL",U680)))</formula>
    </cfRule>
    <cfRule type="containsText" dxfId="443" priority="2473" operator="containsText" text="P">
      <formula>NOT(ISERROR(SEARCH("P",U680)))</formula>
    </cfRule>
  </conditionalFormatting>
  <conditionalFormatting sqref="U685 U680">
    <cfRule type="containsText" dxfId="442" priority="2467" operator="containsText" text="ABWI">
      <formula>NOT(ISERROR(SEARCH("ABWI",U680)))</formula>
    </cfRule>
  </conditionalFormatting>
  <conditionalFormatting sqref="U685 U801 U840 U880:U881">
    <cfRule type="containsText" dxfId="441" priority="2183" operator="containsText" text="AB">
      <formula>NOT(ISERROR(SEARCH("AB",U685)))</formula>
    </cfRule>
    <cfRule type="containsText" dxfId="440" priority="2184" operator="containsText" text="SL">
      <formula>NOT(ISERROR(SEARCH("SL",U685)))</formula>
    </cfRule>
    <cfRule type="containsText" dxfId="439" priority="2185" operator="containsText" text="EL">
      <formula>NOT(ISERROR(SEARCH("EL",U685)))</formula>
    </cfRule>
    <cfRule type="containsText" dxfId="438" priority="2186" operator="containsText" text="PL">
      <formula>NOT(ISERROR(SEARCH("PL",U685)))</formula>
    </cfRule>
    <cfRule type="containsText" dxfId="437" priority="2187" operator="containsText" text="P">
      <formula>NOT(ISERROR(SEARCH("P",U685)))</formula>
    </cfRule>
  </conditionalFormatting>
  <conditionalFormatting sqref="U718:U719 U464:U470 U518 U532 U1034 U1135 U857:U860 U1026:U1028 U841:U843 U489 U815:U816 U1126 U1173 U1211 U247 U474 U700 U811:U812 U846:U855 U1137">
    <cfRule type="containsText" dxfId="436" priority="2520" operator="containsText" text="Miss SOS">
      <formula>NOT(ISERROR(SEARCH("Miss SOS",U247)))</formula>
    </cfRule>
  </conditionalFormatting>
  <conditionalFormatting sqref="U719:U720">
    <cfRule type="containsText" dxfId="435" priority="4988" operator="containsText" text="ABWI">
      <formula>NOT(ISERROR(SEARCH("ABWI",U719)))</formula>
    </cfRule>
    <cfRule type="containsText" dxfId="434" priority="4989" operator="containsText" text="OFF">
      <formula>NOT(ISERROR(SEARCH("OFF",U719)))</formula>
    </cfRule>
    <cfRule type="containsText" dxfId="433" priority="4990" operator="containsText" text="AB">
      <formula>NOT(ISERROR(SEARCH("AB",U719)))</formula>
    </cfRule>
    <cfRule type="containsText" dxfId="432" priority="4991" operator="containsText" text="SL">
      <formula>NOT(ISERROR(SEARCH("SL",U719)))</formula>
    </cfRule>
    <cfRule type="containsText" dxfId="431" priority="4992" operator="containsText" text="EL">
      <formula>NOT(ISERROR(SEARCH("EL",U719)))</formula>
    </cfRule>
    <cfRule type="containsText" dxfId="430" priority="4993" operator="containsText" text="PL">
      <formula>NOT(ISERROR(SEARCH("PL",U719)))</formula>
    </cfRule>
    <cfRule type="containsText" dxfId="429" priority="4994" operator="containsText" text="P">
      <formula>NOT(ISERROR(SEARCH("P",U719)))</formula>
    </cfRule>
  </conditionalFormatting>
  <conditionalFormatting sqref="U729 U743 U800 U839 U979 U982 U1328">
    <cfRule type="containsText" dxfId="428" priority="1613" operator="containsText" text="OFF">
      <formula>NOT(ISERROR(SEARCH("OFF",U729)))</formula>
    </cfRule>
    <cfRule type="containsText" dxfId="427" priority="1614" operator="containsText" text="AB">
      <formula>NOT(ISERROR(SEARCH("AB",U729)))</formula>
    </cfRule>
    <cfRule type="containsText" dxfId="426" priority="1615" operator="containsText" text="SL">
      <formula>NOT(ISERROR(SEARCH("SL",U729)))</formula>
    </cfRule>
    <cfRule type="containsText" dxfId="425" priority="1616" operator="containsText" text="EL">
      <formula>NOT(ISERROR(SEARCH("EL",U729)))</formula>
    </cfRule>
    <cfRule type="containsText" dxfId="424" priority="1617" operator="containsText" text="PL">
      <formula>NOT(ISERROR(SEARCH("PL",U729)))</formula>
    </cfRule>
    <cfRule type="containsText" dxfId="423" priority="1618" operator="containsText" text="P">
      <formula>NOT(ISERROR(SEARCH("P",U729)))</formula>
    </cfRule>
  </conditionalFormatting>
  <conditionalFormatting sqref="U729 U743 U800:U801 U839:U840 U979 U982 U1328:U1330 U1110 U447 U449 U601:U602 U668">
    <cfRule type="containsText" dxfId="422" priority="1619" operator="containsText" text="ABWI">
      <formula>NOT(ISERROR(SEARCH("ABWI",U447)))</formula>
    </cfRule>
  </conditionalFormatting>
  <conditionalFormatting sqref="U750 U705">
    <cfRule type="containsText" dxfId="421" priority="493" operator="containsText" text="OFF">
      <formula>NOT(ISERROR(SEARCH("OFF",U705)))</formula>
    </cfRule>
  </conditionalFormatting>
  <conditionalFormatting sqref="U750">
    <cfRule type="containsText" dxfId="420" priority="487" operator="containsText" text="ABWI">
      <formula>NOT(ISERROR(SEARCH("ABWI",U750)))</formula>
    </cfRule>
    <cfRule type="containsText" dxfId="419" priority="488" operator="containsText" text="AB">
      <formula>NOT(ISERROR(SEARCH("AB",U750)))</formula>
    </cfRule>
    <cfRule type="containsText" dxfId="418" priority="489" operator="containsText" text="SL">
      <formula>NOT(ISERROR(SEARCH("SL",U750)))</formula>
    </cfRule>
    <cfRule type="containsText" dxfId="417" priority="490" operator="containsText" text="EL">
      <formula>NOT(ISERROR(SEARCH("EL",U750)))</formula>
    </cfRule>
    <cfRule type="containsText" dxfId="416" priority="491" operator="containsText" text="PL">
      <formula>NOT(ISERROR(SEARCH("PL",U750)))</formula>
    </cfRule>
    <cfRule type="containsText" dxfId="415" priority="492" operator="containsText" text="P">
      <formula>NOT(ISERROR(SEARCH("P",U750)))</formula>
    </cfRule>
  </conditionalFormatting>
  <conditionalFormatting sqref="U751 U783:U784 U786">
    <cfRule type="containsText" dxfId="414" priority="3078" operator="containsText" text="OFF">
      <formula>NOT(ISERROR(SEARCH("OFF",U751)))</formula>
    </cfRule>
    <cfRule type="containsText" dxfId="413" priority="3079" operator="containsText" text="AB">
      <formula>NOT(ISERROR(SEARCH("AB",U751)))</formula>
    </cfRule>
    <cfRule type="containsText" dxfId="412" priority="3080" operator="containsText" text="SL">
      <formula>NOT(ISERROR(SEARCH("SL",U751)))</formula>
    </cfRule>
    <cfRule type="containsText" dxfId="411" priority="3081" operator="containsText" text="EL">
      <formula>NOT(ISERROR(SEARCH("EL",U751)))</formula>
    </cfRule>
    <cfRule type="containsText" dxfId="410" priority="3082" operator="containsText" text="PL">
      <formula>NOT(ISERROR(SEARCH("PL",U751)))</formula>
    </cfRule>
    <cfRule type="containsText" dxfId="409" priority="3083" operator="containsText" text="P">
      <formula>NOT(ISERROR(SEARCH("P",U751)))</formula>
    </cfRule>
  </conditionalFormatting>
  <conditionalFormatting sqref="U751">
    <cfRule type="containsText" dxfId="408" priority="3084" operator="containsText" text="ABWI">
      <formula>NOT(ISERROR(SEARCH("ABWI",U751)))</formula>
    </cfRule>
  </conditionalFormatting>
  <conditionalFormatting sqref="U767 U814 U826">
    <cfRule type="containsText" dxfId="407" priority="521" operator="containsText" text="ABWI">
      <formula>NOT(ISERROR(SEARCH("ABWI",U767)))</formula>
    </cfRule>
  </conditionalFormatting>
  <conditionalFormatting sqref="U1110">
    <cfRule type="containsText" dxfId="406" priority="1611" operator="containsText" text="Miss SOS">
      <formula>NOT(ISERROR(SEARCH("Miss SOS",U1110)))</formula>
    </cfRule>
  </conditionalFormatting>
  <conditionalFormatting sqref="U774">
    <cfRule type="containsText" dxfId="405" priority="1935" operator="containsText" text="Miss SOS">
      <formula>NOT(ISERROR(SEARCH("Miss SOS",U774)))</formula>
    </cfRule>
  </conditionalFormatting>
  <conditionalFormatting sqref="U774 U979 U982">
    <cfRule type="containsText" dxfId="404" priority="1936" operator="containsText" text="ABWI">
      <formula>NOT(ISERROR(SEARCH("ABWI",U774)))</formula>
    </cfRule>
  </conditionalFormatting>
  <conditionalFormatting sqref="U778 U802 U926 U1124 U1142 U1149 U1048:U1049 U906 U338 U891">
    <cfRule type="containsText" dxfId="403" priority="881" operator="containsText" text="OFF">
      <formula>NOT(ISERROR(SEARCH("OFF",U338)))</formula>
    </cfRule>
  </conditionalFormatting>
  <conditionalFormatting sqref="U778 U802 U926 U1124">
    <cfRule type="containsText" dxfId="402" priority="880" operator="containsText" text="ABWI">
      <formula>NOT(ISERROR(SEARCH("ABWI",U778)))</formula>
    </cfRule>
  </conditionalFormatting>
  <conditionalFormatting sqref="U778:U784 U906 U919:U927 U1122:U1124 U1271:U1280 U251:U252 U292 U661 U684 U709 U786 U972 U1016 U1256:U1257 U1259:U1262 U1268:U1269 U1264">
    <cfRule type="containsText" dxfId="401" priority="1171" operator="containsText" text="Miss SOS">
      <formula>NOT(ISERROR(SEARCH("Miss SOS",U251)))</formula>
    </cfRule>
  </conditionalFormatting>
  <conditionalFormatting sqref="U785 U918:U919 U1311 U687 U712 U1142:U1143 U1157 U1361 U810 U1149">
    <cfRule type="containsText" dxfId="400" priority="760" operator="containsText" text="ABWI">
      <formula>NOT(ISERROR(SEARCH("ABWI",U687)))</formula>
    </cfRule>
  </conditionalFormatting>
  <conditionalFormatting sqref="U785 U918:U919 U1311">
    <cfRule type="containsText" dxfId="399" priority="756" operator="containsText" text="SL">
      <formula>NOT(ISERROR(SEARCH("SL",U785)))</formula>
    </cfRule>
    <cfRule type="containsText" dxfId="398" priority="757" operator="containsText" text="EL">
      <formula>NOT(ISERROR(SEARCH("EL",U785)))</formula>
    </cfRule>
    <cfRule type="containsText" dxfId="397" priority="758" operator="containsText" text="PL">
      <formula>NOT(ISERROR(SEARCH("PL",U785)))</formula>
    </cfRule>
    <cfRule type="containsText" dxfId="396" priority="759" operator="containsText" text="P">
      <formula>NOT(ISERROR(SEARCH("P",U785)))</formula>
    </cfRule>
  </conditionalFormatting>
  <conditionalFormatting sqref="U800 U729 U743 U839 U979 U982 U1328">
    <cfRule type="containsText" dxfId="395" priority="1612" operator="containsText" text="ABWI">
      <formula>NOT(ISERROR(SEARCH("ABWI",U729)))</formula>
    </cfRule>
  </conditionalFormatting>
  <conditionalFormatting sqref="U801 U840:U841 U880:U881 U449 U349:U350 U461:U462 U803 U877 U68 U71:U72 U74:U76 U107 U112 U267 U271 U282:U283 U290 U331:U332 U416:U417 U769 U915 U1270 U771">
    <cfRule type="containsText" dxfId="394" priority="2188" operator="containsText" text="ABWI">
      <formula>NOT(ISERROR(SEARCH("ABWI",U68)))</formula>
    </cfRule>
  </conditionalFormatting>
  <conditionalFormatting sqref="U803 U877 U662:U663 U777">
    <cfRule type="containsText" dxfId="393" priority="1894" operator="containsText" text="ABWI">
      <formula>NOT(ISERROR(SEARCH("ABWI",U662)))</formula>
    </cfRule>
  </conditionalFormatting>
  <conditionalFormatting sqref="U813:U814 U826 U767">
    <cfRule type="containsText" dxfId="392" priority="520" operator="containsText" text="OFF">
      <formula>NOT(ISERROR(SEARCH("OFF",U767)))</formula>
    </cfRule>
  </conditionalFormatting>
  <conditionalFormatting sqref="U814 U826">
    <cfRule type="containsText" dxfId="391" priority="515" operator="containsText" text="AB">
      <formula>NOT(ISERROR(SEARCH("AB",U814)))</formula>
    </cfRule>
    <cfRule type="containsText" dxfId="390" priority="516" operator="containsText" text="SL">
      <formula>NOT(ISERROR(SEARCH("SL",U814)))</formula>
    </cfRule>
    <cfRule type="containsText" dxfId="389" priority="517" operator="containsText" text="EL">
      <formula>NOT(ISERROR(SEARCH("EL",U814)))</formula>
    </cfRule>
    <cfRule type="containsText" dxfId="388" priority="518" operator="containsText" text="PL">
      <formula>NOT(ISERROR(SEARCH("PL",U814)))</formula>
    </cfRule>
    <cfRule type="containsText" dxfId="387" priority="519" operator="containsText" text="P">
      <formula>NOT(ISERROR(SEARCH("P",U814)))</formula>
    </cfRule>
  </conditionalFormatting>
  <conditionalFormatting sqref="U828 U751 U911">
    <cfRule type="containsText" dxfId="386" priority="2802" operator="containsText" text="ABWI">
      <formula>NOT(ISERROR(SEARCH("ABWI",U751)))</formula>
    </cfRule>
  </conditionalFormatting>
  <conditionalFormatting sqref="U828">
    <cfRule type="containsText" dxfId="385" priority="2455" operator="containsText" text="ABWI">
      <formula>NOT(ISERROR(SEARCH("ABWI",U828)))</formula>
    </cfRule>
    <cfRule type="containsText" dxfId="384" priority="2456" operator="containsText" text="Miss SOS">
      <formula>NOT(ISERROR(SEARCH("Miss SOS",U828)))</formula>
    </cfRule>
  </conditionalFormatting>
  <conditionalFormatting sqref="U831 U841:U843">
    <cfRule type="containsText" dxfId="383" priority="4755" operator="containsText" text="ABWI">
      <formula>NOT(ISERROR(SEARCH("ABWI",U831)))</formula>
    </cfRule>
    <cfRule type="containsText" dxfId="382" priority="4756" operator="containsText" text="OFF">
      <formula>NOT(ISERROR(SEARCH("OFF",U831)))</formula>
    </cfRule>
    <cfRule type="containsText" dxfId="381" priority="4757" operator="containsText" text="AB">
      <formula>NOT(ISERROR(SEARCH("AB",U831)))</formula>
    </cfRule>
    <cfRule type="containsText" dxfId="380" priority="4758" operator="containsText" text="SL">
      <formula>NOT(ISERROR(SEARCH("SL",U831)))</formula>
    </cfRule>
    <cfRule type="containsText" dxfId="379" priority="4759" operator="containsText" text="EL">
      <formula>NOT(ISERROR(SEARCH("EL",U831)))</formula>
    </cfRule>
    <cfRule type="containsText" dxfId="378" priority="4760" operator="containsText" text="PL">
      <formula>NOT(ISERROR(SEARCH("PL",U831)))</formula>
    </cfRule>
    <cfRule type="containsText" dxfId="377" priority="4761" operator="containsText" text="P">
      <formula>NOT(ISERROR(SEARCH("P",U831)))</formula>
    </cfRule>
  </conditionalFormatting>
  <conditionalFormatting sqref="U860:U861 U908:U909 U914 U1028:U1029 U1204 U1219">
    <cfRule type="containsText" dxfId="376" priority="2209" operator="containsText" text="ABWI">
      <formula>NOT(ISERROR(SEARCH("ABWI",U860)))</formula>
    </cfRule>
  </conditionalFormatting>
  <conditionalFormatting sqref="U866 U886 U961 U1092 U1183:U1185">
    <cfRule type="containsText" dxfId="375" priority="486" operator="containsText" text="ABWI">
      <formula>NOT(ISERROR(SEARCH("ABWI",U866)))</formula>
    </cfRule>
  </conditionalFormatting>
  <conditionalFormatting sqref="U880 U933 U954 U969">
    <cfRule type="containsText" dxfId="374" priority="1887" operator="containsText" text="OFF">
      <formula>NOT(ISERROR(SEARCH("OFF",U880)))</formula>
    </cfRule>
    <cfRule type="containsText" dxfId="373" priority="1888" operator="containsText" text="AB">
      <formula>NOT(ISERROR(SEARCH("AB",U880)))</formula>
    </cfRule>
    <cfRule type="containsText" dxfId="372" priority="1889" operator="containsText" text="SL">
      <formula>NOT(ISERROR(SEARCH("SL",U880)))</formula>
    </cfRule>
    <cfRule type="containsText" dxfId="371" priority="1890" operator="containsText" text="EL">
      <formula>NOT(ISERROR(SEARCH("EL",U880)))</formula>
    </cfRule>
    <cfRule type="containsText" dxfId="370" priority="1891" operator="containsText" text="PL">
      <formula>NOT(ISERROR(SEARCH("PL",U880)))</formula>
    </cfRule>
    <cfRule type="containsText" dxfId="369" priority="1892" operator="containsText" text="P">
      <formula>NOT(ISERROR(SEARCH("P",U880)))</formula>
    </cfRule>
  </conditionalFormatting>
  <conditionalFormatting sqref="U880 U954 U969 U933">
    <cfRule type="containsText" dxfId="368" priority="1886" operator="containsText" text="ABWI">
      <formula>NOT(ISERROR(SEARCH("ABWI",U880)))</formula>
    </cfRule>
  </conditionalFormatting>
  <conditionalFormatting sqref="U880:U881 U801 U840 U685">
    <cfRule type="containsText" dxfId="367" priority="2182" operator="containsText" text="OFF">
      <formula>NOT(ISERROR(SEARCH("OFF",U685)))</formula>
    </cfRule>
  </conditionalFormatting>
  <conditionalFormatting sqref="U880:U881">
    <cfRule type="containsText" dxfId="366" priority="2181" operator="containsText" text="ABWI">
      <formula>NOT(ISERROR(SEARCH("ABWI",U880)))</formula>
    </cfRule>
    <cfRule type="containsText" dxfId="365" priority="2448" operator="containsText" text="OFF">
      <formula>NOT(ISERROR(SEARCH("OFF",U880)))</formula>
    </cfRule>
    <cfRule type="containsText" dxfId="364" priority="2449" operator="containsText" text="AB">
      <formula>NOT(ISERROR(SEARCH("AB",U880)))</formula>
    </cfRule>
    <cfRule type="containsText" dxfId="363" priority="2450" operator="containsText" text="SL">
      <formula>NOT(ISERROR(SEARCH("SL",U880)))</formula>
    </cfRule>
    <cfRule type="containsText" dxfId="362" priority="2451" operator="containsText" text="EL">
      <formula>NOT(ISERROR(SEARCH("EL",U880)))</formula>
    </cfRule>
    <cfRule type="containsText" dxfId="361" priority="2452" operator="containsText" text="PL">
      <formula>NOT(ISERROR(SEARCH("PL",U880)))</formula>
    </cfRule>
    <cfRule type="containsText" dxfId="360" priority="2453" operator="containsText" text="P">
      <formula>NOT(ISERROR(SEARCH("P",U880)))</formula>
    </cfRule>
    <cfRule type="containsText" dxfId="359" priority="2454" operator="containsText" text="ABWI">
      <formula>NOT(ISERROR(SEARCH("ABWI",U880)))</formula>
    </cfRule>
  </conditionalFormatting>
  <conditionalFormatting sqref="U961 U1092 U1183 U866">
    <cfRule type="containsText" dxfId="358" priority="485" operator="containsText" text="OFF">
      <formula>NOT(ISERROR(SEARCH("OFF",U866)))</formula>
    </cfRule>
  </conditionalFormatting>
  <conditionalFormatting sqref="U961 U1092 U1183">
    <cfRule type="containsText" dxfId="357" priority="480" operator="containsText" text="AB">
      <formula>NOT(ISERROR(SEARCH("AB",U961)))</formula>
    </cfRule>
    <cfRule type="containsText" dxfId="356" priority="481" operator="containsText" text="SL">
      <formula>NOT(ISERROR(SEARCH("SL",U961)))</formula>
    </cfRule>
    <cfRule type="containsText" dxfId="355" priority="482" operator="containsText" text="EL">
      <formula>NOT(ISERROR(SEARCH("EL",U961)))</formula>
    </cfRule>
    <cfRule type="containsText" dxfId="354" priority="483" operator="containsText" text="PL">
      <formula>NOT(ISERROR(SEARCH("PL",U961)))</formula>
    </cfRule>
    <cfRule type="containsText" dxfId="353" priority="484" operator="containsText" text="P">
      <formula>NOT(ISERROR(SEARCH("P",U961)))</formula>
    </cfRule>
  </conditionalFormatting>
  <conditionalFormatting sqref="U902">
    <cfRule type="containsText" dxfId="352" priority="513" operator="containsText" text="OFF">
      <formula>NOT(ISERROR(SEARCH("OFF",U902)))</formula>
    </cfRule>
    <cfRule type="containsText" dxfId="351" priority="514" operator="containsText" text="ABWI">
      <formula>NOT(ISERROR(SEARCH("ABWI",U902)))</formula>
    </cfRule>
  </conditionalFormatting>
  <conditionalFormatting sqref="U907:U909 U914 U1204 U860 U887 U916:U917 U1028">
    <cfRule type="containsText" dxfId="350" priority="2208" operator="containsText" text="Miss SOS">
      <formula>NOT(ISERROR(SEARCH("Miss SOS",U860)))</formula>
    </cfRule>
  </conditionalFormatting>
  <conditionalFormatting sqref="U909 U914:U915">
    <cfRule type="containsText" dxfId="349" priority="2203" operator="containsText" text="AB">
      <formula>NOT(ISERROR(SEARCH("AB",U909)))</formula>
    </cfRule>
    <cfRule type="containsText" dxfId="348" priority="2204" operator="containsText" text="SL">
      <formula>NOT(ISERROR(SEARCH("SL",U909)))</formula>
    </cfRule>
    <cfRule type="containsText" dxfId="347" priority="2205" operator="containsText" text="EL">
      <formula>NOT(ISERROR(SEARCH("EL",U909)))</formula>
    </cfRule>
    <cfRule type="containsText" dxfId="346" priority="2206" operator="containsText" text="PL">
      <formula>NOT(ISERROR(SEARCH("PL",U909)))</formula>
    </cfRule>
    <cfRule type="containsText" dxfId="345" priority="2207" operator="containsText" text="P">
      <formula>NOT(ISERROR(SEARCH("P",U909)))</formula>
    </cfRule>
  </conditionalFormatting>
  <conditionalFormatting sqref="U910:U911 U1022:U1024 U1062:U1063 U1020">
    <cfRule type="containsText" dxfId="344" priority="3077" operator="containsText" text="ABWI">
      <formula>NOT(ISERROR(SEARCH("ABWI",U910)))</formula>
    </cfRule>
  </conditionalFormatting>
  <conditionalFormatting sqref="U911 U998 U1023 U1063">
    <cfRule type="containsText" dxfId="343" priority="3071" operator="containsText" text="OFF">
      <formula>NOT(ISERROR(SEARCH("OFF",U911)))</formula>
    </cfRule>
    <cfRule type="containsText" dxfId="342" priority="3072" operator="containsText" text="AB">
      <formula>NOT(ISERROR(SEARCH("AB",U911)))</formula>
    </cfRule>
    <cfRule type="containsText" dxfId="341" priority="3073" operator="containsText" text="SL">
      <formula>NOT(ISERROR(SEARCH("SL",U911)))</formula>
    </cfRule>
    <cfRule type="containsText" dxfId="340" priority="3074" operator="containsText" text="EL">
      <formula>NOT(ISERROR(SEARCH("EL",U911)))</formula>
    </cfRule>
    <cfRule type="containsText" dxfId="339" priority="3075" operator="containsText" text="PL">
      <formula>NOT(ISERROR(SEARCH("PL",U911)))</formula>
    </cfRule>
    <cfRule type="containsText" dxfId="338" priority="3076" operator="containsText" text="P">
      <formula>NOT(ISERROR(SEARCH("P",U911)))</formula>
    </cfRule>
  </conditionalFormatting>
  <conditionalFormatting sqref="U914:U915 U909">
    <cfRule type="containsText" dxfId="337" priority="2202" operator="containsText" text="OFF">
      <formula>NOT(ISERROR(SEARCH("OFF",U909)))</formula>
    </cfRule>
  </conditionalFormatting>
  <conditionalFormatting sqref="U918:U919 U1311 U785">
    <cfRule type="containsText" dxfId="336" priority="755" operator="containsText" text="AB">
      <formula>NOT(ISERROR(SEARCH("AB",U785)))</formula>
    </cfRule>
  </conditionalFormatting>
  <conditionalFormatting sqref="U918:U919 U1311">
    <cfRule type="containsText" dxfId="335" priority="754" operator="containsText" text="OFF">
      <formula>NOT(ISERROR(SEARCH("OFF",U918)))</formula>
    </cfRule>
  </conditionalFormatting>
  <conditionalFormatting sqref="U932 U1044">
    <cfRule type="containsText" dxfId="334" priority="468" operator="containsText" text="AB">
      <formula>NOT(ISERROR(SEARCH("AB",U932)))</formula>
    </cfRule>
    <cfRule type="containsText" dxfId="333" priority="469" operator="containsText" text="SL">
      <formula>NOT(ISERROR(SEARCH("SL",U932)))</formula>
    </cfRule>
    <cfRule type="containsText" dxfId="332" priority="470" operator="containsText" text="EL">
      <formula>NOT(ISERROR(SEARCH("EL",U932)))</formula>
    </cfRule>
    <cfRule type="containsText" dxfId="331" priority="471" operator="containsText" text="PL">
      <formula>NOT(ISERROR(SEARCH("PL",U932)))</formula>
    </cfRule>
    <cfRule type="containsText" dxfId="330" priority="472" operator="containsText" text="P">
      <formula>NOT(ISERROR(SEARCH("P",U932)))</formula>
    </cfRule>
    <cfRule type="containsText" dxfId="329" priority="473" operator="containsText" text="ABWI">
      <formula>NOT(ISERROR(SEARCH("ABWI",U932)))</formula>
    </cfRule>
    <cfRule type="containsText" dxfId="328" priority="474" operator="containsText" text="OFF">
      <formula>NOT(ISERROR(SEARCH("OFF",U932)))</formula>
    </cfRule>
  </conditionalFormatting>
  <conditionalFormatting sqref="U949">
    <cfRule type="containsText" dxfId="327" priority="2823" operator="containsText" text="OFF">
      <formula>NOT(ISERROR(SEARCH("OFF",U949)))</formula>
    </cfRule>
    <cfRule type="containsText" dxfId="326" priority="2824" operator="containsText" text="AB">
      <formula>NOT(ISERROR(SEARCH("AB",U949)))</formula>
    </cfRule>
    <cfRule type="containsText" dxfId="325" priority="2825" operator="containsText" text="SL">
      <formula>NOT(ISERROR(SEARCH("SL",U949)))</formula>
    </cfRule>
    <cfRule type="containsText" dxfId="324" priority="2826" operator="containsText" text="EL">
      <formula>NOT(ISERROR(SEARCH("EL",U949)))</formula>
    </cfRule>
    <cfRule type="containsText" dxfId="323" priority="2827" operator="containsText" text="PL">
      <formula>NOT(ISERROR(SEARCH("PL",U949)))</formula>
    </cfRule>
    <cfRule type="containsText" dxfId="322" priority="2828" operator="containsText" text="P">
      <formula>NOT(ISERROR(SEARCH("P",U949)))</formula>
    </cfRule>
  </conditionalFormatting>
  <conditionalFormatting sqref="U957 U1067 U1115 U1121 U1199">
    <cfRule type="containsText" dxfId="321" priority="262" operator="containsText" text="SL">
      <formula>NOT(ISERROR(SEARCH("SL",U957)))</formula>
    </cfRule>
    <cfRule type="containsText" dxfId="320" priority="263" operator="containsText" text="EL">
      <formula>NOT(ISERROR(SEARCH("EL",U957)))</formula>
    </cfRule>
    <cfRule type="containsText" dxfId="319" priority="264" operator="containsText" text="PL">
      <formula>NOT(ISERROR(SEARCH("PL",U957)))</formula>
    </cfRule>
    <cfRule type="containsText" dxfId="318" priority="265" operator="containsText" text="P">
      <formula>NOT(ISERROR(SEARCH("P",U957)))</formula>
    </cfRule>
    <cfRule type="containsText" dxfId="317" priority="357" operator="containsText" text="SL">
      <formula>NOT(ISERROR(SEARCH("SL",U957)))</formula>
    </cfRule>
    <cfRule type="containsText" dxfId="316" priority="358" operator="containsText" text="EL">
      <formula>NOT(ISERROR(SEARCH("EL",U957)))</formula>
    </cfRule>
    <cfRule type="containsText" dxfId="315" priority="359" operator="containsText" text="PL">
      <formula>NOT(ISERROR(SEARCH("PL",U957)))</formula>
    </cfRule>
    <cfRule type="containsText" dxfId="314" priority="360" operator="containsText" text="P">
      <formula>NOT(ISERROR(SEARCH("P",U957)))</formula>
    </cfRule>
  </conditionalFormatting>
  <conditionalFormatting sqref="U957 U1115 U1121 U1199 U1067">
    <cfRule type="containsText" dxfId="313" priority="261" operator="containsText" text="AB">
      <formula>NOT(ISERROR(SEARCH("AB",U957)))</formula>
    </cfRule>
    <cfRule type="containsText" dxfId="312" priority="356" operator="containsText" text="AB">
      <formula>NOT(ISERROR(SEARCH("AB",U957)))</formula>
    </cfRule>
  </conditionalFormatting>
  <conditionalFormatting sqref="U957 U1115 U1121 U1199">
    <cfRule type="containsText" dxfId="311" priority="260" operator="containsText" text="OFF">
      <formula>NOT(ISERROR(SEARCH("OFF",U957)))</formula>
    </cfRule>
    <cfRule type="containsText" dxfId="310" priority="354" operator="containsText" text="ABWI">
      <formula>NOT(ISERROR(SEARCH("ABWI",U957)))</formula>
    </cfRule>
  </conditionalFormatting>
  <conditionalFormatting sqref="U957 U1115:U1117 U1121 U1199">
    <cfRule type="containsText" dxfId="309" priority="355" operator="containsText" text="OFF">
      <formula>NOT(ISERROR(SEARCH("OFF",U957)))</formula>
    </cfRule>
  </conditionalFormatting>
  <conditionalFormatting sqref="U979 U982">
    <cfRule type="containsText" dxfId="308" priority="1929" operator="containsText" text="OFF">
      <formula>NOT(ISERROR(SEARCH("OFF",U979)))</formula>
    </cfRule>
    <cfRule type="containsText" dxfId="307" priority="1930" operator="containsText" text="AB">
      <formula>NOT(ISERROR(SEARCH("AB",U979)))</formula>
    </cfRule>
    <cfRule type="containsText" dxfId="306" priority="1931" operator="containsText" text="SL">
      <formula>NOT(ISERROR(SEARCH("SL",U979)))</formula>
    </cfRule>
    <cfRule type="containsText" dxfId="305" priority="1932" operator="containsText" text="EL">
      <formula>NOT(ISERROR(SEARCH("EL",U979)))</formula>
    </cfRule>
    <cfRule type="containsText" dxfId="304" priority="1933" operator="containsText" text="PL">
      <formula>NOT(ISERROR(SEARCH("PL",U979)))</formula>
    </cfRule>
    <cfRule type="containsText" dxfId="303" priority="1934" operator="containsText" text="P">
      <formula>NOT(ISERROR(SEARCH("P",U979)))</formula>
    </cfRule>
  </conditionalFormatting>
  <conditionalFormatting sqref="U982 U1340">
    <cfRule type="containsText" dxfId="302" priority="2174" operator="containsText" text="AB">
      <formula>NOT(ISERROR(SEARCH("AB",U982)))</formula>
    </cfRule>
    <cfRule type="containsText" dxfId="301" priority="2175" operator="containsText" text="SL">
      <formula>NOT(ISERROR(SEARCH("SL",U982)))</formula>
    </cfRule>
    <cfRule type="containsText" dxfId="300" priority="2176" operator="containsText" text="EL">
      <formula>NOT(ISERROR(SEARCH("EL",U982)))</formula>
    </cfRule>
    <cfRule type="containsText" dxfId="299" priority="2177" operator="containsText" text="PL">
      <formula>NOT(ISERROR(SEARCH("PL",U982)))</formula>
    </cfRule>
    <cfRule type="containsText" dxfId="298" priority="2178" operator="containsText" text="P">
      <formula>NOT(ISERROR(SEARCH("P",U982)))</formula>
    </cfRule>
  </conditionalFormatting>
  <conditionalFormatting sqref="U982:U983 U1340 U1038 U1298">
    <cfRule type="containsText" dxfId="297" priority="2179" operator="containsText" text="ABWI">
      <formula>NOT(ISERROR(SEARCH("ABWI",U982)))</formula>
    </cfRule>
  </conditionalFormatting>
  <conditionalFormatting sqref="U984 U1157">
    <cfRule type="containsText" dxfId="296" priority="411" operator="containsText" text="ABWI">
      <formula>NOT(ISERROR(SEARCH("ABWI",U984)))</formula>
    </cfRule>
    <cfRule type="containsText" dxfId="295" priority="412" operator="containsText" text="Miss SOS">
      <formula>NOT(ISERROR(SEARCH("Miss SOS",U984)))</formula>
    </cfRule>
    <cfRule type="containsText" dxfId="294" priority="413" operator="containsText" text="ABWI">
      <formula>NOT(ISERROR(SEARCH("ABWI",U984)))</formula>
    </cfRule>
    <cfRule type="containsText" dxfId="293" priority="414" operator="containsText" text="Miss SOS">
      <formula>NOT(ISERROR(SEARCH("Miss SOS",U984)))</formula>
    </cfRule>
    <cfRule type="containsText" dxfId="292" priority="415" operator="containsText" text="ABWI">
      <formula>NOT(ISERROR(SEARCH("ABWI",U984)))</formula>
    </cfRule>
  </conditionalFormatting>
  <conditionalFormatting sqref="U1000 U1003">
    <cfRule type="containsText" dxfId="291" priority="373" operator="containsText" text="ABWI">
      <formula>NOT(ISERROR(SEARCH("ABWI",U1000)))</formula>
    </cfRule>
  </conditionalFormatting>
  <conditionalFormatting sqref="U1000">
    <cfRule type="containsText" dxfId="290" priority="466" operator="containsText" text="OFF">
      <formula>NOT(ISERROR(SEARCH("OFF",U1000)))</formula>
    </cfRule>
    <cfRule type="containsText" dxfId="289" priority="467" operator="containsText" text="ABWI">
      <formula>NOT(ISERROR(SEARCH("ABWI",U1000)))</formula>
    </cfRule>
  </conditionalFormatting>
  <conditionalFormatting sqref="U1002:U1003 U1199 U1220 U1313:U1314 U798 U1058">
    <cfRule type="containsText" dxfId="288" priority="743" operator="containsText" text="ABWI">
      <formula>NOT(ISERROR(SEARCH("ABWI",U798)))</formula>
    </cfRule>
  </conditionalFormatting>
  <conditionalFormatting sqref="U1002:U1003 U1199 U1220 U1314">
    <cfRule type="containsText" dxfId="287" priority="740" operator="containsText" text="EL">
      <formula>NOT(ISERROR(SEARCH("EL",U1002)))</formula>
    </cfRule>
    <cfRule type="containsText" dxfId="286" priority="741" operator="containsText" text="PL">
      <formula>NOT(ISERROR(SEARCH("PL",U1002)))</formula>
    </cfRule>
    <cfRule type="containsText" dxfId="285" priority="742" operator="containsText" text="P">
      <formula>NOT(ISERROR(SEARCH("P",U1002)))</formula>
    </cfRule>
  </conditionalFormatting>
  <conditionalFormatting sqref="U1002:U1003 U1199 U1220">
    <cfRule type="containsText" dxfId="284" priority="739" operator="containsText" text="SL">
      <formula>NOT(ISERROR(SEARCH("SL",U1002)))</formula>
    </cfRule>
  </conditionalFormatting>
  <conditionalFormatting sqref="U1003 U1000">
    <cfRule type="containsText" dxfId="283" priority="372" operator="containsText" text="OFF">
      <formula>NOT(ISERROR(SEARCH("OFF",U1000)))</formula>
    </cfRule>
  </conditionalFormatting>
  <conditionalFormatting sqref="U1003">
    <cfRule type="containsText" dxfId="282" priority="367" operator="containsText" text="AB">
      <formula>NOT(ISERROR(SEARCH("AB",U1003)))</formula>
    </cfRule>
    <cfRule type="containsText" dxfId="281" priority="368" operator="containsText" text="SL">
      <formula>NOT(ISERROR(SEARCH("SL",U1003)))</formula>
    </cfRule>
    <cfRule type="containsText" dxfId="280" priority="369" operator="containsText" text="EL">
      <formula>NOT(ISERROR(SEARCH("EL",U1003)))</formula>
    </cfRule>
    <cfRule type="containsText" dxfId="279" priority="370" operator="containsText" text="PL">
      <formula>NOT(ISERROR(SEARCH("PL",U1003)))</formula>
    </cfRule>
    <cfRule type="containsText" dxfId="278" priority="371" operator="containsText" text="P">
      <formula>NOT(ISERROR(SEARCH("P",U1003)))</formula>
    </cfRule>
  </conditionalFormatting>
  <conditionalFormatting sqref="U1024:U1025 U1266 U1143:U1144">
    <cfRule type="containsText" dxfId="277" priority="512" operator="containsText" text="OFF">
      <formula>NOT(ISERROR(SEARCH("OFF",U1024)))</formula>
    </cfRule>
  </conditionalFormatting>
  <conditionalFormatting sqref="U1025 U1266">
    <cfRule type="containsText" dxfId="276" priority="508" operator="containsText" text="SL">
      <formula>NOT(ISERROR(SEARCH("SL",U1025)))</formula>
    </cfRule>
    <cfRule type="containsText" dxfId="275" priority="509" operator="containsText" text="EL">
      <formula>NOT(ISERROR(SEARCH("EL",U1025)))</formula>
    </cfRule>
    <cfRule type="containsText" dxfId="274" priority="510" operator="containsText" text="PL">
      <formula>NOT(ISERROR(SEARCH("PL",U1025)))</formula>
    </cfRule>
    <cfRule type="containsText" dxfId="273" priority="511" operator="containsText" text="P">
      <formula>NOT(ISERROR(SEARCH("P",U1025)))</formula>
    </cfRule>
  </conditionalFormatting>
  <conditionalFormatting sqref="U1034 U1038 U1135 U1214">
    <cfRule type="containsText" dxfId="272" priority="2171" operator="containsText" text="Miss SOS">
      <formula>NOT(ISERROR(SEARCH("Miss SOS",U1034)))</formula>
    </cfRule>
  </conditionalFormatting>
  <conditionalFormatting sqref="U1034 U1135 U1137 U1340">
    <cfRule type="containsText" dxfId="271" priority="2172" operator="containsText" text="ABWI">
      <formula>NOT(ISERROR(SEARCH("ABWI",U1034)))</formula>
    </cfRule>
  </conditionalFormatting>
  <conditionalFormatting sqref="U1034 U1135 U948:U949 U1137:U1138">
    <cfRule type="containsText" dxfId="270" priority="2488" operator="containsText" text="ABWI">
      <formula>NOT(ISERROR(SEARCH("ABWI",U948)))</formula>
    </cfRule>
  </conditionalFormatting>
  <conditionalFormatting sqref="U1037:U1038">
    <cfRule type="containsText" dxfId="269" priority="2487" operator="containsText" text="ABWI">
      <formula>NOT(ISERROR(SEARCH("ABWI",U1037)))</formula>
    </cfRule>
  </conditionalFormatting>
  <conditionalFormatting sqref="U1038 U1034 U1137">
    <cfRule type="containsText" dxfId="268" priority="2486" operator="containsText" text="Miss SOS">
      <formula>NOT(ISERROR(SEARCH("Miss SOS",U1034)))</formula>
    </cfRule>
  </conditionalFormatting>
  <conditionalFormatting sqref="U1046">
    <cfRule type="containsText" dxfId="267" priority="5002" operator="containsText" text="ABWI">
      <formula>NOT(ISERROR(SEARCH("ABWI",U1046)))</formula>
    </cfRule>
  </conditionalFormatting>
  <conditionalFormatting sqref="U1046:U1049">
    <cfRule type="containsText" dxfId="266" priority="5003" operator="containsText" text="OFF">
      <formula>NOT(ISERROR(SEARCH("OFF",U1046)))</formula>
    </cfRule>
    <cfRule type="containsText" dxfId="265" priority="5004" operator="containsText" text="AB">
      <formula>NOT(ISERROR(SEARCH("AB",U1046)))</formula>
    </cfRule>
    <cfRule type="containsText" dxfId="264" priority="5005" operator="containsText" text="SL">
      <formula>NOT(ISERROR(SEARCH("SL",U1046)))</formula>
    </cfRule>
    <cfRule type="containsText" dxfId="263" priority="5006" operator="containsText" text="EL">
      <formula>NOT(ISERROR(SEARCH("EL",U1046)))</formula>
    </cfRule>
    <cfRule type="containsText" dxfId="262" priority="5007" operator="containsText" text="PL">
      <formula>NOT(ISERROR(SEARCH("PL",U1046)))</formula>
    </cfRule>
    <cfRule type="containsText" dxfId="261" priority="5008" operator="containsText" text="P">
      <formula>NOT(ISERROR(SEARCH("P",U1046)))</formula>
    </cfRule>
  </conditionalFormatting>
  <conditionalFormatting sqref="U1075:U1076 U1078 U1080:U1081 U1171:U1172">
    <cfRule type="containsText" dxfId="260" priority="1646" operator="containsText" text="OFF">
      <formula>NOT(ISERROR(SEARCH("OFF",U1075)))</formula>
    </cfRule>
    <cfRule type="containsText" dxfId="259" priority="1647" operator="containsText" text="AB">
      <formula>NOT(ISERROR(SEARCH("AB",U1075)))</formula>
    </cfRule>
    <cfRule type="containsText" dxfId="258" priority="1648" operator="containsText" text="SL">
      <formula>NOT(ISERROR(SEARCH("SL",U1075)))</formula>
    </cfRule>
    <cfRule type="containsText" dxfId="257" priority="1649" operator="containsText" text="EL">
      <formula>NOT(ISERROR(SEARCH("EL",U1075)))</formula>
    </cfRule>
    <cfRule type="containsText" dxfId="256" priority="1650" operator="containsText" text="PL">
      <formula>NOT(ISERROR(SEARCH("PL",U1075)))</formula>
    </cfRule>
    <cfRule type="containsText" dxfId="255" priority="1651" operator="containsText" text="P">
      <formula>NOT(ISERROR(SEARCH("P",U1075)))</formula>
    </cfRule>
  </conditionalFormatting>
  <conditionalFormatting sqref="U1075:U1076 U1078 U1080:U1081 U1171:U1174">
    <cfRule type="containsText" dxfId="254" priority="1645" operator="containsText" text="ABWI">
      <formula>NOT(ISERROR(SEARCH("ABWI",U1075)))</formula>
    </cfRule>
  </conditionalFormatting>
  <conditionalFormatting sqref="U1082:U1084">
    <cfRule type="containsText" dxfId="253" priority="1877" operator="containsText" text="Miss SOS">
      <formula>NOT(ISERROR(SEARCH("Miss SOS",U1082)))</formula>
    </cfRule>
  </conditionalFormatting>
  <conditionalFormatting sqref="U1083">
    <cfRule type="containsText" dxfId="252" priority="1879" operator="containsText" text="OFF">
      <formula>NOT(ISERROR(SEARCH("OFF",U1083)))</formula>
    </cfRule>
    <cfRule type="containsText" dxfId="251" priority="1880" operator="containsText" text="AB">
      <formula>NOT(ISERROR(SEARCH("AB",U1083)))</formula>
    </cfRule>
    <cfRule type="containsText" dxfId="250" priority="1881" operator="containsText" text="SL">
      <formula>NOT(ISERROR(SEARCH("SL",U1083)))</formula>
    </cfRule>
    <cfRule type="containsText" dxfId="249" priority="1882" operator="containsText" text="EL">
      <formula>NOT(ISERROR(SEARCH("EL",U1083)))</formula>
    </cfRule>
    <cfRule type="containsText" dxfId="248" priority="1883" operator="containsText" text="PL">
      <formula>NOT(ISERROR(SEARCH("PL",U1083)))</formula>
    </cfRule>
    <cfRule type="containsText" dxfId="247" priority="1884" operator="containsText" text="P">
      <formula>NOT(ISERROR(SEARCH("P",U1083)))</formula>
    </cfRule>
  </conditionalFormatting>
  <conditionalFormatting sqref="U1083:U1084 U1126:U1127">
    <cfRule type="containsText" dxfId="246" priority="1878" operator="containsText" text="ABWI">
      <formula>NOT(ISERROR(SEARCH("ABWI",U1083)))</formula>
    </cfRule>
  </conditionalFormatting>
  <conditionalFormatting sqref="U1087 U1177:U1178">
    <cfRule type="containsText" dxfId="245" priority="3115" operator="containsText" text="OFF">
      <formula>NOT(ISERROR(SEARCH("OFF",U1087)))</formula>
    </cfRule>
    <cfRule type="containsText" dxfId="244" priority="3116" operator="containsText" text="AB">
      <formula>NOT(ISERROR(SEARCH("AB",U1087)))</formula>
    </cfRule>
    <cfRule type="containsText" dxfId="243" priority="3117" operator="containsText" text="SL">
      <formula>NOT(ISERROR(SEARCH("SL",U1087)))</formula>
    </cfRule>
    <cfRule type="containsText" dxfId="242" priority="3118" operator="containsText" text="EL">
      <formula>NOT(ISERROR(SEARCH("EL",U1087)))</formula>
    </cfRule>
    <cfRule type="containsText" dxfId="241" priority="3119" operator="containsText" text="PL">
      <formula>NOT(ISERROR(SEARCH("PL",U1087)))</formula>
    </cfRule>
    <cfRule type="containsText" dxfId="240" priority="3120" operator="containsText" text="P">
      <formula>NOT(ISERROR(SEARCH("P",U1087)))</formula>
    </cfRule>
  </conditionalFormatting>
  <conditionalFormatting sqref="U1087">
    <cfRule type="containsText" dxfId="239" priority="1927" operator="containsText" text="ABWI">
      <formula>NOT(ISERROR(SEARCH("ABWI",U1087)))</formula>
    </cfRule>
  </conditionalFormatting>
  <conditionalFormatting sqref="U1103:U1110 U1093:U1094">
    <cfRule type="containsText" dxfId="238" priority="2445" operator="containsText" text="Miss SOS">
      <formula>NOT(ISERROR(SEARCH("Miss SOS",U1093)))</formula>
    </cfRule>
  </conditionalFormatting>
  <conditionalFormatting sqref="U1107:U1108 U637">
    <cfRule type="containsText" dxfId="237" priority="4121" operator="containsText" text="ABWI">
      <formula>NOT(ISERROR(SEARCH("ABWI",U637)))</formula>
    </cfRule>
  </conditionalFormatting>
  <conditionalFormatting sqref="U1121 U1199 U957 U1115">
    <cfRule type="containsText" dxfId="236" priority="259" operator="containsText" text="ABWI">
      <formula>NOT(ISERROR(SEARCH("ABWI",U957)))</formula>
    </cfRule>
  </conditionalFormatting>
  <conditionalFormatting sqref="U1121 U1199">
    <cfRule type="containsText" dxfId="235" priority="251" operator="containsText" text="OFF">
      <formula>NOT(ISERROR(SEARCH("OFF",U1121)))</formula>
    </cfRule>
  </conditionalFormatting>
  <conditionalFormatting sqref="U1126:U1127 U1201:U1202 U1205:U1206 U1250:U1251">
    <cfRule type="containsText" dxfId="234" priority="3064" operator="containsText" text="ABWI">
      <formula>NOT(ISERROR(SEARCH("ABWI",U1126)))</formula>
    </cfRule>
  </conditionalFormatting>
  <conditionalFormatting sqref="U1127 U1202 U1205:U1206 U1251">
    <cfRule type="containsText" dxfId="233" priority="3065" operator="containsText" text="OFF">
      <formula>NOT(ISERROR(SEARCH("OFF",U1127)))</formula>
    </cfRule>
    <cfRule type="containsText" dxfId="232" priority="3066" operator="containsText" text="AB">
      <formula>NOT(ISERROR(SEARCH("AB",U1127)))</formula>
    </cfRule>
    <cfRule type="containsText" dxfId="231" priority="3067" operator="containsText" text="SL">
      <formula>NOT(ISERROR(SEARCH("SL",U1127)))</formula>
    </cfRule>
    <cfRule type="containsText" dxfId="230" priority="3068" operator="containsText" text="EL">
      <formula>NOT(ISERROR(SEARCH("EL",U1127)))</formula>
    </cfRule>
    <cfRule type="containsText" dxfId="229" priority="3069" operator="containsText" text="PL">
      <formula>NOT(ISERROR(SEARCH("PL",U1127)))</formula>
    </cfRule>
    <cfRule type="containsText" dxfId="228" priority="3070" operator="containsText" text="P">
      <formula>NOT(ISERROR(SEARCH("P",U1127)))</formula>
    </cfRule>
  </conditionalFormatting>
  <conditionalFormatting sqref="U1127 U1202 U1206 U1251 U1283">
    <cfRule type="containsText" dxfId="227" priority="3058" operator="containsText" text="OFF">
      <formula>NOT(ISERROR(SEARCH("OFF",U1127)))</formula>
    </cfRule>
    <cfRule type="containsText" dxfId="226" priority="3059" operator="containsText" text="AB">
      <formula>NOT(ISERROR(SEARCH("AB",U1127)))</formula>
    </cfRule>
    <cfRule type="containsText" dxfId="225" priority="3060" operator="containsText" text="SL">
      <formula>NOT(ISERROR(SEARCH("SL",U1127)))</formula>
    </cfRule>
    <cfRule type="containsText" dxfId="224" priority="3061" operator="containsText" text="EL">
      <formula>NOT(ISERROR(SEARCH("EL",U1127)))</formula>
    </cfRule>
    <cfRule type="containsText" dxfId="223" priority="3062" operator="containsText" text="PL">
      <formula>NOT(ISERROR(SEARCH("PL",U1127)))</formula>
    </cfRule>
    <cfRule type="containsText" dxfId="222" priority="3063" operator="containsText" text="P">
      <formula>NOT(ISERROR(SEARCH("P",U1127)))</formula>
    </cfRule>
  </conditionalFormatting>
  <conditionalFormatting sqref="U1127 U1206 U1251 U1211 U1202 U1283">
    <cfRule type="containsText" dxfId="221" priority="3056" operator="containsText" text="ABWI">
      <formula>NOT(ISERROR(SEARCH("ABWI",U1127)))</formula>
    </cfRule>
  </conditionalFormatting>
  <conditionalFormatting sqref="U1127 U1206 U1251">
    <cfRule type="containsText" dxfId="220" priority="3051" operator="containsText" text="AB">
      <formula>NOT(ISERROR(SEARCH("AB",U1127)))</formula>
    </cfRule>
    <cfRule type="containsText" dxfId="219" priority="3052" operator="containsText" text="SL">
      <formula>NOT(ISERROR(SEARCH("SL",U1127)))</formula>
    </cfRule>
    <cfRule type="containsText" dxfId="218" priority="3053" operator="containsText" text="EL">
      <formula>NOT(ISERROR(SEARCH("EL",U1127)))</formula>
    </cfRule>
    <cfRule type="containsText" dxfId="217" priority="3054" operator="containsText" text="PL">
      <formula>NOT(ISERROR(SEARCH("PL",U1127)))</formula>
    </cfRule>
    <cfRule type="containsText" dxfId="216" priority="3055" operator="containsText" text="P">
      <formula>NOT(ISERROR(SEARCH("P",U1127)))</formula>
    </cfRule>
  </conditionalFormatting>
  <conditionalFormatting sqref="U1130:U1134">
    <cfRule type="containsText" dxfId="215" priority="2816" operator="containsText" text="OFF">
      <formula>NOT(ISERROR(SEARCH("OFF",U1130)))</formula>
    </cfRule>
    <cfRule type="containsText" dxfId="214" priority="2817" operator="containsText" text="AB">
      <formula>NOT(ISERROR(SEARCH("AB",U1130)))</formula>
    </cfRule>
    <cfRule type="containsText" dxfId="213" priority="2818" operator="containsText" text="SL">
      <formula>NOT(ISERROR(SEARCH("SL",U1130)))</formula>
    </cfRule>
    <cfRule type="containsText" dxfId="212" priority="2819" operator="containsText" text="EL">
      <formula>NOT(ISERROR(SEARCH("EL",U1130)))</formula>
    </cfRule>
    <cfRule type="containsText" dxfId="211" priority="2820" operator="containsText" text="PL">
      <formula>NOT(ISERROR(SEARCH("PL",U1130)))</formula>
    </cfRule>
    <cfRule type="containsText" dxfId="210" priority="2821" operator="containsText" text="P">
      <formula>NOT(ISERROR(SEARCH("P",U1130)))</formula>
    </cfRule>
  </conditionalFormatting>
  <conditionalFormatting sqref="U1130:U1135">
    <cfRule type="containsText" dxfId="209" priority="2815" operator="containsText" text="ABWI">
      <formula>NOT(ISERROR(SEARCH("ABWI",U1130)))</formula>
    </cfRule>
  </conditionalFormatting>
  <conditionalFormatting sqref="U1135">
    <cfRule type="containsText" dxfId="208" priority="2427" operator="containsText" text="Miss SOS">
      <formula>NOT(ISERROR(SEARCH("Miss SOS",U1135)))</formula>
    </cfRule>
    <cfRule type="containsText" dxfId="207" priority="2428" operator="containsText" text="ABWI">
      <formula>NOT(ISERROR(SEARCH("ABWI",U1135)))</formula>
    </cfRule>
  </conditionalFormatting>
  <conditionalFormatting sqref="U1137:U1138 U1033:U1034 U1251">
    <cfRule type="containsText" dxfId="206" priority="2793" operator="containsText" text="ABWI">
      <formula>NOT(ISERROR(SEARCH("ABWI",U1033)))</formula>
    </cfRule>
  </conditionalFormatting>
  <conditionalFormatting sqref="U1138">
    <cfRule type="containsText" dxfId="205" priority="2787" operator="containsText" text="OFF">
      <formula>NOT(ISERROR(SEARCH("OFF",U1138)))</formula>
    </cfRule>
    <cfRule type="containsText" dxfId="204" priority="2788" operator="containsText" text="AB">
      <formula>NOT(ISERROR(SEARCH("AB",U1138)))</formula>
    </cfRule>
    <cfRule type="containsText" dxfId="203" priority="2789" operator="containsText" text="SL">
      <formula>NOT(ISERROR(SEARCH("SL",U1138)))</formula>
    </cfRule>
    <cfRule type="containsText" dxfId="202" priority="2790" operator="containsText" text="EL">
      <formula>NOT(ISERROR(SEARCH("EL",U1138)))</formula>
    </cfRule>
    <cfRule type="containsText" dxfId="201" priority="2791" operator="containsText" text="PL">
      <formula>NOT(ISERROR(SEARCH("PL",U1138)))</formula>
    </cfRule>
    <cfRule type="containsText" dxfId="200" priority="2792" operator="containsText" text="P">
      <formula>NOT(ISERROR(SEARCH("P",U1138)))</formula>
    </cfRule>
  </conditionalFormatting>
  <conditionalFormatting sqref="U1151 U1040 U1216 U1266 U1096:U1097 U1278 U510 U565 U612 U814 U1025 U1235 U1238 U1274">
    <cfRule type="containsText" dxfId="199" priority="391" operator="containsText" text="AB">
      <formula>NOT(ISERROR(SEARCH("AB",U510)))</formula>
    </cfRule>
  </conditionalFormatting>
  <conditionalFormatting sqref="U1157 U984">
    <cfRule type="containsText" dxfId="198" priority="410" operator="containsText" text="Miss SOS">
      <formula>NOT(ISERROR(SEARCH("Miss SOS",U984)))</formula>
    </cfRule>
  </conditionalFormatting>
  <conditionalFormatting sqref="U1157:U1158 U186 U206 U280 U736 U1120:U1121 U1286 U798 U91 U123 U231 U420:U421 U423 U427 U445:U446 U448 U521 U536 U538 U551 U638 U687:U688 U712:U713 U720:U721 U844:U845 U934:U935 U965:U967 U1058:U1059 U1245 U1258 U1314 U1361 U1377 U1382:U1383 U1400 U1363">
    <cfRule type="containsText" dxfId="197" priority="564" operator="containsText" text="OFF">
      <formula>NOT(ISERROR(SEARCH("OFF",U91)))</formula>
    </cfRule>
  </conditionalFormatting>
  <conditionalFormatting sqref="U1161 U281 U286 U488 U496:U497 U894 U1102 U314 U792 U720 U343 U671">
    <cfRule type="containsText" dxfId="196" priority="1180" operator="containsText" text="OFF">
      <formula>NOT(ISERROR(SEARCH("OFF",U281)))</formula>
    </cfRule>
  </conditionalFormatting>
  <conditionalFormatting sqref="U1164:U1165 U114 U199 U804 U905 U928:U929 U974 U1050:U1051">
    <cfRule type="containsText" dxfId="195" priority="626" operator="containsText" text="OFF">
      <formula>NOT(ISERROR(SEARCH("OFF",U114)))</formula>
    </cfRule>
  </conditionalFormatting>
  <conditionalFormatting sqref="U1165 U361">
    <cfRule type="containsText" dxfId="194" priority="591" operator="containsText" text="AB">
      <formula>NOT(ISERROR(SEARCH("AB",U361)))</formula>
    </cfRule>
  </conditionalFormatting>
  <conditionalFormatting sqref="U1165">
    <cfRule type="containsText" dxfId="193" priority="589" operator="containsText" text="ABWI">
      <formula>NOT(ISERROR(SEARCH("ABWI",U1165)))</formula>
    </cfRule>
    <cfRule type="containsText" dxfId="192" priority="590" operator="containsText" text="OFF">
      <formula>NOT(ISERROR(SEARCH("OFF",U1165)))</formula>
    </cfRule>
  </conditionalFormatting>
  <conditionalFormatting sqref="U1176">
    <cfRule type="containsText" dxfId="191" priority="587" operator="containsText" text="Miss SOS">
      <formula>NOT(ISERROR(SEARCH("Miss SOS",U1176)))</formula>
    </cfRule>
  </conditionalFormatting>
  <conditionalFormatting sqref="U1176:U1179 U306 U431 U488 U497 U526 U549 U563 U580 U791 U821 U987:U988 U1076 U1188 U1255">
    <cfRule type="containsText" dxfId="190" priority="887" operator="containsText" text="ABWI">
      <formula>NOT(ISERROR(SEARCH("ABWI",U306)))</formula>
    </cfRule>
  </conditionalFormatting>
  <conditionalFormatting sqref="U1187:U1198">
    <cfRule type="containsText" dxfId="189" priority="904" operator="containsText" text="Miss SOS">
      <formula>NOT(ISERROR(SEARCH("Miss SOS",U1187)))</formula>
    </cfRule>
  </conditionalFormatting>
  <conditionalFormatting sqref="U1199 U1002:U1003 U1220">
    <cfRule type="containsText" dxfId="188" priority="738" operator="containsText" text="AB">
      <formula>NOT(ISERROR(SEARCH("AB",U1002)))</formula>
    </cfRule>
  </conditionalFormatting>
  <conditionalFormatting sqref="U1199 U1121">
    <cfRule type="containsText" dxfId="187" priority="250" operator="containsText" text="ABWI">
      <formula>NOT(ISERROR(SEARCH("ABWI",U1121)))</formula>
    </cfRule>
  </conditionalFormatting>
  <conditionalFormatting sqref="U1199">
    <cfRule type="containsText" dxfId="186" priority="245" operator="containsText" text="AB">
      <formula>NOT(ISERROR(SEARCH("AB",U1199)))</formula>
    </cfRule>
    <cfRule type="containsText" dxfId="185" priority="246" operator="containsText" text="SL">
      <formula>NOT(ISERROR(SEARCH("SL",U1199)))</formula>
    </cfRule>
    <cfRule type="containsText" dxfId="184" priority="247" operator="containsText" text="EL">
      <formula>NOT(ISERROR(SEARCH("EL",U1199)))</formula>
    </cfRule>
    <cfRule type="containsText" dxfId="183" priority="248" operator="containsText" text="PL">
      <formula>NOT(ISERROR(SEARCH("PL",U1199)))</formula>
    </cfRule>
    <cfRule type="containsText" dxfId="182" priority="249" operator="containsText" text="P">
      <formula>NOT(ISERROR(SEARCH("P",U1199)))</formula>
    </cfRule>
    <cfRule type="containsText" dxfId="181" priority="737" operator="containsText" text="OFF">
      <formula>NOT(ISERROR(SEARCH("OFF",U1199)))</formula>
    </cfRule>
  </conditionalFormatting>
  <conditionalFormatting sqref="U1251 U1127 U1206">
    <cfRule type="containsText" dxfId="180" priority="3050" operator="containsText" text="OFF">
      <formula>NOT(ISERROR(SEARCH("OFF",U1127)))</formula>
    </cfRule>
  </conditionalFormatting>
  <conditionalFormatting sqref="U1266 U1025">
    <cfRule type="containsText" dxfId="179" priority="507" operator="containsText" text="AB">
      <formula>NOT(ISERROR(SEARCH("AB",U1025)))</formula>
    </cfRule>
  </conditionalFormatting>
  <conditionalFormatting sqref="U1278 U1281:U1283">
    <cfRule type="containsText" dxfId="178" priority="1638" operator="containsText" text="OFF">
      <formula>NOT(ISERROR(SEARCH("OFF",U1278)))</formula>
    </cfRule>
    <cfRule type="containsText" dxfId="177" priority="1639" operator="containsText" text="AB">
      <formula>NOT(ISERROR(SEARCH("AB",U1278)))</formula>
    </cfRule>
    <cfRule type="containsText" dxfId="176" priority="1640" operator="containsText" text="SL">
      <formula>NOT(ISERROR(SEARCH("SL",U1278)))</formula>
    </cfRule>
    <cfRule type="containsText" dxfId="175" priority="1641" operator="containsText" text="EL">
      <formula>NOT(ISERROR(SEARCH("EL",U1278)))</formula>
    </cfRule>
    <cfRule type="containsText" dxfId="174" priority="1642" operator="containsText" text="PL">
      <formula>NOT(ISERROR(SEARCH("PL",U1278)))</formula>
    </cfRule>
    <cfRule type="containsText" dxfId="173" priority="1643" operator="containsText" text="P">
      <formula>NOT(ISERROR(SEARCH("P",U1278)))</formula>
    </cfRule>
  </conditionalFormatting>
  <conditionalFormatting sqref="U1278:U1279 U1281:U1283">
    <cfRule type="containsText" dxfId="172" priority="1637" operator="containsText" text="ABWI">
      <formula>NOT(ISERROR(SEARCH("ABWI",U1278)))</formula>
    </cfRule>
  </conditionalFormatting>
  <conditionalFormatting sqref="U1281 U388 U431 U459 U492 U500 U578 U649 U727 U758 U1017">
    <cfRule type="containsText" dxfId="171" priority="3130" operator="containsText" text="ABWI">
      <formula>NOT(ISERROR(SEARCH("ABWI",U388)))</formula>
    </cfRule>
  </conditionalFormatting>
  <conditionalFormatting sqref="U1299">
    <cfRule type="containsText" dxfId="170" priority="3657" operator="containsText" text="ABWI">
      <formula>NOT(ISERROR(SEARCH("ABWI",U1299)))</formula>
    </cfRule>
    <cfRule type="containsText" dxfId="169" priority="3658" operator="containsText" text="OFF">
      <formula>NOT(ISERROR(SEARCH("OFF",U1299)))</formula>
    </cfRule>
    <cfRule type="containsText" dxfId="168" priority="3659" operator="containsText" text="AB">
      <formula>NOT(ISERROR(SEARCH("AB",U1299)))</formula>
    </cfRule>
    <cfRule type="containsText" dxfId="167" priority="3660" operator="containsText" text="SL">
      <formula>NOT(ISERROR(SEARCH("SL",U1299)))</formula>
    </cfRule>
    <cfRule type="containsText" dxfId="166" priority="3661" operator="containsText" text="EL">
      <formula>NOT(ISERROR(SEARCH("EL",U1299)))</formula>
    </cfRule>
    <cfRule type="containsText" dxfId="165" priority="3662" operator="containsText" text="PL">
      <formula>NOT(ISERROR(SEARCH("PL",U1299)))</formula>
    </cfRule>
    <cfRule type="containsText" dxfId="164" priority="3663" operator="containsText" text="P">
      <formula>NOT(ISERROR(SEARCH("P",U1299)))</formula>
    </cfRule>
  </conditionalFormatting>
  <conditionalFormatting sqref="U1300">
    <cfRule type="containsText" dxfId="163" priority="1189" operator="containsText" text="ABWI">
      <formula>NOT(ISERROR(SEARCH("ABWI",U1300)))</formula>
    </cfRule>
    <cfRule type="containsText" dxfId="162" priority="1190" operator="containsText" text="OFF">
      <formula>NOT(ISERROR(SEARCH("OFF",U1300)))</formula>
    </cfRule>
    <cfRule type="containsText" dxfId="161" priority="1191" operator="containsText" text="AB">
      <formula>NOT(ISERROR(SEARCH("AB",U1300)))</formula>
    </cfRule>
    <cfRule type="containsText" dxfId="160" priority="1192" operator="containsText" text="SL">
      <formula>NOT(ISERROR(SEARCH("SL",U1300)))</formula>
    </cfRule>
    <cfRule type="containsText" dxfId="159" priority="1193" operator="containsText" text="EL">
      <formula>NOT(ISERROR(SEARCH("EL",U1300)))</formula>
    </cfRule>
    <cfRule type="containsText" dxfId="158" priority="1194" operator="containsText" text="PL">
      <formula>NOT(ISERROR(SEARCH("PL",U1300)))</formula>
    </cfRule>
    <cfRule type="containsText" dxfId="157" priority="1195" operator="containsText" text="P">
      <formula>NOT(ISERROR(SEARCH("P",U1300)))</formula>
    </cfRule>
  </conditionalFormatting>
  <conditionalFormatting sqref="U1301">
    <cfRule type="containsText" dxfId="156" priority="4748" operator="containsText" text="ABWI">
      <formula>NOT(ISERROR(SEARCH("ABWI",U1301)))</formula>
    </cfRule>
    <cfRule type="containsText" dxfId="155" priority="4749" operator="containsText" text="OFF">
      <formula>NOT(ISERROR(SEARCH("OFF",U1301)))</formula>
    </cfRule>
    <cfRule type="containsText" dxfId="154" priority="4750" operator="containsText" text="AB">
      <formula>NOT(ISERROR(SEARCH("AB",U1301)))</formula>
    </cfRule>
    <cfRule type="containsText" dxfId="153" priority="4751" operator="containsText" text="SL">
      <formula>NOT(ISERROR(SEARCH("SL",U1301)))</formula>
    </cfRule>
    <cfRule type="containsText" dxfId="152" priority="4752" operator="containsText" text="EL">
      <formula>NOT(ISERROR(SEARCH("EL",U1301)))</formula>
    </cfRule>
    <cfRule type="containsText" dxfId="151" priority="4753" operator="containsText" text="PL">
      <formula>NOT(ISERROR(SEARCH("PL",U1301)))</formula>
    </cfRule>
    <cfRule type="containsText" dxfId="150" priority="4754" operator="containsText" text="P">
      <formula>NOT(ISERROR(SEARCH("P",U1301)))</formula>
    </cfRule>
  </conditionalFormatting>
  <conditionalFormatting sqref="U1340 U982">
    <cfRule type="containsText" dxfId="149" priority="2173" operator="containsText" text="OFF">
      <formula>NOT(ISERROR(SEARCH("OFF",U982)))</formula>
    </cfRule>
  </conditionalFormatting>
  <conditionalFormatting sqref="B7:B1407">
    <cfRule type="duplicateValues" dxfId="148" priority="68546"/>
  </conditionalFormatting>
  <conditionalFormatting sqref="C7:C1407">
    <cfRule type="duplicateValues" dxfId="147" priority="68547"/>
  </conditionalFormatting>
  <conditionalFormatting sqref="T739 T735 T728 T691 T685 T666 T651 T643 T447 T443 T429:T430 T424 T415 T406:T407 T401 T399 T397 T395 T392:T393 T389 T387 T385 T377:T380 T367:T371 T362 T356 T350:T351 T347:T348 T344 T340 T426">
    <cfRule type="containsText" dxfId="146" priority="117" operator="containsText" text="P">
      <formula>NOT(ISERROR(SEARCH("P",T340)))</formula>
    </cfRule>
  </conditionalFormatting>
  <conditionalFormatting sqref="T739 T735 T728 T691 T685 T666 T651 T643 T447 T443 T429:T430 T424 T415 T406:T407 T401 T399 T397 T395 T392:T393 T389 T387 T385 T377:T380 T367:T371 T362 T356 T350:T351 T347:T348 T344 T340 T426">
    <cfRule type="containsText" dxfId="145" priority="112" operator="containsText" text="ABWI">
      <formula>NOT(ISERROR(SEARCH("ABWI",T340)))</formula>
    </cfRule>
    <cfRule type="containsText" dxfId="144" priority="113" operator="containsText" text="AB">
      <formula>NOT(ISERROR(SEARCH("AB",T340)))</formula>
    </cfRule>
    <cfRule type="containsText" dxfId="143" priority="114" operator="containsText" text="SL">
      <formula>NOT(ISERROR(SEARCH("SL",T340)))</formula>
    </cfRule>
    <cfRule type="containsText" dxfId="142" priority="115" operator="containsText" text="EL">
      <formula>NOT(ISERROR(SEARCH("EL",T340)))</formula>
    </cfRule>
    <cfRule type="containsText" dxfId="141" priority="116" operator="containsText" text="PL">
      <formula>NOT(ISERROR(SEARCH("PL",T340)))</formula>
    </cfRule>
  </conditionalFormatting>
  <conditionalFormatting sqref="T739 T735 T728 T691 T685 T666 T651 T643 T447 T443 T429:T430 T424 T415 T406:T407 T401 T399 T397 T395 T392:T393 T389 T387 T385 T377:T380 T367:T371 T362 T356 T350:T351 T347:T348 T344 T340 T426">
    <cfRule type="containsText" dxfId="140" priority="111" operator="containsText" text="OFF">
      <formula>NOT(ISERROR(SEARCH("OFF",T340)))</formula>
    </cfRule>
  </conditionalFormatting>
  <conditionalFormatting sqref="T759 T736 T729 T711 T698 T692:T694 T689 T657 T642 T628 T423 T386 T346 T339">
    <cfRule type="containsText" dxfId="139" priority="110" operator="containsText" text="P">
      <formula>NOT(ISERROR(SEARCH("P",T339)))</formula>
    </cfRule>
  </conditionalFormatting>
  <conditionalFormatting sqref="T759 T736 T729 T711 T698 T692:T694 T689 T657 T642 T628 T423 T386 T346 T339">
    <cfRule type="containsText" dxfId="138" priority="105" operator="containsText" text="ABWI">
      <formula>NOT(ISERROR(SEARCH("ABWI",T339)))</formula>
    </cfRule>
    <cfRule type="containsText" dxfId="137" priority="106" operator="containsText" text="AB">
      <formula>NOT(ISERROR(SEARCH("AB",T339)))</formula>
    </cfRule>
    <cfRule type="containsText" dxfId="136" priority="107" operator="containsText" text="SL">
      <formula>NOT(ISERROR(SEARCH("SL",T339)))</formula>
    </cfRule>
    <cfRule type="containsText" dxfId="135" priority="108" operator="containsText" text="EL">
      <formula>NOT(ISERROR(SEARCH("EL",T339)))</formula>
    </cfRule>
    <cfRule type="containsText" dxfId="134" priority="109" operator="containsText" text="PL">
      <formula>NOT(ISERROR(SEARCH("PL",T339)))</formula>
    </cfRule>
  </conditionalFormatting>
  <conditionalFormatting sqref="T759 T736 T729 T711 T698 T692:T694 T689 T657 T642 T628 T423 T386 T346 T339">
    <cfRule type="containsText" dxfId="133" priority="104" operator="containsText" text="OFF">
      <formula>NOT(ISERROR(SEARCH("OFF",T339)))</formula>
    </cfRule>
  </conditionalFormatting>
  <conditionalFormatting sqref="T999 T802 T771 T765:T766 T761:T762 T757 T754 T752 T749 T741:T742 T730 T726 T720 T717 T706 T704 T699:T700 T690 T686:T687 T682:T683 T676 T673:T674 T665 T661 T658:T659 T652:T653 T650 T648 T644 T638 T633:T634 T631 T621 T618:T619 T441 T436:T437 T433:T434 T427 T416:T420 T414 T403 T400 T394 T390 T381:T384 T372:T374 T363 T359 T357 T353 T338">
    <cfRule type="containsText" dxfId="132" priority="103" operator="containsText" text="P">
      <formula>NOT(ISERROR(SEARCH("P",T338)))</formula>
    </cfRule>
  </conditionalFormatting>
  <conditionalFormatting sqref="T999 T802 T771 T765:T766 T761:T762 T757 T754 T752 T749 T741:T742 T730 T726 T720 T717 T706 T704 T699:T700 T690 T686:T687 T682:T683 T676 T673:T674 T667 T665 T661 T658:T659 T652:T653 T650 T648 T644 T638 T633:T634 T631 T621 T618:T619 T441 T436:T437 T433:T434 T427 T416:T420 T414 T403 T400 T394 T390 T381:T384 T372:T374 T363 T359 T357 T353 T338">
    <cfRule type="containsText" dxfId="131" priority="98" operator="containsText" text="ABWI">
      <formula>NOT(ISERROR(SEARCH("ABWI",T338)))</formula>
    </cfRule>
    <cfRule type="containsText" dxfId="130" priority="99" operator="containsText" text="AB">
      <formula>NOT(ISERROR(SEARCH("AB",T338)))</formula>
    </cfRule>
    <cfRule type="containsText" dxfId="129" priority="100" operator="containsText" text="SL">
      <formula>NOT(ISERROR(SEARCH("SL",T338)))</formula>
    </cfRule>
    <cfRule type="containsText" dxfId="128" priority="101" operator="containsText" text="EL">
      <formula>NOT(ISERROR(SEARCH("EL",T338)))</formula>
    </cfRule>
    <cfRule type="containsText" dxfId="127" priority="102" operator="containsText" text="PL">
      <formula>NOT(ISERROR(SEARCH("PL",T338)))</formula>
    </cfRule>
  </conditionalFormatting>
  <conditionalFormatting sqref="T999 T802 T771 T765:T766 T761:T762 T757 T754 T752 T749 T741:T742 T730 T726 T720 T717 T706 T704 T699:T700 T690 T686:T687 T682:T683 T676 T673:T674 T667 T665 T661 T658:T659 T652:T653 T650 T648 T644 T638 T633:T634 T631 T621 T618:T619 T441 T436:T437 T433:T434 T427 T416:T420 T414 T403 T400 T394 T390 T381:T384 T372:T374 T363 T359 T357 T353 T338">
    <cfRule type="containsText" dxfId="126" priority="97" operator="containsText" text="OFF">
      <formula>NOT(ISERROR(SEARCH("OFF",T338)))</formula>
    </cfRule>
  </conditionalFormatting>
  <conditionalFormatting sqref="U1160">
    <cfRule type="containsText" dxfId="125" priority="96" operator="containsText" text="P">
      <formula>NOT(ISERROR(SEARCH("P",U1160)))</formula>
    </cfRule>
  </conditionalFormatting>
  <conditionalFormatting sqref="U1160">
    <cfRule type="containsText" dxfId="124" priority="93" operator="containsText" text="SL">
      <formula>NOT(ISERROR(SEARCH("SL",U1160)))</formula>
    </cfRule>
    <cfRule type="containsText" dxfId="123" priority="94" operator="containsText" text="EL">
      <formula>NOT(ISERROR(SEARCH("EL",U1160)))</formula>
    </cfRule>
    <cfRule type="containsText" dxfId="122" priority="95" operator="containsText" text="PL">
      <formula>NOT(ISERROR(SEARCH("PL",U1160)))</formula>
    </cfRule>
  </conditionalFormatting>
  <conditionalFormatting sqref="U1160">
    <cfRule type="containsText" dxfId="121" priority="92" operator="containsText" text="AB">
      <formula>NOT(ISERROR(SEARCH("AB",U1160)))</formula>
    </cfRule>
  </conditionalFormatting>
  <conditionalFormatting sqref="U1160">
    <cfRule type="containsText" dxfId="120" priority="89" operator="containsText" text="Miss SOS">
      <formula>NOT(ISERROR(SEARCH("Miss SOS",U1160)))</formula>
    </cfRule>
  </conditionalFormatting>
  <conditionalFormatting sqref="U1160">
    <cfRule type="containsText" dxfId="119" priority="90" operator="containsText" text="ABWI">
      <formula>NOT(ISERROR(SEARCH("ABWI",U1160)))</formula>
    </cfRule>
  </conditionalFormatting>
  <conditionalFormatting sqref="U1160">
    <cfRule type="containsText" dxfId="118" priority="91" operator="containsText" text="ABWI">
      <formula>NOT(ISERROR(SEARCH("ABWI",U1160)))</formula>
    </cfRule>
  </conditionalFormatting>
  <conditionalFormatting sqref="T1136">
    <cfRule type="containsText" dxfId="117" priority="88" operator="containsText" text="PL">
      <formula>NOT(ISERROR(SEARCH("PL",T1136)))</formula>
    </cfRule>
  </conditionalFormatting>
  <conditionalFormatting sqref="U1136">
    <cfRule type="containsText" dxfId="116" priority="87" operator="containsText" text="P">
      <formula>NOT(ISERROR(SEARCH("P",U1136)))</formula>
    </cfRule>
  </conditionalFormatting>
  <conditionalFormatting sqref="U1136">
    <cfRule type="containsText" dxfId="115" priority="84" operator="containsText" text="SL">
      <formula>NOT(ISERROR(SEARCH("SL",U1136)))</formula>
    </cfRule>
    <cfRule type="containsText" dxfId="114" priority="85" operator="containsText" text="EL">
      <formula>NOT(ISERROR(SEARCH("EL",U1136)))</formula>
    </cfRule>
    <cfRule type="containsText" dxfId="113" priority="86" operator="containsText" text="PL">
      <formula>NOT(ISERROR(SEARCH("PL",U1136)))</formula>
    </cfRule>
  </conditionalFormatting>
  <conditionalFormatting sqref="U1136">
    <cfRule type="containsText" dxfId="112" priority="83" operator="containsText" text="AB">
      <formula>NOT(ISERROR(SEARCH("AB",U1136)))</formula>
    </cfRule>
  </conditionalFormatting>
  <conditionalFormatting sqref="U1136">
    <cfRule type="containsText" dxfId="111" priority="80" operator="containsText" text="Miss SOS">
      <formula>NOT(ISERROR(SEARCH("Miss SOS",U1136)))</formula>
    </cfRule>
  </conditionalFormatting>
  <conditionalFormatting sqref="U1136">
    <cfRule type="containsText" dxfId="110" priority="81" operator="containsText" text="ABWI">
      <formula>NOT(ISERROR(SEARCH("ABWI",U1136)))</formula>
    </cfRule>
  </conditionalFormatting>
  <conditionalFormatting sqref="U1136">
    <cfRule type="containsText" dxfId="109" priority="82" operator="containsText" text="ABWI">
      <formula>NOT(ISERROR(SEARCH("ABWI",U1136)))</formula>
    </cfRule>
  </conditionalFormatting>
  <conditionalFormatting sqref="T1039">
    <cfRule type="containsText" dxfId="108" priority="77" operator="containsText" text="SL">
      <formula>NOT(ISERROR(SEARCH("SL",T1039)))</formula>
    </cfRule>
    <cfRule type="containsText" dxfId="107" priority="78" operator="containsText" text="EL">
      <formula>NOT(ISERROR(SEARCH("EL",T1039)))</formula>
    </cfRule>
    <cfRule type="containsText" dxfId="106" priority="79" operator="containsText" text="PL">
      <formula>NOT(ISERROR(SEARCH("PL",T1039)))</formula>
    </cfRule>
  </conditionalFormatting>
  <conditionalFormatting sqref="T1039">
    <cfRule type="containsText" dxfId="105" priority="76" operator="containsText" text="AB">
      <formula>NOT(ISERROR(SEARCH("AB",T1039)))</formula>
    </cfRule>
  </conditionalFormatting>
  <conditionalFormatting sqref="T1039">
    <cfRule type="containsText" dxfId="104" priority="69" operator="containsText" text="P">
      <formula>NOT(ISERROR(SEARCH("P",T1039)))</formula>
    </cfRule>
  </conditionalFormatting>
  <conditionalFormatting sqref="T1039">
    <cfRule type="containsText" dxfId="103" priority="68" operator="containsText" text="PL">
      <formula>NOT(ISERROR(SEARCH("PL",T1039)))</formula>
    </cfRule>
  </conditionalFormatting>
  <conditionalFormatting sqref="T1039">
    <cfRule type="containsText" dxfId="102" priority="67" operator="containsText" text="EL">
      <formula>NOT(ISERROR(SEARCH("EL",T1039)))</formula>
    </cfRule>
  </conditionalFormatting>
  <conditionalFormatting sqref="T1039">
    <cfRule type="containsText" dxfId="101" priority="66" operator="containsText" text="SL">
      <formula>NOT(ISERROR(SEARCH("SL",T1039)))</formula>
    </cfRule>
  </conditionalFormatting>
  <conditionalFormatting sqref="T1039">
    <cfRule type="containsText" dxfId="100" priority="65" operator="containsText" text="AB">
      <formula>NOT(ISERROR(SEARCH("AB",T1039)))</formula>
    </cfRule>
  </conditionalFormatting>
  <conditionalFormatting sqref="T1039">
    <cfRule type="containsText" dxfId="99" priority="61" operator="containsText" text="SL">
      <formula>NOT(ISERROR(SEARCH("SL",T1039)))</formula>
    </cfRule>
    <cfRule type="containsText" dxfId="98" priority="62" operator="containsText" text="EL">
      <formula>NOT(ISERROR(SEARCH("EL",T1039)))</formula>
    </cfRule>
    <cfRule type="containsText" dxfId="97" priority="63" operator="containsText" text="PL">
      <formula>NOT(ISERROR(SEARCH("PL",T1039)))</formula>
    </cfRule>
    <cfRule type="containsText" dxfId="96" priority="64" operator="containsText" text="P">
      <formula>NOT(ISERROR(SEARCH("P",T1039)))</formula>
    </cfRule>
  </conditionalFormatting>
  <conditionalFormatting sqref="T1039">
    <cfRule type="containsText" dxfId="95" priority="60" operator="containsText" text="AB">
      <formula>NOT(ISERROR(SEARCH("AB",T1039)))</formula>
    </cfRule>
  </conditionalFormatting>
  <conditionalFormatting sqref="U1039">
    <cfRule type="containsText" dxfId="94" priority="70" operator="containsText" text="OFF">
      <formula>NOT(ISERROR(SEARCH("OFF",U1039)))</formula>
    </cfRule>
  </conditionalFormatting>
  <conditionalFormatting sqref="U1039">
    <cfRule type="containsText" dxfId="93" priority="72" operator="containsText" text="SL">
      <formula>NOT(ISERROR(SEARCH("SL",U1039)))</formula>
    </cfRule>
    <cfRule type="containsText" dxfId="92" priority="73" operator="containsText" text="EL">
      <formula>NOT(ISERROR(SEARCH("EL",U1039)))</formula>
    </cfRule>
    <cfRule type="containsText" dxfId="91" priority="74" operator="containsText" text="PL">
      <formula>NOT(ISERROR(SEARCH("PL",U1039)))</formula>
    </cfRule>
    <cfRule type="containsText" dxfId="90" priority="75" operator="containsText" text="P">
      <formula>NOT(ISERROR(SEARCH("P",U1039)))</formula>
    </cfRule>
  </conditionalFormatting>
  <conditionalFormatting sqref="U1039">
    <cfRule type="containsText" dxfId="89" priority="71" operator="containsText" text="AB">
      <formula>NOT(ISERROR(SEARCH("AB",U1039)))</formula>
    </cfRule>
  </conditionalFormatting>
  <conditionalFormatting sqref="T1039">
    <cfRule type="containsText" dxfId="88" priority="59" operator="containsText" text="PL">
      <formula>NOT(ISERROR(SEARCH("PL",T1039)))</formula>
    </cfRule>
  </conditionalFormatting>
  <conditionalFormatting sqref="U1039">
    <cfRule type="containsText" dxfId="87" priority="58" operator="containsText" text="P">
      <formula>NOT(ISERROR(SEARCH("P",U1039)))</formula>
    </cfRule>
  </conditionalFormatting>
  <conditionalFormatting sqref="U1039">
    <cfRule type="containsText" dxfId="86" priority="55" operator="containsText" text="SL">
      <formula>NOT(ISERROR(SEARCH("SL",U1039)))</formula>
    </cfRule>
    <cfRule type="containsText" dxfId="85" priority="56" operator="containsText" text="EL">
      <formula>NOT(ISERROR(SEARCH("EL",U1039)))</formula>
    </cfRule>
    <cfRule type="containsText" dxfId="84" priority="57" operator="containsText" text="PL">
      <formula>NOT(ISERROR(SEARCH("PL",U1039)))</formula>
    </cfRule>
  </conditionalFormatting>
  <conditionalFormatting sqref="U1039">
    <cfRule type="containsText" dxfId="83" priority="54" operator="containsText" text="AB">
      <formula>NOT(ISERROR(SEARCH("AB",U1039)))</formula>
    </cfRule>
  </conditionalFormatting>
  <conditionalFormatting sqref="U1039">
    <cfRule type="containsText" dxfId="82" priority="51" operator="containsText" text="Miss SOS">
      <formula>NOT(ISERROR(SEARCH("Miss SOS",U1039)))</formula>
    </cfRule>
  </conditionalFormatting>
  <conditionalFormatting sqref="U1039">
    <cfRule type="containsText" dxfId="81" priority="52" operator="containsText" text="ABWI">
      <formula>NOT(ISERROR(SEARCH("ABWI",U1039)))</formula>
    </cfRule>
  </conditionalFormatting>
  <conditionalFormatting sqref="U1039">
    <cfRule type="containsText" dxfId="80" priority="53" operator="containsText" text="ABWI">
      <formula>NOT(ISERROR(SEARCH("ABWI",U1039)))</formula>
    </cfRule>
  </conditionalFormatting>
  <conditionalFormatting sqref="U896">
    <cfRule type="containsText" dxfId="79" priority="45" operator="containsText" text="OFF">
      <formula>NOT(ISERROR(SEARCH("OFF",U896)))</formula>
    </cfRule>
  </conditionalFormatting>
  <conditionalFormatting sqref="U896">
    <cfRule type="containsText" dxfId="78" priority="47" operator="containsText" text="SL">
      <formula>NOT(ISERROR(SEARCH("SL",U896)))</formula>
    </cfRule>
    <cfRule type="containsText" dxfId="77" priority="48" operator="containsText" text="EL">
      <formula>NOT(ISERROR(SEARCH("EL",U896)))</formula>
    </cfRule>
    <cfRule type="containsText" dxfId="76" priority="49" operator="containsText" text="PL">
      <formula>NOT(ISERROR(SEARCH("PL",U896)))</formula>
    </cfRule>
    <cfRule type="containsText" dxfId="75" priority="50" operator="containsText" text="P">
      <formula>NOT(ISERROR(SEARCH("P",U896)))</formula>
    </cfRule>
  </conditionalFormatting>
  <conditionalFormatting sqref="U896">
    <cfRule type="containsText" dxfId="74" priority="46" operator="containsText" text="AB">
      <formula>NOT(ISERROR(SEARCH("AB",U896)))</formula>
    </cfRule>
  </conditionalFormatting>
  <conditionalFormatting sqref="U896">
    <cfRule type="containsText" dxfId="73" priority="44" operator="containsText" text="P">
      <formula>NOT(ISERROR(SEARCH("P",U896)))</formula>
    </cfRule>
  </conditionalFormatting>
  <conditionalFormatting sqref="U896">
    <cfRule type="containsText" dxfId="72" priority="41" operator="containsText" text="SL">
      <formula>NOT(ISERROR(SEARCH("SL",U896)))</formula>
    </cfRule>
    <cfRule type="containsText" dxfId="71" priority="42" operator="containsText" text="EL">
      <formula>NOT(ISERROR(SEARCH("EL",U896)))</formula>
    </cfRule>
    <cfRule type="containsText" dxfId="70" priority="43" operator="containsText" text="PL">
      <formula>NOT(ISERROR(SEARCH("PL",U896)))</formula>
    </cfRule>
  </conditionalFormatting>
  <conditionalFormatting sqref="U896">
    <cfRule type="containsText" dxfId="69" priority="40" operator="containsText" text="AB">
      <formula>NOT(ISERROR(SEARCH("AB",U896)))</formula>
    </cfRule>
  </conditionalFormatting>
  <conditionalFormatting sqref="U896">
    <cfRule type="containsText" dxfId="68" priority="37" operator="containsText" text="Miss SOS">
      <formula>NOT(ISERROR(SEARCH("Miss SOS",U896)))</formula>
    </cfRule>
  </conditionalFormatting>
  <conditionalFormatting sqref="U896">
    <cfRule type="containsText" dxfId="67" priority="38" operator="containsText" text="ABWI">
      <formula>NOT(ISERROR(SEARCH("ABWI",U896)))</formula>
    </cfRule>
  </conditionalFormatting>
  <conditionalFormatting sqref="U896">
    <cfRule type="containsText" dxfId="66" priority="39" operator="containsText" text="ABWI">
      <formula>NOT(ISERROR(SEARCH("ABWI",U896)))</formula>
    </cfRule>
  </conditionalFormatting>
  <conditionalFormatting sqref="U920">
    <cfRule type="containsText" dxfId="65" priority="31" operator="containsText" text="OFF">
      <formula>NOT(ISERROR(SEARCH("OFF",U920)))</formula>
    </cfRule>
  </conditionalFormatting>
  <conditionalFormatting sqref="U920">
    <cfRule type="containsText" dxfId="64" priority="33" operator="containsText" text="SL">
      <formula>NOT(ISERROR(SEARCH("SL",U920)))</formula>
    </cfRule>
    <cfRule type="containsText" dxfId="63" priority="34" operator="containsText" text="EL">
      <formula>NOT(ISERROR(SEARCH("EL",U920)))</formula>
    </cfRule>
    <cfRule type="containsText" dxfId="62" priority="35" operator="containsText" text="PL">
      <formula>NOT(ISERROR(SEARCH("PL",U920)))</formula>
    </cfRule>
    <cfRule type="containsText" dxfId="61" priority="36" operator="containsText" text="P">
      <formula>NOT(ISERROR(SEARCH("P",U920)))</formula>
    </cfRule>
  </conditionalFormatting>
  <conditionalFormatting sqref="U920">
    <cfRule type="containsText" dxfId="60" priority="32" operator="containsText" text="AB">
      <formula>NOT(ISERROR(SEARCH("AB",U920)))</formula>
    </cfRule>
  </conditionalFormatting>
  <conditionalFormatting sqref="U1167 U920">
    <cfRule type="containsText" dxfId="59" priority="30" operator="containsText" text="ABWI">
      <formula>NOT(ISERROR(SEARCH("ABWI",U920)))</formula>
    </cfRule>
  </conditionalFormatting>
  <conditionalFormatting sqref="U1167 U920">
    <cfRule type="containsText" dxfId="58" priority="29" operator="containsText" text="Miss SOS">
      <formula>NOT(ISERROR(SEARCH("Miss SOS",U920)))</formula>
    </cfRule>
  </conditionalFormatting>
  <conditionalFormatting sqref="T1267 T1256 T1243:T1244 T1236 T1233 T1231 T1169 T1151 T956 T946 T935 T611:T612 T574 T565">
    <cfRule type="containsText" dxfId="57" priority="24" operator="containsText" text="AB">
      <formula>NOT(ISERROR(SEARCH("AB",T565)))</formula>
    </cfRule>
    <cfRule type="containsText" dxfId="56" priority="25" operator="containsText" text="SL">
      <formula>NOT(ISERROR(SEARCH("SL",T565)))</formula>
    </cfRule>
    <cfRule type="containsText" dxfId="55" priority="26" operator="containsText" text="EL">
      <formula>NOT(ISERROR(SEARCH("EL",T565)))</formula>
    </cfRule>
    <cfRule type="containsText" dxfId="54" priority="27" operator="containsText" text="PL">
      <formula>NOT(ISERROR(SEARCH("PL",T565)))</formula>
    </cfRule>
    <cfRule type="containsText" dxfId="53" priority="28" operator="containsText" text="P">
      <formula>NOT(ISERROR(SEARCH("P",T565)))</formula>
    </cfRule>
  </conditionalFormatting>
  <conditionalFormatting sqref="T1337 T1267 T1256 T1243:T1244 T1236 T1233 T1231 T1203 T1169 T1151 T956 T946 T935 T611:T612 T574 T565">
    <cfRule type="containsText" dxfId="52" priority="22" operator="containsText" text="OFF">
      <formula>NOT(ISERROR(SEARCH("OFF",T565)))</formula>
    </cfRule>
    <cfRule type="containsText" dxfId="51" priority="23" operator="containsText" text="ABWI">
      <formula>NOT(ISERROR(SEARCH("ABWI",T565)))</formula>
    </cfRule>
  </conditionalFormatting>
  <conditionalFormatting sqref="U1388 U1369 U1362 U1333 U1317 U1315 U1285 U1263 U1240 U1227:U1228 U1221 U1086 U1043 U936 U869 U805 U799 U775 U737 U722 U702 U697 U677 U656 U639 U617 U600 U586 U517 U405 U391 U337 U324 U202 U105 U92 U90 U61 U48">
    <cfRule type="containsText" dxfId="50" priority="19" operator="containsText" text="SL">
      <formula>NOT(ISERROR(SEARCH("SL",U48)))</formula>
    </cfRule>
    <cfRule type="containsText" dxfId="49" priority="20" operator="containsText" text="EL">
      <formula>NOT(ISERROR(SEARCH("EL",U48)))</formula>
    </cfRule>
    <cfRule type="containsText" dxfId="48" priority="21" operator="containsText" text="PL">
      <formula>NOT(ISERROR(SEARCH("PL",U48)))</formula>
    </cfRule>
  </conditionalFormatting>
  <conditionalFormatting sqref="U1388 U1369 U1362 U1333 U1317 U1315 U1285 U1263 U1240 U1227:U1228 U1221 U1086 U1043 U936 U869 U805 U799 U775 U737 U722 U702 U697 U677 U656 U639 U617 U600 U586 U517 U405 U391 U337 U324 U202 U105 U92 U90 U61 U48">
    <cfRule type="containsText" dxfId="47" priority="18" operator="containsText" text="AB">
      <formula>NOT(ISERROR(SEARCH("AB",U48)))</formula>
    </cfRule>
  </conditionalFormatting>
  <conditionalFormatting sqref="U1388 U1369 U1362 U1333 U1317 U1315 U1285 U1263 U1227:U1228 U1221 U936 U805 U799 U737 U722 U677 U656 U639 U586 U405 U391 U337 U202 U105 U92 U90">
    <cfRule type="containsText" dxfId="46" priority="17" operator="containsText" text="OFF">
      <formula>NOT(ISERROR(SEARCH("OFF",U90)))</formula>
    </cfRule>
  </conditionalFormatting>
  <conditionalFormatting sqref="U1388 U1369 U1362 U1333 U1320 U1317 U1315 U1285 U1263 U1227:U1228 U1221 U936 U805 U799 U770 U737 U722 U656 U639 U586 U517 U405 U391 U337 U202 U105 U92 U90">
    <cfRule type="containsText" dxfId="45" priority="16" operator="containsText" text="ABWI">
      <formula>NOT(ISERROR(SEARCH("ABWI",U90)))</formula>
    </cfRule>
  </conditionalFormatting>
  <conditionalFormatting sqref="T1240:U1240 U869 U805 T737:U737 T722:U722 T702:U702 U697 T677:U677 T656:U656 T639:U639 U617 T405:U405 T391:U391">
    <cfRule type="containsText" dxfId="44" priority="15" operator="containsText" text="P">
      <formula>NOT(ISERROR(SEARCH("P",T391)))</formula>
    </cfRule>
  </conditionalFormatting>
  <conditionalFormatting sqref="T1240 T770 T737 T722 T702 T677 T656 T639 T405 T391">
    <cfRule type="containsText" dxfId="43" priority="10" operator="containsText" text="ABWI">
      <formula>NOT(ISERROR(SEARCH("ABWI",T391)))</formula>
    </cfRule>
    <cfRule type="containsText" dxfId="42" priority="11" operator="containsText" text="AB">
      <formula>NOT(ISERROR(SEARCH("AB",T391)))</formula>
    </cfRule>
    <cfRule type="containsText" dxfId="41" priority="12" operator="containsText" text="SL">
      <formula>NOT(ISERROR(SEARCH("SL",T391)))</formula>
    </cfRule>
    <cfRule type="containsText" dxfId="40" priority="13" operator="containsText" text="EL">
      <formula>NOT(ISERROR(SEARCH("EL",T391)))</formula>
    </cfRule>
    <cfRule type="containsText" dxfId="39" priority="14" operator="containsText" text="PL">
      <formula>NOT(ISERROR(SEARCH("PL",T391)))</formula>
    </cfRule>
  </conditionalFormatting>
  <conditionalFormatting sqref="T1240 T770 T737 T722 T702 T677 T656 T639 T405 T391">
    <cfRule type="containsText" dxfId="38" priority="9" operator="containsText" text="OFF">
      <formula>NOT(ISERROR(SEARCH("OFF",T391)))</formula>
    </cfRule>
  </conditionalFormatting>
  <conditionalFormatting sqref="U1388 U1369 U1362 U1333 U1320 U1317">
    <cfRule type="containsText" dxfId="37" priority="8" operator="containsText" text="Miss SOS">
      <formula>NOT(ISERROR(SEARCH("Miss SOS",U1317)))</formula>
    </cfRule>
  </conditionalFormatting>
  <conditionalFormatting sqref="T421">
    <cfRule type="containsText" dxfId="36" priority="7" operator="containsText" text="P">
      <formula>NOT(ISERROR(SEARCH("P",T421)))</formula>
    </cfRule>
  </conditionalFormatting>
  <conditionalFormatting sqref="T421">
    <cfRule type="containsText" dxfId="35" priority="2" operator="containsText" text="ABWI">
      <formula>NOT(ISERROR(SEARCH("ABWI",T421)))</formula>
    </cfRule>
    <cfRule type="containsText" dxfId="34" priority="3" operator="containsText" text="AB">
      <formula>NOT(ISERROR(SEARCH("AB",T421)))</formula>
    </cfRule>
    <cfRule type="containsText" dxfId="33" priority="4" operator="containsText" text="SL">
      <formula>NOT(ISERROR(SEARCH("SL",T421)))</formula>
    </cfRule>
    <cfRule type="containsText" dxfId="32" priority="5" operator="containsText" text="EL">
      <formula>NOT(ISERROR(SEARCH("EL",T421)))</formula>
    </cfRule>
    <cfRule type="containsText" dxfId="31" priority="6" operator="containsText" text="PL">
      <formula>NOT(ISERROR(SEARCH("PL",T421)))</formula>
    </cfRule>
  </conditionalFormatting>
  <conditionalFormatting sqref="T421">
    <cfRule type="containsText" dxfId="30" priority="1" operator="containsText" text="OFF">
      <formula>NOT(ISERROR(SEARCH("OFF",T421)))</formula>
    </cfRule>
  </conditionalFormatting>
  <pageMargins left="1.0899999999999999" right="0.7" top="0.75" bottom="0.75" header="0.3" footer="0.3"/>
  <pageSetup scale="92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Muhammad [C]</cp:lastModifiedBy>
  <cp:lastPrinted>2026-08-05T07:55:18Z</cp:lastPrinted>
  <dcterms:created xsi:type="dcterms:W3CDTF">2015-06-05T18:17:20Z</dcterms:created>
  <dcterms:modified xsi:type="dcterms:W3CDTF">2026-08-29T20:11:17Z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