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saluall\Downloads\"/>
    </mc:Choice>
  </mc:AlternateContent>
  <xr:revisionPtr revIDLastSave="0" documentId="13_ncr:1_{EF1D47C8-643C-4448-9161-97F10B18070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Dashboard!$S$1:$AD$9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93" i="1" l="1"/>
  <c r="C791" i="1"/>
  <c r="C765" i="1"/>
  <c r="C726" i="1"/>
  <c r="C706" i="1"/>
  <c r="AL18" i="2" l="1"/>
  <c r="H18" i="2" l="1"/>
  <c r="I16" i="2"/>
  <c r="C1" i="1"/>
  <c r="AL12" i="2" l="1"/>
  <c r="AL6" i="2"/>
  <c r="AL8" i="2"/>
  <c r="AL14" i="2"/>
  <c r="F24" i="2" l="1"/>
  <c r="H26" i="2" l="1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H8" i="2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37" authorId="0" shapeId="0" xr:uid="{1CE671AB-1BD9-4F55-B5E1-29745212E64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79" authorId="0" shapeId="0" xr:uid="{E85E612A-B7E7-4506-904E-B9187D495EB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2" authorId="0" shapeId="0" xr:uid="{90093E2C-5153-481D-AE5C-6C0B0A5C3A6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1" authorId="0" shapeId="0" xr:uid="{0FA876A0-9281-450C-BD87-1474C87889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2" authorId="0" shapeId="0" xr:uid="{2EF6BF0B-E1B3-4CAC-B497-1A295832E96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1" authorId="0" shapeId="0" xr:uid="{A841A3EB-0330-444B-9937-3BBF478964C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0" authorId="0" shapeId="0" xr:uid="{9F14D0AB-0D9C-46D3-A5D6-DA6FE02D720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4" authorId="0" shapeId="0" xr:uid="{86FB7EBC-58EC-4AA7-A95A-8EC05FEDDF2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2" authorId="0" shapeId="0" xr:uid="{A1362717-3EBB-40FE-A8AE-320BE4425CC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9" authorId="0" shapeId="0" xr:uid="{8A679529-ADC4-4ED3-81CC-A31226E273E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1" authorId="0" shapeId="0" xr:uid="{107286A4-27D5-4EE4-90BC-9802EB925B9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56" authorId="1" shapeId="0" xr:uid="{FDBF316B-85EC-457F-8A50-E25C08343644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57" authorId="0" shapeId="0" xr:uid="{484D0529-C8CB-41E1-8617-8DCB22CA47E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3" authorId="2" shapeId="0" xr:uid="{B5F16DBA-C99F-4067-BA5F-661009B7941F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64" authorId="1" shapeId="0" xr:uid="{552E7791-3685-4333-8FFE-C2E5F2ECFB86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65" authorId="0" shapeId="0" xr:uid="{95636C58-8AD0-4EF6-891E-9719724C070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9" authorId="1" shapeId="0" xr:uid="{76230061-D789-45E2-992A-5005733097F2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<sst xmlns="http://schemas.openxmlformats.org/spreadsheetml/2006/main" count="26299" uniqueCount="2953">
  <si>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</si>
  <si>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</si>
  <si>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</si>
  <si>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</si>
  <si>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</si>
  <si>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</si>
  <si>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</si>
  <si>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</si>
  <si>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</si>
  <si>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</si>
  <si>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</si>
  <si>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</si>
  <si>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</si>
  <si>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</si>
  <si>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</si>
  <si>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</si>
  <si>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</si>
  <si>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</si>
  <si>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</si>
  <si>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</si>
  <si>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</si>
  <si>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</si>
  <si>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</si>
  <si>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</si>
  <si>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</si>
  <si>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</si>
  <si>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</si>
  <si>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</si>
  <si>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</si>
  <si>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</si>
  <si>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</si>
  <si>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</si>
  <si>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</si>
  <si>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</si>
  <si>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</si>
  <si>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</si>
  <si>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</si>
  <si>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</si>
  <si>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</si>
  <si>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</si>
  <si>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</si>
  <si>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</si>
  <si>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</si>
  <si>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</si>
  <si>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</si>
  <si>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</si>
  <si>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</si>
  <si>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</si>
  <si>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</si>
  <si>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</si>
  <si>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</si>
  <si>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</si>
  <si>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</si>
  <si>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</si>
  <si>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</si>
  <si>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</si>
  <si>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</si>
  <si>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</si>
  <si>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</si>
  <si>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</si>
  <si>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</si>
  <si>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</si>
  <si>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</si>
  <si>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</si>
  <si>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</si>
  <si>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</si>
  <si>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</si>
  <si>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</si>
  <si>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</si>
  <si>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</si>
  <si>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</si>
  <si>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</si>
  <si>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</si>
  <si>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</si>
  <si>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</si>
  <si>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</si>
  <si>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</si>
  <si>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</si>
  <si>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</si>
  <si>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</si>
  <si>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</si>
  <si>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</si>
  <si>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</si>
  <si>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</si>
  <si>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</si>
  <si>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</si>
  <si>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</si>
  <si>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</si>
  <si>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</si>
  <si>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</si>
  <si>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</si>
  <si>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</si>
  <si>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</si>
  <si>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</si>
  <si>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</si>
  <si>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</si>
  <si>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</si>
  <si>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</si>
  <si>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</si>
  <si>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</si>
  <si>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</si>
  <si>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</si>
  <si>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</si>
  <si>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</si>
  <si>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</si>
  <si>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</si>
  <si>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</si>
  <si>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</si>
  <si>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</si>
  <si>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</si>
  <si>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</si>
  <si>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</si>
  <si>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</si>
  <si>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</si>
  <si>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</si>
  <si>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</si>
  <si>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</si>
  <si>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</si>
  <si>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</si>
  <si>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</si>
  <si>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</si>
  <si>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</si>
  <si>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</si>
  <si>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</si>
  <si>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</si>
  <si>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</si>
  <si>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</si>
  <si>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</si>
  <si>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</si>
  <si>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</si>
  <si>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</si>
  <si>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</si>
  <si>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</si>
  <si>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</si>
  <si>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</si>
  <si>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</si>
  <si>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</si>
  <si>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</si>
  <si>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</si>
  <si>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</si>
  <si>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</si>
  <si>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</si>
  <si>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</si>
  <si>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</si>
  <si>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</si>
  <si>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</si>
  <si>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</si>
  <si>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</si>
  <si>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</si>
  <si>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</si>
  <si>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</si>
  <si>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</si>
  <si>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</si>
  <si>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</si>
  <si>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</si>
  <si>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</si>
  <si>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</si>
  <si>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</si>
  <si>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</si>
  <si>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</si>
  <si>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</si>
  <si>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</si>
  <si>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</si>
  <si>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</si>
  <si>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</si>
  <si>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</si>
  <si>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</si>
  <si>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</si>
  <si>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</si>
  <si>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</si>
  <si>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</si>
  <si>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</si>
  <si>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</si>
  <si>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</si>
  <si>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</si>
  <si>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</si>
  <si>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</si>
  <si>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</si>
  <si>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</si>
  <si>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</si>
  <si>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</si>
  <si>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</si>
  <si>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</si>
  <si>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</si>
  <si>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</si>
  <si>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</si>
  <si>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</si>
  <si>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</si>
  <si>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</si>
  <si>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</si>
  <si>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</si>
  <si>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</si>
  <si>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</si>
  <si>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</si>
  <si>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</si>
  <si>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</si>
  <si>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</si>
  <si>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</si>
  <si>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</si>
  <si>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</si>
  <si>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</si>
  <si>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</si>
  <si>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</si>
  <si>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</si>
  <si>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</si>
  <si>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</si>
  <si>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</si>
  <si>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</si>
  <si>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</si>
  <si>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</si>
  <si>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</si>
  <si>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</si>
  <si>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</si>
  <si>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</si>
  <si>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</si>
  <si>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</si>
  <si>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</si>
  <si>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</si>
  <si>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</si>
  <si>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</si>
  <si>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</si>
  <si>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</si>
  <si>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</si>
  <si>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</si>
  <si>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</si>
  <si>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</si>
  <si>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</si>
  <si>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</si>
  <si>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</si>
  <si>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</si>
  <si>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</si>
  <si>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</si>
  <si>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</si>
  <si>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</si>
  <si>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</si>
  <si>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</si>
  <si>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</si>
  <si>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</si>
  <si>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</si>
  <si>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</si>
  <si>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</si>
  <si>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</si>
  <si>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</si>
  <si>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</si>
  <si>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</si>
  <si>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</si>
  <si>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</si>
  <si>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</si>
  <si>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</si>
  <si>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</si>
  <si>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</si>
  <si>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</si>
  <si>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</si>
  <si>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</si>
  <si>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</si>
  <si>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</si>
  <si>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</si>
  <si>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</si>
  <si>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</si>
  <si>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</si>
  <si>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</si>
  <si>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</si>
  <si>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</si>
  <si>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</si>
  <si>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</si>
  <si>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</si>
  <si>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</si>
  <si>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</si>
  <si>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</si>
  <si>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</si>
  <si>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</si>
  <si>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</si>
  <si>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</si>
  <si>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</si>
  <si>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</si>
  <si>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</si>
  <si>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</si>
  <si>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</si>
  <si>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</si>
  <si>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</si>
  <si>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</si>
  <si>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</si>
  <si>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</si>
  <si>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</si>
  <si>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</si>
  <si>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</si>
  <si>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</si>
  <si>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</si>
  <si>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</si>
  <si>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</si>
  <si>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</si>
  <si>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</si>
  <si>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</si>
  <si>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</si>
  <si>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</si>
  <si>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</si>
  <si>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</si>
  <si>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</si>
  <si>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</si>
  <si>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</si>
  <si>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</si>
  <si>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</si>
  <si>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</si>
  <si>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</si>
  <si>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</si>
  <si>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</si>
  <si>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</si>
  <si>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</si>
  <si>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</si>
  <si>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</si>
  <si>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</si>
  <si>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</si>
  <si>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</si>
  <si>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</si>
  <si>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</si>
  <si>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</si>
  <si>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</si>
  <si>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</si>
  <si>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</si>
  <si>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</si>
  <si>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</si>
  <si>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</si>
  <si>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</si>
  <si>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</si>
  <si>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</si>
  <si>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</si>
  <si>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</si>
  <si>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</si>
  <si>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</si>
  <si>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</si>
  <si>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</si>
  <si>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</si>
  <si>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</si>
  <si>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</si>
  <si>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</si>
  <si>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</si>
  <si>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</si>
  <si>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</si>
  <si>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</si>
  <si>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</si>
  <si>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</si>
  <si>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</si>
  <si>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</si>
  <si>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</si>
  <si>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</si>
  <si>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</si>
  <si>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</si>
  <si>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</si>
  <si>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</si>
  <si>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</si>
  <si>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</si>
  <si>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</si>
  <si>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</si>
  <si>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</si>
  <si>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</si>
  <si>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</si>
  <si>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</si>
  <si>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</si>
  <si>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</si>
  <si>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</si>
  <si>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</si>
  <si>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</si>
  <si>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</si>
  <si>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</si>
  <si>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</si>
  <si>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</si>
  <si>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</si>
  <si>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</si>
  <si>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</si>
  <si>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</si>
  <si>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</si>
  <si>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</si>
  <si>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</si>
  <si>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</si>
  <si>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</si>
  <si>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</si>
  <si>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</si>
  <si>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</si>
  <si>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</si>
  <si>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</si>
  <si>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</si>
  <si>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</si>
  <si>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</si>
  <si>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</si>
  <si>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</si>
  <si>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</si>
  <si>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</si>
  <si>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</si>
  <si>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</si>
  <si>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</si>
  <si>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</si>
  <si>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</si>
  <si>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</si>
  <si>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</si>
  <si>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</si>
  <si>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</si>
  <si>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</si>
  <si>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</si>
  <si>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</si>
  <si>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</si>
  <si>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</si>
  <si>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</si>
  <si>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</si>
  <si>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</si>
  <si>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</si>
  <si>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</si>
  <si>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</si>
  <si>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</si>
  <si>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</si>
  <si>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</si>
  <si>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</si>
  <si>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</si>
  <si>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</si>
  <si>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</si>
  <si>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</si>
  <si>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</si>
  <si>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</si>
  <si>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</si>
  <si>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</si>
  <si>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</si>
  <si>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</si>
  <si>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</si>
  <si>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</si>
  <si>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</si>
  <si>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</si>
  <si>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</si>
  <si>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</si>
  <si>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</si>
  <si>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</si>
  <si>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</si>
  <si>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</si>
  <si>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</si>
  <si>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</si>
  <si>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</si>
  <si>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</si>
  <si>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</si>
  <si>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</si>
  <si>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</si>
  <si>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</si>
  <si>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</si>
  <si>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</si>
  <si>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</si>
  <si>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</si>
  <si>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</si>
  <si>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</si>
  <si>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</si>
  <si>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</si>
  <si>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</si>
  <si>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</si>
  <si>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</si>
  <si>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</si>
  <si>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</si>
  <si>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</si>
  <si>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</si>
  <si>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</si>
  <si>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</si>
  <si>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</si>
  <si>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</si>
  <si>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</si>
  <si>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</si>
  <si>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</si>
  <si>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</si>
  <si>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</si>
  <si>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</si>
  <si>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</si>
  <si>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</si>
  <si>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</si>
  <si>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</si>
  <si>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</si>
  <si>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</si>
  <si>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</si>
  <si>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</si>
  <si>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</si>
  <si>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</si>
  <si>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</si>
  <si>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</si>
  <si>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</si>
  <si>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</si>
  <si>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</si>
  <si>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</si>
  <si>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</si>
  <si>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</si>
  <si>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</si>
  <si>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</si>
  <si>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</si>
  <si>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</si>
  <si>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</si>
  <si>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</si>
  <si>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</si>
  <si>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</si>
  <si>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</si>
  <si>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</si>
  <si>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</si>
  <si>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</si>
  <si>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</si>
  <si>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</si>
  <si>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</si>
  <si>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</si>
  <si>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</si>
  <si>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</si>
  <si>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</si>
  <si>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</si>
  <si>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</si>
  <si>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</si>
  <si>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</si>
  <si>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</si>
  <si>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</si>
  <si>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</si>
  <si>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</si>
  <si>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</si>
  <si>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</si>
  <si>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</si>
  <si>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</si>
  <si>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</si>
  <si>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</si>
  <si>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</si>
  <si>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</si>
  <si>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</si>
  <si>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</si>
  <si>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</si>
  <si>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</si>
  <si>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</si>
  <si>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</si>
  <si>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</si>
  <si>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</si>
  <si>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</si>
  <si>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</si>
  <si>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</si>
  <si>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</si>
  <si>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</si>
  <si>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</si>
  <si>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</si>
  <si>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</si>
  <si>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</si>
  <si>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</si>
  <si>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</si>
  <si>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</si>
  <si>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</si>
  <si>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</si>
  <si>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</si>
  <si>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</si>
  <si>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</si>
  <si>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</si>
  <si>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</si>
  <si>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</si>
  <si>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</si>
  <si>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</si>
  <si>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</si>
  <si>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</si>
  <si>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</si>
  <si>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</si>
  <si>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</si>
  <si>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</si>
  <si>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</si>
  <si>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</si>
  <si>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</si>
  <si>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</si>
  <si>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</si>
  <si>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</si>
  <si>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</si>
  <si>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</si>
  <si>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</si>
  <si>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</si>
  <si>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</si>
  <si>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</si>
  <si>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</si>
  <si>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</si>
  <si>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</si>
  <si>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</si>
  <si>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</si>
  <si>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</si>
  <si>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</si>
  <si>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</si>
  <si>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</si>
  <si>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</si>
  <si>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</si>
  <si>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</si>
  <si>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</si>
  <si>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</si>
  <si>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</si>
  <si>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</si>
  <si>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</si>
  <si>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</si>
  <si>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</si>
  <si>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</si>
  <si>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</si>
  <si>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</si>
  <si>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</si>
  <si>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</si>
  <si>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</si>
  <si>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</si>
  <si>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</si>
  <si>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</si>
  <si>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</si>
  <si>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</si>
  <si>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</si>
  <si>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</si>
  <si>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</si>
  <si>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</si>
  <si>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</si>
  <si>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</si>
  <si>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</si>
  <si>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</si>
  <si>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</si>
  <si>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</si>
  <si>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</si>
  <si>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</si>
  <si>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</si>
  <si>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</si>
  <si>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</si>
  <si>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</si>
  <si>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</si>
  <si>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</si>
  <si>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</si>
  <si>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</si>
  <si>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</si>
  <si>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</si>
  <si>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</si>
  <si>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</si>
  <si>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</si>
  <si>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</si>
  <si>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</si>
  <si>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</si>
  <si>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</si>
  <si>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</si>
  <si>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</si>
  <si>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</si>
  <si>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</si>
  <si>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</si>
  <si>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</si>
  <si>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</si>
  <si>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</si>
  <si>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</si>
  <si>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</si>
  <si>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</si>
  <si>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</si>
  <si>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</si>
  <si>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</si>
  <si>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</si>
  <si>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</si>
  <si>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</si>
  <si>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</si>
  <si>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</si>
  <si>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</si>
  <si>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</si>
  <si>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</si>
  <si>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</si>
  <si>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</si>
  <si>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</si>
  <si>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</si>
  <si>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</si>
  <si>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</si>
  <si>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</si>
  <si>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</si>
  <si>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</si>
  <si>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</si>
  <si>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</si>
  <si>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</si>
  <si>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</si>
  <si>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</si>
  <si>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</si>
  <si>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</si>
  <si>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</si>
  <si>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</si>
  <si>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</si>
  <si>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</si>
  <si>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</si>
  <si>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</si>
  <si>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</si>
  <si>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</si>
  <si>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</si>
  <si>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</si>
  <si>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</si>
  <si>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</si>
  <si>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</si>
  <si>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</si>
  <si>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</si>
  <si>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</si>
  <si>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</si>
  <si>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</si>
  <si>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</si>
  <si>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</si>
  <si>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</si>
  <si>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</si>
  <si>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</si>
  <si>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</si>
  <si>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</si>
  <si>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</si>
  <si>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</si>
  <si>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</si>
  <si>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</si>
  <si>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</si>
  <si>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</si>
  <si>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</si>
  <si>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</si>
  <si>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</si>
  <si>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</si>
  <si>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</si>
  <si>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</si>
  <si>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</si>
  <si>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</si>
  <si>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</si>
  <si>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</si>
  <si>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</si>
  <si>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</si>
  <si>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</si>
  <si>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</si>
  <si>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</si>
  <si>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</si>
  <si>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</si>
  <si>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</si>
  <si>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</si>
  <si>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</si>
  <si>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</si>
  <si>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</si>
  <si>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</si>
  <si>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</si>
  <si>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</si>
  <si>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</si>
  <si>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</si>
  <si>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</si>
  <si>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</si>
  <si>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</si>
  <si>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</si>
  <si>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</si>
  <si>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</si>
  <si>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</si>
  <si>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</si>
  <si>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</si>
  <si>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</si>
  <si>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</si>
  <si>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</si>
  <si>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</si>
  <si>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</si>
  <si>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</si>
  <si>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</si>
  <si>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</si>
  <si>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</si>
  <si>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</si>
  <si>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</si>
  <si>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</si>
  <si>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</si>
  <si>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</si>
  <si>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</si>
  <si>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</si>
  <si>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</si>
  <si>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</si>
  <si>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</si>
  <si>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</si>
  <si>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</si>
  <si>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</si>
  <si>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</si>
  <si>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</si>
  <si>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</si>
  <si>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</si>
  <si>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</si>
  <si>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</si>
  <si>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</si>
  <si>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</si>
  <si>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</si>
  <si>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</si>
  <si>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</si>
  <si>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</si>
  <si>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</si>
  <si>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</si>
  <si>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</si>
  <si>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</si>
  <si>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</si>
  <si>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</si>
  <si>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</si>
  <si>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</si>
  <si>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</si>
  <si>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</si>
  <si>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</si>
  <si>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</si>
  <si>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</si>
  <si>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</si>
  <si>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</si>
  <si>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</si>
  <si>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</si>
  <si>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</si>
  <si>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</si>
  <si>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</si>
  <si>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</si>
  <si>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</si>
  <si>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</si>
  <si>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</si>
  <si>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</si>
  <si>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</si>
  <si>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</si>
  <si>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</si>
  <si>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</si>
  <si>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</si>
  <si>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</si>
  <si>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</si>
  <si>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</si>
  <si>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</si>
  <si>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</si>
  <si>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</si>
  <si>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</si>
  <si>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</si>
  <si>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</si>
  <si>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</si>
  <si>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</si>
  <si>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</si>
  <si>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</si>
  <si>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</si>
  <si>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</si>
  <si>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</si>
  <si>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</si>
  <si>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</si>
  <si>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</si>
  <si>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</si>
  <si>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</si>
  <si>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</si>
  <si>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</si>
  <si>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</si>
  <si>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</si>
  <si>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</si>
  <si>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</si>
  <si>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</si>
  <si>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</si>
  <si>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</si>
  <si>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</si>
  <si>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</si>
  <si>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</si>
  <si>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</si>
  <si>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</si>
  <si>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</si>
  <si>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</si>
  <si>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</si>
  <si>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</si>
  <si>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</si>
  <si>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</si>
  <si>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</si>
  <si>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</si>
  <si>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</si>
  <si>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</si>
  <si>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</si>
  <si>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</si>
  <si>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</si>
  <si>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</si>
  <si>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</si>
  <si>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</si>
  <si>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</si>
  <si>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</si>
  <si>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</si>
  <si>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</si>
  <si>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</si>
  <si>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</si>
  <si>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</si>
  <si>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</si>
  <si>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</si>
  <si>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</si>
  <si>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</si>
  <si>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</si>
  <si>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</si>
  <si>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</si>
  <si>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</si>
  <si>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</si>
  <si>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</si>
  <si>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</si>
  <si>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</si>
  <si>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</si>
  <si>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</si>
  <si>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</si>
  <si>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</si>
  <si>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</si>
  <si>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</si>
  <si>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</si>
  <si>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</si>
  <si>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</si>
  <si>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</si>
  <si>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</si>
  <si>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</si>
  <si>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</si>
  <si>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</si>
  <si>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</si>
  <si>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</si>
  <si>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</si>
  <si>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</si>
  <si>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</si>
  <si>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</si>
  <si>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</si>
  <si>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</si>
  <si>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</si>
  <si>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</si>
  <si>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</si>
  <si>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</si>
  <si>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</si>
  <si>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</si>
  <si>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</si>
  <si>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</si>
  <si>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</si>
  <si>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</si>
  <si>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</si>
  <si>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</si>
  <si>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</si>
  <si>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</si>
  <si>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</si>
  <si>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</si>
  <si>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</si>
  <si>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</si>
  <si>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</si>
  <si>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</si>
  <si>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</si>
  <si>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</si>
  <si>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</si>
  <si>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</si>
  <si>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</si>
  <si>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</si>
  <si>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</si>
  <si>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</si>
  <si>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</si>
  <si>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</si>
  <si>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</si>
  <si>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</si>
  <si>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</si>
  <si>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</si>
  <si>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</si>
  <si>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</si>
  <si>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</si>
  <si>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</si>
  <si>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</si>
  <si>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</si>
  <si>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</si>
  <si>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</si>
  <si>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</si>
  <si>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</si>
  <si>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</si>
  <si>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</si>
  <si>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</si>
  <si>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</si>
  <si>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</si>
  <si>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</si>
  <si>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</si>
  <si>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</si>
  <si>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</si>
  <si>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</si>
  <si>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</si>
  <si>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</si>
  <si>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</si>
  <si>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</si>
  <si>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</si>
  <si>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</si>
  <si>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</si>
  <si>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</si>
  <si>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</si>
  <si>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</si>
  <si>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</si>
  <si>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</si>
  <si>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</si>
  <si>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</si>
  <si>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</si>
  <si>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</si>
  <si>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</si>
  <si>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</si>
  <si>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</si>
  <si>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</si>
  <si>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</si>
  <si>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</si>
  <si>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</si>
  <si>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</si>
  <si>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</si>
  <si>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</si>
  <si>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</si>
  <si>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</si>
  <si>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</si>
  <si>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</si>
  <si>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</si>
  <si>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</si>
  <si>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</si>
  <si>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</si>
  <si>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</si>
  <si>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</si>
  <si>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</si>
  <si>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</si>
  <si>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</si>
  <si>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</si>
  <si>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</si>
  <si>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</si>
  <si>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</si>
  <si>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</si>
  <si>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</si>
  <si>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</si>
  <si>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</si>
  <si>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</si>
  <si>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</si>
  <si>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</si>
  <si>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</si>
  <si>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</si>
  <si>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</si>
  <si>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</si>
  <si>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</si>
  <si>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</si>
  <si>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</si>
  <si>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</si>
  <si>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</si>
  <si>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</si>
  <si>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</si>
  <si>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</si>
  <si>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</si>
  <si>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</si>
  <si>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</si>
  <si>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</si>
  <si>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</si>
  <si>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</si>
  <si>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</si>
  <si>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</si>
  <si>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</si>
  <si>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</si>
  <si>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</si>
  <si>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</si>
  <si>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</si>
  <si>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</si>
  <si>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</si>
  <si>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</si>
  <si>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</si>
  <si>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</si>
  <si>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</si>
  <si>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</si>
  <si>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</si>
  <si>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</si>
  <si>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</si>
  <si>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</si>
  <si>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</si>
  <si>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</si>
  <si>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</si>
  <si>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</si>
  <si>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</si>
  <si>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</si>
  <si>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</si>
  <si>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</si>
  <si>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</si>
  <si>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</si>
  <si>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</si>
  <si>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</si>
  <si>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</si>
  <si>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</si>
  <si>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</si>
  <si>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</si>
  <si>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</si>
  <si>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</si>
  <si>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</si>
  <si>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</si>
  <si>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</si>
  <si>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</si>
  <si>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</si>
  <si>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</si>
  <si>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</si>
  <si>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</si>
  <si>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</si>
  <si>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</si>
  <si>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</si>
  <si>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</si>
  <si>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</si>
  <si>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</si>
  <si>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</si>
  <si>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</si>
  <si>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</si>
  <si>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</si>
  <si>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</si>
  <si>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</si>
  <si>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</si>
  <si>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</si>
  <si>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</si>
  <si>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</si>
  <si>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</si>
  <si>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</si>
  <si>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</si>
  <si>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</si>
  <si>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</si>
  <si>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</si>
  <si>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</si>
  <si>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</si>
  <si>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</si>
  <si>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</si>
  <si>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</si>
  <si>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</si>
  <si>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</si>
  <si>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</si>
  <si>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</si>
  <si>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</si>
  <si>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</si>
  <si>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</si>
  <si>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</si>
  <si>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</si>
  <si>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</si>
  <si>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</si>
  <si>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</si>
  <si>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</si>
  <si>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</si>
  <si>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</si>
  <si>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</si>
  <si>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</si>
  <si>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</si>
  <si>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</si>
  <si>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</si>
  <si>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nurudalh</t>
  </si>
  <si>
    <t>Nurudeen Alhassan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</si>
  <si>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</si>
  <si>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</si>
  <si>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</si>
  <si>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</si>
  <si>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</si>
  <si>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</si>
  <si>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</si>
  <si>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</si>
  <si>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</si>
  <si>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</si>
  <si>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</si>
  <si>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</si>
  <si>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</si>
  <si>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</si>
  <si>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</si>
  <si>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</si>
  <si>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</si>
  <si>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</si>
  <si>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</si>
  <si>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</si>
  <si>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</si>
  <si>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</si>
  <si>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</si>
  <si>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</si>
  <si>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</si>
  <si>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</si>
  <si>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</si>
  <si>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</si>
  <si>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</si>
  <si>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</si>
  <si>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</si>
  <si>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</si>
  <si>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</si>
  <si>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</si>
  <si>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</si>
  <si>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</si>
  <si>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</si>
  <si>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</si>
  <si>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</si>
  <si>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</si>
  <si>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</si>
  <si>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</si>
  <si>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</si>
  <si>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</si>
  <si>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</si>
  <si>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</si>
  <si>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</si>
  <si>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</si>
  <si>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</si>
  <si>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</si>
  <si>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</si>
  <si>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</si>
  <si>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</si>
  <si>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</si>
  <si>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</si>
  <si>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</si>
  <si>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</si>
  <si>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</si>
  <si>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</si>
  <si>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</si>
  <si>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</si>
  <si>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</si>
  <si>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</si>
  <si>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</si>
  <si>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</si>
  <si>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</si>
  <si>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</si>
  <si>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</si>
  <si>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</si>
  <si>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</si>
  <si>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</si>
  <si>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</si>
  <si>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</si>
  <si>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</si>
  <si>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</si>
  <si>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</si>
  <si>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</si>
  <si>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</si>
  <si>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</si>
  <si>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</si>
  <si>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</si>
  <si>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</si>
  <si>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</si>
  <si>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</si>
  <si>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</si>
  <si>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</si>
  <si>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</si>
  <si>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</si>
  <si>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</si>
  <si>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</si>
  <si>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</si>
  <si>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</si>
  <si>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</si>
  <si>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</si>
  <si>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</si>
  <si>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</si>
  <si>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</si>
  <si>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</si>
  <si>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</si>
  <si>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</si>
  <si>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</si>
  <si>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</si>
  <si>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</si>
  <si>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</si>
  <si>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</si>
  <si>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</si>
  <si>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</si>
  <si>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</si>
  <si>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</si>
  <si>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</si>
  <si>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</si>
  <si>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</si>
  <si>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</si>
  <si>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</si>
  <si>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</si>
  <si>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</si>
  <si>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</si>
  <si>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</si>
  <si>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</si>
  <si>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</si>
  <si>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</si>
  <si>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</si>
  <si>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</si>
  <si>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</si>
  <si>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</si>
  <si>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</si>
  <si>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</si>
  <si>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</si>
  <si>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</si>
  <si>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</si>
  <si>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</si>
  <si>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</si>
  <si>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</si>
  <si>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</si>
  <si>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</si>
  <si>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</si>
  <si>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</si>
  <si>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</si>
  <si>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</si>
  <si>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</si>
  <si>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</si>
  <si>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</si>
  <si>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</si>
  <si>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</si>
  <si>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</si>
  <si>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</si>
  <si>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</si>
  <si>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</si>
  <si>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</si>
  <si>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</si>
  <si>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</si>
  <si>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</si>
  <si>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</si>
  <si>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</si>
  <si>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</si>
  <si>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</si>
  <si>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</si>
  <si>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</si>
  <si>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</si>
  <si>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</si>
  <si>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</si>
  <si>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</si>
  <si>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</si>
  <si>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</si>
  <si>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</si>
  <si>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</si>
  <si>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</si>
  <si>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</si>
  <si>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</si>
  <si>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</si>
  <si>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</si>
  <si>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</si>
  <si>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</si>
  <si>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</si>
  <si>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</si>
  <si>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</si>
  <si>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</si>
  <si>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</si>
  <si>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</si>
  <si>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</si>
  <si>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</si>
  <si>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</si>
  <si>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</si>
  <si>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</si>
  <si>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</si>
  <si>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</si>
  <si>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</si>
  <si>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</si>
  <si>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</si>
  <si>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</si>
  <si>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</si>
  <si>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</si>
  <si>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</si>
  <si>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</si>
  <si>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</si>
  <si>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</si>
  <si>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</si>
  <si>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</si>
  <si>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</si>
  <si>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</si>
  <si>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</si>
  <si>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</si>
  <si>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</si>
  <si>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</si>
  <si>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</si>
  <si>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</si>
  <si>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</si>
  <si>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</si>
  <si>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</si>
  <si>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</si>
  <si>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</si>
  <si>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</si>
  <si>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</si>
  <si>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</si>
  <si>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</si>
  <si>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</si>
  <si>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</si>
  <si>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</si>
  <si>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</si>
  <si>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</si>
  <si>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</si>
  <si>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</si>
  <si>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</si>
  <si>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</si>
  <si>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</si>
  <si>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</si>
  <si>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</si>
  <si>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</si>
  <si>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</si>
  <si>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</si>
  <si>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</si>
  <si>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</si>
  <si>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</si>
  <si>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</si>
  <si>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</si>
  <si>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</si>
  <si>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</si>
  <si>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</si>
  <si>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</si>
  <si>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</si>
  <si>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</si>
  <si>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</si>
  <si>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</si>
  <si>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</si>
  <si>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</si>
  <si>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</si>
  <si>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</si>
  <si>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</si>
  <si>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</si>
  <si>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</si>
  <si>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</si>
  <si>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</si>
  <si>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</si>
  <si>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</si>
  <si>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</si>
  <si>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</si>
  <si>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</si>
  <si>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</si>
  <si>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</si>
  <si>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</si>
  <si>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</si>
  <si>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</si>
  <si>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</si>
  <si>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</si>
  <si>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</si>
  <si>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</si>
  <si>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</si>
  <si>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</si>
  <si>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</si>
  <si>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</si>
  <si>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</si>
  <si>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</si>
  <si>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</si>
  <si>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</si>
  <si>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</si>
  <si>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</si>
  <si>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</si>
  <si>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</si>
  <si>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</si>
  <si>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</si>
  <si>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</si>
  <si>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</si>
  <si>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</si>
  <si>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</si>
  <si>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</si>
  <si>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</si>
  <si>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</si>
  <si>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</si>
  <si>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</si>
  <si>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</si>
  <si>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</si>
  <si>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</si>
  <si>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</si>
  <si>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</si>
  <si>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</si>
  <si>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</si>
  <si>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</si>
  <si>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</si>
  <si>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</si>
  <si>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</si>
  <si>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</si>
  <si>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</si>
  <si>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</si>
  <si>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</si>
  <si>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</si>
  <si>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</si>
  <si>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</si>
  <si>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</si>
  <si>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</si>
  <si>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</si>
  <si>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</si>
  <si>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</si>
  <si>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</si>
  <si>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</si>
  <si>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</si>
  <si>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</si>
  <si>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</si>
  <si>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</si>
  <si>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</si>
  <si>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</si>
  <si>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</si>
  <si>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</si>
  <si>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</si>
  <si>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</si>
  <si>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</si>
  <si>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</si>
  <si>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</si>
  <si>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</si>
  <si>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</si>
  <si>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</si>
  <si>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</si>
  <si>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</si>
  <si>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</si>
  <si>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</si>
  <si>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</si>
  <si>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</si>
  <si>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</si>
  <si>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</si>
  <si>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</si>
  <si>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</si>
  <si>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</si>
  <si>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</si>
  <si>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</si>
  <si>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</si>
  <si>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</si>
  <si>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</si>
  <si>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</si>
  <si>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</si>
  <si>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</si>
  <si>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</si>
  <si>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</si>
  <si>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</si>
  <si>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</si>
  <si>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</si>
  <si>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</si>
  <si>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</si>
  <si>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</si>
  <si>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</si>
  <si>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</si>
  <si>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</si>
  <si>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</si>
  <si>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</si>
  <si>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</si>
  <si>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</si>
  <si>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</si>
  <si>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</si>
  <si>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</si>
  <si>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</si>
  <si>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</si>
  <si>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</si>
  <si>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</si>
  <si>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</si>
  <si>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</si>
  <si>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</si>
  <si>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</si>
  <si>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</si>
  <si>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</si>
  <si>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</si>
  <si>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</si>
  <si>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</si>
  <si>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</si>
  <si>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</si>
  <si>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</si>
  <si>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</si>
  <si>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</si>
  <si>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</si>
  <si>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</si>
  <si>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</si>
  <si>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</si>
  <si>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</si>
  <si>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</si>
  <si>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</si>
  <si>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</si>
  <si>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</si>
  <si>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</si>
  <si>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</si>
  <si>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</si>
  <si>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</si>
  <si>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</si>
  <si>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</si>
  <si>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</si>
  <si>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</si>
  <si>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</si>
  <si>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</si>
  <si>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</si>
  <si>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</si>
  <si>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</si>
  <si>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</si>
  <si>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</si>
  <si>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</si>
  <si>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</si>
  <si>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</si>
  <si>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</si>
  <si>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</si>
  <si>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</si>
  <si>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</si>
  <si>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</si>
  <si>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</si>
  <si>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</si>
  <si>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</si>
  <si>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</si>
  <si>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</si>
  <si>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</si>
  <si>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</si>
  <si>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</si>
  <si>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</si>
  <si>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</si>
  <si>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</si>
  <si>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</si>
  <si>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</si>
  <si>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</si>
  <si>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</si>
  <si>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</si>
  <si>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</si>
  <si>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</si>
  <si>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</si>
  <si>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</si>
  <si>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</si>
  <si>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</si>
  <si>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</si>
  <si>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</si>
  <si>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</si>
  <si>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</si>
  <si>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</si>
  <si>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</si>
  <si>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</si>
  <si>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</si>
  <si>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</si>
  <si>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</si>
  <si>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</si>
  <si>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</si>
  <si>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</si>
  <si>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</si>
  <si>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</si>
  <si>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</si>
  <si>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</si>
  <si>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</si>
  <si>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</si>
  <si>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</si>
  <si>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</si>
  <si>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</si>
  <si>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</si>
  <si>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</si>
  <si>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</si>
  <si>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</si>
  <si>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</si>
  <si>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</si>
  <si>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</si>
  <si>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</si>
  <si>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</si>
  <si>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</si>
  <si>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</si>
  <si>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</si>
  <si>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</si>
  <si>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</si>
  <si>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</si>
  <si>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</si>
  <si>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</si>
  <si>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</si>
  <si>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</si>
  <si>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</si>
  <si>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</si>
  <si>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</si>
  <si>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</si>
  <si>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</si>
  <si>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</si>
  <si>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</si>
  <si>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</si>
  <si>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Jepkirui</t>
  </si>
  <si>
    <t>Sheila jepchumba yator</t>
  </si>
  <si>
    <t>Mercy jemutai</t>
  </si>
  <si>
    <t>Erica Afful</t>
  </si>
  <si>
    <t>jepkirtf</t>
  </si>
  <si>
    <t>ysheilaj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</si>
  <si>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</si>
  <si>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</si>
  <si>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</si>
  <si>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</si>
  <si>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</si>
  <si>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</si>
  <si>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</si>
  <si>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</si>
  <si>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</si>
  <si>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</si>
  <si>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</si>
  <si>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</si>
  <si>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</si>
  <si>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</si>
  <si>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</si>
  <si>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</si>
  <si>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</si>
  <si>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</si>
  <si>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</si>
  <si>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</si>
  <si>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</si>
  <si>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</si>
  <si>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</si>
  <si>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</si>
  <si>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</si>
  <si>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</si>
  <si>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</si>
  <si>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</si>
  <si>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</si>
  <si>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</si>
  <si>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</si>
  <si>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</si>
  <si>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</si>
  <si>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</si>
  <si>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</si>
  <si>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</si>
  <si>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</si>
  <si>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</si>
  <si>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</si>
  <si>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</si>
  <si>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</si>
  <si>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</si>
  <si>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</si>
  <si>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</si>
  <si>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</si>
  <si>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</si>
  <si>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</si>
  <si>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</si>
  <si>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</si>
  <si>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</si>
  <si>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</si>
  <si>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</si>
  <si>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</si>
  <si>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</si>
  <si>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</si>
  <si>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</si>
  <si>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</si>
  <si>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</si>
  <si>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</si>
  <si>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</si>
  <si>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</si>
  <si>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</si>
  <si>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</si>
  <si>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</si>
  <si>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</si>
  <si>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</si>
  <si>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</si>
  <si>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</si>
  <si>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</si>
  <si>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</si>
  <si>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</si>
  <si>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</si>
  <si>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</si>
  <si>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</si>
  <si>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</si>
  <si>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</si>
  <si>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</si>
  <si>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</si>
  <si>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</si>
  <si>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</si>
  <si>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</si>
  <si>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</si>
  <si>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</si>
  <si>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</si>
  <si>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</si>
  <si>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</si>
  <si>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</si>
  <si>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</si>
  <si>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</si>
  <si>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</si>
  <si>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</si>
  <si>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</si>
  <si>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</si>
  <si>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</si>
  <si>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</si>
  <si>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</si>
  <si>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</si>
  <si>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</si>
  <si>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</si>
  <si>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</si>
  <si>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</si>
  <si>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</si>
  <si>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</si>
  <si>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</si>
  <si>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</si>
  <si>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</si>
  <si>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</si>
  <si>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</si>
  <si>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</si>
  <si>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</si>
  <si>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</si>
  <si>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</si>
  <si>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</si>
  <si>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</si>
  <si>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</si>
  <si>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</si>
  <si>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</si>
  <si>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</si>
  <si>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</si>
  <si>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</si>
  <si>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</si>
  <si>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</si>
  <si>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</si>
  <si>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</si>
  <si>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</si>
  <si>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</si>
  <si>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</si>
  <si>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</si>
  <si>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</si>
  <si>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</si>
  <si>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</si>
  <si>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</si>
  <si>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</si>
  <si>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</si>
  <si>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</si>
  <si>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</si>
  <si>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</si>
  <si>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</si>
  <si>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</si>
  <si>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</si>
  <si>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</si>
  <si>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</si>
  <si>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</si>
  <si>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</si>
  <si>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</si>
  <si>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</si>
  <si>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</si>
  <si>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</si>
  <si>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</si>
  <si>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</si>
  <si>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</si>
  <si>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</si>
  <si>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</si>
  <si>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</si>
  <si>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</si>
  <si>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</si>
  <si>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</si>
  <si>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</si>
  <si>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</si>
  <si>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</si>
  <si>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</si>
  <si>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</si>
  <si>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</si>
  <si>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</si>
  <si>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</si>
  <si>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</si>
  <si>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</si>
  <si>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</si>
  <si>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</si>
  <si>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</si>
  <si>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</si>
  <si>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</si>
  <si>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</si>
  <si>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</si>
  <si>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</si>
  <si>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</si>
  <si>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</si>
  <si>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</si>
  <si>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</si>
  <si>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</si>
  <si>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</si>
  <si>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</si>
  <si>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</si>
  <si>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</si>
  <si>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</si>
  <si>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</si>
  <si>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bakisurf</t>
  </si>
  <si>
    <t>Fred Bakisula</t>
  </si>
  <si>
    <t>ashiraab</t>
  </si>
  <si>
    <t>Ashiraf Abu</t>
  </si>
  <si>
    <t>imkinobe</t>
  </si>
  <si>
    <t>Muhammad Kinobe</t>
  </si>
  <si>
    <t>gismaiki</t>
  </si>
  <si>
    <t>Ismail Kiweewa</t>
  </si>
  <si>
    <t>davawaya</t>
  </si>
  <si>
    <t>Davis Wayabira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</si>
  <si>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</si>
  <si>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</si>
  <si>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</si>
  <si>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</si>
  <si>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</si>
  <si>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</si>
  <si>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</si>
  <si>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</si>
  <si>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</si>
  <si>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</si>
  <si>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</si>
  <si>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</si>
  <si>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</si>
  <si>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</si>
  <si>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bmaximki</t>
  </si>
  <si>
    <t>MAXIMILAR JEPCHUM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</si>
  <si>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</si>
  <si>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</si>
  <si>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</si>
  <si>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</si>
  <si>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</si>
  <si>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</si>
  <si>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</si>
  <si>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</si>
  <si>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</si>
  <si>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</si>
  <si>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</si>
  <si>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</si>
  <si>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</si>
  <si>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</si>
  <si>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jepsharo</t>
  </si>
  <si>
    <t>Sharon Jepkemboi</t>
  </si>
  <si>
    <t>agsamue</t>
  </si>
  <si>
    <t>Agyemang,Samuel</t>
  </si>
  <si>
    <t>niwjames</t>
  </si>
  <si>
    <t>JAMES NIWARINDA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</si>
  <si>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</si>
  <si>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</si>
  <si>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</si>
  <si>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</si>
  <si>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</si>
  <si>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</si>
  <si>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</si>
  <si>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</si>
  <si>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</si>
  <si>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</si>
  <si>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</si>
  <si>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</si>
  <si>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</si>
  <si>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</si>
  <si>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</si>
  <si>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</si>
  <si>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</si>
  <si>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</si>
  <si>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</si>
  <si>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</si>
  <si>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lngongch</t>
  </si>
  <si>
    <t>LEONARD NGONG CHACK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</si>
  <si>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</si>
  <si>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</si>
  <si>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</si>
  <si>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</si>
  <si>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</si>
  <si>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</si>
  <si>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</si>
  <si>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</si>
  <si>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</si>
  <si>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</si>
  <si>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</si>
  <si>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</si>
  <si>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</si>
  <si>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</si>
  <si>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</si>
  <si>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</si>
  <si>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</si>
  <si>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</si>
  <si>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</si>
  <si>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</si>
  <si>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</si>
  <si>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</si>
  <si>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</si>
  <si>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</si>
  <si>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</si>
  <si>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</si>
  <si>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</si>
  <si>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</si>
  <si>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</si>
  <si>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</si>
  <si>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</si>
  <si>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</si>
  <si>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</si>
  <si>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</si>
  <si>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</si>
  <si>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</si>
  <si>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</si>
  <si>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</si>
  <si>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</si>
  <si>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</si>
  <si>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</si>
  <si>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</si>
  <si>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</si>
  <si>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</si>
  <si>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</si>
  <si>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</si>
  <si>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</si>
  <si>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</si>
  <si>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</si>
  <si>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</si>
  <si>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</si>
  <si>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</si>
  <si>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</si>
  <si>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</si>
  <si>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</si>
  <si>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</si>
  <si>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</si>
  <si>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</si>
  <si>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</si>
  <si>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</si>
  <si>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</si>
  <si>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</si>
  <si>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</si>
  <si>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</si>
  <si>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</si>
  <si>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</si>
  <si>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</si>
  <si>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</si>
  <si>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</si>
  <si>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</si>
  <si>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</si>
  <si>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</si>
  <si>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</si>
  <si>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</si>
  <si>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</si>
  <si>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</si>
  <si>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</si>
  <si>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</si>
  <si>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</si>
  <si>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</si>
  <si>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</si>
  <si>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</si>
  <si>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</si>
  <si>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</si>
  <si>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</si>
  <si>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</si>
  <si>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</si>
  <si>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</si>
  <si>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</si>
  <si>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</si>
  <si>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</si>
  <si>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</si>
  <si>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</si>
  <si>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</si>
  <si>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</si>
  <si>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</si>
  <si>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</si>
  <si>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</si>
  <si>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</si>
  <si>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</si>
  <si>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</si>
  <si>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</si>
  <si>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</si>
  <si>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</si>
  <si>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</si>
  <si>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</si>
  <si>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</si>
  <si>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</si>
  <si>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</si>
  <si>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</si>
  <si>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</si>
  <si>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</si>
  <si>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</si>
  <si>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</si>
  <si>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</si>
  <si>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</si>
  <si>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</si>
  <si>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</si>
  <si>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</si>
  <si>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</si>
  <si>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</si>
  <si>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</si>
  <si>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</si>
  <si>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</si>
  <si>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</si>
  <si>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</si>
  <si>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</si>
  <si>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</si>
  <si>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</si>
  <si>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</si>
  <si>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</si>
  <si>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</si>
  <si>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</si>
  <si>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</si>
  <si>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</si>
  <si>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</si>
  <si>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</si>
  <si>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</si>
  <si>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</si>
  <si>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</si>
  <si>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</si>
  <si>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</si>
  <si>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</si>
  <si>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</si>
  <si>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</si>
  <si>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</si>
  <si>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</si>
  <si>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</si>
  <si>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</si>
  <si>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</si>
  <si>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</si>
  <si>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</si>
  <si>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</si>
  <si>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</si>
  <si>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</si>
  <si>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</si>
  <si>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</si>
  <si>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</si>
  <si>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</si>
  <si>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</si>
  <si>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</si>
  <si>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</si>
  <si>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</si>
  <si>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</si>
  <si>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</si>
  <si>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</si>
  <si>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</si>
  <si>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</si>
  <si>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</si>
  <si>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</si>
  <si>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</si>
  <si>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</si>
  <si>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</si>
  <si>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</si>
  <si>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</si>
  <si>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</si>
  <si>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</si>
  <si>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</si>
  <si>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</si>
  <si>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</si>
  <si>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</si>
  <si>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</si>
  <si>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</si>
  <si>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</si>
  <si>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</si>
  <si>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</si>
  <si>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</si>
  <si>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</si>
  <si>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denmbium</t>
  </si>
  <si>
    <t>Dennis Mbiu</t>
  </si>
  <si>
    <t>lewmaina</t>
  </si>
  <si>
    <t>Lewis Maina</t>
  </si>
  <si>
    <t>ukipetej</t>
  </si>
  <si>
    <t>JORAM KIPETER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</si>
  <si>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</si>
  <si>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</si>
  <si>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</si>
  <si>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</si>
  <si>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</si>
  <si>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</si>
  <si>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</si>
  <si>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</si>
  <si>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</si>
  <si>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</si>
  <si>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</si>
  <si>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</si>
  <si>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</si>
  <si>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</si>
  <si>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</si>
  <si>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</si>
  <si>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</si>
  <si>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</si>
  <si>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</si>
  <si>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</si>
  <si>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</si>
  <si>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</si>
  <si>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</si>
  <si>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</si>
  <si>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</si>
  <si>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</si>
  <si>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</si>
  <si>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</si>
  <si>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</si>
  <si>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</si>
  <si>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</si>
  <si>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</si>
  <si>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</si>
  <si>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</si>
  <si>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</si>
  <si>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</si>
  <si>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</si>
  <si>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</si>
  <si>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</si>
  <si>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</si>
  <si>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</si>
  <si>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</si>
  <si>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</si>
  <si>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</si>
  <si>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</si>
  <si>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</si>
  <si>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</si>
  <si>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</si>
  <si>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</si>
  <si>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</si>
  <si>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</si>
  <si>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</si>
  <si>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</si>
  <si>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</si>
  <si>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</si>
  <si>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</si>
  <si>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</si>
  <si>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</si>
  <si>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</si>
  <si>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</si>
  <si>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</si>
  <si>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</si>
  <si>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</si>
  <si>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</si>
  <si>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</si>
  <si>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</si>
  <si>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</si>
  <si>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</si>
  <si>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</si>
  <si>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</si>
  <si>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</si>
  <si>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</si>
  <si>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</si>
  <si>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</si>
  <si>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</si>
  <si>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</si>
  <si>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</si>
  <si>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</si>
  <si>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</si>
  <si>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</si>
  <si>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</si>
  <si>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</si>
  <si>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</si>
  <si>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</si>
  <si>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</si>
  <si>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</si>
  <si>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</si>
  <si>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</si>
  <si>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</si>
  <si>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</si>
  <si>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</si>
  <si>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</si>
  <si>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</si>
  <si>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</si>
  <si>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</si>
  <si>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</si>
  <si>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</si>
  <si>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</si>
  <si>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</si>
  <si>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</si>
  <si>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</si>
  <si>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</si>
  <si>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</si>
  <si>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</si>
  <si>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</si>
  <si>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</si>
  <si>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</si>
  <si>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</si>
  <si>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</si>
  <si>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</si>
  <si>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</si>
  <si>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</si>
  <si>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</si>
  <si>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</si>
  <si>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</si>
  <si>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</si>
  <si>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</si>
  <si>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</si>
  <si>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</si>
  <si>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</si>
  <si>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</si>
  <si>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</si>
  <si>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</si>
  <si>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</si>
  <si>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</si>
  <si>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</si>
  <si>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</si>
  <si>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</si>
  <si>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</si>
  <si>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</si>
  <si>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</si>
  <si>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</si>
  <si>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</si>
  <si>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</si>
  <si>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</si>
  <si>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</si>
  <si>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</si>
  <si>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</si>
  <si>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</si>
  <si>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</si>
  <si>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</si>
  <si>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</si>
  <si>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</si>
  <si>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</si>
  <si>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</si>
  <si>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</si>
  <si>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</si>
  <si>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</si>
  <si>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</si>
  <si>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</si>
  <si>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</si>
  <si>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</si>
  <si>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</si>
  <si>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</si>
  <si>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</si>
  <si>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</si>
  <si>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</si>
  <si>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</si>
  <si>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</si>
  <si>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</si>
  <si>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</si>
  <si>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</si>
  <si>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</si>
  <si>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</si>
  <si>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</si>
  <si>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</si>
  <si>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</si>
  <si>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</si>
  <si>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</si>
  <si>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</si>
  <si>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</si>
  <si>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</si>
  <si>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</si>
  <si>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</si>
  <si>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</si>
  <si>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</si>
  <si>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</si>
  <si>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</si>
  <si>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</si>
  <si>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</si>
  <si>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</si>
  <si>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</si>
  <si>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</si>
  <si>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</si>
  <si>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</si>
  <si>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</si>
  <si>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</si>
  <si>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</si>
  <si>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</si>
  <si>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</si>
  <si>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</si>
  <si>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</si>
  <si>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</si>
  <si>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</si>
  <si>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</si>
  <si>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</si>
  <si>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</si>
  <si>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</si>
  <si>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</si>
  <si>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</si>
  <si>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</si>
  <si>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</si>
  <si>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</si>
  <si>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</si>
  <si>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</si>
  <si>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</si>
  <si>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</si>
  <si>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</si>
  <si>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</si>
  <si>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</si>
  <si>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</si>
  <si>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</si>
  <si>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</si>
  <si>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</si>
  <si>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</si>
  <si>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</si>
  <si>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</si>
  <si>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</si>
  <si>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</si>
  <si>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</si>
  <si>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</si>
  <si>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</si>
  <si>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</si>
  <si>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</si>
  <si>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</si>
  <si>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</si>
  <si>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</si>
  <si>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</si>
  <si>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</si>
  <si>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</si>
  <si>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</si>
  <si>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</si>
  <si>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</si>
  <si>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</si>
  <si>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</si>
  <si>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</si>
  <si>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</si>
  <si>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</si>
  <si>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</si>
  <si>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</si>
  <si>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</si>
  <si>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</si>
  <si>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</si>
  <si>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</si>
  <si>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</si>
  <si>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</si>
  <si>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</si>
  <si>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</si>
  <si>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</si>
  <si>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</si>
  <si>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</si>
  <si>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</si>
  <si>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</si>
  <si>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</si>
  <si>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</si>
  <si>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</si>
  <si>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</si>
  <si>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</si>
  <si>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</si>
  <si>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</si>
  <si>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</si>
  <si>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</si>
  <si>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</si>
  <si>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</si>
  <si>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</si>
  <si>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</si>
  <si>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</si>
  <si>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</si>
  <si>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</si>
  <si>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</si>
  <si>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</si>
  <si>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</si>
  <si>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</si>
  <si>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</si>
  <si>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</si>
  <si>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</si>
  <si>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</si>
  <si>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</si>
  <si>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</si>
  <si>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</si>
  <si>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</si>
  <si>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</si>
  <si>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</si>
  <si>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</si>
  <si>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</si>
  <si>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</si>
  <si>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</si>
  <si>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</si>
  <si>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</si>
  <si>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</si>
  <si>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</si>
  <si>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</si>
  <si>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</si>
  <si>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</si>
  <si>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</si>
  <si>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</si>
  <si>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</si>
  <si>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</si>
  <si>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</si>
  <si>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</si>
  <si>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</si>
  <si>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</si>
  <si>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</si>
  <si>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</si>
  <si>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</si>
  <si>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</si>
  <si>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</si>
  <si>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</si>
  <si>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</si>
  <si>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</si>
  <si>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</si>
  <si>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</si>
  <si>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</si>
  <si>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</si>
  <si>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</si>
  <si>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</si>
  <si>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</si>
  <si>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</si>
  <si>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</si>
  <si>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</si>
  <si>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</si>
  <si>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</si>
  <si>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</si>
  <si>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</si>
  <si>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</si>
  <si>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</si>
  <si>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</si>
  <si>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</si>
  <si>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</si>
  <si>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</si>
  <si>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</si>
  <si>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</si>
  <si>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</si>
  <si>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</si>
  <si>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</si>
  <si>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</si>
  <si>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</si>
  <si>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</si>
  <si>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</si>
  <si>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</si>
  <si>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</si>
  <si>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</si>
  <si>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</si>
  <si>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</si>
  <si>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</si>
  <si>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</si>
  <si>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</si>
  <si>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</si>
  <si>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</si>
  <si>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</si>
  <si>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</si>
  <si>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</si>
  <si>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</si>
  <si>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</si>
  <si>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</si>
  <si>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</si>
  <si>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</si>
  <si>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</si>
  <si>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</si>
  <si>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</si>
  <si>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</si>
  <si>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</si>
  <si>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</si>
  <si>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</si>
  <si>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</si>
  <si>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</si>
  <si>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</si>
  <si>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</si>
  <si>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</si>
  <si>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</si>
  <si>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</si>
  <si>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</si>
  <si>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</si>
  <si>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</si>
  <si>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</si>
  <si>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</si>
  <si>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</si>
  <si>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</si>
  <si>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</si>
  <si>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</si>
  <si>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</si>
  <si>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</si>
  <si>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</si>
  <si>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</si>
  <si>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</si>
  <si>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</si>
  <si>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</si>
  <si>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</si>
  <si>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</si>
  <si>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</si>
  <si>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</si>
  <si>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</si>
  <si>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</si>
  <si>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</si>
  <si>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</si>
  <si>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</si>
  <si>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</si>
  <si>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</si>
  <si>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</si>
  <si>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</si>
  <si>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</si>
  <si>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</si>
  <si>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</si>
  <si>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</si>
  <si>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</si>
  <si>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</si>
  <si>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</si>
  <si>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</si>
  <si>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</si>
  <si>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</si>
  <si>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</si>
  <si>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</si>
  <si>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</si>
  <si>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</si>
  <si>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</si>
  <si>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</si>
  <si>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</si>
  <si>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</si>
  <si>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</si>
  <si>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</si>
  <si>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</si>
  <si>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</si>
  <si>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</si>
  <si>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</si>
  <si>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</si>
  <si>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</si>
  <si>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</si>
  <si>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</si>
  <si>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</si>
  <si>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</si>
  <si>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</si>
  <si>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</si>
  <si>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</si>
  <si>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</si>
  <si>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</si>
  <si>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</si>
  <si>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</si>
  <si>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</si>
  <si>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</si>
  <si>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</si>
  <si>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</si>
  <si>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</si>
  <si>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</si>
  <si>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</si>
  <si>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</si>
  <si>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</si>
  <si>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</si>
  <si>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</si>
  <si>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</si>
  <si>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</si>
  <si>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</si>
  <si>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</si>
  <si>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</si>
  <si>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</si>
  <si>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</si>
  <si>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</si>
  <si>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</si>
  <si>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</si>
  <si>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</si>
  <si>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</si>
  <si>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</si>
  <si>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</si>
  <si>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</si>
  <si>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</si>
  <si>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</si>
  <si>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</si>
  <si>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</si>
  <si>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</si>
  <si>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</si>
  <si>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</si>
  <si>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</si>
  <si>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</si>
  <si>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</si>
  <si>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</si>
  <si>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</si>
  <si>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</si>
  <si>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</si>
  <si>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</si>
  <si>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</si>
  <si>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</si>
  <si>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</si>
  <si>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</si>
  <si>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</si>
  <si>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</si>
  <si>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</si>
  <si>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</si>
  <si>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</si>
  <si>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</si>
  <si>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</si>
  <si>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</si>
  <si>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</si>
  <si>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</si>
  <si>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</si>
  <si>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</si>
  <si>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</si>
  <si>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</si>
  <si>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</si>
  <si>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</si>
  <si>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</si>
  <si>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</si>
  <si>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</si>
  <si>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</si>
  <si>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</si>
  <si>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</si>
  <si>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</si>
  <si>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</si>
  <si>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</si>
  <si>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</si>
  <si>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</si>
  <si>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</si>
  <si>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</si>
  <si>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</si>
  <si>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</si>
  <si>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</si>
  <si>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</si>
  <si>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</si>
  <si>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</si>
  <si>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</si>
  <si>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</si>
  <si>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</si>
  <si>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</si>
  <si>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</si>
  <si>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</si>
  <si>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</si>
  <si>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</si>
  <si>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</si>
  <si>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</si>
  <si>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</si>
  <si>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</si>
  <si>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</si>
  <si>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</si>
  <si>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</si>
  <si>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</si>
  <si>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</si>
  <si>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</si>
  <si>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</si>
  <si>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</si>
  <si>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</si>
  <si>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</si>
  <si>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</si>
  <si>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</si>
  <si>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</si>
  <si>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</si>
  <si>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</si>
  <si>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</si>
  <si>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</si>
  <si>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</si>
  <si>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</si>
  <si>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</si>
  <si>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</si>
  <si>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</si>
  <si>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</si>
  <si>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</si>
  <si>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</si>
  <si>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</si>
  <si>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</si>
  <si>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</si>
  <si>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</si>
  <si>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</si>
  <si>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</si>
  <si>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</si>
  <si>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</si>
  <si>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</si>
  <si>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</si>
  <si>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</si>
  <si>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</si>
  <si>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</si>
  <si>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</si>
  <si>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</si>
  <si>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</si>
  <si>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</si>
  <si>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</si>
  <si>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</si>
  <si>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</si>
  <si>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</si>
  <si>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</si>
  <si>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</si>
  <si>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</si>
  <si>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</si>
  <si>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</si>
  <si>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</si>
  <si>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</si>
  <si>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</si>
  <si>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</si>
  <si>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</si>
  <si>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</si>
  <si>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</si>
  <si>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</si>
  <si>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</si>
  <si>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</si>
  <si>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</si>
  <si>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</si>
  <si>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</si>
  <si>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</si>
  <si>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</si>
  <si>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</si>
  <si>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</si>
  <si>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</si>
  <si>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</si>
  <si>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</si>
  <si>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</si>
  <si>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</si>
  <si>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</si>
  <si>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</si>
  <si>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</si>
  <si>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</si>
  <si>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</si>
  <si>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</si>
  <si>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</si>
  <si>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</si>
  <si>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</si>
  <si>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</si>
  <si>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</si>
  <si>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</si>
  <si>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</si>
  <si>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</si>
  <si>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</si>
  <si>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</si>
  <si>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</si>
  <si>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</si>
  <si>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</si>
  <si>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</si>
  <si>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</si>
  <si>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</si>
  <si>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</si>
  <si>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</si>
  <si>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</si>
  <si>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</si>
  <si>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</si>
  <si>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</si>
  <si>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</si>
  <si>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</si>
  <si>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</si>
  <si>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</si>
  <si>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</si>
  <si>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</si>
  <si>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</si>
  <si>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</si>
  <si>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</si>
  <si>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</si>
  <si>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</si>
  <si>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</si>
  <si>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</si>
  <si>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</si>
  <si>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</si>
  <si>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</si>
  <si>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</si>
  <si>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</si>
  <si>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</si>
  <si>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</si>
  <si>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</si>
  <si>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</si>
  <si>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</si>
  <si>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</si>
  <si>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</si>
  <si>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</si>
  <si>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</si>
  <si>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</si>
  <si>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</si>
  <si>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</si>
  <si>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</si>
  <si>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</si>
  <si>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</si>
  <si>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</si>
  <si>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</si>
  <si>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</si>
  <si>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</si>
  <si>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</si>
  <si>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</si>
  <si>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</si>
  <si>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</si>
  <si>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</si>
  <si>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</si>
  <si>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</si>
  <si>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</si>
  <si>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</si>
  <si>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</si>
  <si>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</si>
  <si>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</si>
  <si>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</si>
  <si>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</si>
  <si>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</si>
  <si>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</si>
  <si>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</si>
  <si>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</si>
  <si>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</si>
  <si>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</si>
  <si>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</si>
  <si>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</si>
  <si>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</si>
  <si>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</si>
  <si>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</si>
  <si>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</si>
  <si>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</si>
  <si>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</si>
  <si>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</si>
  <si>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</si>
  <si>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</si>
  <si>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</si>
  <si>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</si>
  <si>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</si>
  <si>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</si>
  <si>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</si>
  <si>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</si>
  <si>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</si>
  <si>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</si>
  <si>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</si>
  <si>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</si>
  <si>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</si>
  <si>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</si>
  <si>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</si>
  <si>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</si>
  <si>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</si>
  <si>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</si>
  <si>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</si>
  <si>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</si>
  <si>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</si>
  <si>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</si>
  <si>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</si>
  <si>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</si>
  <si>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</si>
  <si>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</si>
  <si>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</si>
  <si>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</si>
  <si>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</si>
  <si>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</si>
  <si>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</si>
  <si>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</si>
  <si>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</si>
  <si>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</si>
  <si>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</si>
  <si>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</si>
  <si>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</si>
  <si>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</si>
  <si>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</si>
  <si>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</si>
  <si>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</si>
  <si>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</si>
  <si>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</si>
  <si>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</si>
  <si>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</si>
  <si>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</si>
  <si>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</si>
  <si>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</si>
  <si>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</si>
  <si>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</si>
  <si>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</si>
  <si>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</si>
  <si>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</si>
  <si>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</si>
  <si>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</si>
  <si>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</si>
  <si>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</si>
  <si>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</si>
  <si>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</si>
  <si>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</si>
  <si>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</si>
  <si>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</si>
  <si>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</si>
  <si>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</si>
  <si>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</si>
  <si>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</si>
  <si>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</si>
  <si>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</si>
  <si>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</si>
  <si>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</si>
  <si>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</si>
  <si>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</si>
  <si>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</si>
  <si>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</si>
  <si>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</si>
  <si>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</si>
  <si>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</si>
  <si>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</si>
  <si>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</si>
  <si>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</si>
  <si>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</si>
  <si>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</si>
  <si>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</si>
  <si>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</si>
  <si>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</si>
  <si>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</si>
  <si>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</si>
  <si>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</si>
  <si>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</si>
  <si>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</si>
  <si>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</si>
  <si>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</si>
  <si>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</si>
  <si>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</si>
  <si>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</si>
  <si>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</si>
  <si>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</si>
  <si>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</si>
  <si>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</si>
  <si>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DUFIE MARY</t>
  </si>
  <si>
    <t>GIDEON WANJALA WEYAULA</t>
  </si>
  <si>
    <t>CYRIL DELA AMAVIE</t>
  </si>
  <si>
    <t>FATU F SARCKOH BONARWOLO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</si>
  <si>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</si>
  <si>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</si>
  <si>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</si>
  <si>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</si>
  <si>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</si>
  <si>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</si>
  <si>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</si>
  <si>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</si>
  <si>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</si>
  <si>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</si>
  <si>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</si>
  <si>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</si>
  <si>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</si>
  <si>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</si>
  <si>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</si>
  <si>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</si>
  <si>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</si>
  <si>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</si>
  <si>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</si>
  <si>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</si>
  <si>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</si>
  <si>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</si>
  <si>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</si>
  <si>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</si>
  <si>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</si>
  <si>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</si>
  <si>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</si>
  <si>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</si>
  <si>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</si>
  <si>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</si>
  <si>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</si>
  <si>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</si>
  <si>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</si>
  <si>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</si>
  <si>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</si>
  <si>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</si>
  <si>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</si>
  <si>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</si>
  <si>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</si>
  <si>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</si>
  <si>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</si>
  <si>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</si>
  <si>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</si>
  <si>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</si>
  <si>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</si>
  <si>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</si>
  <si>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</si>
  <si>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</si>
  <si>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</si>
  <si>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</si>
  <si>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</si>
  <si>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</si>
  <si>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</si>
  <si>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</si>
  <si>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</si>
  <si>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</si>
  <si>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</si>
  <si>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</si>
  <si>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</si>
  <si>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</si>
  <si>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</si>
  <si>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</si>
  <si>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</si>
  <si>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</si>
  <si>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</si>
  <si>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</si>
  <si>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</si>
  <si>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</si>
  <si>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</si>
  <si>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</si>
  <si>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</si>
  <si>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</si>
  <si>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</si>
  <si>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</si>
  <si>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</si>
  <si>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</si>
  <si>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</si>
  <si>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</si>
  <si>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</si>
  <si>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</si>
  <si>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</si>
  <si>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</si>
  <si>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</si>
  <si>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</si>
  <si>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</si>
  <si>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</si>
  <si>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</si>
  <si>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</si>
  <si>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</si>
  <si>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</si>
  <si>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</si>
  <si>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</si>
  <si>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</si>
  <si>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</si>
  <si>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</si>
  <si>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</si>
  <si>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</si>
  <si>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</si>
  <si>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</si>
  <si>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</si>
  <si>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Annual Leave</t>
  </si>
  <si>
    <t xml:space="preserve">Attendance </t>
  </si>
  <si>
    <t>Maternity Leave</t>
  </si>
  <si>
    <t>6th Day OT</t>
  </si>
  <si>
    <t>Social Leave</t>
  </si>
  <si>
    <t>DWD Dashboard</t>
  </si>
  <si>
    <t>GB Leaves</t>
  </si>
  <si>
    <t>Not Present</t>
  </si>
  <si>
    <t>Carry Forwarded Annual Leave</t>
  </si>
  <si>
    <t>Sick Leave</t>
  </si>
  <si>
    <t>Loss of Pay</t>
  </si>
  <si>
    <t>Missed SOS Punch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</si>
</sst>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56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4" fontId="4" fillId="8" borderId="5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0" fontId="2" fillId="0" borderId="0" xfId="1" applyNumberFormat="1" applyFont="1" applyAlignment="1">
      <alignment horizontal="center" vertical="center" wrapText="1"/>
    </xf>
    <xf numFmtId="43" fontId="2" fillId="0" borderId="6" xfId="5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9" fontId="2" fillId="0" borderId="0" xfId="1" applyFont="1"/>
    <xf numFmtId="14" fontId="4" fillId="5" borderId="6" xfId="0" applyNumberFormat="1" applyFont="1" applyFill="1" applyBorder="1" applyAlignment="1">
      <alignment horizontal="center" vertic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2005"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2004"/>
    </tableStyle>
    <tableStyle name="Table Style 2" pivot="0" count="2" xr9:uid="{18C1CFA2-D327-418D-9CE3-705B1B857C1A}">
      <tableStyleElement type="headerRow" dxfId="2003"/>
      <tableStyleElement type="firstRowStripe" dxfId="2002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hamreh/Downloads/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Y1374" totalsRowShown="0" headerRowDxfId="2001" dataDxfId="1999" headerRowBorderDxfId="2000" tableBorderDxfId="1998" totalsRowBorderDxfId="1997" dataCellStyle="Percent">
  <autoFilter ref="A6:Y1374" xr:uid="{D11D776E-8BD3-41FA-8717-273CB2AA9E41}"/>
  <tableColumns count="25">
    <tableColumn id="1" xr3:uid="{BCE29A67-12E8-4558-8580-3259C3F345D1}" name="S.No" dataDxfId="1996" dataCellStyle="Percent"/>
    <tableColumn id="2" xr3:uid="{2A531BA2-670E-47B6-8C54-A268061DF0C4}" name="Psoft No" dataDxfId="1995" dataCellStyle="Percent"/>
    <tableColumn id="3" xr3:uid="{5211A305-297F-4148-BFE0-A822C9572ABC}" name="AMZ ID" dataDxfId="1994" dataCellStyle="Comma"/>
    <tableColumn id="4" xr3:uid="{3A164886-BB7E-4199-B547-D765B2D8E209}" name="EMP Name" dataDxfId="1993" dataCellStyle="Comma"/>
    <tableColumn id="21" xr3:uid="{B96A5737-172D-4C27-A01A-D01707DF4279}" name="Employment Type" dataDxfId="1992" dataCellStyle="Percent"/>
    <tableColumn id="5" xr3:uid="{5F7A53E1-02F5-47EB-81C8-97C09FA2B568}" name="Country" dataDxfId="1991" dataCellStyle="Percent"/>
    <tableColumn id="7" xr3:uid="{200B394F-49B2-4204-9B36-0BE27E346183}" name="Building" dataDxfId="1990" dataCellStyle="Percent"/>
    <tableColumn id="22" xr3:uid="{6940F9EF-2C19-4297-85AF-FB9B029F70F8}" name="LOB" dataDxfId="1989" dataCellStyle="Percent"/>
    <tableColumn id="8" xr3:uid="{AD7FC9C0-1CB1-4924-8082-447C98D6207B}" name="Cost Center" dataDxfId="1988" dataCellStyle="Percent"/>
    <tableColumn id="9" xr3:uid="{A2DF0313-D2EB-48E2-B0AE-440FDA42B3F4}" name="Shift" dataDxfId="1987" dataCellStyle="Percent"/>
    <tableColumn id="23" xr3:uid="{4F2A0626-A831-4633-B9B7-D7736BC61A21}" name="Shift Difference" dataDxfId="1986" dataCellStyle="Percent"/>
    <tableColumn id="10" xr3:uid="{3039464D-2B75-4E9D-8C2B-C45F2AE0EA25}" name="OFF1" dataDxfId="1985" dataCellStyle="Percent"/>
    <tableColumn id="11" xr3:uid="{FB40016D-4358-4A88-BE20-305D2220A7D7}" name="OFF2" dataDxfId="1984" dataCellStyle="Percent"/>
    <tableColumn id="12" xr3:uid="{9C11C26C-621B-47DA-8AD2-48E4EA7AF7F6}" name="Job Title" dataDxfId="1983" dataCellStyle="Percent"/>
    <tableColumn id="13" xr3:uid="{78CCCED1-4589-4768-88FD-C337A4B51D57}" name="Department" dataDxfId="1982" dataCellStyle="Percent"/>
    <tableColumn id="15" xr3:uid="{BF545AB2-BB16-462C-98B6-98B12CCDA3E2}" name="Type" dataDxfId="1981" dataCellStyle="Percent"/>
    <tableColumn id="16" xr3:uid="{33176F9B-859A-4E8A-BFC8-2B3E80F765B1}" name="3P" dataDxfId="1980" dataCellStyle="Percent"/>
    <tableColumn id="17" xr3:uid="{B16D20CA-C8D1-4A73-9FED-F32C03A7F7B1}" name="Line Manager Login" dataDxfId="1979" dataCellStyle="Percent"/>
    <tableColumn id="18" xr3:uid="{EDBED78B-2E5D-4CAA-ADED-B7A17FBB7972}" name="Line Manager" dataDxfId="1978" dataCellStyle="Percent"/>
    <tableColumn id="19" xr3:uid="{963E2666-A9AD-44A5-92DF-EE8BBB31D341}" name="Attendance " dataDxfId="1977" dataCellStyle="Percent"/>
    <tableColumn id="20" xr3:uid="{B55677C2-AA17-4298-9607-D84F248BC1EA}" name="Remarks" dataDxfId="1976" dataCellStyle="Percent"/>
    <tableColumn id="24" xr3:uid="{F0941C5C-C7C6-48D2-9385-5ECE49D31862}" name="DOJ" dataDxfId="1975" dataCellStyle="Percent"/>
    <tableColumn id="25" xr3:uid="{1771362B-7773-4548-9495-CD299074DEFD}" name="Process Path" dataDxfId="1974" dataCellStyle="Percent"/>
    <tableColumn id="6" xr3:uid="{09AED3E4-115E-4127-84B6-803BDAD63CAD}" name="DWD Dashboard" dataDxfId="995" dataCellStyle="Percent"/>
    <tableColumn id="14" xr3:uid="{13DDC27C-4745-4775-90FC-54CDD7BBCB3D}" name="GB Leaves" dataDxfId="994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dimension ref="A1:AQ34"/>
  <sheetViews>
    <sheetView showGridLines="0" zoomScale="80" zoomScaleNormal="80" workbookViewId="0">
      <selection activeCell="G8" sqref="G8"/>
    </sheetView>
  </sheetViews>
  <sheetFormatPr defaultColWidth="11.453125" defaultRowHeight="12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453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453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453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>
      <c r="A1" s="123" t="s">
        <v>64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66"/>
      <c r="O1" s="66"/>
      <c r="P1" s="66"/>
      <c r="Q1" s="66"/>
      <c r="R1" s="122"/>
      <c r="S1" s="119" t="s">
        <v>65</v>
      </c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1"/>
      <c r="AE1" s="122"/>
      <c r="AF1" s="119" t="s">
        <v>66</v>
      </c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1"/>
    </row>
    <row r="2" spans="1:43" s="8" customFormat="1" ht="24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33" t="s">
        <v>30</v>
      </c>
      <c r="I2" s="133"/>
      <c r="J2" s="133"/>
      <c r="K2" s="133"/>
      <c r="L2" s="133"/>
      <c r="M2" s="133"/>
      <c r="N2" s="67"/>
      <c r="O2" s="67"/>
      <c r="P2" s="67"/>
      <c r="Q2" s="67"/>
      <c r="R2" s="122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33" t="s">
        <v>30</v>
      </c>
      <c r="AA2" s="133"/>
      <c r="AB2" s="133"/>
      <c r="AC2" s="133"/>
      <c r="AD2" s="133"/>
      <c r="AE2" s="122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33" t="s">
        <v>30</v>
      </c>
      <c r="AN2" s="133"/>
      <c r="AO2" s="133"/>
      <c r="AP2" s="133"/>
      <c r="AQ2" s="149"/>
    </row>
    <row r="3" spans="1:43" s="9" customFormat="1">
      <c r="A3" s="19">
        <v>1204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1143</v>
      </c>
      <c r="E3" s="11">
        <f>C3+D3</f>
        <v>1201</v>
      </c>
      <c r="F3" s="19">
        <f>E3</f>
        <v>1201</v>
      </c>
      <c r="G3" s="12">
        <f>E3/F3</f>
        <v>1</v>
      </c>
      <c r="H3" s="134"/>
      <c r="I3" s="116"/>
      <c r="J3" s="116"/>
      <c r="K3" s="116"/>
      <c r="L3" s="116"/>
      <c r="M3" s="116"/>
      <c r="R3" s="122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86</v>
      </c>
      <c r="W3" s="11">
        <f>U3+V3</f>
        <v>100</v>
      </c>
      <c r="X3" s="20">
        <f>W3</f>
        <v>100</v>
      </c>
      <c r="Y3" s="12">
        <f>W3/X3</f>
        <v>1</v>
      </c>
      <c r="Z3" s="135"/>
      <c r="AA3" s="136"/>
      <c r="AB3" s="136"/>
      <c r="AC3" s="136"/>
      <c r="AD3" s="137"/>
      <c r="AE3" s="122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16"/>
      <c r="AN3" s="116"/>
      <c r="AO3" s="116"/>
      <c r="AP3" s="116"/>
      <c r="AQ3" s="118"/>
    </row>
    <row r="4" spans="1:43">
      <c r="A4" s="42">
        <f>Roster!B1</f>
        <v>46263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118"/>
      <c r="N4" s="9"/>
      <c r="O4" s="9"/>
      <c r="P4" s="9"/>
      <c r="Q4" s="9"/>
      <c r="R4" s="122"/>
      <c r="S4" s="42">
        <f>Roster!B1</f>
        <v>46263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8"/>
      <c r="AE4" s="122"/>
      <c r="AF4" s="42">
        <f>Roster!B1</f>
        <v>46263</v>
      </c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5"/>
    </row>
    <row r="5" spans="1:43" s="8" customFormat="1" ht="24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24"/>
      <c r="R5" s="122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38"/>
      <c r="AE5" s="122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24"/>
    </row>
    <row r="6" spans="1:43">
      <c r="A6" s="11" t="s">
        <v>32</v>
      </c>
      <c r="B6" s="11">
        <f>COUNTIFS(Roster!G:G,"AUH1",Roster!P:P,"Direct",Roster!J:J,"Day Shift")</f>
        <v>653</v>
      </c>
      <c r="C6" s="11">
        <f>SUMIFS($D$12:$D$27,$B$12:$B$27,"Day Shift")</f>
        <v>151</v>
      </c>
      <c r="D6" s="11">
        <f>SUMIFS($K$12:$K$27,$B$12:$B$27,"Day Shift")</f>
        <v>490</v>
      </c>
      <c r="E6" s="11">
        <f>SUMIFS($E$12:$E$27,$B$12:$B$27,"Day Shift")</f>
        <v>31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12</v>
      </c>
      <c r="G6" s="11">
        <f>SUMIFS($H$12:$H$26,$B$12:$B$26,"Day Shift")+SUMIFS($I$12:$I$26,$B$12:$B$26,"Day Shift")</f>
        <v>20</v>
      </c>
      <c r="H6" s="11">
        <f>D6-E6-G6</f>
        <v>439</v>
      </c>
      <c r="I6" s="12">
        <v>0.90140845070422537</v>
      </c>
      <c r="J6" s="21">
        <v>0.88320040899795493</v>
      </c>
      <c r="K6" s="12">
        <f>I6/J6</f>
        <v>1.0206159797037782</v>
      </c>
      <c r="L6" s="59"/>
      <c r="M6" s="124"/>
      <c r="N6" s="8"/>
      <c r="O6" s="8"/>
      <c r="P6" s="8"/>
      <c r="Q6" s="8"/>
      <c r="R6" s="122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11</v>
      </c>
      <c r="V6" s="11">
        <f>SUMIFS($AC$12:$AC$14,$T$12:$T$14,"Day Shift")</f>
        <v>27</v>
      </c>
      <c r="W6" s="11">
        <f>SUMIFS($W$12:$W$14,$T$12:$T$14,"Day Shift")</f>
        <v>1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25</v>
      </c>
      <c r="AA6" s="12">
        <f>Z6/V6</f>
        <v>0.92592592592592593</v>
      </c>
      <c r="AB6" s="21">
        <v>0.8930769230769231</v>
      </c>
      <c r="AC6" s="12">
        <f>AA6/AB6</f>
        <v>1.0367818292021564</v>
      </c>
      <c r="AD6" s="139"/>
      <c r="AE6" s="122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24"/>
    </row>
    <row r="7" spans="1:4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v>#DIV/0!</v>
      </c>
      <c r="J7" s="21">
        <v>0</v>
      </c>
      <c r="K7" s="52" t="e">
        <f>I7/J7</f>
        <v>#DIV/0!</v>
      </c>
      <c r="L7" s="60"/>
      <c r="M7" s="124"/>
      <c r="N7" s="8"/>
      <c r="O7" s="8"/>
      <c r="P7" s="8"/>
      <c r="Q7" s="8"/>
      <c r="R7" s="122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39"/>
      <c r="AE7" s="122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24"/>
    </row>
    <row r="8" spans="1:43">
      <c r="A8" s="11" t="s">
        <v>39</v>
      </c>
      <c r="B8" s="11">
        <f>COUNTIFS(Roster!G:G,"AUH1",Roster!P:P,"Direct",Roster!J:J,"Night Shift")</f>
        <v>548</v>
      </c>
      <c r="C8" s="11">
        <f>SUMIFS($D$12:$D$27,$B$12:$B$27,"Night Shift")</f>
        <v>145</v>
      </c>
      <c r="D8" s="11">
        <f>SUMIFS($K$12:$K$27,$B$12:$B$27,"Night Shift")</f>
        <v>398</v>
      </c>
      <c r="E8" s="11">
        <f>SUMIFS($E$12:$E$27,$B$12:$B$27,"Night Shift")</f>
        <v>12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5</v>
      </c>
      <c r="G8" s="11">
        <f>SUMIFS($H$12:$H$27,$B$12:$B$27,"Night Shift")+SUMIFS($I$12:$I$27,$B$12:$B$27,"Night Shift")</f>
        <v>12</v>
      </c>
      <c r="H8" s="11">
        <f>D8-E8-G8</f>
        <v>374</v>
      </c>
      <c r="I8" s="12">
        <v>0.94458438287153657</v>
      </c>
      <c r="J8" s="21">
        <v>0.93608433734939755</v>
      </c>
      <c r="K8" s="12">
        <f>I8/J8</f>
        <v>1.0090804270331106</v>
      </c>
      <c r="L8" s="59"/>
      <c r="M8" s="124"/>
      <c r="N8" s="111"/>
      <c r="O8" s="8"/>
      <c r="P8" s="8"/>
      <c r="Q8" s="8"/>
      <c r="R8" s="122"/>
      <c r="S8" s="13" t="s">
        <v>39</v>
      </c>
      <c r="T8" s="11">
        <f>COUNTIFS(Roster!G:G,"AUH3",Roster!P:P,"Direct",Roster!J:J,"Night Shift")+COUNTIFS(Roster!G:G,"DDB1",Roster!P:P,"Direct",Roster!J:J,"Night Shift")</f>
        <v>62</v>
      </c>
      <c r="U8" s="11">
        <f>SUMIFS($V$12:$V$14,$T$12:$T$14,"Night Shift")</f>
        <v>19</v>
      </c>
      <c r="V8" s="11">
        <f>SUMIFS($AC$12:$AC$14,$T$12:$T$14,"Night Shift")</f>
        <v>43</v>
      </c>
      <c r="W8" s="11">
        <f>SUMIFS($W$12:$W$14,$T$12:$T$14,"Night Shift")</f>
        <v>2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2</v>
      </c>
      <c r="Z8" s="11">
        <f>V8-W8-Y8</f>
        <v>39</v>
      </c>
      <c r="AA8" s="12">
        <f>Z8/V8</f>
        <v>0.90697674418604646</v>
      </c>
      <c r="AB8" s="21">
        <v>0.91871794871794865</v>
      </c>
      <c r="AC8" s="12">
        <f>AA8/AB8</f>
        <v>0.9872200118128891</v>
      </c>
      <c r="AD8" s="139"/>
      <c r="AE8" s="122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3</v>
      </c>
      <c r="AI8" s="2">
        <f>SUMIFS($AP$12:$AP$15,$AG$12:$AG$15,"Night Shift")</f>
        <v>9</v>
      </c>
      <c r="AJ8" s="2">
        <f>SUMIFS($AJ$12:$AJ$15,$AG$12:$AG$15,"Night Shift")</f>
        <v>0</v>
      </c>
      <c r="AK8" s="2">
        <f>SUMIFS($AM$12:$AM$15,$AG$12:$AG$15,"Night Shift")+SUMIFS($AN$12:$AN$15,$AG$12:$AG$15,"Night Shift")</f>
        <v>1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0.88888888888888884</v>
      </c>
      <c r="AO8" s="22">
        <v>0.95679999999999998</v>
      </c>
      <c r="AP8" s="15">
        <f>AN8/AO8</f>
        <v>0.92902266815310286</v>
      </c>
      <c r="AQ8" s="124"/>
    </row>
    <row r="9" spans="1:43">
      <c r="A9" s="34" t="s">
        <v>54</v>
      </c>
      <c r="B9" s="35">
        <f t="shared" ref="B9:H9" si="0">SUM(B6:B8)</f>
        <v>1201</v>
      </c>
      <c r="C9" s="35">
        <f t="shared" si="0"/>
        <v>296</v>
      </c>
      <c r="D9" s="35">
        <f t="shared" si="0"/>
        <v>888</v>
      </c>
      <c r="E9" s="35">
        <f t="shared" si="0"/>
        <v>43</v>
      </c>
      <c r="F9" s="35">
        <f t="shared" si="0"/>
        <v>17</v>
      </c>
      <c r="G9" s="35">
        <f>SUM(G6:G8)</f>
        <v>32</v>
      </c>
      <c r="H9" s="35">
        <f t="shared" si="0"/>
        <v>813</v>
      </c>
      <c r="I9" s="36">
        <v>0.92058165548098436</v>
      </c>
      <c r="J9" s="36">
        <v>0.90747787610619468</v>
      </c>
      <c r="K9" s="36">
        <f>I9/J9</f>
        <v>1.0144397783348893</v>
      </c>
      <c r="L9" s="61"/>
      <c r="M9" s="124"/>
      <c r="N9" s="8"/>
      <c r="O9" s="68"/>
      <c r="P9" s="69"/>
      <c r="Q9" s="8"/>
      <c r="R9" s="122"/>
      <c r="S9" s="33" t="s">
        <v>54</v>
      </c>
      <c r="T9" s="35">
        <f t="shared" ref="T9:Z9" si="1">SUM(T6:T8)</f>
        <v>100</v>
      </c>
      <c r="U9" s="35">
        <f t="shared" si="1"/>
        <v>30</v>
      </c>
      <c r="V9" s="35">
        <f t="shared" si="1"/>
        <v>70</v>
      </c>
      <c r="W9" s="35">
        <f t="shared" si="1"/>
        <v>3</v>
      </c>
      <c r="X9" s="35">
        <f t="shared" si="1"/>
        <v>0</v>
      </c>
      <c r="Y9" s="35">
        <f t="shared" si="1"/>
        <v>3</v>
      </c>
      <c r="Z9" s="35">
        <f t="shared" si="1"/>
        <v>64</v>
      </c>
      <c r="AA9" s="36">
        <f>Z9/V9</f>
        <v>0.91428571428571426</v>
      </c>
      <c r="AB9" s="36">
        <v>0.87849673202614376</v>
      </c>
      <c r="AC9" s="36">
        <f>AA9/AB9</f>
        <v>1.040738890601252</v>
      </c>
      <c r="AD9" s="140"/>
      <c r="AE9" s="122"/>
      <c r="AF9" s="33" t="s">
        <v>54</v>
      </c>
      <c r="AG9" s="35">
        <f t="shared" ref="AG9:AM9" si="2">SUM(AG6:AG8)</f>
        <v>12</v>
      </c>
      <c r="AH9" s="35">
        <f t="shared" si="2"/>
        <v>3</v>
      </c>
      <c r="AI9" s="35">
        <f t="shared" si="2"/>
        <v>9</v>
      </c>
      <c r="AJ9" s="35">
        <f t="shared" si="2"/>
        <v>0</v>
      </c>
      <c r="AK9" s="35">
        <f t="shared" si="2"/>
        <v>1</v>
      </c>
      <c r="AL9" s="35">
        <f t="shared" si="2"/>
        <v>0</v>
      </c>
      <c r="AM9" s="35">
        <f t="shared" si="2"/>
        <v>8</v>
      </c>
      <c r="AN9" s="39">
        <f>AM9/AI9</f>
        <v>0.88888888888888884</v>
      </c>
      <c r="AO9" s="39">
        <f>AVERAGE(AO6,AO7,AO8)</f>
        <v>0.95483333333333331</v>
      </c>
      <c r="AP9" s="39">
        <f>AN9/AO9</f>
        <v>0.93093617268866002</v>
      </c>
      <c r="AQ9" s="124"/>
    </row>
    <row r="10" spans="1:43">
      <c r="A10" s="13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7"/>
      <c r="M10" s="118"/>
      <c r="N10" s="9"/>
      <c r="O10" s="9"/>
      <c r="P10" s="9"/>
      <c r="Q10" s="9"/>
      <c r="R10" s="122"/>
      <c r="S10" s="141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3"/>
      <c r="AE10" s="122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24"/>
    </row>
    <row r="11" spans="1:43" s="8" customFormat="1" ht="60.5" thickBot="1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1572</v>
      </c>
      <c r="N11" s="34" t="s">
        <v>1597</v>
      </c>
      <c r="O11" s="34" t="s">
        <v>1598</v>
      </c>
      <c r="P11" s="34" t="s">
        <v>1599</v>
      </c>
      <c r="Q11" s="34" t="s">
        <v>1600</v>
      </c>
      <c r="R11" s="122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2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>
      <c r="A12" s="116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15</v>
      </c>
      <c r="E12" s="11">
        <f>COUNTIFS(Roster!T:T,"PL",Roster!O:O,"ICQA",Roster!J:J,"Day Shift",Roster!P:P,"Direct",Roster!G:G,"AUH1")</f>
        <v>0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27</v>
      </c>
      <c r="H12" s="11">
        <f>COUNTIFS(Roster!T:T,"SL",Roster!O:O,"ICQA",Roster!J:J,"Day Shift",Roster!P:P,"Direct",Roster!G:G,"AUH1")</f>
        <v>1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28</v>
      </c>
      <c r="L12" s="62">
        <v>0.85785714285714287</v>
      </c>
      <c r="M12" s="12">
        <f t="shared" ref="M12:M28" si="3">(G12-F12)/(K12)</f>
        <v>0.9642857142857143</v>
      </c>
      <c r="N12" s="12">
        <f>G12/K12</f>
        <v>0.9642857142857143</v>
      </c>
      <c r="O12" s="12"/>
      <c r="P12" s="12"/>
      <c r="Q12" s="12"/>
      <c r="R12" s="122"/>
      <c r="S12" s="132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1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1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38</v>
      </c>
      <c r="AC12" s="11">
        <f>(AB12-V12)-U12-X12</f>
        <v>27</v>
      </c>
      <c r="AD12" s="16">
        <f>Y12/AC12</f>
        <v>0.92592592592592593</v>
      </c>
      <c r="AE12" s="122"/>
      <c r="AF12" s="132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>
      <c r="A13" s="125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2"/>
      <c r="S13" s="132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2"/>
      <c r="AF13" s="132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>
      <c r="A14" s="116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0.71499999999999997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22"/>
      <c r="S14" s="132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19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2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39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2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62</v>
      </c>
      <c r="AC14" s="11">
        <f>(AB14-V14)-U14-X14</f>
        <v>43</v>
      </c>
      <c r="AD14" s="16">
        <f>Y14/AC14</f>
        <v>0.90697674418604646</v>
      </c>
      <c r="AE14" s="122"/>
      <c r="AF14" s="132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3</v>
      </c>
      <c r="AJ14" s="2">
        <f>COUNTIFS(Roster!T:T,"PL",Roster!O:O,"Warehouse Deals",Roster!J:J,"Night Shift",Roster!P:P,"Support",Roster!G:G,"DAD1")</f>
        <v>0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1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9</v>
      </c>
      <c r="AQ14" s="32">
        <f>AK14/AP14</f>
        <v>0.88888888888888884</v>
      </c>
    </row>
    <row r="15" spans="1:43" s="10" customFormat="1">
      <c r="A15" s="114" t="s">
        <v>57</v>
      </c>
      <c r="B15" s="114"/>
      <c r="C15" s="23">
        <f t="shared" ref="C15:J15" si="6">SUM(C12:C14)</f>
        <v>0</v>
      </c>
      <c r="D15" s="23">
        <f t="shared" si="6"/>
        <v>18</v>
      </c>
      <c r="E15" s="23">
        <f t="shared" si="6"/>
        <v>0</v>
      </c>
      <c r="F15" s="23">
        <f t="shared" si="6"/>
        <v>0</v>
      </c>
      <c r="G15" s="24">
        <f t="shared" si="6"/>
        <v>31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32</v>
      </c>
      <c r="L15" s="63">
        <v>0.84</v>
      </c>
      <c r="M15" s="57">
        <f>(G15-F15)/(K15)</f>
        <v>0.96875</v>
      </c>
      <c r="N15" s="57">
        <f t="shared" si="5"/>
        <v>0.96875</v>
      </c>
      <c r="O15" s="84">
        <f>L15*K15</f>
        <v>26.88</v>
      </c>
      <c r="P15" s="84">
        <f>G15-F15</f>
        <v>31</v>
      </c>
      <c r="Q15" s="84">
        <f>P15-O15</f>
        <v>4.120000000000001</v>
      </c>
      <c r="R15" s="122"/>
      <c r="S15" s="148" t="s">
        <v>59</v>
      </c>
      <c r="T15" s="114"/>
      <c r="U15" s="23">
        <f t="shared" ref="U15:AB15" si="7">SUM(U12:U14)</f>
        <v>0</v>
      </c>
      <c r="V15" s="23">
        <f t="shared" si="7"/>
        <v>30</v>
      </c>
      <c r="W15" s="23">
        <f t="shared" si="7"/>
        <v>3</v>
      </c>
      <c r="X15" s="23">
        <f>SUM(X12:X14)</f>
        <v>0</v>
      </c>
      <c r="Y15" s="24">
        <f t="shared" si="7"/>
        <v>64</v>
      </c>
      <c r="Z15" s="23">
        <f t="shared" si="7"/>
        <v>3</v>
      </c>
      <c r="AA15" s="23">
        <f t="shared" si="7"/>
        <v>0</v>
      </c>
      <c r="AB15" s="23">
        <f t="shared" si="7"/>
        <v>100</v>
      </c>
      <c r="AC15" s="23">
        <f>SUM(AC12:AC14)</f>
        <v>70</v>
      </c>
      <c r="AD15" s="25"/>
      <c r="AE15" s="122"/>
      <c r="AF15" s="150" t="s">
        <v>68</v>
      </c>
      <c r="AG15" s="151"/>
      <c r="AH15" s="27">
        <f t="shared" ref="AH15:AN15" si="8">SUM(AH12:AH14)</f>
        <v>0</v>
      </c>
      <c r="AI15" s="27">
        <f t="shared" si="8"/>
        <v>3</v>
      </c>
      <c r="AJ15" s="27">
        <f t="shared" si="8"/>
        <v>0</v>
      </c>
      <c r="AK15" s="26">
        <f t="shared" si="8"/>
        <v>8</v>
      </c>
      <c r="AL15" s="26">
        <f t="shared" si="8"/>
        <v>0</v>
      </c>
      <c r="AM15" s="27">
        <f t="shared" si="8"/>
        <v>1</v>
      </c>
      <c r="AN15" s="27">
        <f t="shared" si="8"/>
        <v>0</v>
      </c>
      <c r="AO15" s="27">
        <f>SUM(AO12:AO14)</f>
        <v>12</v>
      </c>
      <c r="AP15" s="28">
        <f>SUM(AP12:AP14)</f>
        <v>9</v>
      </c>
      <c r="AQ15" s="146"/>
    </row>
    <row r="16" spans="1:43" ht="13.5" thickBot="1">
      <c r="A16" s="129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34</v>
      </c>
      <c r="E16" s="54">
        <f>COUNTIFS(Roster!T:T,"PL",Roster!O:O,"Inbound",Roster!J:J,"Day Shift",Roster!P:P,"Direct",Roster!G:G,"AUH1")</f>
        <v>16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171</v>
      </c>
      <c r="H16" s="54">
        <f>COUNTIFS(Roster!T:T,"SL",Roster!O:O,"Inbound",Roster!J:J,"Day Shift",Roster!P:P,"Direct",Roster!G:G,"AUH1")</f>
        <v>2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2</v>
      </c>
      <c r="J16" s="54">
        <f t="shared" si="4"/>
        <v>225</v>
      </c>
      <c r="K16" s="54">
        <f>(J16-D16)-C16-F16</f>
        <v>191</v>
      </c>
      <c r="L16" s="62">
        <v>0.8841919191919192</v>
      </c>
      <c r="M16" s="12">
        <f t="shared" si="3"/>
        <v>0.89528795811518325</v>
      </c>
      <c r="N16" s="12">
        <f t="shared" si="5"/>
        <v>0.89528795811518325</v>
      </c>
      <c r="O16" s="92"/>
      <c r="P16" s="92"/>
      <c r="Q16" s="12"/>
      <c r="R16" s="122"/>
      <c r="S16" s="132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8"/>
      <c r="AE16" s="122"/>
      <c r="AF16" s="152" t="s">
        <v>54</v>
      </c>
      <c r="AG16" s="153"/>
      <c r="AH16" s="38">
        <f>AH15</f>
        <v>0</v>
      </c>
      <c r="AI16" s="38">
        <f t="shared" ref="AI16:AP16" si="9">AI15</f>
        <v>3</v>
      </c>
      <c r="AJ16" s="38">
        <f t="shared" si="9"/>
        <v>0</v>
      </c>
      <c r="AK16" s="38">
        <f t="shared" si="9"/>
        <v>8</v>
      </c>
      <c r="AL16" s="38">
        <f t="shared" si="9"/>
        <v>0</v>
      </c>
      <c r="AM16" s="38">
        <f t="shared" si="9"/>
        <v>1</v>
      </c>
      <c r="AN16" s="38">
        <f t="shared" si="9"/>
        <v>0</v>
      </c>
      <c r="AO16" s="38">
        <f t="shared" si="9"/>
        <v>12</v>
      </c>
      <c r="AP16" s="41">
        <f t="shared" si="9"/>
        <v>9</v>
      </c>
      <c r="AQ16" s="147"/>
    </row>
    <row r="17" spans="1:43" hidden="1">
      <c r="A17" s="130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>
        <v>0.84560000000000002</v>
      </c>
      <c r="M17" s="12" t="e">
        <f t="shared" si="3"/>
        <v>#DIV/0!</v>
      </c>
      <c r="N17" s="12" t="e">
        <f t="shared" si="5"/>
        <v>#DIV/0!</v>
      </c>
      <c r="O17" s="92"/>
      <c r="P17" s="92"/>
      <c r="Q17" s="12"/>
      <c r="R17" s="122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2"/>
    </row>
    <row r="18" spans="1:43">
      <c r="A18" s="125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17</v>
      </c>
      <c r="E18" s="11">
        <f>COUNTIFS(Roster!T:T,"PL",Roster!O:O,"Inbound",Roster!J:J,"Night Shift",Roster!P:P,"Direct",Roster!G:G,"AUH1")</f>
        <v>4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62</v>
      </c>
      <c r="H18" s="11">
        <f>COUNTIFS(Roster!T:T,"SL",Roster!O:O,"Inbound",Roster!J:J,"Night Shift",Roster!P:P,"Direct",Roster!G:G,"AUH1")</f>
        <v>2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85</v>
      </c>
      <c r="K18" s="54">
        <f>(J18-D18)-C18-F18</f>
        <v>68</v>
      </c>
      <c r="L18" s="62">
        <v>0.93558823529411761</v>
      </c>
      <c r="M18" s="12">
        <f t="shared" si="3"/>
        <v>0.91176470588235292</v>
      </c>
      <c r="N18" s="12">
        <f t="shared" si="5"/>
        <v>0.91176470588235292</v>
      </c>
      <c r="O18" s="92"/>
      <c r="P18" s="92"/>
      <c r="Q18" s="12"/>
      <c r="R18" s="122"/>
      <c r="S18" s="132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7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7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7</v>
      </c>
      <c r="AD18" s="16">
        <f>Y18/AC18</f>
        <v>1</v>
      </c>
      <c r="AE18" s="122"/>
      <c r="AL18" s="7">
        <f>1443+83</f>
        <v>1526</v>
      </c>
    </row>
    <row r="19" spans="1:43" s="10" customFormat="1">
      <c r="A19" s="114" t="s">
        <v>70</v>
      </c>
      <c r="B19" s="114"/>
      <c r="C19" s="23">
        <f>SUM(C16:C18)</f>
        <v>0</v>
      </c>
      <c r="D19" s="23">
        <f t="shared" ref="D19:J19" si="10">SUM(D16:D18)</f>
        <v>51</v>
      </c>
      <c r="E19" s="23">
        <f>SUM(E16:E18)</f>
        <v>20</v>
      </c>
      <c r="F19" s="23">
        <f>SUM(F16:F18)</f>
        <v>0</v>
      </c>
      <c r="G19" s="24">
        <f t="shared" si="10"/>
        <v>233</v>
      </c>
      <c r="H19" s="23">
        <f t="shared" si="10"/>
        <v>4</v>
      </c>
      <c r="I19" s="23">
        <f t="shared" si="10"/>
        <v>2</v>
      </c>
      <c r="J19" s="23">
        <f t="shared" si="10"/>
        <v>310</v>
      </c>
      <c r="K19" s="23">
        <f>SUM(K16:K18)</f>
        <v>259</v>
      </c>
      <c r="L19" s="63">
        <v>0.8973308270676692</v>
      </c>
      <c r="M19" s="57">
        <f>(G19-F19)/(K19)</f>
        <v>0.89961389961389959</v>
      </c>
      <c r="N19" s="57">
        <f t="shared" si="5"/>
        <v>0.89961389961389959</v>
      </c>
      <c r="O19" s="84">
        <f>L19*K19</f>
        <v>232.40868421052633</v>
      </c>
      <c r="P19" s="84">
        <f>G19-F19</f>
        <v>233</v>
      </c>
      <c r="Q19" s="84">
        <f>P19-O19</f>
        <v>0.59131578947366847</v>
      </c>
      <c r="R19" s="122"/>
      <c r="S19" s="132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23</v>
      </c>
      <c r="W19" s="11">
        <f>COUNTIFS(Roster!G:G,"AUH3",Roster!P:P,"Direct",Roster!T:T,"PL",Roster!E:E,"Temporary")+COUNTIFS(Roster!G:G,"DDB1",Roster!P:P,"Direct",Roster!T:T,"PL",Roster!E:E,"Temporary")</f>
        <v>3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57</v>
      </c>
      <c r="Z19" s="11">
        <f>COUNTIFS(Roster!G:G,"AUH3",Roster!P:P,"Direct",Roster!T:T,"SL",Roster!E:E,"Temporary")+COUNTIFS(Roster!G:G,"DDB1",Roster!P:P,"Direct",Roster!T:T,"SL",Roster!E:E,"Temporary")</f>
        <v>3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86</v>
      </c>
      <c r="AC19" s="11">
        <f>(AB19-V19)-U19</f>
        <v>63</v>
      </c>
      <c r="AD19" s="16">
        <f>Y19/AC19</f>
        <v>0.90476190476190477</v>
      </c>
      <c r="AE19" s="122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116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76</v>
      </c>
      <c r="E20" s="11">
        <f>COUNTIFS(Roster!T:T,"PL",Roster!O:O,"Outbound",Roster!J:J,"Day Shift",Roster!P:P,"Direct",Roster!G:G,"AUH1")</f>
        <v>8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2</v>
      </c>
      <c r="G20" s="11">
        <f>COUNTIFS(Roster!T:T,"P",Roster!O:O,"Outbound",Roster!J:J,"Day Shift",Roster!P:P,"Direct",Roster!G:G,"AUH1")</f>
        <v>158</v>
      </c>
      <c r="H20" s="11">
        <f>COUNTIFS(Roster!T:T,"SL",Roster!O:O,"Outbound",Roster!J:J,"Day Shift",Roster!P:P,"Direct",Roster!G:G,"AUH1")</f>
        <v>7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5</v>
      </c>
      <c r="J20" s="11">
        <f>SUM(G20:I20,)+SUM(C20:E20)</f>
        <v>254</v>
      </c>
      <c r="K20" s="11">
        <f>(J20-D20)-C20-F20</f>
        <v>176</v>
      </c>
      <c r="L20" s="62">
        <v>0.87463855421686743</v>
      </c>
      <c r="M20" s="12">
        <f t="shared" si="3"/>
        <v>0.88636363636363635</v>
      </c>
      <c r="N20" s="12">
        <f t="shared" si="5"/>
        <v>0.89772727272727271</v>
      </c>
      <c r="O20" s="92"/>
      <c r="P20" s="92"/>
      <c r="Q20" s="12"/>
      <c r="R20" s="122"/>
      <c r="S20" s="148" t="s">
        <v>59</v>
      </c>
      <c r="T20" s="114"/>
      <c r="U20" s="23">
        <f t="shared" ref="U20:AA20" si="11">SUM(U17:U19)</f>
        <v>0</v>
      </c>
      <c r="V20" s="23">
        <f t="shared" si="11"/>
        <v>30</v>
      </c>
      <c r="W20" s="23">
        <f t="shared" si="11"/>
        <v>3</v>
      </c>
      <c r="X20" s="23">
        <f t="shared" si="11"/>
        <v>0</v>
      </c>
      <c r="Y20" s="24">
        <f t="shared" si="11"/>
        <v>64</v>
      </c>
      <c r="Z20" s="23">
        <f t="shared" si="11"/>
        <v>3</v>
      </c>
      <c r="AA20" s="23">
        <f t="shared" si="11"/>
        <v>0</v>
      </c>
      <c r="AB20" s="23">
        <f>SUM(AB17:AB19)</f>
        <v>100</v>
      </c>
      <c r="AC20" s="23">
        <f>SUM(AC18:AC19)</f>
        <v>70</v>
      </c>
      <c r="AD20" s="25"/>
      <c r="AE20" s="122"/>
    </row>
    <row r="21" spans="1:43" hidden="1">
      <c r="A21" s="125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2"/>
      <c r="P21" s="92"/>
      <c r="Q21" s="12"/>
      <c r="R21" s="122"/>
      <c r="S21" s="132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8"/>
      <c r="AE21" s="122"/>
    </row>
    <row r="22" spans="1:43">
      <c r="A22" s="131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100</v>
      </c>
      <c r="E22" s="54">
        <f>COUNTIFS(Roster!T:T,"PL",Roster!O:O,"Outbound",Roster!J:J,"Night Shift",Roster!P:P,"Direct",Roster!G:G,"AUH1")</f>
        <v>5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5</v>
      </c>
      <c r="G22" s="54">
        <f>COUNTIFS(Roster!T:T,"P",Roster!O:O,"Outbound",Roster!J:J,"Night Shift",Roster!P:P,"Direct",Roster!G:G,"AUH1")</f>
        <v>256</v>
      </c>
      <c r="H22" s="54">
        <f>COUNTIFS(Roster!T:T,"SL",Roster!O:O,"Outbound",Roster!J:J,"Night Shift",Roster!P:P,"Direct",Roster!G:G,"AUH1")</f>
        <v>7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2</v>
      </c>
      <c r="J22" s="54">
        <f t="shared" si="4"/>
        <v>370</v>
      </c>
      <c r="K22" s="54">
        <f>(J22-D22)-C22-F22</f>
        <v>265</v>
      </c>
      <c r="L22" s="62">
        <v>0.94372340425531909</v>
      </c>
      <c r="M22" s="65">
        <f t="shared" si="3"/>
        <v>0.94716981132075473</v>
      </c>
      <c r="N22" s="65">
        <f t="shared" si="5"/>
        <v>0.96603773584905661</v>
      </c>
      <c r="O22" s="93"/>
      <c r="P22" s="93"/>
      <c r="Q22" s="12"/>
      <c r="R22" s="122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26"/>
      <c r="AE22" s="122"/>
    </row>
    <row r="23" spans="1:43" s="10" customFormat="1">
      <c r="A23" s="114" t="s">
        <v>58</v>
      </c>
      <c r="B23" s="114"/>
      <c r="C23" s="23">
        <f t="shared" ref="C23:J23" si="12">SUM(C20:C22)</f>
        <v>0</v>
      </c>
      <c r="D23" s="23">
        <f t="shared" si="12"/>
        <v>176</v>
      </c>
      <c r="E23" s="23">
        <f t="shared" si="12"/>
        <v>13</v>
      </c>
      <c r="F23" s="23">
        <f>SUM(F20:F22)</f>
        <v>7</v>
      </c>
      <c r="G23" s="24">
        <f t="shared" si="12"/>
        <v>414</v>
      </c>
      <c r="H23" s="23">
        <f t="shared" si="12"/>
        <v>14</v>
      </c>
      <c r="I23" s="23">
        <f t="shared" si="12"/>
        <v>7</v>
      </c>
      <c r="J23" s="23">
        <f t="shared" si="12"/>
        <v>624</v>
      </c>
      <c r="K23" s="23">
        <f>SUM(K20:K22)</f>
        <v>441</v>
      </c>
      <c r="L23" s="63">
        <v>0.91812499999999997</v>
      </c>
      <c r="M23" s="57">
        <f>(G23-F23)/(K23)</f>
        <v>0.92290249433106575</v>
      </c>
      <c r="N23" s="57">
        <f t="shared" si="5"/>
        <v>0.93877551020408168</v>
      </c>
      <c r="O23" s="84">
        <f>L23*K23</f>
        <v>404.893125</v>
      </c>
      <c r="P23" s="84">
        <f>G23-F23</f>
        <v>407</v>
      </c>
      <c r="Q23" s="84">
        <f>P23-O23</f>
        <v>2.1068750000000023</v>
      </c>
      <c r="R23" s="122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7</v>
      </c>
      <c r="V23" s="11">
        <f>SUMIFS($AC$18:$AC$19,$T$18:$T$19,"Regular")</f>
        <v>7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7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27"/>
      <c r="AE23" s="122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>
      <c r="A24" s="116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26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10</v>
      </c>
      <c r="G24" s="11">
        <f>COUNTIFS(Roster!T:T,"P",Roster!O:O,"CRET",Roster!J:J,"Day Shift",Roster!P:P,"Direct",Roster!G:G,"AUH1")</f>
        <v>95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131</v>
      </c>
      <c r="K24" s="11">
        <f>(J24-D24)-C24-F24</f>
        <v>95</v>
      </c>
      <c r="L24" s="62">
        <v>0.90314432989690718</v>
      </c>
      <c r="M24" s="12">
        <f t="shared" si="3"/>
        <v>0.89473684210526316</v>
      </c>
      <c r="N24" s="12">
        <f t="shared" si="5"/>
        <v>1</v>
      </c>
      <c r="O24" s="92"/>
      <c r="P24" s="92"/>
      <c r="Q24" s="12"/>
      <c r="R24" s="122"/>
      <c r="S24" s="17" t="s">
        <v>31</v>
      </c>
      <c r="T24" s="18">
        <f>COUNTIFS(Roster!G:G,"AUH3",Roster!E:E,"Temporary")+COUNTIFS(Roster!G:G,"DDB1",Roster!E:E,"Temporary",Roster!P:P,"Direct")</f>
        <v>86</v>
      </c>
      <c r="U24" s="18">
        <f>COUNTIFS(Roster!G:G,"AUH3",Roster!E:E,"Temporary",Roster!T:T,"OFF",Roster!P:P,"Direct")+COUNTIFS(Roster!G:G,"DDB1",Roster!E:E,"Temporary",Roster!T:T,"OFF",Roster!P:P,"Direct")</f>
        <v>23</v>
      </c>
      <c r="V24" s="18">
        <f>SUMIFS($AC$18:$AC$19,$T$18:$T$19,"Temporary")</f>
        <v>63</v>
      </c>
      <c r="W24" s="18">
        <f>COUNTIFS(Roster!G:G,"AUH3",Roster!E:E,"Temporary",Roster!T:T,"PL",Roster!P:P,"Direct")+COUNTIFS(Roster!G:G,"DDB1",Roster!E:E,"Temporary",Roster!T:T,"PL",Roster!P:P,"Direct")</f>
        <v>3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3</v>
      </c>
      <c r="Z24" s="18">
        <f>V24-W24-Y24</f>
        <v>57</v>
      </c>
      <c r="AA24" s="12">
        <f>Z24/V24</f>
        <v>0.90476190476190477</v>
      </c>
      <c r="AB24" s="21">
        <v>0.90181818181818185</v>
      </c>
      <c r="AC24" s="12">
        <f>AA24/AB24</f>
        <v>1.0032642089093702</v>
      </c>
      <c r="AD24" s="128"/>
      <c r="AE24" s="122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>
      <c r="A25" s="125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2"/>
      <c r="P25" s="92"/>
      <c r="Q25" s="12"/>
      <c r="R25" s="122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2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>
      <c r="A26" s="116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3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57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0.91581967213114746</v>
      </c>
      <c r="M26" s="12">
        <f t="shared" si="3"/>
        <v>0.93442622950819676</v>
      </c>
      <c r="N26" s="12">
        <f t="shared" si="5"/>
        <v>0.93442622950819676</v>
      </c>
      <c r="O26" s="92"/>
      <c r="P26" s="92"/>
      <c r="Q26" s="12"/>
      <c r="R26" s="122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2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>
      <c r="A27" s="114" t="s">
        <v>69</v>
      </c>
      <c r="B27" s="114"/>
      <c r="C27" s="23">
        <f t="shared" ref="C27:J27" si="13">SUM(C24:C26)</f>
        <v>0</v>
      </c>
      <c r="D27" s="23">
        <f t="shared" si="13"/>
        <v>51</v>
      </c>
      <c r="E27" s="23">
        <f t="shared" si="13"/>
        <v>10</v>
      </c>
      <c r="F27" s="23">
        <f>SUM(F24:F26)</f>
        <v>10</v>
      </c>
      <c r="G27" s="24">
        <f t="shared" si="13"/>
        <v>152</v>
      </c>
      <c r="H27" s="23">
        <f t="shared" si="13"/>
        <v>3</v>
      </c>
      <c r="I27" s="23">
        <f t="shared" si="13"/>
        <v>1</v>
      </c>
      <c r="J27" s="23">
        <f t="shared" si="13"/>
        <v>217</v>
      </c>
      <c r="K27" s="23">
        <f>SUM(K24:K26)</f>
        <v>156</v>
      </c>
      <c r="L27" s="63">
        <v>0.9080379746835443</v>
      </c>
      <c r="M27" s="57">
        <f t="shared" si="3"/>
        <v>0.91025641025641024</v>
      </c>
      <c r="N27" s="63">
        <f t="shared" si="5"/>
        <v>0.97435897435897434</v>
      </c>
      <c r="O27" s="84">
        <f>L27*K27</f>
        <v>141.65392405063292</v>
      </c>
      <c r="P27" s="84">
        <f>G27-F27</f>
        <v>142</v>
      </c>
      <c r="Q27" s="84">
        <f>P27-O27</f>
        <v>0.34607594936707642</v>
      </c>
      <c r="R27" s="122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2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>
      <c r="A28" s="115" t="s">
        <v>54</v>
      </c>
      <c r="B28" s="115"/>
      <c r="C28" s="50">
        <f t="shared" ref="C28:J28" si="14">C15+C19+C23+C27</f>
        <v>0</v>
      </c>
      <c r="D28" s="50">
        <f t="shared" si="14"/>
        <v>296</v>
      </c>
      <c r="E28" s="50">
        <f t="shared" si="14"/>
        <v>43</v>
      </c>
      <c r="F28" s="50">
        <f t="shared" si="14"/>
        <v>17</v>
      </c>
      <c r="G28" s="50">
        <f t="shared" si="14"/>
        <v>830</v>
      </c>
      <c r="H28" s="50">
        <f t="shared" si="14"/>
        <v>22</v>
      </c>
      <c r="I28" s="50">
        <f t="shared" si="14"/>
        <v>10</v>
      </c>
      <c r="J28" s="50">
        <f t="shared" si="14"/>
        <v>1201</v>
      </c>
      <c r="K28" s="50">
        <f>K15+K19+K23+K27</f>
        <v>888</v>
      </c>
      <c r="L28" s="36">
        <v>0.88929999999999998</v>
      </c>
      <c r="M28" s="64">
        <f t="shared" si="3"/>
        <v>0.91554054054054057</v>
      </c>
      <c r="N28" s="64">
        <f t="shared" si="5"/>
        <v>0.93468468468468469</v>
      </c>
      <c r="O28" s="84">
        <f>L28*K28</f>
        <v>789.69839999999999</v>
      </c>
      <c r="P28" s="84">
        <f>G28-F28</f>
        <v>813</v>
      </c>
      <c r="Q28" s="85">
        <f>P28-O28</f>
        <v>23.301600000000008</v>
      </c>
      <c r="R28" s="122"/>
      <c r="AE28" s="122"/>
    </row>
    <row r="29" spans="1:43">
      <c r="E29" s="46"/>
      <c r="G29" s="46"/>
    </row>
    <row r="30" spans="1:43">
      <c r="E30" s="46"/>
      <c r="G30" s="46"/>
      <c r="H30" s="81"/>
      <c r="J30" s="55"/>
    </row>
    <row r="31" spans="1:43">
      <c r="E31" s="46"/>
      <c r="G31" s="46"/>
    </row>
    <row r="32" spans="1:43">
      <c r="E32" s="46"/>
      <c r="G32" s="46"/>
      <c r="J32" s="46"/>
    </row>
    <row r="34" spans="5:5">
      <c r="E34" s="46"/>
    </row>
  </sheetData>
  <sheetProtection formatCells="0" formatColumns="0" formatRows="0" insertColumns="0" insertRows="0" insertHyperlinks="0" deleteColumns="0" deleteRows="0" sort="0" autoFilter="0" pivotTables="0"/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85"/>
  <sheetViews>
    <sheetView tabSelected="1" zoomScale="90" zoomScaleNormal="90" workbookViewId="0">
      <selection activeCell="T845" sqref="T845"/>
    </sheetView>
  </sheetViews>
  <sheetFormatPr defaultColWidth="14.26953125" defaultRowHeight="13" customHeight="1"/>
  <cols>
    <col min="1" max="1" width="4.90625" bestFit="1" customWidth="1"/>
    <col min="2" max="2" width="9.36328125" bestFit="1" customWidth="1"/>
    <col min="3" max="3" width="9.81640625" bestFit="1" customWidth="1"/>
    <col min="4" max="4" width="36.90625" bestFit="1" customWidth="1"/>
    <col min="5" max="5" width="13.453125" bestFit="1" customWidth="1"/>
    <col min="6" max="7" width="6.36328125" bestFit="1" customWidth="1"/>
    <col min="8" max="8" width="3.54296875" bestFit="1" customWidth="1"/>
    <col min="9" max="9" width="8.7265625" bestFit="1" customWidth="1"/>
    <col min="10" max="10" width="7.7265625" bestFit="1" customWidth="1"/>
    <col min="11" max="11" width="11.453125" bestFit="1" customWidth="1"/>
    <col min="12" max="13" width="8.90625" bestFit="1" customWidth="1"/>
    <col min="14" max="14" width="22.1796875" bestFit="1" customWidth="1"/>
    <col min="15" max="15" width="12.453125" bestFit="1" customWidth="1"/>
    <col min="16" max="16" width="6" bestFit="1" customWidth="1"/>
    <col min="17" max="17" width="8.1796875" bestFit="1" customWidth="1"/>
    <col min="18" max="18" width="14.36328125" bestFit="1" customWidth="1"/>
    <col min="19" max="19" width="23.90625" bestFit="1" customWidth="1"/>
    <col min="20" max="20" width="9.1796875" style="56" bestFit="1" customWidth="1"/>
    <col min="21" max="21" width="12.7265625" bestFit="1" customWidth="1"/>
    <col min="22" max="22" width="8.08984375" bestFit="1" customWidth="1"/>
    <col min="23" max="23" width="12.7265625" bestFit="1" customWidth="1"/>
  </cols>
  <sheetData>
    <row r="1" spans="1:25" ht="13" customHeight="1" thickBot="1">
      <c r="A1" s="43" t="s">
        <v>0</v>
      </c>
      <c r="B1" s="44">
        <v>46263</v>
      </c>
      <c r="C1" s="45" t="str">
        <f>TEXT(B1,"dddd")</f>
        <v>Saturday</v>
      </c>
      <c r="Q1" s="1" t="s">
        <v>1</v>
      </c>
      <c r="R1" s="2" t="s">
        <v>2</v>
      </c>
      <c r="S1" s="2" t="s">
        <v>3</v>
      </c>
      <c r="T1"/>
    </row>
    <row r="2" spans="1:25" ht="13" customHeight="1">
      <c r="Q2" s="3" t="s">
        <v>4</v>
      </c>
      <c r="R2" s="2" t="s">
        <v>5</v>
      </c>
      <c r="S2" s="2" t="s">
        <v>6</v>
      </c>
      <c r="T2"/>
    </row>
    <row r="3" spans="1:25" ht="13" customHeight="1">
      <c r="Q3" s="4" t="s">
        <v>7</v>
      </c>
      <c r="R3" s="2" t="s">
        <v>8</v>
      </c>
      <c r="S3" s="5" t="s">
        <v>9</v>
      </c>
      <c r="T3"/>
    </row>
    <row r="4" spans="1:25" ht="13" customHeight="1">
      <c r="Q4" s="72" t="s">
        <v>10</v>
      </c>
      <c r="R4" s="2" t="s">
        <v>11</v>
      </c>
      <c r="S4" s="6">
        <v>0</v>
      </c>
      <c r="T4"/>
    </row>
    <row r="5" spans="1:25" ht="13" customHeight="1">
      <c r="J5" t="s">
        <v>2626</v>
      </c>
      <c r="T5"/>
    </row>
    <row r="6" spans="1:25" ht="13" customHeight="1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2942</v>
      </c>
      <c r="U6" s="110" t="s">
        <v>30</v>
      </c>
      <c r="V6" s="70" t="s">
        <v>16</v>
      </c>
      <c r="W6" s="109" t="s">
        <v>25</v>
      </c>
      <c r="X6" s="155" t="s">
        <v>2946</v>
      </c>
      <c r="Y6" s="155" t="s">
        <v>2947</v>
      </c>
    </row>
    <row r="7" spans="1:25" ht="13" customHeight="1">
      <c r="A7" s="11">
        <v>1</v>
      </c>
      <c r="B7" s="47">
        <v>206875258</v>
      </c>
      <c r="C7" s="88" t="s">
        <v>1701</v>
      </c>
      <c r="D7" s="11" t="s">
        <v>1702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2653</v>
      </c>
      <c r="T7" s="105" t="s">
        <v>1</v>
      </c>
      <c r="U7" s="98"/>
      <c r="V7" s="51">
        <v>46051</v>
      </c>
      <c r="W7" s="11" t="s">
        <v>1555</v>
      </c>
      <c r="X7" s="154" t="s">
        <v>2</v>
      </c>
      <c r="Y7" s="154">
        <v>0</v>
      </c>
    </row>
    <row r="8" spans="1:25" ht="13" customHeight="1">
      <c r="A8" s="11">
        <v>2</v>
      </c>
      <c r="B8" s="47">
        <v>206873715</v>
      </c>
      <c r="C8" s="88" t="s">
        <v>1691</v>
      </c>
      <c r="D8" s="11" t="s">
        <v>1692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36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2653</v>
      </c>
      <c r="T8" s="105" t="s">
        <v>1</v>
      </c>
      <c r="U8" s="98" t="s">
        <v>2944</v>
      </c>
      <c r="V8" s="51">
        <v>46020</v>
      </c>
      <c r="W8" s="11" t="s">
        <v>1555</v>
      </c>
      <c r="X8" s="154" t="s">
        <v>2</v>
      </c>
      <c r="Y8" s="154">
        <v>0</v>
      </c>
    </row>
    <row r="9" spans="1:25" ht="13" customHeight="1">
      <c r="A9" s="11">
        <v>3</v>
      </c>
      <c r="B9" s="47">
        <v>203679309</v>
      </c>
      <c r="C9" s="88" t="s">
        <v>2155</v>
      </c>
      <c r="D9" s="11" t="s">
        <v>2156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2653</v>
      </c>
      <c r="T9" s="105" t="s">
        <v>1</v>
      </c>
      <c r="U9" s="98"/>
      <c r="V9" s="51">
        <v>45488</v>
      </c>
      <c r="W9" s="11" t="s">
        <v>1555</v>
      </c>
      <c r="X9" s="154" t="s">
        <v>2</v>
      </c>
      <c r="Y9" s="154">
        <v>0</v>
      </c>
    </row>
    <row r="10" spans="1:25" ht="13" customHeight="1">
      <c r="A10" s="11">
        <v>4</v>
      </c>
      <c r="B10" s="47">
        <v>204864408</v>
      </c>
      <c r="C10" s="88" t="s">
        <v>91</v>
      </c>
      <c r="D10" s="11" t="s">
        <v>1948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2653</v>
      </c>
      <c r="T10" s="105" t="s">
        <v>1</v>
      </c>
      <c r="U10" s="98"/>
      <c r="V10" s="51">
        <v>45684</v>
      </c>
      <c r="W10" s="11" t="s">
        <v>1555</v>
      </c>
      <c r="X10" s="154" t="s">
        <v>2</v>
      </c>
      <c r="Y10" s="154">
        <v>0</v>
      </c>
    </row>
    <row r="11" spans="1:25" ht="13" customHeight="1">
      <c r="A11" s="11">
        <v>5</v>
      </c>
      <c r="B11" s="47">
        <v>203800376</v>
      </c>
      <c r="C11" s="88" t="s">
        <v>2157</v>
      </c>
      <c r="D11" s="11" t="s">
        <v>2158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2653</v>
      </c>
      <c r="T11" s="105" t="s">
        <v>1</v>
      </c>
      <c r="U11" s="98"/>
      <c r="V11" s="51">
        <v>45516</v>
      </c>
      <c r="W11" s="11" t="s">
        <v>1555</v>
      </c>
      <c r="X11" s="154" t="s">
        <v>2</v>
      </c>
      <c r="Y11" s="154">
        <v>0</v>
      </c>
    </row>
    <row r="12" spans="1:25" ht="13" customHeight="1">
      <c r="A12" s="11">
        <v>6</v>
      </c>
      <c r="B12" s="47">
        <v>206953791</v>
      </c>
      <c r="C12" s="89" t="s">
        <v>2098</v>
      </c>
      <c r="D12" s="101" t="s">
        <v>2099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2653</v>
      </c>
      <c r="T12" s="105" t="s">
        <v>1</v>
      </c>
      <c r="U12" s="98"/>
      <c r="V12" s="51">
        <v>46048</v>
      </c>
      <c r="W12" s="11" t="s">
        <v>1555</v>
      </c>
      <c r="X12" s="154" t="s">
        <v>2</v>
      </c>
      <c r="Y12" s="154">
        <v>0</v>
      </c>
    </row>
    <row r="13" spans="1:25" ht="13" customHeight="1">
      <c r="A13" s="11">
        <v>7</v>
      </c>
      <c r="B13" s="47">
        <v>205608373</v>
      </c>
      <c r="C13" s="88" t="s">
        <v>231</v>
      </c>
      <c r="D13" s="11" t="s">
        <v>1949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2653</v>
      </c>
      <c r="T13" s="105" t="s">
        <v>1</v>
      </c>
      <c r="U13" s="98"/>
      <c r="V13" s="51">
        <v>45845</v>
      </c>
      <c r="W13" s="11" t="s">
        <v>1555</v>
      </c>
      <c r="X13" s="154" t="s">
        <v>2</v>
      </c>
      <c r="Y13" s="154">
        <v>0</v>
      </c>
    </row>
    <row r="14" spans="1:25" ht="13" customHeight="1">
      <c r="A14" s="11">
        <v>8</v>
      </c>
      <c r="B14" s="47">
        <v>204869098</v>
      </c>
      <c r="C14" s="88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2653</v>
      </c>
      <c r="T14" s="105" t="s">
        <v>10</v>
      </c>
      <c r="U14" s="98"/>
      <c r="V14" s="51">
        <v>45691</v>
      </c>
      <c r="W14" s="11" t="s">
        <v>1555</v>
      </c>
      <c r="X14" s="154" t="s">
        <v>2948</v>
      </c>
      <c r="Y14" s="154">
        <v>0</v>
      </c>
    </row>
    <row r="15" spans="1:25" ht="13" customHeight="1">
      <c r="A15" s="11">
        <v>9</v>
      </c>
      <c r="B15" s="47">
        <v>206875144</v>
      </c>
      <c r="C15" s="88" t="s">
        <v>1695</v>
      </c>
      <c r="D15" s="11" t="s">
        <v>1696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2653</v>
      </c>
      <c r="T15" s="105" t="s">
        <v>1</v>
      </c>
      <c r="U15" s="98"/>
      <c r="V15" s="51">
        <v>46020</v>
      </c>
      <c r="W15" s="11" t="s">
        <v>1555</v>
      </c>
      <c r="X15" s="154" t="s">
        <v>2</v>
      </c>
      <c r="Y15" s="154">
        <v>0</v>
      </c>
    </row>
    <row r="16" spans="1:25" ht="13" customHeight="1">
      <c r="A16" s="11">
        <v>10</v>
      </c>
      <c r="B16" s="47">
        <v>204299542</v>
      </c>
      <c r="C16" s="88" t="s">
        <v>2159</v>
      </c>
      <c r="D16" s="11" t="s">
        <v>2160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2653</v>
      </c>
      <c r="T16" s="105" t="s">
        <v>1</v>
      </c>
      <c r="U16" s="98"/>
      <c r="V16" s="51">
        <v>45586</v>
      </c>
      <c r="W16" s="11" t="s">
        <v>1555</v>
      </c>
      <c r="X16" s="154" t="s">
        <v>2</v>
      </c>
      <c r="Y16" s="154">
        <v>0</v>
      </c>
    </row>
    <row r="17" spans="1:25" ht="13" customHeight="1">
      <c r="A17" s="11">
        <v>11</v>
      </c>
      <c r="B17" s="47">
        <v>206873708</v>
      </c>
      <c r="C17" s="88" t="s">
        <v>1689</v>
      </c>
      <c r="D17" s="11" t="s">
        <v>1690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2653</v>
      </c>
      <c r="T17" s="105" t="s">
        <v>10</v>
      </c>
      <c r="U17" s="98"/>
      <c r="V17" s="51">
        <v>46020</v>
      </c>
      <c r="W17" s="11" t="s">
        <v>1555</v>
      </c>
      <c r="X17" s="154" t="s">
        <v>2948</v>
      </c>
      <c r="Y17" s="154">
        <v>0</v>
      </c>
    </row>
    <row r="18" spans="1:25" ht="13" customHeight="1">
      <c r="A18" s="11">
        <v>12</v>
      </c>
      <c r="B18" s="47">
        <v>107117478</v>
      </c>
      <c r="C18" s="88" t="s">
        <v>2627</v>
      </c>
      <c r="D18" s="11" t="s">
        <v>2628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2653</v>
      </c>
      <c r="T18" s="105" t="s">
        <v>7</v>
      </c>
      <c r="U18" s="98" t="s">
        <v>2941</v>
      </c>
      <c r="V18" s="51">
        <v>44797</v>
      </c>
      <c r="W18" s="11" t="s">
        <v>1555</v>
      </c>
      <c r="X18" s="154" t="s">
        <v>2948</v>
      </c>
      <c r="Y18" s="154">
        <v>0</v>
      </c>
    </row>
    <row r="19" spans="1:25" ht="13" customHeight="1">
      <c r="A19" s="11">
        <v>13</v>
      </c>
      <c r="B19" s="47">
        <v>204403651</v>
      </c>
      <c r="C19" s="88" t="s">
        <v>2161</v>
      </c>
      <c r="D19" s="11" t="s">
        <v>2162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2653</v>
      </c>
      <c r="T19" s="105" t="s">
        <v>1</v>
      </c>
      <c r="U19" s="98"/>
      <c r="V19" s="51">
        <v>45596</v>
      </c>
      <c r="W19" s="11" t="s">
        <v>1555</v>
      </c>
      <c r="X19" s="154" t="s">
        <v>2</v>
      </c>
      <c r="Y19" s="154">
        <v>0</v>
      </c>
    </row>
    <row r="20" spans="1:25" ht="13" customHeight="1">
      <c r="A20" s="11">
        <v>14</v>
      </c>
      <c r="B20" s="47">
        <v>204299562</v>
      </c>
      <c r="C20" s="88" t="s">
        <v>2163</v>
      </c>
      <c r="D20" s="11" t="s">
        <v>2164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2653</v>
      </c>
      <c r="T20" s="105" t="s">
        <v>1</v>
      </c>
      <c r="U20" s="98"/>
      <c r="V20" s="51">
        <v>45586</v>
      </c>
      <c r="W20" s="11" t="s">
        <v>1555</v>
      </c>
      <c r="X20" s="154" t="s">
        <v>2</v>
      </c>
      <c r="Y20" s="154">
        <v>0</v>
      </c>
    </row>
    <row r="21" spans="1:25" ht="13" customHeight="1">
      <c r="A21" s="11">
        <v>15</v>
      </c>
      <c r="B21" s="47">
        <v>206949071</v>
      </c>
      <c r="C21" s="89" t="s">
        <v>2102</v>
      </c>
      <c r="D21" s="101" t="s">
        <v>2103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2653</v>
      </c>
      <c r="T21" s="105" t="s">
        <v>1</v>
      </c>
      <c r="U21" s="98"/>
      <c r="V21" s="51">
        <v>46048</v>
      </c>
      <c r="W21" s="11" t="s">
        <v>1555</v>
      </c>
      <c r="X21" s="154" t="s">
        <v>2</v>
      </c>
      <c r="Y21" s="154">
        <v>0</v>
      </c>
    </row>
    <row r="22" spans="1:25" ht="13" customHeight="1">
      <c r="A22" s="11">
        <v>16</v>
      </c>
      <c r="B22" s="47">
        <v>203083928</v>
      </c>
      <c r="C22" s="88" t="s">
        <v>100</v>
      </c>
      <c r="D22" s="11" t="s">
        <v>1952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2653</v>
      </c>
      <c r="T22" s="105" t="s">
        <v>1</v>
      </c>
      <c r="U22" s="98"/>
      <c r="V22" s="51">
        <v>45488</v>
      </c>
      <c r="W22" s="11" t="s">
        <v>1555</v>
      </c>
      <c r="X22" s="154" t="s">
        <v>2</v>
      </c>
      <c r="Y22" s="154">
        <v>0</v>
      </c>
    </row>
    <row r="23" spans="1:25" ht="13" customHeight="1">
      <c r="A23" s="11">
        <v>17</v>
      </c>
      <c r="B23" s="47">
        <v>206926473</v>
      </c>
      <c r="C23" s="88" t="s">
        <v>2130</v>
      </c>
      <c r="D23" s="11" t="s">
        <v>2002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2653</v>
      </c>
      <c r="T23" s="105" t="s">
        <v>1</v>
      </c>
      <c r="U23" s="98"/>
      <c r="V23" s="51">
        <v>46048</v>
      </c>
      <c r="W23" s="11" t="s">
        <v>1555</v>
      </c>
      <c r="X23" s="154" t="s">
        <v>2</v>
      </c>
      <c r="Y23" s="154">
        <v>0</v>
      </c>
    </row>
    <row r="24" spans="1:25" ht="13" customHeight="1">
      <c r="A24" s="11">
        <v>18</v>
      </c>
      <c r="B24" s="47">
        <v>203469072</v>
      </c>
      <c r="C24" s="88" t="s">
        <v>2165</v>
      </c>
      <c r="D24" s="11" t="s">
        <v>2166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2653</v>
      </c>
      <c r="T24" s="105" t="s">
        <v>10</v>
      </c>
      <c r="U24" s="98"/>
      <c r="V24" s="51">
        <v>45456</v>
      </c>
      <c r="W24" s="11" t="s">
        <v>1555</v>
      </c>
      <c r="X24" s="154" t="s">
        <v>2948</v>
      </c>
      <c r="Y24" s="154">
        <v>0</v>
      </c>
    </row>
    <row r="25" spans="1:25" ht="13" customHeight="1">
      <c r="A25" s="11">
        <v>19</v>
      </c>
      <c r="B25" s="47">
        <v>206875142</v>
      </c>
      <c r="C25" s="88" t="s">
        <v>1705</v>
      </c>
      <c r="D25" s="11" t="s">
        <v>1706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2653</v>
      </c>
      <c r="T25" s="105" t="s">
        <v>1</v>
      </c>
      <c r="U25" s="98"/>
      <c r="V25" s="51">
        <v>46020</v>
      </c>
      <c r="W25" s="11" t="s">
        <v>1555</v>
      </c>
      <c r="X25" s="154" t="s">
        <v>2</v>
      </c>
      <c r="Y25" s="154">
        <v>0</v>
      </c>
    </row>
    <row r="26" spans="1:25" ht="13" customHeight="1">
      <c r="A26" s="11">
        <v>20</v>
      </c>
      <c r="B26" s="47">
        <v>206953811</v>
      </c>
      <c r="C26" s="88" t="s">
        <v>2131</v>
      </c>
      <c r="D26" s="11" t="s">
        <v>2132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2" t="s">
        <v>90</v>
      </c>
      <c r="R26" s="11" t="s">
        <v>2651</v>
      </c>
      <c r="S26" s="11" t="s">
        <v>2652</v>
      </c>
      <c r="T26" s="105" t="s">
        <v>1</v>
      </c>
      <c r="U26" s="98"/>
      <c r="V26" s="51">
        <v>46048</v>
      </c>
      <c r="W26" s="11" t="s">
        <v>1555</v>
      </c>
      <c r="X26" s="154" t="s">
        <v>2</v>
      </c>
      <c r="Y26" s="154">
        <v>0</v>
      </c>
    </row>
    <row r="27" spans="1:25" ht="13" customHeight="1">
      <c r="A27" s="11">
        <v>21</v>
      </c>
      <c r="B27" s="47">
        <v>206875146</v>
      </c>
      <c r="C27" s="88" t="s">
        <v>1729</v>
      </c>
      <c r="D27" s="11" t="s">
        <v>1730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2653</v>
      </c>
      <c r="T27" s="105" t="s">
        <v>10</v>
      </c>
      <c r="U27" s="98"/>
      <c r="V27" s="51">
        <v>46020</v>
      </c>
      <c r="W27" s="11" t="s">
        <v>1555</v>
      </c>
      <c r="X27" s="154" t="s">
        <v>2948</v>
      </c>
      <c r="Y27" s="154">
        <v>0</v>
      </c>
    </row>
    <row r="28" spans="1:25" ht="13" customHeight="1">
      <c r="A28" s="11">
        <v>22</v>
      </c>
      <c r="B28" s="47">
        <v>205496017</v>
      </c>
      <c r="C28" s="88" t="s">
        <v>250</v>
      </c>
      <c r="D28" s="11" t="s">
        <v>1875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2653</v>
      </c>
      <c r="T28" s="105" t="s">
        <v>1</v>
      </c>
      <c r="U28" s="98"/>
      <c r="V28" s="51">
        <v>45831</v>
      </c>
      <c r="W28" s="11" t="s">
        <v>1555</v>
      </c>
      <c r="X28" s="154" t="s">
        <v>2</v>
      </c>
      <c r="Y28" s="154">
        <v>0</v>
      </c>
    </row>
    <row r="29" spans="1:25" ht="13" customHeight="1">
      <c r="A29" s="11">
        <v>23</v>
      </c>
      <c r="B29" s="47">
        <v>206294541</v>
      </c>
      <c r="C29" s="88" t="s">
        <v>2167</v>
      </c>
      <c r="D29" s="11" t="s">
        <v>2168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2653</v>
      </c>
      <c r="T29" s="105" t="s">
        <v>1</v>
      </c>
      <c r="U29" s="98"/>
      <c r="V29" s="51">
        <v>45950</v>
      </c>
      <c r="W29" s="11" t="s">
        <v>1555</v>
      </c>
      <c r="X29" s="154" t="s">
        <v>2</v>
      </c>
      <c r="Y29" s="154">
        <v>0</v>
      </c>
    </row>
    <row r="30" spans="1:25" ht="13" customHeight="1">
      <c r="A30" s="11">
        <v>24</v>
      </c>
      <c r="B30" s="47">
        <v>203800382</v>
      </c>
      <c r="C30" s="88" t="s">
        <v>2405</v>
      </c>
      <c r="D30" s="11" t="s">
        <v>2406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2653</v>
      </c>
      <c r="T30" s="105" t="s">
        <v>1</v>
      </c>
      <c r="U30" s="98"/>
      <c r="V30" s="51">
        <v>45516</v>
      </c>
      <c r="W30" s="11" t="s">
        <v>1555</v>
      </c>
      <c r="X30" s="154" t="s">
        <v>2</v>
      </c>
      <c r="Y30" s="154">
        <v>0</v>
      </c>
    </row>
    <row r="31" spans="1:25" ht="13" customHeight="1">
      <c r="A31" s="11">
        <v>25</v>
      </c>
      <c r="B31" s="47">
        <v>206930700</v>
      </c>
      <c r="C31" s="88" t="s">
        <v>2073</v>
      </c>
      <c r="D31" s="11" t="s">
        <v>2005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2653</v>
      </c>
      <c r="T31" s="105" t="s">
        <v>10</v>
      </c>
      <c r="U31" s="98"/>
      <c r="V31" s="51">
        <v>46048</v>
      </c>
      <c r="W31" s="11" t="s">
        <v>1555</v>
      </c>
      <c r="X31" s="154" t="s">
        <v>2948</v>
      </c>
      <c r="Y31" s="154">
        <v>0</v>
      </c>
    </row>
    <row r="32" spans="1:25" ht="13" customHeight="1">
      <c r="A32" s="11">
        <v>26</v>
      </c>
      <c r="B32" s="47">
        <v>206953786</v>
      </c>
      <c r="C32" s="88" t="s">
        <v>2079</v>
      </c>
      <c r="D32" s="11" t="s">
        <v>2013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78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2653</v>
      </c>
      <c r="T32" s="105" t="s">
        <v>1</v>
      </c>
      <c r="U32" s="98"/>
      <c r="V32" s="51">
        <v>46048</v>
      </c>
      <c r="W32" s="11" t="s">
        <v>1555</v>
      </c>
      <c r="X32" s="154" t="s">
        <v>2</v>
      </c>
      <c r="Y32" s="154">
        <v>0</v>
      </c>
    </row>
    <row r="33" spans="1:25" ht="13" customHeight="1">
      <c r="A33" s="11">
        <v>27</v>
      </c>
      <c r="B33" s="47">
        <v>206875143</v>
      </c>
      <c r="C33" s="88" t="s">
        <v>1693</v>
      </c>
      <c r="D33" s="11" t="s">
        <v>1694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2653</v>
      </c>
      <c r="T33" s="105" t="s">
        <v>1</v>
      </c>
      <c r="U33" s="98"/>
      <c r="V33" s="51">
        <v>46020</v>
      </c>
      <c r="W33" s="11" t="s">
        <v>1555</v>
      </c>
      <c r="X33" s="154" t="s">
        <v>2</v>
      </c>
      <c r="Y33" s="154">
        <v>0</v>
      </c>
    </row>
    <row r="34" spans="1:25" ht="13" customHeight="1">
      <c r="A34" s="11">
        <v>28</v>
      </c>
      <c r="B34" s="47">
        <v>205647826</v>
      </c>
      <c r="C34" s="88" t="s">
        <v>2169</v>
      </c>
      <c r="D34" s="11" t="s">
        <v>2629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2653</v>
      </c>
      <c r="T34" s="105" t="s">
        <v>10</v>
      </c>
      <c r="U34" s="98"/>
      <c r="V34" s="51">
        <v>45852</v>
      </c>
      <c r="W34" s="11" t="s">
        <v>1555</v>
      </c>
      <c r="X34" s="154" t="s">
        <v>2948</v>
      </c>
      <c r="Y34" s="154">
        <v>0</v>
      </c>
    </row>
    <row r="35" spans="1:25" ht="13" customHeight="1">
      <c r="A35" s="11">
        <v>29</v>
      </c>
      <c r="B35" s="47">
        <v>206875148</v>
      </c>
      <c r="C35" s="88" t="s">
        <v>1707</v>
      </c>
      <c r="D35" s="11" t="s">
        <v>1708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2653</v>
      </c>
      <c r="T35" s="105" t="s">
        <v>1</v>
      </c>
      <c r="U35" s="98"/>
      <c r="V35" s="51">
        <v>46020</v>
      </c>
      <c r="W35" s="11" t="s">
        <v>1555</v>
      </c>
      <c r="X35" s="154" t="s">
        <v>2</v>
      </c>
      <c r="Y35" s="154">
        <v>0</v>
      </c>
    </row>
    <row r="36" spans="1:25" ht="13" customHeight="1">
      <c r="A36" s="11">
        <v>30</v>
      </c>
      <c r="B36" s="47">
        <v>205609430</v>
      </c>
      <c r="C36" s="88" t="s">
        <v>265</v>
      </c>
      <c r="D36" s="11" t="s">
        <v>1950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2653</v>
      </c>
      <c r="T36" s="105" t="s">
        <v>1</v>
      </c>
      <c r="U36" s="98"/>
      <c r="V36" s="51">
        <v>45845</v>
      </c>
      <c r="W36" s="11" t="s">
        <v>1555</v>
      </c>
      <c r="X36" s="154" t="s">
        <v>2</v>
      </c>
      <c r="Y36" s="154">
        <v>0</v>
      </c>
    </row>
    <row r="37" spans="1:25" ht="13" customHeight="1">
      <c r="A37" s="11">
        <v>31</v>
      </c>
      <c r="B37" s="47">
        <v>203555399</v>
      </c>
      <c r="C37" s="88" t="s">
        <v>101</v>
      </c>
      <c r="D37" s="11" t="s">
        <v>1951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2653</v>
      </c>
      <c r="T37" s="105" t="s">
        <v>1</v>
      </c>
      <c r="U37" s="98"/>
      <c r="V37" s="51">
        <v>45470</v>
      </c>
      <c r="W37" s="11" t="s">
        <v>1555</v>
      </c>
      <c r="X37" s="154" t="s">
        <v>2</v>
      </c>
      <c r="Y37" s="154">
        <v>0</v>
      </c>
    </row>
    <row r="38" spans="1:25" ht="13" customHeight="1">
      <c r="A38" s="11">
        <v>32</v>
      </c>
      <c r="B38" s="47">
        <v>205997628</v>
      </c>
      <c r="C38" s="88" t="s">
        <v>2170</v>
      </c>
      <c r="D38" s="11" t="s">
        <v>2171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2653</v>
      </c>
      <c r="T38" s="105" t="s">
        <v>1</v>
      </c>
      <c r="U38" s="98"/>
      <c r="V38" s="51">
        <v>45915</v>
      </c>
      <c r="W38" s="11" t="s">
        <v>1555</v>
      </c>
      <c r="X38" s="154" t="s">
        <v>2</v>
      </c>
      <c r="Y38" s="154">
        <v>0</v>
      </c>
    </row>
    <row r="39" spans="1:25" ht="13" customHeight="1">
      <c r="A39" s="11">
        <v>33</v>
      </c>
      <c r="B39" s="47">
        <v>203555402</v>
      </c>
      <c r="C39" s="88" t="s">
        <v>102</v>
      </c>
      <c r="D39" s="11" t="s">
        <v>2630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2653</v>
      </c>
      <c r="T39" s="105" t="s">
        <v>1</v>
      </c>
      <c r="U39" s="98"/>
      <c r="V39" s="51">
        <v>45470</v>
      </c>
      <c r="W39" s="11" t="s">
        <v>1555</v>
      </c>
      <c r="X39" s="154" t="s">
        <v>2</v>
      </c>
      <c r="Y39" s="154">
        <v>0</v>
      </c>
    </row>
    <row r="40" spans="1:25" ht="13" customHeight="1">
      <c r="A40" s="11">
        <v>34</v>
      </c>
      <c r="B40" s="47">
        <v>206953810</v>
      </c>
      <c r="C40" s="88" t="s">
        <v>1997</v>
      </c>
      <c r="D40" s="11" t="s">
        <v>1998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2653</v>
      </c>
      <c r="T40" s="105" t="s">
        <v>1</v>
      </c>
      <c r="U40" s="98"/>
      <c r="V40" s="51">
        <v>46048</v>
      </c>
      <c r="W40" s="11" t="s">
        <v>1555</v>
      </c>
      <c r="X40" s="154" t="s">
        <v>2</v>
      </c>
      <c r="Y40" s="154">
        <v>0</v>
      </c>
    </row>
    <row r="41" spans="1:25" ht="13" customHeight="1">
      <c r="A41" s="11">
        <v>35</v>
      </c>
      <c r="B41" s="47">
        <v>204299899</v>
      </c>
      <c r="C41" s="88" t="s">
        <v>103</v>
      </c>
      <c r="D41" s="11" t="s">
        <v>1876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2653</v>
      </c>
      <c r="T41" s="105" t="s">
        <v>10</v>
      </c>
      <c r="U41" s="98"/>
      <c r="V41" s="51">
        <v>45589</v>
      </c>
      <c r="W41" s="11" t="s">
        <v>1555</v>
      </c>
      <c r="X41" s="154" t="s">
        <v>2948</v>
      </c>
      <c r="Y41" s="154">
        <v>0</v>
      </c>
    </row>
    <row r="42" spans="1:25" ht="13" customHeight="1">
      <c r="A42" s="11">
        <v>36</v>
      </c>
      <c r="B42" s="47">
        <v>206953815</v>
      </c>
      <c r="C42" s="89" t="s">
        <v>2112</v>
      </c>
      <c r="D42" s="101" t="s">
        <v>2113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2653</v>
      </c>
      <c r="T42" s="105" t="s">
        <v>1</v>
      </c>
      <c r="U42" s="98"/>
      <c r="V42" s="51">
        <v>46048</v>
      </c>
      <c r="W42" s="11" t="s">
        <v>1555</v>
      </c>
      <c r="X42" s="154" t="s">
        <v>2</v>
      </c>
      <c r="Y42" s="154">
        <v>0</v>
      </c>
    </row>
    <row r="43" spans="1:25" ht="13" customHeight="1">
      <c r="A43" s="11">
        <v>37</v>
      </c>
      <c r="B43" s="47">
        <v>206016551</v>
      </c>
      <c r="C43" s="88" t="s">
        <v>294</v>
      </c>
      <c r="D43" s="11" t="s">
        <v>1877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36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2653</v>
      </c>
      <c r="T43" s="105" t="s">
        <v>1</v>
      </c>
      <c r="U43" s="98" t="s">
        <v>2944</v>
      </c>
      <c r="V43" s="51">
        <v>45915</v>
      </c>
      <c r="W43" s="11" t="s">
        <v>1555</v>
      </c>
      <c r="X43" s="154" t="s">
        <v>2</v>
      </c>
      <c r="Y43" s="154">
        <v>0</v>
      </c>
    </row>
    <row r="44" spans="1:25" ht="13" customHeight="1">
      <c r="A44" s="11">
        <v>38</v>
      </c>
      <c r="B44" s="47">
        <v>203741547</v>
      </c>
      <c r="C44" s="88" t="s">
        <v>2172</v>
      </c>
      <c r="D44" s="11" t="s">
        <v>2173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2653</v>
      </c>
      <c r="T44" s="105" t="s">
        <v>10</v>
      </c>
      <c r="U44" s="98"/>
      <c r="V44" s="51">
        <v>45517</v>
      </c>
      <c r="W44" s="11" t="s">
        <v>1555</v>
      </c>
      <c r="X44" s="154" t="s">
        <v>2948</v>
      </c>
      <c r="Y44" s="154">
        <v>0</v>
      </c>
    </row>
    <row r="45" spans="1:25" ht="13" customHeight="1">
      <c r="A45" s="11">
        <v>39</v>
      </c>
      <c r="B45" s="47">
        <v>205608617</v>
      </c>
      <c r="C45" s="88" t="s">
        <v>300</v>
      </c>
      <c r="D45" s="11" t="s">
        <v>1878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2653</v>
      </c>
      <c r="T45" s="105" t="s">
        <v>1</v>
      </c>
      <c r="U45" s="98"/>
      <c r="V45" s="51">
        <v>45845</v>
      </c>
      <c r="W45" s="11" t="s">
        <v>1555</v>
      </c>
      <c r="X45" s="154" t="s">
        <v>2</v>
      </c>
      <c r="Y45" s="154">
        <v>0</v>
      </c>
    </row>
    <row r="46" spans="1:25" ht="13" customHeight="1">
      <c r="A46" s="11">
        <v>40</v>
      </c>
      <c r="B46" s="47">
        <v>206953974</v>
      </c>
      <c r="C46" s="88" t="s">
        <v>2069</v>
      </c>
      <c r="D46" s="11" t="s">
        <v>2000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2653</v>
      </c>
      <c r="T46" s="105" t="s">
        <v>1</v>
      </c>
      <c r="U46" s="98"/>
      <c r="V46" s="51">
        <v>46048</v>
      </c>
      <c r="W46" s="11" t="s">
        <v>1555</v>
      </c>
      <c r="X46" s="154" t="s">
        <v>2</v>
      </c>
      <c r="Y46" s="154">
        <v>0</v>
      </c>
    </row>
    <row r="47" spans="1:25" ht="13" customHeight="1">
      <c r="A47" s="11">
        <v>41</v>
      </c>
      <c r="B47" s="47">
        <v>203555403</v>
      </c>
      <c r="C47" s="88" t="s">
        <v>2174</v>
      </c>
      <c r="D47" s="11" t="s">
        <v>2175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36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2653</v>
      </c>
      <c r="T47" s="105" t="s">
        <v>1</v>
      </c>
      <c r="U47" s="98" t="s">
        <v>2944</v>
      </c>
      <c r="V47" s="51">
        <v>45470</v>
      </c>
      <c r="W47" s="11" t="s">
        <v>1555</v>
      </c>
      <c r="X47" s="154" t="s">
        <v>2</v>
      </c>
      <c r="Y47" s="154">
        <v>0</v>
      </c>
    </row>
    <row r="48" spans="1:25" ht="13" customHeight="1">
      <c r="A48" s="11">
        <v>42</v>
      </c>
      <c r="B48" s="47">
        <v>203469458</v>
      </c>
      <c r="C48" s="88" t="s">
        <v>104</v>
      </c>
      <c r="D48" s="11" t="s">
        <v>1879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92</v>
      </c>
      <c r="M48" s="49" t="s">
        <v>84</v>
      </c>
      <c r="N48" s="48" t="s">
        <v>86</v>
      </c>
      <c r="O48" s="49" t="s">
        <v>67</v>
      </c>
      <c r="P48" s="11" t="s">
        <v>80</v>
      </c>
      <c r="Q48" s="11" t="s">
        <v>99</v>
      </c>
      <c r="R48" s="11" t="s">
        <v>82</v>
      </c>
      <c r="S48" s="11" t="s">
        <v>2653</v>
      </c>
      <c r="T48" s="105" t="s">
        <v>7</v>
      </c>
      <c r="U48" s="98" t="s">
        <v>2941</v>
      </c>
      <c r="V48" s="51">
        <v>45456</v>
      </c>
      <c r="W48" s="11" t="s">
        <v>1555</v>
      </c>
      <c r="X48" s="154" t="s">
        <v>2948</v>
      </c>
      <c r="Y48" s="154" t="s">
        <v>2949</v>
      </c>
    </row>
    <row r="49" spans="1:25" ht="13" customHeight="1">
      <c r="A49" s="11">
        <v>43</v>
      </c>
      <c r="B49" s="47">
        <v>206072867</v>
      </c>
      <c r="C49" s="88" t="s">
        <v>2412</v>
      </c>
      <c r="D49" s="11" t="s">
        <v>2413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78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2653</v>
      </c>
      <c r="T49" s="105" t="s">
        <v>1</v>
      </c>
      <c r="U49" s="98"/>
      <c r="V49" s="51">
        <v>45922</v>
      </c>
      <c r="W49" s="11" t="s">
        <v>1555</v>
      </c>
      <c r="X49" s="154" t="s">
        <v>2</v>
      </c>
      <c r="Y49" s="154">
        <v>0</v>
      </c>
    </row>
    <row r="50" spans="1:25" ht="13" customHeight="1">
      <c r="A50" s="11">
        <v>44</v>
      </c>
      <c r="B50" s="47">
        <v>206953984</v>
      </c>
      <c r="C50" s="88" t="s">
        <v>2074</v>
      </c>
      <c r="D50" s="11" t="s">
        <v>2006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2653</v>
      </c>
      <c r="T50" s="105" t="s">
        <v>10</v>
      </c>
      <c r="U50" s="98"/>
      <c r="V50" s="51">
        <v>46048</v>
      </c>
      <c r="W50" s="11" t="s">
        <v>1555</v>
      </c>
      <c r="X50" s="154" t="s">
        <v>2948</v>
      </c>
      <c r="Y50" s="154">
        <v>0</v>
      </c>
    </row>
    <row r="51" spans="1:25" ht="13" customHeight="1">
      <c r="A51" s="11">
        <v>45</v>
      </c>
      <c r="B51" s="47">
        <v>203469449</v>
      </c>
      <c r="C51" s="88" t="s">
        <v>105</v>
      </c>
      <c r="D51" s="11" t="s">
        <v>1880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2653</v>
      </c>
      <c r="T51" s="105" t="s">
        <v>10</v>
      </c>
      <c r="U51" s="98"/>
      <c r="V51" s="51">
        <v>45456</v>
      </c>
      <c r="W51" s="11" t="s">
        <v>1555</v>
      </c>
      <c r="X51" s="154" t="s">
        <v>2948</v>
      </c>
      <c r="Y51" s="154">
        <v>0</v>
      </c>
    </row>
    <row r="52" spans="1:25" ht="13" customHeight="1">
      <c r="A52" s="11">
        <v>46</v>
      </c>
      <c r="B52" s="47">
        <v>204299548</v>
      </c>
      <c r="C52" s="88" t="s">
        <v>2176</v>
      </c>
      <c r="D52" s="11" t="s">
        <v>2177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2653</v>
      </c>
      <c r="T52" s="105" t="s">
        <v>10</v>
      </c>
      <c r="U52" s="98"/>
      <c r="V52" s="51">
        <v>45586</v>
      </c>
      <c r="W52" s="11" t="s">
        <v>1555</v>
      </c>
      <c r="X52" s="154" t="s">
        <v>2948</v>
      </c>
      <c r="Y52" s="154">
        <v>0</v>
      </c>
    </row>
    <row r="53" spans="1:25" ht="13" customHeight="1">
      <c r="A53" s="11">
        <v>47</v>
      </c>
      <c r="B53" s="47">
        <v>203469051</v>
      </c>
      <c r="C53" s="88" t="s">
        <v>2178</v>
      </c>
      <c r="D53" s="11" t="s">
        <v>2179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2653</v>
      </c>
      <c r="T53" s="105" t="s">
        <v>1</v>
      </c>
      <c r="U53" s="98"/>
      <c r="V53" s="51">
        <v>45456</v>
      </c>
      <c r="W53" s="11" t="s">
        <v>1555</v>
      </c>
      <c r="X53" s="154" t="s">
        <v>2</v>
      </c>
      <c r="Y53" s="154">
        <v>0</v>
      </c>
    </row>
    <row r="54" spans="1:25" ht="13" customHeight="1">
      <c r="A54" s="11">
        <v>48</v>
      </c>
      <c r="B54" s="47">
        <v>204299544</v>
      </c>
      <c r="C54" s="88" t="s">
        <v>106</v>
      </c>
      <c r="D54" s="11" t="s">
        <v>1881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2653</v>
      </c>
      <c r="T54" s="105" t="s">
        <v>1</v>
      </c>
      <c r="U54" s="98"/>
      <c r="V54" s="51">
        <v>45586</v>
      </c>
      <c r="W54" s="11" t="s">
        <v>1555</v>
      </c>
      <c r="X54" s="154" t="s">
        <v>2</v>
      </c>
      <c r="Y54" s="154">
        <v>0</v>
      </c>
    </row>
    <row r="55" spans="1:25" ht="13" customHeight="1">
      <c r="A55" s="11">
        <v>49</v>
      </c>
      <c r="B55" s="47">
        <v>206949308</v>
      </c>
      <c r="C55" s="89" t="s">
        <v>2106</v>
      </c>
      <c r="D55" s="101" t="s">
        <v>2107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2653</v>
      </c>
      <c r="T55" s="105" t="s">
        <v>1</v>
      </c>
      <c r="U55" s="98"/>
      <c r="V55" s="51">
        <v>46048</v>
      </c>
      <c r="W55" s="11" t="s">
        <v>1555</v>
      </c>
      <c r="X55" s="154" t="s">
        <v>2</v>
      </c>
      <c r="Y55" s="154">
        <v>0</v>
      </c>
    </row>
    <row r="56" spans="1:25" ht="13" customHeight="1">
      <c r="A56" s="11">
        <v>50</v>
      </c>
      <c r="B56" s="47">
        <v>206949309</v>
      </c>
      <c r="C56" s="89" t="s">
        <v>2110</v>
      </c>
      <c r="D56" s="101" t="s">
        <v>2111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2653</v>
      </c>
      <c r="T56" s="105" t="s">
        <v>1</v>
      </c>
      <c r="U56" s="98"/>
      <c r="V56" s="51">
        <v>46048</v>
      </c>
      <c r="W56" s="11" t="s">
        <v>1555</v>
      </c>
      <c r="X56" s="154" t="s">
        <v>2</v>
      </c>
      <c r="Y56" s="154">
        <v>0</v>
      </c>
    </row>
    <row r="57" spans="1:25" ht="13" customHeight="1">
      <c r="A57" s="11">
        <v>51</v>
      </c>
      <c r="B57" s="47">
        <v>102207650</v>
      </c>
      <c r="C57" s="88" t="s">
        <v>2631</v>
      </c>
      <c r="D57" s="11" t="s">
        <v>2632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11" t="s">
        <v>80</v>
      </c>
      <c r="Q57" s="11" t="s">
        <v>98</v>
      </c>
      <c r="R57" s="11" t="s">
        <v>82</v>
      </c>
      <c r="S57" s="11" t="s">
        <v>2653</v>
      </c>
      <c r="T57" s="105" t="s">
        <v>1</v>
      </c>
      <c r="U57" s="98"/>
      <c r="V57" s="51">
        <v>42868</v>
      </c>
      <c r="W57" s="11" t="s">
        <v>1555</v>
      </c>
      <c r="X57" s="154" t="s">
        <v>2</v>
      </c>
      <c r="Y57" s="154">
        <v>0</v>
      </c>
    </row>
    <row r="58" spans="1:25" ht="13" customHeight="1">
      <c r="A58" s="11">
        <v>52</v>
      </c>
      <c r="B58" s="47">
        <v>204095444</v>
      </c>
      <c r="C58" s="88" t="s">
        <v>1346</v>
      </c>
      <c r="D58" s="11" t="s">
        <v>1940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2653</v>
      </c>
      <c r="T58" s="105" t="s">
        <v>1</v>
      </c>
      <c r="U58" s="98"/>
      <c r="V58" s="51">
        <v>45561</v>
      </c>
      <c r="W58" s="11" t="s">
        <v>1555</v>
      </c>
      <c r="X58" s="154" t="s">
        <v>2</v>
      </c>
      <c r="Y58" s="154">
        <v>0</v>
      </c>
    </row>
    <row r="59" spans="1:25" ht="13" customHeight="1">
      <c r="A59" s="11">
        <v>53</v>
      </c>
      <c r="B59" s="47">
        <v>206348021</v>
      </c>
      <c r="C59" s="88" t="s">
        <v>1686</v>
      </c>
      <c r="D59" s="11" t="s">
        <v>1941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9" t="s">
        <v>79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2653</v>
      </c>
      <c r="T59" s="105" t="s">
        <v>1</v>
      </c>
      <c r="U59" s="98"/>
      <c r="V59" s="51">
        <v>45957</v>
      </c>
      <c r="W59" s="11" t="s">
        <v>1555</v>
      </c>
      <c r="X59" s="154" t="s">
        <v>2</v>
      </c>
      <c r="Y59" s="154">
        <v>0</v>
      </c>
    </row>
    <row r="60" spans="1:25" ht="13" customHeight="1">
      <c r="A60" s="11">
        <v>54</v>
      </c>
      <c r="B60" s="47">
        <v>206957735</v>
      </c>
      <c r="C60" s="88" t="s">
        <v>2061</v>
      </c>
      <c r="D60" s="11" t="s">
        <v>1990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2653</v>
      </c>
      <c r="T60" s="105" t="s">
        <v>1</v>
      </c>
      <c r="U60" s="98"/>
      <c r="V60" s="51">
        <v>46048</v>
      </c>
      <c r="W60" s="11" t="s">
        <v>1555</v>
      </c>
      <c r="X60" s="154" t="s">
        <v>2</v>
      </c>
      <c r="Y60" s="154">
        <v>0</v>
      </c>
    </row>
    <row r="61" spans="1:25" ht="13" customHeight="1">
      <c r="A61" s="11">
        <v>55</v>
      </c>
      <c r="B61" s="47">
        <v>203679313</v>
      </c>
      <c r="C61" s="88" t="s">
        <v>109</v>
      </c>
      <c r="D61" s="11" t="s">
        <v>1883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8" t="s">
        <v>79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2653</v>
      </c>
      <c r="T61" s="105" t="s">
        <v>7</v>
      </c>
      <c r="U61" s="98" t="s">
        <v>2941</v>
      </c>
      <c r="V61" s="51">
        <v>45488</v>
      </c>
      <c r="W61" s="11" t="s">
        <v>1555</v>
      </c>
      <c r="X61" s="154" t="s">
        <v>2948</v>
      </c>
      <c r="Y61" s="154" t="s">
        <v>2941</v>
      </c>
    </row>
    <row r="62" spans="1:25" ht="13" customHeight="1">
      <c r="A62" s="11">
        <v>56</v>
      </c>
      <c r="B62" s="47">
        <v>206957724</v>
      </c>
      <c r="C62" s="88" t="s">
        <v>2062</v>
      </c>
      <c r="D62" s="11" t="s">
        <v>1991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2653</v>
      </c>
      <c r="T62" s="105" t="s">
        <v>1</v>
      </c>
      <c r="U62" s="98"/>
      <c r="V62" s="51">
        <v>46048</v>
      </c>
      <c r="W62" s="11" t="s">
        <v>1555</v>
      </c>
      <c r="X62" s="154" t="s">
        <v>2</v>
      </c>
      <c r="Y62" s="154">
        <v>0</v>
      </c>
    </row>
    <row r="63" spans="1:25" ht="13" customHeight="1">
      <c r="A63" s="11">
        <v>57</v>
      </c>
      <c r="B63" s="47">
        <v>206954239</v>
      </c>
      <c r="C63" s="89" t="s">
        <v>2096</v>
      </c>
      <c r="D63" s="101" t="s">
        <v>2097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8" t="s">
        <v>86</v>
      </c>
      <c r="O63" s="49" t="s">
        <v>67</v>
      </c>
      <c r="P63" s="49" t="s">
        <v>80</v>
      </c>
      <c r="Q63" s="49" t="s">
        <v>90</v>
      </c>
      <c r="R63" s="11" t="s">
        <v>82</v>
      </c>
      <c r="S63" s="11" t="s">
        <v>2653</v>
      </c>
      <c r="T63" s="105" t="s">
        <v>1</v>
      </c>
      <c r="U63" s="98"/>
      <c r="V63" s="51">
        <v>46048</v>
      </c>
      <c r="W63" s="11" t="s">
        <v>1555</v>
      </c>
      <c r="X63" s="154" t="s">
        <v>2</v>
      </c>
      <c r="Y63" s="154">
        <v>0</v>
      </c>
    </row>
    <row r="64" spans="1:25" ht="13" customHeight="1">
      <c r="A64" s="11">
        <v>58</v>
      </c>
      <c r="B64" s="47">
        <v>206875150</v>
      </c>
      <c r="C64" s="88" t="s">
        <v>1697</v>
      </c>
      <c r="D64" s="11" t="s">
        <v>1698</v>
      </c>
      <c r="E64" s="48" t="s">
        <v>31</v>
      </c>
      <c r="F64" s="48" t="s">
        <v>74</v>
      </c>
      <c r="G64" s="48" t="s">
        <v>64</v>
      </c>
      <c r="H64" s="48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9" t="s">
        <v>89</v>
      </c>
      <c r="O64" s="48" t="s">
        <v>67</v>
      </c>
      <c r="P64" s="48" t="s">
        <v>80</v>
      </c>
      <c r="Q64" s="11" t="s">
        <v>90</v>
      </c>
      <c r="R64" s="11" t="s">
        <v>82</v>
      </c>
      <c r="S64" s="11" t="s">
        <v>2653</v>
      </c>
      <c r="T64" s="105" t="s">
        <v>1</v>
      </c>
      <c r="U64" s="98"/>
      <c r="V64" s="51">
        <v>46020</v>
      </c>
      <c r="W64" s="11" t="s">
        <v>1555</v>
      </c>
      <c r="X64" s="154" t="s">
        <v>2</v>
      </c>
      <c r="Y64" s="154">
        <v>0</v>
      </c>
    </row>
    <row r="65" spans="1:25" ht="13" customHeight="1">
      <c r="A65" s="11">
        <v>59</v>
      </c>
      <c r="B65" s="47">
        <v>203469452</v>
      </c>
      <c r="C65" s="88" t="s">
        <v>2180</v>
      </c>
      <c r="D65" s="11" t="s">
        <v>2633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8" t="s">
        <v>86</v>
      </c>
      <c r="O65" s="49" t="s">
        <v>67</v>
      </c>
      <c r="P65" s="11" t="s">
        <v>80</v>
      </c>
      <c r="Q65" s="11" t="s">
        <v>99</v>
      </c>
      <c r="R65" s="11" t="s">
        <v>82</v>
      </c>
      <c r="S65" s="11" t="s">
        <v>2653</v>
      </c>
      <c r="T65" s="105" t="s">
        <v>1</v>
      </c>
      <c r="U65" s="98"/>
      <c r="V65" s="51">
        <v>45456</v>
      </c>
      <c r="W65" s="11" t="s">
        <v>1555</v>
      </c>
      <c r="X65" s="154" t="s">
        <v>2</v>
      </c>
      <c r="Y65" s="154">
        <v>0</v>
      </c>
    </row>
    <row r="66" spans="1:25" ht="13" customHeight="1">
      <c r="A66" s="11">
        <v>60</v>
      </c>
      <c r="B66" s="47">
        <v>204299903</v>
      </c>
      <c r="C66" s="88" t="s">
        <v>2392</v>
      </c>
      <c r="D66" s="11" t="s">
        <v>2634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2653</v>
      </c>
      <c r="T66" s="105" t="s">
        <v>1</v>
      </c>
      <c r="U66" s="98"/>
      <c r="V66" s="51">
        <v>45586</v>
      </c>
      <c r="W66" s="11" t="s">
        <v>1555</v>
      </c>
      <c r="X66" s="154" t="s">
        <v>2</v>
      </c>
      <c r="Y66" s="154">
        <v>0</v>
      </c>
    </row>
    <row r="67" spans="1:25" ht="13" customHeight="1">
      <c r="A67" s="11">
        <v>61</v>
      </c>
      <c r="B67" s="47">
        <v>204299902</v>
      </c>
      <c r="C67" s="88" t="s">
        <v>2181</v>
      </c>
      <c r="D67" s="11" t="s">
        <v>2635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9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2653</v>
      </c>
      <c r="T67" s="105" t="s">
        <v>1</v>
      </c>
      <c r="U67" s="98"/>
      <c r="V67" s="51">
        <v>45586</v>
      </c>
      <c r="W67" s="11" t="s">
        <v>1555</v>
      </c>
      <c r="X67" s="154" t="s">
        <v>2</v>
      </c>
      <c r="Y67" s="154">
        <v>0</v>
      </c>
    </row>
    <row r="68" spans="1:25" ht="13" customHeight="1">
      <c r="A68" s="11">
        <v>62</v>
      </c>
      <c r="B68" s="47">
        <v>204319462</v>
      </c>
      <c r="C68" s="88" t="s">
        <v>110</v>
      </c>
      <c r="D68" s="11" t="s">
        <v>1884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2653</v>
      </c>
      <c r="T68" s="105" t="s">
        <v>1</v>
      </c>
      <c r="U68" s="98"/>
      <c r="V68" s="51">
        <v>45589</v>
      </c>
      <c r="W68" s="11" t="s">
        <v>1555</v>
      </c>
      <c r="X68" s="154" t="s">
        <v>2</v>
      </c>
      <c r="Y68" s="154">
        <v>0</v>
      </c>
    </row>
    <row r="69" spans="1:25" ht="13" customHeight="1">
      <c r="A69" s="11">
        <v>63</v>
      </c>
      <c r="B69" s="47">
        <v>204299911</v>
      </c>
      <c r="C69" s="88" t="s">
        <v>2414</v>
      </c>
      <c r="D69" s="11" t="s">
        <v>2415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2653</v>
      </c>
      <c r="T69" s="105" t="s">
        <v>10</v>
      </c>
      <c r="U69" s="98"/>
      <c r="V69" s="51">
        <v>45586</v>
      </c>
      <c r="W69" s="11" t="s">
        <v>1555</v>
      </c>
      <c r="X69" s="154" t="s">
        <v>2948</v>
      </c>
      <c r="Y69" s="154">
        <v>0</v>
      </c>
    </row>
    <row r="70" spans="1:25" ht="13" customHeight="1">
      <c r="A70" s="11">
        <v>64</v>
      </c>
      <c r="B70" s="47">
        <v>203679308</v>
      </c>
      <c r="C70" s="88" t="s">
        <v>2182</v>
      </c>
      <c r="D70" s="11" t="s">
        <v>2183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2653</v>
      </c>
      <c r="T70" s="105" t="s">
        <v>1</v>
      </c>
      <c r="U70" s="98"/>
      <c r="V70" s="51">
        <v>45488</v>
      </c>
      <c r="W70" s="11" t="s">
        <v>1555</v>
      </c>
      <c r="X70" s="154" t="s">
        <v>2</v>
      </c>
      <c r="Y70" s="154">
        <v>0</v>
      </c>
    </row>
    <row r="71" spans="1:25" ht="13" customHeight="1">
      <c r="A71" s="11">
        <v>65</v>
      </c>
      <c r="B71" s="47">
        <v>206072869</v>
      </c>
      <c r="C71" s="88" t="s">
        <v>2416</v>
      </c>
      <c r="D71" s="11" t="s">
        <v>2636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9" t="s">
        <v>79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2653</v>
      </c>
      <c r="T71" s="105" t="s">
        <v>10</v>
      </c>
      <c r="U71" s="98"/>
      <c r="V71" s="51">
        <v>45922</v>
      </c>
      <c r="W71" s="11" t="s">
        <v>1555</v>
      </c>
      <c r="X71" s="154" t="s">
        <v>2948</v>
      </c>
      <c r="Y71" s="154">
        <v>0</v>
      </c>
    </row>
    <row r="72" spans="1:25" ht="13" customHeight="1">
      <c r="A72" s="11">
        <v>66</v>
      </c>
      <c r="B72" s="47">
        <v>204299913</v>
      </c>
      <c r="C72" s="88" t="s">
        <v>2184</v>
      </c>
      <c r="D72" s="11" t="s">
        <v>2185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2653</v>
      </c>
      <c r="T72" s="105" t="s">
        <v>1</v>
      </c>
      <c r="U72" s="98"/>
      <c r="V72" s="51">
        <v>45586</v>
      </c>
      <c r="W72" s="11" t="s">
        <v>1555</v>
      </c>
      <c r="X72" s="154" t="s">
        <v>2</v>
      </c>
      <c r="Y72" s="154">
        <v>0</v>
      </c>
    </row>
    <row r="73" spans="1:25" ht="13" customHeight="1">
      <c r="A73" s="11">
        <v>67</v>
      </c>
      <c r="B73" s="47">
        <v>203635601</v>
      </c>
      <c r="C73" s="88" t="s">
        <v>1349</v>
      </c>
      <c r="D73" s="11" t="s">
        <v>2637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1181</v>
      </c>
      <c r="J73" s="49" t="s">
        <v>32</v>
      </c>
      <c r="K73" s="49" t="s">
        <v>76</v>
      </c>
      <c r="L73" s="49" t="s">
        <v>84</v>
      </c>
      <c r="M73" s="49" t="s">
        <v>85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2653</v>
      </c>
      <c r="T73" s="105" t="s">
        <v>1</v>
      </c>
      <c r="U73" s="98"/>
      <c r="V73" s="51">
        <v>45481</v>
      </c>
      <c r="W73" s="11" t="s">
        <v>1555</v>
      </c>
      <c r="X73" s="154" t="s">
        <v>2</v>
      </c>
      <c r="Y73" s="154">
        <v>0</v>
      </c>
    </row>
    <row r="74" spans="1:25" ht="13" customHeight="1">
      <c r="A74" s="11">
        <v>68</v>
      </c>
      <c r="B74" s="47">
        <v>206953385</v>
      </c>
      <c r="C74" s="88" t="s">
        <v>2057</v>
      </c>
      <c r="D74" s="11" t="s">
        <v>1986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9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2653</v>
      </c>
      <c r="T74" s="105" t="s">
        <v>1</v>
      </c>
      <c r="U74" s="98"/>
      <c r="V74" s="51">
        <v>46048</v>
      </c>
      <c r="W74" s="11" t="s">
        <v>1555</v>
      </c>
      <c r="X74" s="154" t="s">
        <v>2</v>
      </c>
      <c r="Y74" s="154">
        <v>0</v>
      </c>
    </row>
    <row r="75" spans="1:25" ht="13" customHeight="1">
      <c r="A75" s="11">
        <v>69</v>
      </c>
      <c r="B75" s="47">
        <v>206015572</v>
      </c>
      <c r="C75" s="88" t="s">
        <v>2186</v>
      </c>
      <c r="D75" s="11" t="s">
        <v>2638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2653</v>
      </c>
      <c r="T75" s="105" t="s">
        <v>10</v>
      </c>
      <c r="U75" s="98"/>
      <c r="V75" s="51">
        <v>45915</v>
      </c>
      <c r="W75" s="11" t="s">
        <v>1555</v>
      </c>
      <c r="X75" s="154" t="s">
        <v>2948</v>
      </c>
      <c r="Y75" s="154">
        <v>0</v>
      </c>
    </row>
    <row r="76" spans="1:25" ht="13" customHeight="1">
      <c r="A76" s="11">
        <v>70</v>
      </c>
      <c r="B76" s="47">
        <v>203469399</v>
      </c>
      <c r="C76" s="88" t="s">
        <v>111</v>
      </c>
      <c r="D76" s="11" t="s">
        <v>2639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8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2653</v>
      </c>
      <c r="T76" s="105" t="s">
        <v>1</v>
      </c>
      <c r="U76" s="98"/>
      <c r="V76" s="51">
        <v>45456</v>
      </c>
      <c r="W76" s="11" t="s">
        <v>1555</v>
      </c>
      <c r="X76" s="154" t="s">
        <v>2</v>
      </c>
      <c r="Y76" s="154">
        <v>0</v>
      </c>
    </row>
    <row r="77" spans="1:25" ht="13" customHeight="1">
      <c r="A77" s="11">
        <v>71</v>
      </c>
      <c r="B77" s="47">
        <v>206953383</v>
      </c>
      <c r="C77" s="88" t="s">
        <v>2058</v>
      </c>
      <c r="D77" s="11" t="s">
        <v>1987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2653</v>
      </c>
      <c r="T77" s="105" t="s">
        <v>1</v>
      </c>
      <c r="U77" s="98"/>
      <c r="V77" s="51">
        <v>46048</v>
      </c>
      <c r="W77" s="11" t="s">
        <v>1555</v>
      </c>
      <c r="X77" s="154" t="s">
        <v>2</v>
      </c>
      <c r="Y77" s="154">
        <v>0</v>
      </c>
    </row>
    <row r="78" spans="1:25" ht="13" customHeight="1">
      <c r="A78" s="11">
        <v>72</v>
      </c>
      <c r="B78" s="47">
        <v>205647827</v>
      </c>
      <c r="C78" s="88" t="s">
        <v>2187</v>
      </c>
      <c r="D78" s="11" t="s">
        <v>2640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2653</v>
      </c>
      <c r="T78" s="105" t="s">
        <v>1</v>
      </c>
      <c r="U78" s="98"/>
      <c r="V78" s="51">
        <v>45852</v>
      </c>
      <c r="W78" s="11" t="s">
        <v>1555</v>
      </c>
      <c r="X78" s="154" t="s">
        <v>2</v>
      </c>
      <c r="Y78" s="154">
        <v>0</v>
      </c>
    </row>
    <row r="79" spans="1:25" ht="13" customHeight="1">
      <c r="A79" s="11">
        <v>73</v>
      </c>
      <c r="B79" s="11">
        <v>206873779</v>
      </c>
      <c r="C79" s="88" t="s">
        <v>1723</v>
      </c>
      <c r="D79" s="11" t="s">
        <v>1724</v>
      </c>
      <c r="E79" s="48" t="s">
        <v>31</v>
      </c>
      <c r="F79" s="48" t="s">
        <v>74</v>
      </c>
      <c r="G79" s="48" t="s">
        <v>64</v>
      </c>
      <c r="H79" s="48" t="s">
        <v>75</v>
      </c>
      <c r="I79" s="11">
        <v>1299</v>
      </c>
      <c r="J79" s="49" t="s">
        <v>39</v>
      </c>
      <c r="K79" s="49" t="s">
        <v>76</v>
      </c>
      <c r="L79" s="49" t="s">
        <v>78</v>
      </c>
      <c r="M79" s="49" t="s">
        <v>92</v>
      </c>
      <c r="N79" s="49" t="s">
        <v>89</v>
      </c>
      <c r="O79" s="11" t="s">
        <v>67</v>
      </c>
      <c r="P79" s="48" t="s">
        <v>80</v>
      </c>
      <c r="Q79" s="11" t="s">
        <v>90</v>
      </c>
      <c r="R79" s="11" t="s">
        <v>82</v>
      </c>
      <c r="S79" s="11" t="s">
        <v>2653</v>
      </c>
      <c r="T79" s="105" t="s">
        <v>1</v>
      </c>
      <c r="U79" s="98"/>
      <c r="V79" s="51">
        <v>46020</v>
      </c>
      <c r="W79" s="11" t="s">
        <v>1555</v>
      </c>
      <c r="X79" s="154" t="s">
        <v>2</v>
      </c>
      <c r="Y79" s="154">
        <v>0</v>
      </c>
    </row>
    <row r="80" spans="1:25" ht="13" customHeight="1">
      <c r="A80" s="11">
        <v>74</v>
      </c>
      <c r="B80" s="47">
        <v>203635497</v>
      </c>
      <c r="C80" s="88" t="s">
        <v>1360</v>
      </c>
      <c r="D80" s="11" t="s">
        <v>1942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8" t="s">
        <v>79</v>
      </c>
      <c r="O80" s="49" t="s">
        <v>67</v>
      </c>
      <c r="P80" s="11" t="s">
        <v>80</v>
      </c>
      <c r="Q80" s="11" t="s">
        <v>81</v>
      </c>
      <c r="R80" s="11" t="s">
        <v>82</v>
      </c>
      <c r="S80" s="11" t="s">
        <v>2653</v>
      </c>
      <c r="T80" s="105" t="s">
        <v>1</v>
      </c>
      <c r="U80" s="98"/>
      <c r="V80" s="51">
        <v>45481</v>
      </c>
      <c r="W80" s="11" t="s">
        <v>1555</v>
      </c>
      <c r="X80" s="154" t="s">
        <v>2</v>
      </c>
      <c r="Y80" s="154">
        <v>0</v>
      </c>
    </row>
    <row r="81" spans="1:25" ht="13" customHeight="1">
      <c r="A81" s="11">
        <v>75</v>
      </c>
      <c r="B81" s="47">
        <v>204246172</v>
      </c>
      <c r="C81" s="88" t="s">
        <v>1720</v>
      </c>
      <c r="D81" s="11" t="s">
        <v>1721</v>
      </c>
      <c r="E81" s="48" t="s">
        <v>31</v>
      </c>
      <c r="F81" s="48" t="s">
        <v>74</v>
      </c>
      <c r="G81" s="48" t="s">
        <v>64</v>
      </c>
      <c r="H81" s="48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9" t="s">
        <v>89</v>
      </c>
      <c r="O81" s="48" t="s">
        <v>67</v>
      </c>
      <c r="P81" s="48" t="s">
        <v>80</v>
      </c>
      <c r="Q81" s="11" t="s">
        <v>1722</v>
      </c>
      <c r="R81" s="11" t="s">
        <v>82</v>
      </c>
      <c r="S81" s="11" t="s">
        <v>2653</v>
      </c>
      <c r="T81" s="105" t="s">
        <v>1</v>
      </c>
      <c r="U81" s="98"/>
      <c r="V81" s="51">
        <v>46020</v>
      </c>
      <c r="W81" s="11" t="s">
        <v>1555</v>
      </c>
      <c r="X81" s="154" t="s">
        <v>2</v>
      </c>
      <c r="Y81" s="154">
        <v>0</v>
      </c>
    </row>
    <row r="82" spans="1:25" ht="13" customHeight="1">
      <c r="A82" s="11">
        <v>76</v>
      </c>
      <c r="B82" s="47">
        <v>206296189</v>
      </c>
      <c r="C82" s="88" t="s">
        <v>2188</v>
      </c>
      <c r="D82" s="11" t="s">
        <v>2641</v>
      </c>
      <c r="E82" s="48" t="s">
        <v>31</v>
      </c>
      <c r="F82" s="48" t="s">
        <v>74</v>
      </c>
      <c r="G82" s="11" t="s">
        <v>64</v>
      </c>
      <c r="H82" s="11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9" t="s">
        <v>67</v>
      </c>
      <c r="P82" s="11" t="s">
        <v>80</v>
      </c>
      <c r="Q82" s="11" t="s">
        <v>96</v>
      </c>
      <c r="R82" s="11" t="s">
        <v>82</v>
      </c>
      <c r="S82" s="11" t="s">
        <v>2653</v>
      </c>
      <c r="T82" s="105" t="s">
        <v>1</v>
      </c>
      <c r="U82" s="98"/>
      <c r="V82" s="51">
        <v>45950</v>
      </c>
      <c r="W82" s="11" t="s">
        <v>1555</v>
      </c>
      <c r="X82" s="154" t="s">
        <v>2</v>
      </c>
      <c r="Y82" s="154">
        <v>0</v>
      </c>
    </row>
    <row r="83" spans="1:25" ht="13" customHeight="1">
      <c r="A83" s="11">
        <v>77</v>
      </c>
      <c r="B83" s="47">
        <v>203682331</v>
      </c>
      <c r="C83" s="88" t="s">
        <v>2189</v>
      </c>
      <c r="D83" s="11" t="s">
        <v>2642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78</v>
      </c>
      <c r="M83" s="49" t="s">
        <v>92</v>
      </c>
      <c r="N83" s="48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2653</v>
      </c>
      <c r="T83" s="105" t="s">
        <v>1</v>
      </c>
      <c r="U83" s="98"/>
      <c r="V83" s="51">
        <v>45488</v>
      </c>
      <c r="W83" s="11" t="s">
        <v>1555</v>
      </c>
      <c r="X83" s="154" t="s">
        <v>2</v>
      </c>
      <c r="Y83" s="154">
        <v>0</v>
      </c>
    </row>
    <row r="84" spans="1:25" ht="13" customHeight="1">
      <c r="A84" s="11">
        <v>78</v>
      </c>
      <c r="B84" s="47">
        <v>206846113</v>
      </c>
      <c r="C84" s="88" t="s">
        <v>1709</v>
      </c>
      <c r="D84" s="11" t="s">
        <v>1710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9" t="s">
        <v>89</v>
      </c>
      <c r="O84" s="48" t="s">
        <v>67</v>
      </c>
      <c r="P84" s="48" t="s">
        <v>80</v>
      </c>
      <c r="Q84" s="11" t="s">
        <v>90</v>
      </c>
      <c r="R84" s="11" t="s">
        <v>82</v>
      </c>
      <c r="S84" s="11" t="s">
        <v>2653</v>
      </c>
      <c r="T84" s="105" t="s">
        <v>1</v>
      </c>
      <c r="U84" s="98"/>
      <c r="V84" s="51">
        <v>46020</v>
      </c>
      <c r="W84" s="11" t="s">
        <v>1555</v>
      </c>
      <c r="X84" s="154" t="s">
        <v>2</v>
      </c>
      <c r="Y84" s="154">
        <v>0</v>
      </c>
    </row>
    <row r="85" spans="1:25" ht="13" customHeight="1">
      <c r="A85" s="11">
        <v>79</v>
      </c>
      <c r="B85" s="47">
        <v>206953981</v>
      </c>
      <c r="C85" s="88" t="s">
        <v>2007</v>
      </c>
      <c r="D85" s="11" t="s">
        <v>2008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8" t="s">
        <v>86</v>
      </c>
      <c r="O85" s="49" t="s">
        <v>67</v>
      </c>
      <c r="P85" s="11" t="s">
        <v>80</v>
      </c>
      <c r="Q85" s="11" t="s">
        <v>90</v>
      </c>
      <c r="R85" s="11" t="s">
        <v>82</v>
      </c>
      <c r="S85" s="11" t="s">
        <v>2653</v>
      </c>
      <c r="T85" s="105" t="s">
        <v>1</v>
      </c>
      <c r="U85" s="98"/>
      <c r="V85" s="51">
        <v>46048</v>
      </c>
      <c r="W85" s="11" t="s">
        <v>1555</v>
      </c>
      <c r="X85" s="154" t="s">
        <v>2</v>
      </c>
      <c r="Y85" s="154">
        <v>0</v>
      </c>
    </row>
    <row r="86" spans="1:25" ht="13" customHeight="1">
      <c r="A86" s="11">
        <v>80</v>
      </c>
      <c r="B86" s="47">
        <v>203555400</v>
      </c>
      <c r="C86" s="88" t="s">
        <v>112</v>
      </c>
      <c r="D86" s="11" t="s">
        <v>2643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2653</v>
      </c>
      <c r="T86" s="105" t="s">
        <v>1</v>
      </c>
      <c r="U86" s="98"/>
      <c r="V86" s="51">
        <v>45470</v>
      </c>
      <c r="W86" s="11" t="s">
        <v>1555</v>
      </c>
      <c r="X86" s="154" t="s">
        <v>2</v>
      </c>
      <c r="Y86" s="154">
        <v>0</v>
      </c>
    </row>
    <row r="87" spans="1:25" ht="13" customHeight="1">
      <c r="A87" s="11">
        <v>81</v>
      </c>
      <c r="B87" s="47">
        <v>203800483</v>
      </c>
      <c r="C87" s="88" t="s">
        <v>2190</v>
      </c>
      <c r="D87" s="11" t="s">
        <v>2644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9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2653</v>
      </c>
      <c r="T87" s="105" t="s">
        <v>1</v>
      </c>
      <c r="U87" s="98"/>
      <c r="V87" s="51">
        <v>45516</v>
      </c>
      <c r="W87" s="11" t="s">
        <v>1555</v>
      </c>
      <c r="X87" s="154" t="s">
        <v>2</v>
      </c>
      <c r="Y87" s="154">
        <v>0</v>
      </c>
    </row>
    <row r="88" spans="1:25" ht="13" customHeight="1">
      <c r="A88" s="11">
        <v>82</v>
      </c>
      <c r="B88" s="47">
        <v>103476446</v>
      </c>
      <c r="C88" s="88" t="s">
        <v>2191</v>
      </c>
      <c r="D88" s="11" t="s">
        <v>2192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78</v>
      </c>
      <c r="M88" s="49" t="s">
        <v>92</v>
      </c>
      <c r="N88" s="48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2653</v>
      </c>
      <c r="T88" s="105" t="s">
        <v>1</v>
      </c>
      <c r="U88" s="98"/>
      <c r="V88" s="51">
        <v>43306</v>
      </c>
      <c r="W88" s="11" t="s">
        <v>1555</v>
      </c>
      <c r="X88" s="154" t="s">
        <v>2</v>
      </c>
      <c r="Y88" s="154">
        <v>0</v>
      </c>
    </row>
    <row r="89" spans="1:25" ht="13" customHeight="1">
      <c r="A89" s="11">
        <v>83</v>
      </c>
      <c r="B89" s="47">
        <v>206065204</v>
      </c>
      <c r="C89" s="88" t="s">
        <v>379</v>
      </c>
      <c r="D89" s="11" t="s">
        <v>2645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78</v>
      </c>
      <c r="M89" s="49" t="s">
        <v>92</v>
      </c>
      <c r="N89" s="49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2653</v>
      </c>
      <c r="T89" s="105" t="s">
        <v>1</v>
      </c>
      <c r="U89" s="98"/>
      <c r="V89" s="51">
        <v>45922</v>
      </c>
      <c r="W89" s="11" t="s">
        <v>1555</v>
      </c>
      <c r="X89" s="154" t="s">
        <v>2</v>
      </c>
      <c r="Y89" s="154">
        <v>0</v>
      </c>
    </row>
    <row r="90" spans="1:25" ht="13" customHeight="1">
      <c r="A90" s="11">
        <v>84</v>
      </c>
      <c r="B90" s="47">
        <v>203469400</v>
      </c>
      <c r="C90" s="88" t="s">
        <v>113</v>
      </c>
      <c r="D90" s="11" t="s">
        <v>2646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8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2653</v>
      </c>
      <c r="T90" s="105" t="s">
        <v>10</v>
      </c>
      <c r="U90" s="98"/>
      <c r="V90" s="51">
        <v>45456</v>
      </c>
      <c r="W90" s="11" t="s">
        <v>1555</v>
      </c>
      <c r="X90" s="154" t="s">
        <v>2948</v>
      </c>
      <c r="Y90" s="154" t="s">
        <v>2949</v>
      </c>
    </row>
    <row r="91" spans="1:25" ht="13" customHeight="1">
      <c r="A91" s="11">
        <v>85</v>
      </c>
      <c r="B91" s="47">
        <v>206926477</v>
      </c>
      <c r="C91" s="88" t="s">
        <v>2071</v>
      </c>
      <c r="D91" s="11" t="s">
        <v>2003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2653</v>
      </c>
      <c r="T91" s="105" t="s">
        <v>10</v>
      </c>
      <c r="U91" s="98"/>
      <c r="V91" s="51">
        <v>46048</v>
      </c>
      <c r="W91" s="11" t="s">
        <v>1555</v>
      </c>
      <c r="X91" s="154" t="s">
        <v>2948</v>
      </c>
      <c r="Y91" s="154">
        <v>0</v>
      </c>
    </row>
    <row r="92" spans="1:25" ht="13" customHeight="1">
      <c r="A92" s="11">
        <v>86</v>
      </c>
      <c r="B92" s="47">
        <v>203679317</v>
      </c>
      <c r="C92" s="88" t="s">
        <v>114</v>
      </c>
      <c r="D92" s="11" t="s">
        <v>1885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2653</v>
      </c>
      <c r="T92" s="105" t="s">
        <v>10</v>
      </c>
      <c r="U92" s="98"/>
      <c r="V92" s="51">
        <v>45488</v>
      </c>
      <c r="W92" s="11" t="s">
        <v>1555</v>
      </c>
      <c r="X92" s="154" t="s">
        <v>2948</v>
      </c>
      <c r="Y92" s="154" t="s">
        <v>2949</v>
      </c>
    </row>
    <row r="93" spans="1:25" ht="13" customHeight="1">
      <c r="A93" s="11">
        <v>87</v>
      </c>
      <c r="B93" s="47">
        <v>203469060</v>
      </c>
      <c r="C93" s="88" t="s">
        <v>2193</v>
      </c>
      <c r="D93" s="11" t="s">
        <v>2194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2653</v>
      </c>
      <c r="T93" s="105" t="s">
        <v>7</v>
      </c>
      <c r="U93" s="98" t="s">
        <v>2941</v>
      </c>
      <c r="V93" s="51">
        <v>45456</v>
      </c>
      <c r="W93" s="11" t="s">
        <v>1555</v>
      </c>
      <c r="X93" s="154" t="s">
        <v>2948</v>
      </c>
      <c r="Y93" s="154">
        <v>0</v>
      </c>
    </row>
    <row r="94" spans="1:25" ht="13" customHeight="1">
      <c r="A94" s="11">
        <v>88</v>
      </c>
      <c r="B94" s="47">
        <v>206875152</v>
      </c>
      <c r="C94" s="88" t="s">
        <v>1699</v>
      </c>
      <c r="D94" s="11" t="s">
        <v>1700</v>
      </c>
      <c r="E94" s="48" t="s">
        <v>31</v>
      </c>
      <c r="F94" s="48" t="s">
        <v>74</v>
      </c>
      <c r="G94" s="48" t="s">
        <v>64</v>
      </c>
      <c r="H94" s="48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9" t="s">
        <v>89</v>
      </c>
      <c r="O94" s="48" t="s">
        <v>67</v>
      </c>
      <c r="P94" s="48" t="s">
        <v>80</v>
      </c>
      <c r="Q94" s="11" t="s">
        <v>90</v>
      </c>
      <c r="R94" s="11" t="s">
        <v>82</v>
      </c>
      <c r="S94" s="11" t="s">
        <v>2653</v>
      </c>
      <c r="T94" s="105" t="s">
        <v>1</v>
      </c>
      <c r="U94" s="98"/>
      <c r="V94" s="51">
        <v>46020</v>
      </c>
      <c r="W94" s="11" t="s">
        <v>1555</v>
      </c>
      <c r="X94" s="154" t="s">
        <v>2</v>
      </c>
      <c r="Y94" s="154">
        <v>0</v>
      </c>
    </row>
    <row r="95" spans="1:25" ht="13" customHeight="1">
      <c r="A95" s="11">
        <v>89</v>
      </c>
      <c r="B95" s="47">
        <v>206174727</v>
      </c>
      <c r="C95" s="88" t="s">
        <v>2195</v>
      </c>
      <c r="D95" s="11" t="s">
        <v>2196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9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2653</v>
      </c>
      <c r="T95" s="105" t="s">
        <v>1</v>
      </c>
      <c r="U95" s="98"/>
      <c r="V95" s="51">
        <v>45932</v>
      </c>
      <c r="W95" s="11" t="s">
        <v>1555</v>
      </c>
      <c r="X95" s="154" t="s">
        <v>2</v>
      </c>
      <c r="Y95" s="154">
        <v>0</v>
      </c>
    </row>
    <row r="96" spans="1:25" ht="13" customHeight="1">
      <c r="A96" s="11">
        <v>90</v>
      </c>
      <c r="B96" s="47">
        <v>206296194</v>
      </c>
      <c r="C96" s="88" t="s">
        <v>1635</v>
      </c>
      <c r="D96" s="11" t="s">
        <v>2140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2653</v>
      </c>
      <c r="T96" s="105" t="s">
        <v>1</v>
      </c>
      <c r="U96" s="98"/>
      <c r="V96" s="51">
        <v>45950</v>
      </c>
      <c r="W96" s="11" t="s">
        <v>1555</v>
      </c>
      <c r="X96" s="154" t="s">
        <v>2</v>
      </c>
      <c r="Y96" s="154">
        <v>0</v>
      </c>
    </row>
    <row r="97" spans="1:25" ht="13" customHeight="1">
      <c r="A97" s="11">
        <v>91</v>
      </c>
      <c r="B97" s="47">
        <v>206937730</v>
      </c>
      <c r="C97" s="88" t="s">
        <v>2070</v>
      </c>
      <c r="D97" s="11" t="s">
        <v>2001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8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2653</v>
      </c>
      <c r="T97" s="105" t="s">
        <v>1</v>
      </c>
      <c r="U97" s="98"/>
      <c r="V97" s="51">
        <v>46048</v>
      </c>
      <c r="W97" s="11" t="s">
        <v>1555</v>
      </c>
      <c r="X97" s="154" t="s">
        <v>2</v>
      </c>
      <c r="Y97" s="154">
        <v>0</v>
      </c>
    </row>
    <row r="98" spans="1:25" ht="13" customHeight="1">
      <c r="A98" s="11">
        <v>92</v>
      </c>
      <c r="B98" s="47">
        <v>206192253</v>
      </c>
      <c r="C98" s="88" t="s">
        <v>2417</v>
      </c>
      <c r="D98" s="11" t="s">
        <v>2418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9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2653</v>
      </c>
      <c r="T98" s="105" t="s">
        <v>1</v>
      </c>
      <c r="U98" s="98"/>
      <c r="V98" s="51">
        <v>45936</v>
      </c>
      <c r="W98" s="11" t="s">
        <v>1555</v>
      </c>
      <c r="X98" s="154" t="s">
        <v>2</v>
      </c>
      <c r="Y98" s="154">
        <v>0</v>
      </c>
    </row>
    <row r="99" spans="1:25" ht="13" customHeight="1">
      <c r="A99" s="11">
        <v>93</v>
      </c>
      <c r="B99" s="47">
        <v>204373675</v>
      </c>
      <c r="C99" s="88" t="s">
        <v>115</v>
      </c>
      <c r="D99" s="11" t="s">
        <v>1886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8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2653</v>
      </c>
      <c r="T99" s="105" t="s">
        <v>10</v>
      </c>
      <c r="U99" s="98"/>
      <c r="V99" s="51">
        <v>45593</v>
      </c>
      <c r="W99" s="11" t="s">
        <v>1555</v>
      </c>
      <c r="X99" s="154" t="s">
        <v>2948</v>
      </c>
      <c r="Y99" s="154">
        <v>0</v>
      </c>
    </row>
    <row r="100" spans="1:25" ht="13" customHeight="1">
      <c r="A100" s="11">
        <v>94</v>
      </c>
      <c r="B100" s="47">
        <v>204319464</v>
      </c>
      <c r="C100" s="88" t="s">
        <v>116</v>
      </c>
      <c r="D100" s="11" t="s">
        <v>1887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9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2653</v>
      </c>
      <c r="T100" s="105" t="s">
        <v>1</v>
      </c>
      <c r="U100" s="98"/>
      <c r="V100" s="51">
        <v>45589</v>
      </c>
      <c r="W100" s="11" t="s">
        <v>1555</v>
      </c>
      <c r="X100" s="154" t="s">
        <v>2</v>
      </c>
      <c r="Y100" s="154">
        <v>0</v>
      </c>
    </row>
    <row r="101" spans="1:25" ht="13" customHeight="1">
      <c r="A101" s="11">
        <v>95</v>
      </c>
      <c r="B101" s="47">
        <v>206015673</v>
      </c>
      <c r="C101" s="88" t="s">
        <v>2197</v>
      </c>
      <c r="D101" s="11" t="s">
        <v>2198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36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2653</v>
      </c>
      <c r="T101" s="105" t="s">
        <v>1</v>
      </c>
      <c r="U101" s="98" t="s">
        <v>2944</v>
      </c>
      <c r="V101" s="51">
        <v>45915</v>
      </c>
      <c r="W101" s="11" t="s">
        <v>1555</v>
      </c>
      <c r="X101" s="154" t="s">
        <v>2</v>
      </c>
      <c r="Y101" s="154">
        <v>0</v>
      </c>
    </row>
    <row r="102" spans="1:25" ht="13" customHeight="1">
      <c r="A102" s="11">
        <v>96</v>
      </c>
      <c r="B102" s="47">
        <v>206006079</v>
      </c>
      <c r="C102" s="88" t="s">
        <v>400</v>
      </c>
      <c r="D102" s="11" t="s">
        <v>1888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79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2653</v>
      </c>
      <c r="T102" s="105" t="s">
        <v>1</v>
      </c>
      <c r="U102" s="98"/>
      <c r="V102" s="51">
        <v>45915</v>
      </c>
      <c r="W102" s="11" t="s">
        <v>1555</v>
      </c>
      <c r="X102" s="154" t="s">
        <v>2</v>
      </c>
      <c r="Y102" s="154">
        <v>0</v>
      </c>
    </row>
    <row r="103" spans="1:25" ht="13" customHeight="1">
      <c r="A103" s="11">
        <v>97</v>
      </c>
      <c r="B103" s="47">
        <v>204373628</v>
      </c>
      <c r="C103" s="88" t="s">
        <v>117</v>
      </c>
      <c r="D103" s="11" t="s">
        <v>1889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78</v>
      </c>
      <c r="M103" s="49" t="s">
        <v>92</v>
      </c>
      <c r="N103" s="48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2653</v>
      </c>
      <c r="T103" s="105" t="s">
        <v>1</v>
      </c>
      <c r="U103" s="98"/>
      <c r="V103" s="51">
        <v>45593</v>
      </c>
      <c r="W103" s="11" t="s">
        <v>1555</v>
      </c>
      <c r="X103" s="154" t="s">
        <v>2</v>
      </c>
      <c r="Y103" s="154">
        <v>0</v>
      </c>
    </row>
    <row r="104" spans="1:25" ht="13" customHeight="1">
      <c r="A104" s="11">
        <v>98</v>
      </c>
      <c r="B104" s="47">
        <v>206957730</v>
      </c>
      <c r="C104" s="88" t="s">
        <v>2063</v>
      </c>
      <c r="D104" s="11" t="s">
        <v>1992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9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2653</v>
      </c>
      <c r="T104" s="105" t="s">
        <v>10</v>
      </c>
      <c r="U104" s="98"/>
      <c r="V104" s="51">
        <v>46048</v>
      </c>
      <c r="W104" s="11" t="s">
        <v>1555</v>
      </c>
      <c r="X104" s="154" t="s">
        <v>2948</v>
      </c>
      <c r="Y104" s="154">
        <v>0</v>
      </c>
    </row>
    <row r="105" spans="1:25" ht="13" customHeight="1">
      <c r="A105" s="11">
        <v>99</v>
      </c>
      <c r="B105" s="47">
        <v>206953803</v>
      </c>
      <c r="C105" s="88" t="s">
        <v>2059</v>
      </c>
      <c r="D105" s="11" t="s">
        <v>1988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88</v>
      </c>
      <c r="M105" s="49" t="s">
        <v>95</v>
      </c>
      <c r="N105" s="49" t="s">
        <v>79</v>
      </c>
      <c r="O105" s="49" t="s">
        <v>67</v>
      </c>
      <c r="P105" s="11" t="s">
        <v>80</v>
      </c>
      <c r="Q105" s="11" t="s">
        <v>96</v>
      </c>
      <c r="R105" s="11" t="s">
        <v>82</v>
      </c>
      <c r="S105" s="11" t="s">
        <v>2653</v>
      </c>
      <c r="T105" s="105" t="s">
        <v>1</v>
      </c>
      <c r="U105" s="98"/>
      <c r="V105" s="51">
        <v>46048</v>
      </c>
      <c r="W105" s="11" t="s">
        <v>1555</v>
      </c>
      <c r="X105" s="154" t="s">
        <v>2</v>
      </c>
      <c r="Y105" s="154">
        <v>0</v>
      </c>
    </row>
    <row r="106" spans="1:25" ht="13" customHeight="1">
      <c r="A106" s="11">
        <v>100</v>
      </c>
      <c r="B106" s="47">
        <v>206192268</v>
      </c>
      <c r="C106" s="88" t="s">
        <v>1585</v>
      </c>
      <c r="D106" s="11" t="s">
        <v>1890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95</v>
      </c>
      <c r="M106" s="49" t="s">
        <v>77</v>
      </c>
      <c r="N106" s="49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2653</v>
      </c>
      <c r="T106" s="105" t="s">
        <v>10</v>
      </c>
      <c r="U106" s="98"/>
      <c r="V106" s="51">
        <v>45936</v>
      </c>
      <c r="W106" s="11" t="s">
        <v>1555</v>
      </c>
      <c r="X106" s="154" t="s">
        <v>2948</v>
      </c>
      <c r="Y106" s="154">
        <v>0</v>
      </c>
    </row>
    <row r="107" spans="1:25" ht="13" customHeight="1">
      <c r="A107" s="11">
        <v>101</v>
      </c>
      <c r="B107" s="47">
        <v>203469395</v>
      </c>
      <c r="C107" s="88" t="s">
        <v>118</v>
      </c>
      <c r="D107" s="11" t="s">
        <v>1891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78</v>
      </c>
      <c r="M107" s="49" t="s">
        <v>92</v>
      </c>
      <c r="N107" s="48" t="s">
        <v>86</v>
      </c>
      <c r="O107" s="49" t="s">
        <v>67</v>
      </c>
      <c r="P107" s="11" t="s">
        <v>80</v>
      </c>
      <c r="Q107" s="11" t="s">
        <v>99</v>
      </c>
      <c r="R107" s="11" t="s">
        <v>82</v>
      </c>
      <c r="S107" s="11" t="s">
        <v>2653</v>
      </c>
      <c r="T107" s="105" t="s">
        <v>1</v>
      </c>
      <c r="U107" s="98"/>
      <c r="V107" s="51">
        <v>45456</v>
      </c>
      <c r="W107" s="11" t="s">
        <v>1555</v>
      </c>
      <c r="X107" s="154" t="s">
        <v>2</v>
      </c>
      <c r="Y107" s="154">
        <v>0</v>
      </c>
    </row>
    <row r="108" spans="1:25" ht="13" customHeight="1">
      <c r="A108" s="11">
        <v>102</v>
      </c>
      <c r="B108" s="47">
        <v>102582334</v>
      </c>
      <c r="C108" s="88" t="s">
        <v>2647</v>
      </c>
      <c r="D108" s="11" t="s">
        <v>2648</v>
      </c>
      <c r="E108" s="48" t="s">
        <v>34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108</v>
      </c>
      <c r="O108" s="49" t="s">
        <v>67</v>
      </c>
      <c r="P108" s="11" t="s">
        <v>80</v>
      </c>
      <c r="Q108" s="11" t="s">
        <v>98</v>
      </c>
      <c r="R108" s="11" t="s">
        <v>2651</v>
      </c>
      <c r="S108" s="11" t="s">
        <v>2652</v>
      </c>
      <c r="T108" s="105" t="s">
        <v>10</v>
      </c>
      <c r="U108" s="98"/>
      <c r="V108" s="51">
        <v>42960</v>
      </c>
      <c r="W108" s="11" t="s">
        <v>1555</v>
      </c>
      <c r="X108" s="154" t="s">
        <v>2948</v>
      </c>
      <c r="Y108" s="154">
        <v>0</v>
      </c>
    </row>
    <row r="109" spans="1:25" ht="13" customHeight="1">
      <c r="A109" s="11">
        <v>103</v>
      </c>
      <c r="B109" s="47">
        <v>203687851</v>
      </c>
      <c r="C109" s="88" t="s">
        <v>2199</v>
      </c>
      <c r="D109" s="11" t="s">
        <v>2200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39</v>
      </c>
      <c r="K109" s="49" t="s">
        <v>76</v>
      </c>
      <c r="L109" s="49" t="s">
        <v>77</v>
      </c>
      <c r="M109" s="49" t="s">
        <v>78</v>
      </c>
      <c r="N109" s="48" t="s">
        <v>86</v>
      </c>
      <c r="O109" s="49" t="s">
        <v>67</v>
      </c>
      <c r="P109" s="11" t="s">
        <v>80</v>
      </c>
      <c r="Q109" s="11" t="s">
        <v>99</v>
      </c>
      <c r="R109" s="11" t="s">
        <v>82</v>
      </c>
      <c r="S109" s="11" t="s">
        <v>2653</v>
      </c>
      <c r="T109" s="105" t="s">
        <v>10</v>
      </c>
      <c r="U109" s="98"/>
      <c r="V109" s="51">
        <v>45488</v>
      </c>
      <c r="W109" s="11" t="s">
        <v>1555</v>
      </c>
      <c r="X109" s="154" t="s">
        <v>2948</v>
      </c>
      <c r="Y109" s="154">
        <v>0</v>
      </c>
    </row>
    <row r="110" spans="1:25" ht="13" customHeight="1">
      <c r="A110" s="11">
        <v>104</v>
      </c>
      <c r="B110" s="47">
        <v>206953570</v>
      </c>
      <c r="C110" s="88" t="s">
        <v>2060</v>
      </c>
      <c r="D110" s="11" t="s">
        <v>1989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88</v>
      </c>
      <c r="M110" s="49" t="s">
        <v>95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2653</v>
      </c>
      <c r="T110" s="105" t="s">
        <v>1</v>
      </c>
      <c r="U110" s="98"/>
      <c r="V110" s="51">
        <v>46048</v>
      </c>
      <c r="W110" s="11" t="s">
        <v>1555</v>
      </c>
      <c r="X110" s="154" t="s">
        <v>2</v>
      </c>
      <c r="Y110" s="154">
        <v>0</v>
      </c>
    </row>
    <row r="111" spans="1:25" ht="13" customHeight="1">
      <c r="A111" s="11">
        <v>105</v>
      </c>
      <c r="B111" s="47">
        <v>203469053</v>
      </c>
      <c r="C111" s="88" t="s">
        <v>119</v>
      </c>
      <c r="D111" s="11" t="s">
        <v>1892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39</v>
      </c>
      <c r="K111" s="49" t="s">
        <v>76</v>
      </c>
      <c r="L111" s="49" t="s">
        <v>85</v>
      </c>
      <c r="M111" s="49" t="s">
        <v>88</v>
      </c>
      <c r="N111" s="48" t="s">
        <v>79</v>
      </c>
      <c r="O111" s="49" t="s">
        <v>67</v>
      </c>
      <c r="P111" s="11" t="s">
        <v>80</v>
      </c>
      <c r="Q111" s="11" t="s">
        <v>81</v>
      </c>
      <c r="R111" s="11" t="s">
        <v>82</v>
      </c>
      <c r="S111" s="11" t="s">
        <v>2653</v>
      </c>
      <c r="T111" s="105" t="s">
        <v>1</v>
      </c>
      <c r="U111" s="98"/>
      <c r="V111" s="51">
        <v>45456</v>
      </c>
      <c r="W111" s="11" t="s">
        <v>1555</v>
      </c>
      <c r="X111" s="154" t="s">
        <v>2</v>
      </c>
      <c r="Y111" s="154">
        <v>0</v>
      </c>
    </row>
    <row r="112" spans="1:25" ht="13" customHeight="1">
      <c r="A112" s="11">
        <v>106</v>
      </c>
      <c r="B112" s="47">
        <v>206949312</v>
      </c>
      <c r="C112" s="89" t="s">
        <v>2100</v>
      </c>
      <c r="D112" s="101" t="s">
        <v>2101</v>
      </c>
      <c r="E112" s="101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88</v>
      </c>
      <c r="M112" s="49" t="s">
        <v>95</v>
      </c>
      <c r="N112" s="48" t="s">
        <v>86</v>
      </c>
      <c r="O112" s="49" t="s">
        <v>67</v>
      </c>
      <c r="P112" s="49" t="s">
        <v>80</v>
      </c>
      <c r="Q112" s="49" t="s">
        <v>90</v>
      </c>
      <c r="R112" s="11" t="s">
        <v>82</v>
      </c>
      <c r="S112" s="11" t="s">
        <v>2653</v>
      </c>
      <c r="T112" s="105" t="s">
        <v>1</v>
      </c>
      <c r="U112" s="98"/>
      <c r="V112" s="51">
        <v>46048</v>
      </c>
      <c r="W112" s="11" t="s">
        <v>1555</v>
      </c>
      <c r="X112" s="154" t="s">
        <v>2</v>
      </c>
      <c r="Y112" s="154">
        <v>0</v>
      </c>
    </row>
    <row r="113" spans="1:25" ht="13" customHeight="1">
      <c r="A113" s="11">
        <v>107</v>
      </c>
      <c r="B113" s="47">
        <v>203469401</v>
      </c>
      <c r="C113" s="88" t="s">
        <v>120</v>
      </c>
      <c r="D113" s="11" t="s">
        <v>1893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2653</v>
      </c>
      <c r="T113" s="105" t="s">
        <v>7</v>
      </c>
      <c r="U113" s="98" t="s">
        <v>2941</v>
      </c>
      <c r="V113" s="51">
        <v>45456</v>
      </c>
      <c r="W113" s="11" t="s">
        <v>1555</v>
      </c>
      <c r="X113" s="154" t="s">
        <v>2948</v>
      </c>
      <c r="Y113" s="154" t="s">
        <v>2949</v>
      </c>
    </row>
    <row r="114" spans="1:25" ht="13" customHeight="1">
      <c r="A114" s="11">
        <v>108</v>
      </c>
      <c r="B114" s="47">
        <v>206192274</v>
      </c>
      <c r="C114" s="88" t="s">
        <v>2201</v>
      </c>
      <c r="D114" s="11" t="s">
        <v>2202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39</v>
      </c>
      <c r="K114" s="49" t="s">
        <v>76</v>
      </c>
      <c r="L114" s="49" t="s">
        <v>85</v>
      </c>
      <c r="M114" s="49" t="s">
        <v>88</v>
      </c>
      <c r="N114" s="49" t="s">
        <v>89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2653</v>
      </c>
      <c r="T114" s="105" t="s">
        <v>1</v>
      </c>
      <c r="U114" s="98"/>
      <c r="V114" s="51">
        <v>45936</v>
      </c>
      <c r="W114" s="11" t="s">
        <v>1555</v>
      </c>
      <c r="X114" s="154" t="s">
        <v>2</v>
      </c>
      <c r="Y114" s="154">
        <v>0</v>
      </c>
    </row>
    <row r="115" spans="1:25" ht="13" customHeight="1">
      <c r="A115" s="11">
        <v>109</v>
      </c>
      <c r="B115" s="47">
        <v>203469078</v>
      </c>
      <c r="C115" s="88" t="s">
        <v>121</v>
      </c>
      <c r="D115" s="11" t="s">
        <v>1894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32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2653</v>
      </c>
      <c r="T115" s="105" t="s">
        <v>3</v>
      </c>
      <c r="U115" s="98"/>
      <c r="V115" s="51">
        <v>45456</v>
      </c>
      <c r="W115" s="11" t="s">
        <v>1555</v>
      </c>
      <c r="X115" s="154" t="s">
        <v>2948</v>
      </c>
      <c r="Y115" s="154">
        <v>0</v>
      </c>
    </row>
    <row r="116" spans="1:25" ht="13" customHeight="1">
      <c r="A116" s="11">
        <v>110</v>
      </c>
      <c r="B116" s="47">
        <v>206953972</v>
      </c>
      <c r="C116" s="88" t="s">
        <v>2076</v>
      </c>
      <c r="D116" s="11" t="s">
        <v>2010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89</v>
      </c>
      <c r="O116" s="49" t="s">
        <v>67</v>
      </c>
      <c r="P116" s="11" t="s">
        <v>80</v>
      </c>
      <c r="Q116" s="11" t="s">
        <v>90</v>
      </c>
      <c r="R116" s="11" t="s">
        <v>82</v>
      </c>
      <c r="S116" s="11" t="s">
        <v>2653</v>
      </c>
      <c r="T116" s="105" t="s">
        <v>1</v>
      </c>
      <c r="U116" s="98"/>
      <c r="V116" s="51">
        <v>46048</v>
      </c>
      <c r="W116" s="11" t="s">
        <v>1555</v>
      </c>
      <c r="X116" s="154" t="s">
        <v>2</v>
      </c>
      <c r="Y116" s="154">
        <v>0</v>
      </c>
    </row>
    <row r="117" spans="1:25" ht="13" customHeight="1">
      <c r="A117" s="11">
        <v>111</v>
      </c>
      <c r="B117" s="47">
        <v>203469052</v>
      </c>
      <c r="C117" s="88" t="s">
        <v>122</v>
      </c>
      <c r="D117" s="11" t="s">
        <v>1895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85</v>
      </c>
      <c r="M117" s="49" t="s">
        <v>88</v>
      </c>
      <c r="N117" s="48" t="s">
        <v>79</v>
      </c>
      <c r="O117" s="49" t="s">
        <v>67</v>
      </c>
      <c r="P117" s="11" t="s">
        <v>80</v>
      </c>
      <c r="Q117" s="11" t="s">
        <v>81</v>
      </c>
      <c r="R117" s="11" t="s">
        <v>82</v>
      </c>
      <c r="S117" s="11" t="s">
        <v>2653</v>
      </c>
      <c r="T117" s="105" t="s">
        <v>1</v>
      </c>
      <c r="U117" s="98"/>
      <c r="V117" s="51">
        <v>45456</v>
      </c>
      <c r="W117" s="11" t="s">
        <v>1555</v>
      </c>
      <c r="X117" s="154" t="s">
        <v>2</v>
      </c>
      <c r="Y117" s="154">
        <v>0</v>
      </c>
    </row>
    <row r="118" spans="1:25" ht="13" customHeight="1">
      <c r="A118" s="11">
        <v>112</v>
      </c>
      <c r="B118" s="47">
        <v>206875598</v>
      </c>
      <c r="C118" s="88" t="s">
        <v>1718</v>
      </c>
      <c r="D118" s="11" t="s">
        <v>1719</v>
      </c>
      <c r="E118" s="48" t="s">
        <v>31</v>
      </c>
      <c r="F118" s="48" t="s">
        <v>74</v>
      </c>
      <c r="G118" s="48" t="s">
        <v>64</v>
      </c>
      <c r="H118" s="48" t="s">
        <v>75</v>
      </c>
      <c r="I118" s="11">
        <v>1299</v>
      </c>
      <c r="J118" s="49" t="s">
        <v>32</v>
      </c>
      <c r="K118" s="49" t="s">
        <v>76</v>
      </c>
      <c r="L118" s="49" t="s">
        <v>77</v>
      </c>
      <c r="M118" s="49" t="s">
        <v>78</v>
      </c>
      <c r="N118" s="49" t="s">
        <v>89</v>
      </c>
      <c r="O118" s="48" t="s">
        <v>67</v>
      </c>
      <c r="P118" s="48" t="s">
        <v>80</v>
      </c>
      <c r="Q118" s="11" t="s">
        <v>90</v>
      </c>
      <c r="R118" s="11" t="s">
        <v>82</v>
      </c>
      <c r="S118" s="11" t="s">
        <v>2653</v>
      </c>
      <c r="T118" s="105" t="s">
        <v>10</v>
      </c>
      <c r="U118" s="98"/>
      <c r="V118" s="51">
        <v>46020</v>
      </c>
      <c r="W118" s="11" t="s">
        <v>1555</v>
      </c>
      <c r="X118" s="154" t="s">
        <v>2948</v>
      </c>
      <c r="Y118" s="154">
        <v>0</v>
      </c>
    </row>
    <row r="119" spans="1:25" ht="13" customHeight="1">
      <c r="A119" s="11">
        <v>113</v>
      </c>
      <c r="B119" s="47">
        <v>206957734</v>
      </c>
      <c r="C119" s="88" t="s">
        <v>2064</v>
      </c>
      <c r="D119" s="11" t="s">
        <v>1993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78</v>
      </c>
      <c r="M119" s="49" t="s">
        <v>92</v>
      </c>
      <c r="N119" s="49" t="s">
        <v>89</v>
      </c>
      <c r="O119" s="49" t="s">
        <v>67</v>
      </c>
      <c r="P119" s="11" t="s">
        <v>80</v>
      </c>
      <c r="Q119" s="11" t="s">
        <v>96</v>
      </c>
      <c r="R119" s="11" t="s">
        <v>82</v>
      </c>
      <c r="S119" s="11" t="s">
        <v>2653</v>
      </c>
      <c r="T119" s="105" t="s">
        <v>1</v>
      </c>
      <c r="U119" s="98"/>
      <c r="V119" s="51">
        <v>46048</v>
      </c>
      <c r="W119" s="11" t="s">
        <v>1555</v>
      </c>
      <c r="X119" s="154" t="s">
        <v>2</v>
      </c>
      <c r="Y119" s="154">
        <v>0</v>
      </c>
    </row>
    <row r="120" spans="1:25" ht="13" customHeight="1">
      <c r="A120" s="11">
        <v>114</v>
      </c>
      <c r="B120" s="47">
        <v>202199024</v>
      </c>
      <c r="C120" s="88" t="s">
        <v>123</v>
      </c>
      <c r="D120" s="11" t="s">
        <v>1896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39</v>
      </c>
      <c r="K120" s="49" t="s">
        <v>76</v>
      </c>
      <c r="L120" s="49" t="s">
        <v>77</v>
      </c>
      <c r="M120" s="49" t="s">
        <v>78</v>
      </c>
      <c r="N120" s="48" t="s">
        <v>86</v>
      </c>
      <c r="O120" s="49" t="s">
        <v>67</v>
      </c>
      <c r="P120" s="11" t="s">
        <v>80</v>
      </c>
      <c r="Q120" s="11" t="s">
        <v>87</v>
      </c>
      <c r="R120" s="11" t="s">
        <v>82</v>
      </c>
      <c r="S120" s="11" t="s">
        <v>2653</v>
      </c>
      <c r="T120" s="105" t="s">
        <v>10</v>
      </c>
      <c r="U120" s="98"/>
      <c r="V120" s="51">
        <v>45589</v>
      </c>
      <c r="W120" s="11" t="s">
        <v>1555</v>
      </c>
      <c r="X120" s="154" t="s">
        <v>2948</v>
      </c>
      <c r="Y120" s="154">
        <v>0</v>
      </c>
    </row>
    <row r="121" spans="1:25" ht="13" customHeight="1">
      <c r="A121" s="11">
        <v>115</v>
      </c>
      <c r="B121" s="47">
        <v>203817155</v>
      </c>
      <c r="C121" s="88" t="s">
        <v>124</v>
      </c>
      <c r="D121" s="11" t="s">
        <v>1897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92</v>
      </c>
      <c r="M121" s="49" t="s">
        <v>84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2651</v>
      </c>
      <c r="S121" s="11" t="s">
        <v>2652</v>
      </c>
      <c r="T121" s="105" t="s">
        <v>1</v>
      </c>
      <c r="U121" s="98"/>
      <c r="V121" s="51">
        <v>45517</v>
      </c>
      <c r="W121" s="11" t="s">
        <v>1555</v>
      </c>
      <c r="X121" s="154" t="s">
        <v>2</v>
      </c>
      <c r="Y121" s="154">
        <v>0</v>
      </c>
    </row>
    <row r="122" spans="1:25" ht="13" customHeight="1">
      <c r="A122" s="11">
        <v>116</v>
      </c>
      <c r="B122" s="47">
        <v>203679319</v>
      </c>
      <c r="C122" s="88" t="s">
        <v>2393</v>
      </c>
      <c r="D122" s="11" t="s">
        <v>2394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95</v>
      </c>
      <c r="M122" s="49" t="s">
        <v>77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2651</v>
      </c>
      <c r="S122" s="11" t="s">
        <v>2652</v>
      </c>
      <c r="T122" s="105" t="s">
        <v>10</v>
      </c>
      <c r="U122" s="98"/>
      <c r="V122" s="51">
        <v>45488</v>
      </c>
      <c r="W122" s="11" t="s">
        <v>1555</v>
      </c>
      <c r="X122" s="154" t="s">
        <v>2948</v>
      </c>
      <c r="Y122" s="154">
        <v>0</v>
      </c>
    </row>
    <row r="123" spans="1:25" ht="13" customHeight="1">
      <c r="A123" s="11">
        <v>117</v>
      </c>
      <c r="B123" s="47">
        <v>206953967</v>
      </c>
      <c r="C123" s="88" t="s">
        <v>2075</v>
      </c>
      <c r="D123" s="11" t="s">
        <v>2009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88</v>
      </c>
      <c r="M123" s="49" t="s">
        <v>95</v>
      </c>
      <c r="N123" s="48" t="s">
        <v>86</v>
      </c>
      <c r="O123" s="49" t="s">
        <v>67</v>
      </c>
      <c r="P123" s="11" t="s">
        <v>80</v>
      </c>
      <c r="Q123" s="11" t="s">
        <v>90</v>
      </c>
      <c r="R123" s="11" t="s">
        <v>2651</v>
      </c>
      <c r="S123" s="11" t="s">
        <v>2652</v>
      </c>
      <c r="T123" s="105" t="s">
        <v>1</v>
      </c>
      <c r="U123" s="98"/>
      <c r="V123" s="51">
        <v>46048</v>
      </c>
      <c r="W123" s="11" t="s">
        <v>1555</v>
      </c>
      <c r="X123" s="154" t="s">
        <v>2</v>
      </c>
      <c r="Y123" s="154">
        <v>0</v>
      </c>
    </row>
    <row r="124" spans="1:25" ht="13" customHeight="1">
      <c r="A124" s="11">
        <v>118</v>
      </c>
      <c r="B124" s="47">
        <v>206174652</v>
      </c>
      <c r="C124" s="88" t="s">
        <v>2203</v>
      </c>
      <c r="D124" s="11" t="s">
        <v>2204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78</v>
      </c>
      <c r="M124" s="49" t="s">
        <v>92</v>
      </c>
      <c r="N124" s="49" t="s">
        <v>79</v>
      </c>
      <c r="O124" s="49" t="s">
        <v>67</v>
      </c>
      <c r="P124" s="11" t="s">
        <v>80</v>
      </c>
      <c r="Q124" s="11" t="s">
        <v>81</v>
      </c>
      <c r="R124" s="11" t="s">
        <v>2651</v>
      </c>
      <c r="S124" s="11" t="s">
        <v>2652</v>
      </c>
      <c r="T124" s="105" t="s">
        <v>7</v>
      </c>
      <c r="U124" s="98" t="s">
        <v>2941</v>
      </c>
      <c r="V124" s="51">
        <v>45932</v>
      </c>
      <c r="W124" s="11" t="s">
        <v>1555</v>
      </c>
      <c r="X124" s="154" t="s">
        <v>2948</v>
      </c>
      <c r="Y124" s="154" t="s">
        <v>2949</v>
      </c>
    </row>
    <row r="125" spans="1:25" ht="13" customHeight="1">
      <c r="A125" s="11">
        <v>119</v>
      </c>
      <c r="B125" s="47">
        <v>203679318</v>
      </c>
      <c r="C125" s="88" t="s">
        <v>125</v>
      </c>
      <c r="D125" s="11" t="s">
        <v>1898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77</v>
      </c>
      <c r="M125" s="49" t="s">
        <v>78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2651</v>
      </c>
      <c r="S125" s="11" t="s">
        <v>2652</v>
      </c>
      <c r="T125" s="105" t="s">
        <v>10</v>
      </c>
      <c r="U125" s="98"/>
      <c r="V125" s="51">
        <v>45488</v>
      </c>
      <c r="W125" s="11" t="s">
        <v>1555</v>
      </c>
      <c r="X125" s="154" t="s">
        <v>2948</v>
      </c>
      <c r="Y125" s="154">
        <v>0</v>
      </c>
    </row>
    <row r="126" spans="1:25" ht="13" customHeight="1">
      <c r="A126" s="11">
        <v>120</v>
      </c>
      <c r="B126" s="47">
        <v>206853664</v>
      </c>
      <c r="C126" s="88" t="s">
        <v>1712</v>
      </c>
      <c r="D126" s="11" t="s">
        <v>1713</v>
      </c>
      <c r="E126" s="48" t="s">
        <v>31</v>
      </c>
      <c r="F126" s="48" t="s">
        <v>74</v>
      </c>
      <c r="G126" s="48" t="s">
        <v>64</v>
      </c>
      <c r="H126" s="48" t="s">
        <v>75</v>
      </c>
      <c r="I126" s="11">
        <v>1299</v>
      </c>
      <c r="J126" s="49" t="s">
        <v>32</v>
      </c>
      <c r="K126" s="49" t="s">
        <v>76</v>
      </c>
      <c r="L126" s="49" t="s">
        <v>85</v>
      </c>
      <c r="M126" s="49" t="s">
        <v>88</v>
      </c>
      <c r="N126" s="49" t="s">
        <v>89</v>
      </c>
      <c r="O126" s="48" t="s">
        <v>67</v>
      </c>
      <c r="P126" s="48" t="s">
        <v>80</v>
      </c>
      <c r="Q126" s="11" t="s">
        <v>90</v>
      </c>
      <c r="R126" s="11" t="s">
        <v>2651</v>
      </c>
      <c r="S126" s="11" t="s">
        <v>2652</v>
      </c>
      <c r="T126" s="105" t="s">
        <v>1</v>
      </c>
      <c r="U126" s="98"/>
      <c r="V126" s="51">
        <v>46020</v>
      </c>
      <c r="W126" s="11" t="s">
        <v>1555</v>
      </c>
      <c r="X126" s="154" t="s">
        <v>2</v>
      </c>
      <c r="Y126" s="154">
        <v>0</v>
      </c>
    </row>
    <row r="127" spans="1:25" ht="13" customHeight="1">
      <c r="A127" s="11">
        <v>121</v>
      </c>
      <c r="B127" s="47">
        <v>206875332</v>
      </c>
      <c r="C127" s="88" t="s">
        <v>1946</v>
      </c>
      <c r="D127" s="11" t="s">
        <v>1711</v>
      </c>
      <c r="E127" s="48" t="s">
        <v>31</v>
      </c>
      <c r="F127" s="48" t="s">
        <v>74</v>
      </c>
      <c r="G127" s="48" t="s">
        <v>64</v>
      </c>
      <c r="H127" s="48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9" t="s">
        <v>89</v>
      </c>
      <c r="O127" s="48" t="s">
        <v>67</v>
      </c>
      <c r="P127" s="48" t="s">
        <v>80</v>
      </c>
      <c r="Q127" s="11" t="s">
        <v>90</v>
      </c>
      <c r="R127" s="11" t="s">
        <v>2651</v>
      </c>
      <c r="S127" s="11" t="s">
        <v>2652</v>
      </c>
      <c r="T127" s="105" t="s">
        <v>1</v>
      </c>
      <c r="U127" s="98"/>
      <c r="V127" s="51">
        <v>46020</v>
      </c>
      <c r="W127" s="11" t="s">
        <v>1555</v>
      </c>
      <c r="X127" s="154" t="s">
        <v>2</v>
      </c>
      <c r="Y127" s="154">
        <v>0</v>
      </c>
    </row>
    <row r="128" spans="1:25" ht="13" customHeight="1">
      <c r="A128" s="11">
        <v>122</v>
      </c>
      <c r="B128" s="11">
        <v>206873877</v>
      </c>
      <c r="C128" s="88" t="s">
        <v>1725</v>
      </c>
      <c r="D128" s="11" t="s">
        <v>1726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11" t="s">
        <v>67</v>
      </c>
      <c r="P128" s="48" t="s">
        <v>80</v>
      </c>
      <c r="Q128" s="11" t="s">
        <v>90</v>
      </c>
      <c r="R128" s="11" t="s">
        <v>2651</v>
      </c>
      <c r="S128" s="11" t="s">
        <v>2652</v>
      </c>
      <c r="T128" s="105" t="s">
        <v>1</v>
      </c>
      <c r="U128" s="98"/>
      <c r="V128" s="51">
        <v>46020</v>
      </c>
      <c r="W128" s="11" t="s">
        <v>1555</v>
      </c>
      <c r="X128" s="154" t="s">
        <v>2</v>
      </c>
      <c r="Y128" s="154">
        <v>0</v>
      </c>
    </row>
    <row r="129" spans="1:25" ht="13" customHeight="1">
      <c r="A129" s="11">
        <v>123</v>
      </c>
      <c r="B129" s="47">
        <v>204883244</v>
      </c>
      <c r="C129" s="88" t="s">
        <v>431</v>
      </c>
      <c r="D129" s="11" t="s">
        <v>1899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32</v>
      </c>
      <c r="K129" s="49" t="s">
        <v>76</v>
      </c>
      <c r="L129" s="49" t="s">
        <v>88</v>
      </c>
      <c r="M129" s="49" t="s">
        <v>95</v>
      </c>
      <c r="N129" s="49" t="s">
        <v>89</v>
      </c>
      <c r="O129" s="49" t="s">
        <v>67</v>
      </c>
      <c r="P129" s="11" t="s">
        <v>80</v>
      </c>
      <c r="Q129" s="11" t="s">
        <v>87</v>
      </c>
      <c r="R129" s="11" t="s">
        <v>2651</v>
      </c>
      <c r="S129" s="11" t="s">
        <v>2652</v>
      </c>
      <c r="T129" s="105" t="s">
        <v>1</v>
      </c>
      <c r="U129" s="98"/>
      <c r="V129" s="51">
        <v>45691</v>
      </c>
      <c r="W129" s="11" t="s">
        <v>1555</v>
      </c>
      <c r="X129" s="154" t="s">
        <v>2</v>
      </c>
      <c r="Y129" s="154">
        <v>0</v>
      </c>
    </row>
    <row r="130" spans="1:25" ht="13" customHeight="1">
      <c r="A130" s="11">
        <v>124</v>
      </c>
      <c r="B130" s="47">
        <v>203594431</v>
      </c>
      <c r="C130" s="88" t="s">
        <v>436</v>
      </c>
      <c r="D130" s="11" t="s">
        <v>1900</v>
      </c>
      <c r="E130" s="48" t="s">
        <v>31</v>
      </c>
      <c r="F130" s="48" t="s">
        <v>74</v>
      </c>
      <c r="G130" s="11" t="s">
        <v>64</v>
      </c>
      <c r="H130" s="11" t="s">
        <v>75</v>
      </c>
      <c r="I130" s="11">
        <v>1299</v>
      </c>
      <c r="J130" s="49" t="s">
        <v>32</v>
      </c>
      <c r="K130" s="49" t="s">
        <v>76</v>
      </c>
      <c r="L130" s="49" t="s">
        <v>78</v>
      </c>
      <c r="M130" s="49" t="s">
        <v>92</v>
      </c>
      <c r="N130" s="49" t="s">
        <v>89</v>
      </c>
      <c r="O130" s="49" t="s">
        <v>67</v>
      </c>
      <c r="P130" s="11" t="s">
        <v>80</v>
      </c>
      <c r="Q130" s="11" t="s">
        <v>81</v>
      </c>
      <c r="R130" s="11" t="s">
        <v>2651</v>
      </c>
      <c r="S130" s="11" t="s">
        <v>2652</v>
      </c>
      <c r="T130" s="105" t="s">
        <v>1</v>
      </c>
      <c r="U130" s="98"/>
      <c r="V130" s="51">
        <v>45915</v>
      </c>
      <c r="W130" s="11" t="s">
        <v>1555</v>
      </c>
      <c r="X130" s="154" t="s">
        <v>2</v>
      </c>
      <c r="Y130" s="154">
        <v>0</v>
      </c>
    </row>
    <row r="131" spans="1:25" ht="13" customHeight="1">
      <c r="A131" s="11">
        <v>125</v>
      </c>
      <c r="B131" s="47">
        <v>206962042</v>
      </c>
      <c r="C131" s="89" t="s">
        <v>2114</v>
      </c>
      <c r="D131" s="101" t="s">
        <v>2115</v>
      </c>
      <c r="E131" s="101" t="s">
        <v>31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39</v>
      </c>
      <c r="K131" s="49" t="s">
        <v>76</v>
      </c>
      <c r="L131" s="49" t="s">
        <v>92</v>
      </c>
      <c r="M131" s="49" t="s">
        <v>84</v>
      </c>
      <c r="N131" s="49" t="s">
        <v>79</v>
      </c>
      <c r="O131" s="49" t="s">
        <v>67</v>
      </c>
      <c r="P131" s="49" t="s">
        <v>80</v>
      </c>
      <c r="Q131" s="49" t="s">
        <v>96</v>
      </c>
      <c r="R131" s="11" t="s">
        <v>2651</v>
      </c>
      <c r="S131" s="11" t="s">
        <v>2652</v>
      </c>
      <c r="T131" s="105" t="s">
        <v>1</v>
      </c>
      <c r="U131" s="98"/>
      <c r="V131" s="51">
        <v>46048</v>
      </c>
      <c r="W131" s="11" t="s">
        <v>1555</v>
      </c>
      <c r="X131" s="154" t="s">
        <v>2</v>
      </c>
      <c r="Y131" s="154">
        <v>0</v>
      </c>
    </row>
    <row r="132" spans="1:25" ht="13" customHeight="1">
      <c r="A132" s="11">
        <v>126</v>
      </c>
      <c r="B132" s="47">
        <v>205608624</v>
      </c>
      <c r="C132" s="88" t="s">
        <v>447</v>
      </c>
      <c r="D132" s="11" t="s">
        <v>1901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85</v>
      </c>
      <c r="M132" s="49" t="s">
        <v>88</v>
      </c>
      <c r="N132" s="49" t="s">
        <v>89</v>
      </c>
      <c r="O132" s="49" t="s">
        <v>67</v>
      </c>
      <c r="P132" s="11" t="s">
        <v>80</v>
      </c>
      <c r="Q132" s="11" t="s">
        <v>90</v>
      </c>
      <c r="R132" s="11" t="s">
        <v>2651</v>
      </c>
      <c r="S132" s="11" t="s">
        <v>2652</v>
      </c>
      <c r="T132" s="105" t="s">
        <v>1</v>
      </c>
      <c r="U132" s="98"/>
      <c r="V132" s="51">
        <v>45845</v>
      </c>
      <c r="W132" s="11" t="s">
        <v>1555</v>
      </c>
      <c r="X132" s="154" t="s">
        <v>2</v>
      </c>
      <c r="Y132" s="154">
        <v>0</v>
      </c>
    </row>
    <row r="133" spans="1:25" ht="13" customHeight="1">
      <c r="A133" s="11">
        <v>127</v>
      </c>
      <c r="B133" s="47">
        <v>204869091</v>
      </c>
      <c r="C133" s="88" t="s">
        <v>126</v>
      </c>
      <c r="D133" s="11" t="s">
        <v>127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84</v>
      </c>
      <c r="M133" s="49" t="s">
        <v>85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2651</v>
      </c>
      <c r="S133" s="11" t="s">
        <v>2652</v>
      </c>
      <c r="T133" s="105" t="s">
        <v>1</v>
      </c>
      <c r="U133" s="98"/>
      <c r="V133" s="51">
        <v>45691</v>
      </c>
      <c r="W133" s="11" t="s">
        <v>1555</v>
      </c>
      <c r="X133" s="154" t="s">
        <v>2</v>
      </c>
      <c r="Y133" s="154">
        <v>0</v>
      </c>
    </row>
    <row r="134" spans="1:25" ht="13" customHeight="1">
      <c r="A134" s="11">
        <v>128</v>
      </c>
      <c r="B134" s="47">
        <v>203850779</v>
      </c>
      <c r="C134" s="88" t="s">
        <v>128</v>
      </c>
      <c r="D134" s="11" t="s">
        <v>1902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85</v>
      </c>
      <c r="M134" s="49" t="s">
        <v>88</v>
      </c>
      <c r="N134" s="48" t="s">
        <v>79</v>
      </c>
      <c r="O134" s="49" t="s">
        <v>67</v>
      </c>
      <c r="P134" s="11" t="s">
        <v>80</v>
      </c>
      <c r="Q134" s="11" t="s">
        <v>81</v>
      </c>
      <c r="R134" s="11" t="s">
        <v>2651</v>
      </c>
      <c r="S134" s="11" t="s">
        <v>2652</v>
      </c>
      <c r="T134" s="105" t="s">
        <v>1</v>
      </c>
      <c r="U134" s="98"/>
      <c r="V134" s="51">
        <v>45524</v>
      </c>
      <c r="W134" s="11" t="s">
        <v>1555</v>
      </c>
      <c r="X134" s="154" t="s">
        <v>2</v>
      </c>
      <c r="Y134" s="154">
        <v>0</v>
      </c>
    </row>
    <row r="135" spans="1:25" ht="13" customHeight="1">
      <c r="A135" s="11">
        <v>129</v>
      </c>
      <c r="B135" s="47">
        <v>206958279</v>
      </c>
      <c r="C135" s="88" t="s">
        <v>2065</v>
      </c>
      <c r="D135" s="11" t="s">
        <v>1994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32</v>
      </c>
      <c r="K135" s="49" t="s">
        <v>76</v>
      </c>
      <c r="L135" s="49" t="s">
        <v>92</v>
      </c>
      <c r="M135" s="49" t="s">
        <v>84</v>
      </c>
      <c r="N135" s="49" t="s">
        <v>89</v>
      </c>
      <c r="O135" s="49" t="s">
        <v>67</v>
      </c>
      <c r="P135" s="11" t="s">
        <v>80</v>
      </c>
      <c r="Q135" s="11" t="s">
        <v>96</v>
      </c>
      <c r="R135" s="11" t="s">
        <v>2651</v>
      </c>
      <c r="S135" s="11" t="s">
        <v>2652</v>
      </c>
      <c r="T135" s="105" t="s">
        <v>1</v>
      </c>
      <c r="U135" s="98"/>
      <c r="V135" s="51">
        <v>46048</v>
      </c>
      <c r="W135" s="11" t="s">
        <v>1555</v>
      </c>
      <c r="X135" s="154" t="s">
        <v>2</v>
      </c>
      <c r="Y135" s="154">
        <v>0</v>
      </c>
    </row>
    <row r="136" spans="1:25" ht="13" customHeight="1">
      <c r="A136" s="11">
        <v>130</v>
      </c>
      <c r="B136" s="47">
        <v>203555407</v>
      </c>
      <c r="C136" s="88" t="s">
        <v>2205</v>
      </c>
      <c r="D136" s="11" t="s">
        <v>2206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78</v>
      </c>
      <c r="M136" s="49" t="s">
        <v>92</v>
      </c>
      <c r="N136" s="48" t="s">
        <v>79</v>
      </c>
      <c r="O136" s="49" t="s">
        <v>67</v>
      </c>
      <c r="P136" s="11" t="s">
        <v>80</v>
      </c>
      <c r="Q136" s="11" t="s">
        <v>81</v>
      </c>
      <c r="R136" s="11" t="s">
        <v>2651</v>
      </c>
      <c r="S136" s="11" t="s">
        <v>2652</v>
      </c>
      <c r="T136" s="105" t="s">
        <v>1</v>
      </c>
      <c r="U136" s="98"/>
      <c r="V136" s="51">
        <v>45470</v>
      </c>
      <c r="W136" s="11" t="s">
        <v>1555</v>
      </c>
      <c r="X136" s="154" t="s">
        <v>2</v>
      </c>
      <c r="Y136" s="154">
        <v>0</v>
      </c>
    </row>
    <row r="137" spans="1:25" ht="13" customHeight="1">
      <c r="A137" s="11">
        <v>131</v>
      </c>
      <c r="B137" s="47">
        <v>206175159</v>
      </c>
      <c r="C137" s="88" t="s">
        <v>2419</v>
      </c>
      <c r="D137" s="11" t="s">
        <v>2420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95</v>
      </c>
      <c r="M137" s="49" t="s">
        <v>77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2651</v>
      </c>
      <c r="S137" s="11" t="s">
        <v>2652</v>
      </c>
      <c r="T137" s="105" t="s">
        <v>10</v>
      </c>
      <c r="U137" s="98"/>
      <c r="V137" s="51">
        <v>45932</v>
      </c>
      <c r="W137" s="11" t="s">
        <v>1555</v>
      </c>
      <c r="X137" s="154" t="s">
        <v>2948</v>
      </c>
      <c r="Y137" s="154">
        <v>0</v>
      </c>
    </row>
    <row r="138" spans="1:25" ht="13" customHeight="1">
      <c r="A138" s="11">
        <v>132</v>
      </c>
      <c r="B138" s="47">
        <v>203850775</v>
      </c>
      <c r="C138" s="88" t="s">
        <v>2207</v>
      </c>
      <c r="D138" s="11" t="s">
        <v>2208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32</v>
      </c>
      <c r="K138" s="49" t="s">
        <v>76</v>
      </c>
      <c r="L138" s="49" t="s">
        <v>88</v>
      </c>
      <c r="M138" s="49" t="s">
        <v>95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2651</v>
      </c>
      <c r="S138" s="11" t="s">
        <v>2652</v>
      </c>
      <c r="T138" s="105" t="s">
        <v>1</v>
      </c>
      <c r="U138" s="98"/>
      <c r="V138" s="51">
        <v>45524</v>
      </c>
      <c r="W138" s="11" t="s">
        <v>1555</v>
      </c>
      <c r="X138" s="154" t="s">
        <v>2</v>
      </c>
      <c r="Y138" s="154">
        <v>0</v>
      </c>
    </row>
    <row r="139" spans="1:25" ht="13" customHeight="1">
      <c r="A139" s="11">
        <v>133</v>
      </c>
      <c r="B139" s="47">
        <v>203469169</v>
      </c>
      <c r="C139" s="88" t="s">
        <v>2209</v>
      </c>
      <c r="D139" s="11" t="s">
        <v>2210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84</v>
      </c>
      <c r="M139" s="49" t="s">
        <v>85</v>
      </c>
      <c r="N139" s="48" t="s">
        <v>79</v>
      </c>
      <c r="O139" s="49" t="s">
        <v>67</v>
      </c>
      <c r="P139" s="11" t="s">
        <v>80</v>
      </c>
      <c r="Q139" s="11" t="s">
        <v>81</v>
      </c>
      <c r="R139" s="11" t="s">
        <v>2651</v>
      </c>
      <c r="S139" s="11" t="s">
        <v>2652</v>
      </c>
      <c r="T139" s="105" t="s">
        <v>1</v>
      </c>
      <c r="U139" s="98"/>
      <c r="V139" s="51">
        <v>45456</v>
      </c>
      <c r="W139" s="11" t="s">
        <v>1555</v>
      </c>
      <c r="X139" s="154" t="s">
        <v>2</v>
      </c>
      <c r="Y139" s="154">
        <v>0</v>
      </c>
    </row>
    <row r="140" spans="1:25" ht="13" customHeight="1">
      <c r="A140" s="11">
        <v>134</v>
      </c>
      <c r="B140" s="47">
        <v>205502952</v>
      </c>
      <c r="C140" s="88" t="s">
        <v>452</v>
      </c>
      <c r="D140" s="11" t="s">
        <v>1903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85</v>
      </c>
      <c r="M140" s="49" t="s">
        <v>88</v>
      </c>
      <c r="N140" s="49" t="s">
        <v>89</v>
      </c>
      <c r="O140" s="49" t="s">
        <v>67</v>
      </c>
      <c r="P140" s="11" t="s">
        <v>80</v>
      </c>
      <c r="Q140" s="11" t="s">
        <v>96</v>
      </c>
      <c r="R140" s="11" t="s">
        <v>2651</v>
      </c>
      <c r="S140" s="11" t="s">
        <v>2652</v>
      </c>
      <c r="T140" s="105" t="s">
        <v>1</v>
      </c>
      <c r="U140" s="98"/>
      <c r="V140" s="51">
        <v>45831</v>
      </c>
      <c r="W140" s="11" t="s">
        <v>1555</v>
      </c>
      <c r="X140" s="154" t="s">
        <v>2</v>
      </c>
      <c r="Y140" s="154">
        <v>0</v>
      </c>
    </row>
    <row r="141" spans="1:25" ht="13" customHeight="1">
      <c r="A141" s="11">
        <v>135</v>
      </c>
      <c r="B141" s="47">
        <v>205608619</v>
      </c>
      <c r="C141" s="88" t="s">
        <v>459</v>
      </c>
      <c r="D141" s="11" t="s">
        <v>1904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88</v>
      </c>
      <c r="M141" s="49" t="s">
        <v>95</v>
      </c>
      <c r="N141" s="49" t="s">
        <v>89</v>
      </c>
      <c r="O141" s="49" t="s">
        <v>67</v>
      </c>
      <c r="P141" s="11" t="s">
        <v>80</v>
      </c>
      <c r="Q141" s="11" t="s">
        <v>90</v>
      </c>
      <c r="R141" s="11" t="s">
        <v>2651</v>
      </c>
      <c r="S141" s="11" t="s">
        <v>2652</v>
      </c>
      <c r="T141" s="105" t="s">
        <v>1</v>
      </c>
      <c r="U141" s="98"/>
      <c r="V141" s="51">
        <v>45845</v>
      </c>
      <c r="W141" s="11" t="s">
        <v>1555</v>
      </c>
      <c r="X141" s="154" t="s">
        <v>2</v>
      </c>
      <c r="Y141" s="154">
        <v>0</v>
      </c>
    </row>
    <row r="142" spans="1:25" ht="13" customHeight="1">
      <c r="A142" s="11">
        <v>136</v>
      </c>
      <c r="B142" s="47">
        <v>202219229</v>
      </c>
      <c r="C142" s="88" t="s">
        <v>2421</v>
      </c>
      <c r="D142" s="11" t="s">
        <v>2422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84</v>
      </c>
      <c r="M142" s="49" t="s">
        <v>85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2651</v>
      </c>
      <c r="S142" s="11" t="s">
        <v>2652</v>
      </c>
      <c r="T142" s="105" t="s">
        <v>1</v>
      </c>
      <c r="U142" s="98"/>
      <c r="V142" s="51">
        <v>45596</v>
      </c>
      <c r="W142" s="11" t="s">
        <v>1555</v>
      </c>
      <c r="X142" s="154" t="s">
        <v>2</v>
      </c>
      <c r="Y142" s="154">
        <v>0</v>
      </c>
    </row>
    <row r="143" spans="1:25" ht="13" customHeight="1">
      <c r="A143" s="11">
        <v>137</v>
      </c>
      <c r="B143" s="47">
        <v>206953971</v>
      </c>
      <c r="C143" s="88" t="s">
        <v>2077</v>
      </c>
      <c r="D143" s="11" t="s">
        <v>2011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88</v>
      </c>
      <c r="M143" s="49" t="s">
        <v>95</v>
      </c>
      <c r="N143" s="48" t="s">
        <v>89</v>
      </c>
      <c r="O143" s="49" t="s">
        <v>67</v>
      </c>
      <c r="P143" s="11" t="s">
        <v>80</v>
      </c>
      <c r="Q143" s="11" t="s">
        <v>90</v>
      </c>
      <c r="R143" s="11" t="s">
        <v>2651</v>
      </c>
      <c r="S143" s="11" t="s">
        <v>2652</v>
      </c>
      <c r="T143" s="105" t="s">
        <v>1</v>
      </c>
      <c r="U143" s="98"/>
      <c r="V143" s="51">
        <v>46048</v>
      </c>
      <c r="W143" s="11" t="s">
        <v>1555</v>
      </c>
      <c r="X143" s="154" t="s">
        <v>2</v>
      </c>
      <c r="Y143" s="154">
        <v>0</v>
      </c>
    </row>
    <row r="144" spans="1:25" ht="13" customHeight="1">
      <c r="A144" s="11">
        <v>138</v>
      </c>
      <c r="B144" s="47">
        <v>203800602</v>
      </c>
      <c r="C144" s="88" t="s">
        <v>2211</v>
      </c>
      <c r="D144" s="11" t="s">
        <v>2212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39</v>
      </c>
      <c r="K144" s="49" t="s">
        <v>76</v>
      </c>
      <c r="L144" s="49" t="s">
        <v>92</v>
      </c>
      <c r="M144" s="49" t="s">
        <v>84</v>
      </c>
      <c r="N144" s="49" t="s">
        <v>89</v>
      </c>
      <c r="O144" s="49" t="s">
        <v>67</v>
      </c>
      <c r="P144" s="11" t="s">
        <v>80</v>
      </c>
      <c r="Q144" s="11" t="s">
        <v>90</v>
      </c>
      <c r="R144" s="11" t="s">
        <v>2651</v>
      </c>
      <c r="S144" s="11" t="s">
        <v>2652</v>
      </c>
      <c r="T144" s="105" t="s">
        <v>1</v>
      </c>
      <c r="U144" s="98"/>
      <c r="V144" s="51">
        <v>45516</v>
      </c>
      <c r="W144" s="11" t="s">
        <v>1555</v>
      </c>
      <c r="X144" s="154" t="s">
        <v>2</v>
      </c>
      <c r="Y144" s="154">
        <v>0</v>
      </c>
    </row>
    <row r="145" spans="1:25" ht="13" customHeight="1">
      <c r="A145" s="11">
        <v>139</v>
      </c>
      <c r="B145" s="47">
        <v>203800375</v>
      </c>
      <c r="C145" s="88" t="s">
        <v>130</v>
      </c>
      <c r="D145" s="11" t="s">
        <v>1905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92</v>
      </c>
      <c r="M145" s="49" t="s">
        <v>84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2651</v>
      </c>
      <c r="S145" s="11" t="s">
        <v>2652</v>
      </c>
      <c r="T145" s="105" t="s">
        <v>1</v>
      </c>
      <c r="U145" s="98"/>
      <c r="V145" s="51">
        <v>45516</v>
      </c>
      <c r="W145" s="11" t="s">
        <v>1555</v>
      </c>
      <c r="X145" s="154" t="s">
        <v>2</v>
      </c>
      <c r="Y145" s="154">
        <v>0</v>
      </c>
    </row>
    <row r="146" spans="1:25" ht="13" customHeight="1">
      <c r="A146" s="11">
        <v>140</v>
      </c>
      <c r="B146" s="47">
        <v>203555405</v>
      </c>
      <c r="C146" s="88" t="s">
        <v>2213</v>
      </c>
      <c r="D146" s="11" t="s">
        <v>2214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88</v>
      </c>
      <c r="M146" s="49" t="s">
        <v>95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2651</v>
      </c>
      <c r="S146" s="11" t="s">
        <v>2652</v>
      </c>
      <c r="T146" s="105" t="s">
        <v>1</v>
      </c>
      <c r="U146" s="98"/>
      <c r="V146" s="51">
        <v>45470</v>
      </c>
      <c r="W146" s="11" t="s">
        <v>1555</v>
      </c>
      <c r="X146" s="154" t="s">
        <v>2</v>
      </c>
      <c r="Y146" s="154">
        <v>0</v>
      </c>
    </row>
    <row r="147" spans="1:25" ht="13" customHeight="1">
      <c r="A147" s="11">
        <v>141</v>
      </c>
      <c r="B147" s="47">
        <v>203469396</v>
      </c>
      <c r="C147" s="88" t="s">
        <v>131</v>
      </c>
      <c r="D147" s="11" t="s">
        <v>1906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39</v>
      </c>
      <c r="K147" s="49" t="s">
        <v>76</v>
      </c>
      <c r="L147" s="49" t="s">
        <v>95</v>
      </c>
      <c r="M147" s="49" t="s">
        <v>77</v>
      </c>
      <c r="N147" s="48" t="s">
        <v>86</v>
      </c>
      <c r="O147" s="49" t="s">
        <v>67</v>
      </c>
      <c r="P147" s="11" t="s">
        <v>80</v>
      </c>
      <c r="Q147" s="11" t="s">
        <v>99</v>
      </c>
      <c r="R147" s="11" t="s">
        <v>2651</v>
      </c>
      <c r="S147" s="11" t="s">
        <v>2652</v>
      </c>
      <c r="T147" s="105" t="s">
        <v>10</v>
      </c>
      <c r="U147" s="98"/>
      <c r="V147" s="51">
        <v>45456</v>
      </c>
      <c r="W147" s="11" t="s">
        <v>1555</v>
      </c>
      <c r="X147" s="154" t="s">
        <v>2948</v>
      </c>
      <c r="Y147" s="154">
        <v>0</v>
      </c>
    </row>
    <row r="148" spans="1:25" ht="13" customHeight="1">
      <c r="A148" s="11">
        <v>142</v>
      </c>
      <c r="B148" s="47">
        <v>206514852</v>
      </c>
      <c r="C148" s="88" t="s">
        <v>1679</v>
      </c>
      <c r="D148" s="11" t="s">
        <v>1907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2651</v>
      </c>
      <c r="S148" s="11" t="s">
        <v>2652</v>
      </c>
      <c r="T148" s="105" t="s">
        <v>1</v>
      </c>
      <c r="U148" s="98"/>
      <c r="V148" s="51">
        <v>45971</v>
      </c>
      <c r="W148" s="11" t="s">
        <v>1555</v>
      </c>
      <c r="X148" s="154" t="s">
        <v>2</v>
      </c>
      <c r="Y148" s="154">
        <v>0</v>
      </c>
    </row>
    <row r="149" spans="1:25" ht="13" customHeight="1">
      <c r="A149" s="11">
        <v>143</v>
      </c>
      <c r="B149" s="47">
        <v>203555401</v>
      </c>
      <c r="C149" s="88" t="s">
        <v>2215</v>
      </c>
      <c r="D149" s="11" t="s">
        <v>2216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77</v>
      </c>
      <c r="M149" s="49" t="s">
        <v>78</v>
      </c>
      <c r="N149" s="48" t="s">
        <v>79</v>
      </c>
      <c r="O149" s="49" t="s">
        <v>67</v>
      </c>
      <c r="P149" s="11" t="s">
        <v>80</v>
      </c>
      <c r="Q149" s="11" t="s">
        <v>81</v>
      </c>
      <c r="R149" s="11" t="s">
        <v>2651</v>
      </c>
      <c r="S149" s="11" t="s">
        <v>2652</v>
      </c>
      <c r="T149" s="105" t="s">
        <v>10</v>
      </c>
      <c r="U149" s="98"/>
      <c r="V149" s="51">
        <v>45470</v>
      </c>
      <c r="W149" s="11" t="s">
        <v>1555</v>
      </c>
      <c r="X149" s="154" t="s">
        <v>2948</v>
      </c>
      <c r="Y149" s="154">
        <v>0</v>
      </c>
    </row>
    <row r="150" spans="1:25" ht="13" customHeight="1">
      <c r="A150" s="11">
        <v>144</v>
      </c>
      <c r="B150" s="47">
        <v>205647583</v>
      </c>
      <c r="C150" s="88" t="s">
        <v>2217</v>
      </c>
      <c r="D150" s="11" t="s">
        <v>2218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39</v>
      </c>
      <c r="K150" s="49" t="s">
        <v>76</v>
      </c>
      <c r="L150" s="49" t="s">
        <v>77</v>
      </c>
      <c r="M150" s="49" t="s">
        <v>78</v>
      </c>
      <c r="N150" s="49" t="s">
        <v>89</v>
      </c>
      <c r="O150" s="49" t="s">
        <v>67</v>
      </c>
      <c r="P150" s="11" t="s">
        <v>80</v>
      </c>
      <c r="Q150" s="11" t="s">
        <v>96</v>
      </c>
      <c r="R150" s="11" t="s">
        <v>2651</v>
      </c>
      <c r="S150" s="11" t="s">
        <v>2652</v>
      </c>
      <c r="T150" s="105" t="s">
        <v>10</v>
      </c>
      <c r="U150" s="98"/>
      <c r="V150" s="51">
        <v>45852</v>
      </c>
      <c r="W150" s="11" t="s">
        <v>1555</v>
      </c>
      <c r="X150" s="154" t="s">
        <v>2948</v>
      </c>
      <c r="Y150" s="154">
        <v>0</v>
      </c>
    </row>
    <row r="151" spans="1:25" ht="13" customHeight="1">
      <c r="A151" s="11">
        <v>145</v>
      </c>
      <c r="B151" s="47">
        <v>206949318</v>
      </c>
      <c r="C151" s="89" t="s">
        <v>2104</v>
      </c>
      <c r="D151" s="101" t="s">
        <v>2105</v>
      </c>
      <c r="E151" s="101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32</v>
      </c>
      <c r="K151" s="49" t="s">
        <v>76</v>
      </c>
      <c r="L151" s="49" t="s">
        <v>84</v>
      </c>
      <c r="M151" s="49" t="s">
        <v>85</v>
      </c>
      <c r="N151" s="48" t="s">
        <v>86</v>
      </c>
      <c r="O151" s="49" t="s">
        <v>67</v>
      </c>
      <c r="P151" s="49" t="s">
        <v>80</v>
      </c>
      <c r="Q151" s="49" t="s">
        <v>90</v>
      </c>
      <c r="R151" s="11" t="s">
        <v>2651</v>
      </c>
      <c r="S151" s="11" t="s">
        <v>2652</v>
      </c>
      <c r="T151" s="105" t="s">
        <v>1</v>
      </c>
      <c r="U151" s="98"/>
      <c r="V151" s="51">
        <v>46048</v>
      </c>
      <c r="W151" s="11" t="s">
        <v>1555</v>
      </c>
      <c r="X151" s="154" t="s">
        <v>2</v>
      </c>
      <c r="Y151" s="154">
        <v>0</v>
      </c>
    </row>
    <row r="152" spans="1:25" ht="13" customHeight="1">
      <c r="A152" s="11">
        <v>146</v>
      </c>
      <c r="B152" s="47">
        <v>206934491</v>
      </c>
      <c r="C152" s="88" t="s">
        <v>2072</v>
      </c>
      <c r="D152" s="11" t="s">
        <v>2004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36</v>
      </c>
      <c r="M152" s="49" t="s">
        <v>78</v>
      </c>
      <c r="N152" s="48" t="s">
        <v>86</v>
      </c>
      <c r="O152" s="49" t="s">
        <v>67</v>
      </c>
      <c r="P152" s="11" t="s">
        <v>80</v>
      </c>
      <c r="Q152" s="11" t="s">
        <v>90</v>
      </c>
      <c r="R152" s="11" t="s">
        <v>2651</v>
      </c>
      <c r="S152" s="11" t="s">
        <v>2652</v>
      </c>
      <c r="T152" s="105" t="s">
        <v>1</v>
      </c>
      <c r="U152" s="98" t="s">
        <v>2944</v>
      </c>
      <c r="V152" s="51">
        <v>46048</v>
      </c>
      <c r="W152" s="11" t="s">
        <v>1555</v>
      </c>
      <c r="X152" s="154" t="s">
        <v>2</v>
      </c>
      <c r="Y152" s="154">
        <v>0</v>
      </c>
    </row>
    <row r="153" spans="1:25" ht="13" customHeight="1">
      <c r="A153" s="11">
        <v>147</v>
      </c>
      <c r="B153" s="47">
        <v>103775146</v>
      </c>
      <c r="C153" s="88" t="s">
        <v>2263</v>
      </c>
      <c r="D153" s="11" t="s">
        <v>2264</v>
      </c>
      <c r="E153" s="48" t="s">
        <v>34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78</v>
      </c>
      <c r="M153" s="49" t="s">
        <v>92</v>
      </c>
      <c r="N153" s="48" t="s">
        <v>97</v>
      </c>
      <c r="O153" s="49" t="s">
        <v>67</v>
      </c>
      <c r="P153" s="11" t="s">
        <v>80</v>
      </c>
      <c r="Q153" s="11" t="s">
        <v>98</v>
      </c>
      <c r="R153" s="11" t="s">
        <v>2651</v>
      </c>
      <c r="S153" s="11" t="s">
        <v>2652</v>
      </c>
      <c r="T153" s="105" t="s">
        <v>1</v>
      </c>
      <c r="U153" s="98"/>
      <c r="V153" s="51">
        <v>44067</v>
      </c>
      <c r="W153" s="49" t="s">
        <v>1555</v>
      </c>
      <c r="X153" s="154" t="s">
        <v>2</v>
      </c>
      <c r="Y153" s="154">
        <v>0</v>
      </c>
    </row>
    <row r="154" spans="1:25" ht="13" customHeight="1">
      <c r="A154" s="11">
        <v>148</v>
      </c>
      <c r="B154" s="47">
        <v>102206211</v>
      </c>
      <c r="C154" s="88" t="s">
        <v>2219</v>
      </c>
      <c r="D154" s="11" t="s">
        <v>2220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77</v>
      </c>
      <c r="M154" s="49" t="s">
        <v>78</v>
      </c>
      <c r="N154" s="48" t="s">
        <v>108</v>
      </c>
      <c r="O154" s="49" t="s">
        <v>67</v>
      </c>
      <c r="P154" s="11" t="s">
        <v>80</v>
      </c>
      <c r="Q154" s="11" t="s">
        <v>98</v>
      </c>
      <c r="R154" s="11" t="s">
        <v>82</v>
      </c>
      <c r="S154" s="11" t="s">
        <v>2653</v>
      </c>
      <c r="T154" s="105" t="s">
        <v>10</v>
      </c>
      <c r="U154" s="98"/>
      <c r="V154" s="51">
        <v>42868</v>
      </c>
      <c r="W154" s="11" t="s">
        <v>1555</v>
      </c>
      <c r="X154" s="154" t="s">
        <v>2948</v>
      </c>
      <c r="Y154" s="154">
        <v>0</v>
      </c>
    </row>
    <row r="155" spans="1:25" ht="13" customHeight="1">
      <c r="A155" s="11">
        <v>149</v>
      </c>
      <c r="B155" s="47">
        <v>203816296</v>
      </c>
      <c r="C155" s="88" t="s">
        <v>1685</v>
      </c>
      <c r="D155" s="11" t="s">
        <v>1908</v>
      </c>
      <c r="E155" s="48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85</v>
      </c>
      <c r="M155" s="49" t="s">
        <v>88</v>
      </c>
      <c r="N155" s="49" t="s">
        <v>89</v>
      </c>
      <c r="O155" s="49" t="s">
        <v>67</v>
      </c>
      <c r="P155" s="11" t="s">
        <v>80</v>
      </c>
      <c r="Q155" s="11" t="s">
        <v>90</v>
      </c>
      <c r="R155" s="11" t="s">
        <v>2651</v>
      </c>
      <c r="S155" s="11" t="s">
        <v>2652</v>
      </c>
      <c r="T155" s="105" t="s">
        <v>1</v>
      </c>
      <c r="U155" s="98"/>
      <c r="V155" s="51">
        <v>45518</v>
      </c>
      <c r="W155" s="11" t="s">
        <v>1555</v>
      </c>
      <c r="X155" s="154" t="s">
        <v>2</v>
      </c>
      <c r="Y155" s="154">
        <v>0</v>
      </c>
    </row>
    <row r="156" spans="1:25" ht="13" customHeight="1">
      <c r="A156" s="11">
        <v>150</v>
      </c>
      <c r="B156" s="47">
        <v>102205456</v>
      </c>
      <c r="C156" s="88" t="s">
        <v>2625</v>
      </c>
      <c r="D156" s="11" t="s">
        <v>2650</v>
      </c>
      <c r="E156" s="48" t="s">
        <v>34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88</v>
      </c>
      <c r="M156" s="49" t="s">
        <v>95</v>
      </c>
      <c r="N156" s="48" t="s">
        <v>108</v>
      </c>
      <c r="O156" s="49" t="s">
        <v>67</v>
      </c>
      <c r="P156" s="11" t="s">
        <v>80</v>
      </c>
      <c r="Q156" s="11" t="s">
        <v>98</v>
      </c>
      <c r="R156" s="11" t="s">
        <v>82</v>
      </c>
      <c r="S156" s="11" t="s">
        <v>2653</v>
      </c>
      <c r="T156" s="105" t="s">
        <v>7</v>
      </c>
      <c r="U156" s="98" t="s">
        <v>2945</v>
      </c>
      <c r="V156" s="51">
        <v>42868</v>
      </c>
      <c r="W156" s="11" t="s">
        <v>1555</v>
      </c>
      <c r="X156" s="154" t="s">
        <v>2948</v>
      </c>
      <c r="Y156" s="154">
        <v>0</v>
      </c>
    </row>
    <row r="157" spans="1:25" ht="13" customHeight="1">
      <c r="A157" s="11">
        <v>151</v>
      </c>
      <c r="B157" s="47">
        <v>203469404</v>
      </c>
      <c r="C157" s="88" t="s">
        <v>132</v>
      </c>
      <c r="D157" s="11" t="s">
        <v>1909</v>
      </c>
      <c r="E157" s="48" t="s">
        <v>31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36</v>
      </c>
      <c r="M157" s="49" t="s">
        <v>78</v>
      </c>
      <c r="N157" s="48" t="s">
        <v>86</v>
      </c>
      <c r="O157" s="49" t="s">
        <v>67</v>
      </c>
      <c r="P157" s="11" t="s">
        <v>80</v>
      </c>
      <c r="Q157" s="11" t="s">
        <v>99</v>
      </c>
      <c r="R157" s="11" t="s">
        <v>2651</v>
      </c>
      <c r="S157" s="11" t="s">
        <v>2652</v>
      </c>
      <c r="T157" s="105" t="s">
        <v>1</v>
      </c>
      <c r="U157" s="98" t="s">
        <v>2944</v>
      </c>
      <c r="V157" s="51">
        <v>45456</v>
      </c>
      <c r="W157" s="11" t="s">
        <v>1555</v>
      </c>
      <c r="X157" s="154" t="s">
        <v>2</v>
      </c>
      <c r="Y157" s="154">
        <v>0</v>
      </c>
    </row>
    <row r="158" spans="1:25" ht="13" customHeight="1">
      <c r="A158" s="11">
        <v>152</v>
      </c>
      <c r="B158" s="47">
        <v>206514788</v>
      </c>
      <c r="C158" s="88" t="s">
        <v>1680</v>
      </c>
      <c r="D158" s="11" t="s">
        <v>1910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39</v>
      </c>
      <c r="K158" s="49" t="s">
        <v>76</v>
      </c>
      <c r="L158" s="49" t="s">
        <v>77</v>
      </c>
      <c r="M158" s="49" t="s">
        <v>78</v>
      </c>
      <c r="N158" s="49" t="s">
        <v>89</v>
      </c>
      <c r="O158" s="49" t="s">
        <v>67</v>
      </c>
      <c r="P158" s="11" t="s">
        <v>80</v>
      </c>
      <c r="Q158" s="11" t="s">
        <v>90</v>
      </c>
      <c r="R158" s="11" t="s">
        <v>2651</v>
      </c>
      <c r="S158" s="11" t="s">
        <v>2652</v>
      </c>
      <c r="T158" s="105" t="s">
        <v>10</v>
      </c>
      <c r="U158" s="98"/>
      <c r="V158" s="51">
        <v>45971</v>
      </c>
      <c r="W158" s="11" t="s">
        <v>1555</v>
      </c>
      <c r="X158" s="154" t="s">
        <v>2948</v>
      </c>
      <c r="Y158" s="154">
        <v>0</v>
      </c>
    </row>
    <row r="159" spans="1:25" ht="13" customHeight="1">
      <c r="A159" s="11">
        <v>153</v>
      </c>
      <c r="B159" s="47">
        <v>205647581</v>
      </c>
      <c r="C159" s="88" t="s">
        <v>133</v>
      </c>
      <c r="D159" s="11" t="s">
        <v>1911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95</v>
      </c>
      <c r="M159" s="49" t="s">
        <v>77</v>
      </c>
      <c r="N159" s="49" t="s">
        <v>89</v>
      </c>
      <c r="O159" s="49" t="s">
        <v>67</v>
      </c>
      <c r="P159" s="11" t="s">
        <v>80</v>
      </c>
      <c r="Q159" s="11" t="s">
        <v>96</v>
      </c>
      <c r="R159" s="11" t="s">
        <v>2651</v>
      </c>
      <c r="S159" s="11" t="s">
        <v>2652</v>
      </c>
      <c r="T159" s="105" t="s">
        <v>10</v>
      </c>
      <c r="U159" s="98"/>
      <c r="V159" s="51">
        <v>45852</v>
      </c>
      <c r="W159" s="11" t="s">
        <v>1555</v>
      </c>
      <c r="X159" s="154" t="s">
        <v>2948</v>
      </c>
      <c r="Y159" s="154">
        <v>0</v>
      </c>
    </row>
    <row r="160" spans="1:25" ht="13" customHeight="1">
      <c r="A160" s="11">
        <v>154</v>
      </c>
      <c r="B160" s="47">
        <v>102981768</v>
      </c>
      <c r="C160" s="88" t="s">
        <v>2221</v>
      </c>
      <c r="D160" s="11" t="s">
        <v>2222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84</v>
      </c>
      <c r="M160" s="49" t="s">
        <v>85</v>
      </c>
      <c r="N160" s="48" t="s">
        <v>97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2653</v>
      </c>
      <c r="T160" s="105" t="s">
        <v>1</v>
      </c>
      <c r="U160" s="98"/>
      <c r="V160" s="51">
        <v>43044</v>
      </c>
      <c r="W160" s="11" t="s">
        <v>1555</v>
      </c>
      <c r="X160" s="154" t="s">
        <v>2948</v>
      </c>
      <c r="Y160" s="154">
        <v>0</v>
      </c>
    </row>
    <row r="161" spans="1:25" ht="13" customHeight="1">
      <c r="A161" s="11">
        <v>155</v>
      </c>
      <c r="B161" s="47">
        <v>203801393</v>
      </c>
      <c r="C161" s="88" t="s">
        <v>134</v>
      </c>
      <c r="D161" s="11" t="s">
        <v>1912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92</v>
      </c>
      <c r="M161" s="49" t="s">
        <v>84</v>
      </c>
      <c r="N161" s="48" t="s">
        <v>79</v>
      </c>
      <c r="O161" s="49" t="s">
        <v>67</v>
      </c>
      <c r="P161" s="11" t="s">
        <v>80</v>
      </c>
      <c r="Q161" s="11" t="s">
        <v>81</v>
      </c>
      <c r="R161" s="11" t="s">
        <v>2651</v>
      </c>
      <c r="S161" s="11" t="s">
        <v>2652</v>
      </c>
      <c r="T161" s="105" t="s">
        <v>1</v>
      </c>
      <c r="U161" s="98"/>
      <c r="V161" s="51">
        <v>45517</v>
      </c>
      <c r="W161" s="11" t="s">
        <v>1555</v>
      </c>
      <c r="X161" s="154" t="s">
        <v>2</v>
      </c>
      <c r="Y161" s="154">
        <v>0</v>
      </c>
    </row>
    <row r="162" spans="1:25" ht="13" customHeight="1">
      <c r="A162" s="11">
        <v>156</v>
      </c>
      <c r="B162" s="47">
        <v>204864416</v>
      </c>
      <c r="C162" s="88" t="s">
        <v>135</v>
      </c>
      <c r="D162" s="11" t="s">
        <v>1913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85</v>
      </c>
      <c r="M162" s="49" t="s">
        <v>88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2651</v>
      </c>
      <c r="S162" s="11" t="s">
        <v>2652</v>
      </c>
      <c r="T162" s="105" t="s">
        <v>1</v>
      </c>
      <c r="U162" s="98"/>
      <c r="V162" s="51">
        <v>45684</v>
      </c>
      <c r="W162" s="11" t="s">
        <v>1555</v>
      </c>
      <c r="X162" s="154" t="s">
        <v>2</v>
      </c>
      <c r="Y162" s="154">
        <v>0</v>
      </c>
    </row>
    <row r="163" spans="1:25" ht="13" customHeight="1">
      <c r="A163" s="11">
        <v>157</v>
      </c>
      <c r="B163" s="47">
        <v>206016552</v>
      </c>
      <c r="C163" s="88" t="s">
        <v>523</v>
      </c>
      <c r="D163" s="11" t="s">
        <v>1914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77</v>
      </c>
      <c r="M163" s="49" t="s">
        <v>78</v>
      </c>
      <c r="N163" s="49" t="s">
        <v>89</v>
      </c>
      <c r="O163" s="49" t="s">
        <v>67</v>
      </c>
      <c r="P163" s="11" t="s">
        <v>80</v>
      </c>
      <c r="Q163" s="11" t="s">
        <v>81</v>
      </c>
      <c r="R163" s="11" t="s">
        <v>2651</v>
      </c>
      <c r="S163" s="11" t="s">
        <v>2652</v>
      </c>
      <c r="T163" s="105" t="s">
        <v>10</v>
      </c>
      <c r="U163" s="98"/>
      <c r="V163" s="51">
        <v>45915</v>
      </c>
      <c r="W163" s="11" t="s">
        <v>1555</v>
      </c>
      <c r="X163" s="154" t="s">
        <v>2948</v>
      </c>
      <c r="Y163" s="154">
        <v>0</v>
      </c>
    </row>
    <row r="164" spans="1:25" ht="13" customHeight="1">
      <c r="A164" s="11">
        <v>158</v>
      </c>
      <c r="B164" s="47">
        <v>204403811</v>
      </c>
      <c r="C164" s="88" t="s">
        <v>136</v>
      </c>
      <c r="D164" s="11" t="s">
        <v>1915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92</v>
      </c>
      <c r="M164" s="49" t="s">
        <v>84</v>
      </c>
      <c r="N164" s="48" t="s">
        <v>79</v>
      </c>
      <c r="O164" s="49" t="s">
        <v>67</v>
      </c>
      <c r="P164" s="11" t="s">
        <v>80</v>
      </c>
      <c r="Q164" s="11" t="s">
        <v>81</v>
      </c>
      <c r="R164" s="11" t="s">
        <v>2651</v>
      </c>
      <c r="S164" s="11" t="s">
        <v>2652</v>
      </c>
      <c r="T164" s="105" t="s">
        <v>1</v>
      </c>
      <c r="U164" s="98"/>
      <c r="V164" s="51">
        <v>45596</v>
      </c>
      <c r="W164" s="11" t="s">
        <v>1555</v>
      </c>
      <c r="X164" s="154" t="s">
        <v>2</v>
      </c>
      <c r="Y164" s="154">
        <v>0</v>
      </c>
    </row>
    <row r="165" spans="1:25" ht="13" customHeight="1">
      <c r="A165" s="11">
        <v>159</v>
      </c>
      <c r="B165" s="47">
        <v>206348053</v>
      </c>
      <c r="C165" s="88" t="s">
        <v>1674</v>
      </c>
      <c r="D165" s="11" t="s">
        <v>1943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39</v>
      </c>
      <c r="K165" s="49" t="s">
        <v>76</v>
      </c>
      <c r="L165" s="49" t="s">
        <v>84</v>
      </c>
      <c r="M165" s="49" t="s">
        <v>85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2651</v>
      </c>
      <c r="S165" s="11" t="s">
        <v>2652</v>
      </c>
      <c r="T165" s="105" t="s">
        <v>1</v>
      </c>
      <c r="U165" s="98"/>
      <c r="V165" s="51">
        <v>45957</v>
      </c>
      <c r="W165" s="11" t="s">
        <v>1555</v>
      </c>
      <c r="X165" s="154" t="s">
        <v>2</v>
      </c>
      <c r="Y165" s="154">
        <v>0</v>
      </c>
    </row>
    <row r="166" spans="1:25" ht="13" customHeight="1">
      <c r="A166" s="11">
        <v>160</v>
      </c>
      <c r="B166" s="47">
        <v>206915011</v>
      </c>
      <c r="C166" s="88" t="s">
        <v>2068</v>
      </c>
      <c r="D166" s="11" t="s">
        <v>1999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92</v>
      </c>
      <c r="M166" s="49" t="s">
        <v>84</v>
      </c>
      <c r="N166" s="48" t="s">
        <v>86</v>
      </c>
      <c r="O166" s="49" t="s">
        <v>67</v>
      </c>
      <c r="P166" s="11" t="s">
        <v>80</v>
      </c>
      <c r="Q166" s="11" t="s">
        <v>90</v>
      </c>
      <c r="R166" s="11" t="s">
        <v>2651</v>
      </c>
      <c r="S166" s="11" t="s">
        <v>2652</v>
      </c>
      <c r="T166" s="105" t="s">
        <v>1</v>
      </c>
      <c r="U166" s="98"/>
      <c r="V166" s="51">
        <v>46048</v>
      </c>
      <c r="W166" s="11" t="s">
        <v>1555</v>
      </c>
      <c r="X166" s="154" t="s">
        <v>2</v>
      </c>
      <c r="Y166" s="154">
        <v>0</v>
      </c>
    </row>
    <row r="167" spans="1:25" ht="13" customHeight="1">
      <c r="A167" s="11">
        <v>161</v>
      </c>
      <c r="B167" s="47">
        <v>203850788</v>
      </c>
      <c r="C167" s="88" t="s">
        <v>2223</v>
      </c>
      <c r="D167" s="11" t="s">
        <v>2224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39</v>
      </c>
      <c r="K167" s="49" t="s">
        <v>76</v>
      </c>
      <c r="L167" s="49" t="s">
        <v>84</v>
      </c>
      <c r="M167" s="49" t="s">
        <v>85</v>
      </c>
      <c r="N167" s="48" t="s">
        <v>79</v>
      </c>
      <c r="O167" s="49" t="s">
        <v>67</v>
      </c>
      <c r="P167" s="11" t="s">
        <v>80</v>
      </c>
      <c r="Q167" s="11" t="s">
        <v>81</v>
      </c>
      <c r="R167" s="11" t="s">
        <v>2651</v>
      </c>
      <c r="S167" s="11" t="s">
        <v>2652</v>
      </c>
      <c r="T167" s="105" t="s">
        <v>1</v>
      </c>
      <c r="U167" s="98"/>
      <c r="V167" s="51">
        <v>45524</v>
      </c>
      <c r="W167" s="11" t="s">
        <v>1555</v>
      </c>
      <c r="X167" s="154" t="s">
        <v>2</v>
      </c>
      <c r="Y167" s="154">
        <v>0</v>
      </c>
    </row>
    <row r="168" spans="1:25" ht="13" customHeight="1">
      <c r="A168" s="11">
        <v>162</v>
      </c>
      <c r="B168" s="11">
        <v>206873785</v>
      </c>
      <c r="C168" s="88" t="s">
        <v>1727</v>
      </c>
      <c r="D168" s="11" t="s">
        <v>1728</v>
      </c>
      <c r="E168" s="48" t="s">
        <v>31</v>
      </c>
      <c r="F168" s="48" t="s">
        <v>74</v>
      </c>
      <c r="G168" s="48" t="s">
        <v>64</v>
      </c>
      <c r="H168" s="48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9" t="s">
        <v>89</v>
      </c>
      <c r="O168" s="11" t="s">
        <v>67</v>
      </c>
      <c r="P168" s="48" t="s">
        <v>80</v>
      </c>
      <c r="Q168" s="11" t="s">
        <v>90</v>
      </c>
      <c r="R168" s="11" t="s">
        <v>2651</v>
      </c>
      <c r="S168" s="11" t="s">
        <v>2652</v>
      </c>
      <c r="T168" s="105" t="s">
        <v>1</v>
      </c>
      <c r="U168" s="98"/>
      <c r="V168" s="51">
        <v>46020</v>
      </c>
      <c r="W168" s="11" t="s">
        <v>1555</v>
      </c>
      <c r="X168" s="154" t="s">
        <v>2</v>
      </c>
      <c r="Y168" s="154">
        <v>0</v>
      </c>
    </row>
    <row r="169" spans="1:25" ht="13" customHeight="1">
      <c r="A169" s="11">
        <v>163</v>
      </c>
      <c r="B169" s="47">
        <v>204319468</v>
      </c>
      <c r="C169" s="88" t="s">
        <v>137</v>
      </c>
      <c r="D169" s="11" t="s">
        <v>1916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32</v>
      </c>
      <c r="K169" s="49" t="s">
        <v>76</v>
      </c>
      <c r="L169" s="49" t="s">
        <v>92</v>
      </c>
      <c r="M169" s="49" t="s">
        <v>84</v>
      </c>
      <c r="N169" s="48" t="s">
        <v>86</v>
      </c>
      <c r="O169" s="49" t="s">
        <v>67</v>
      </c>
      <c r="P169" s="11" t="s">
        <v>80</v>
      </c>
      <c r="Q169" s="11" t="s">
        <v>87</v>
      </c>
      <c r="R169" s="11" t="s">
        <v>2651</v>
      </c>
      <c r="S169" s="11" t="s">
        <v>2652</v>
      </c>
      <c r="T169" s="105" t="s">
        <v>1</v>
      </c>
      <c r="U169" s="98"/>
      <c r="V169" s="51">
        <v>45589</v>
      </c>
      <c r="W169" s="11" t="s">
        <v>1555</v>
      </c>
      <c r="X169" s="154" t="s">
        <v>2</v>
      </c>
      <c r="Y169" s="154">
        <v>0</v>
      </c>
    </row>
    <row r="170" spans="1:25" ht="13" customHeight="1">
      <c r="A170" s="11">
        <v>164</v>
      </c>
      <c r="B170" s="47">
        <v>204868856</v>
      </c>
      <c r="C170" s="88" t="s">
        <v>138</v>
      </c>
      <c r="D170" s="11" t="s">
        <v>139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39</v>
      </c>
      <c r="K170" s="49" t="s">
        <v>76</v>
      </c>
      <c r="L170" s="49" t="s">
        <v>88</v>
      </c>
      <c r="M170" s="49" t="s">
        <v>95</v>
      </c>
      <c r="N170" s="49" t="s">
        <v>89</v>
      </c>
      <c r="O170" s="49" t="s">
        <v>67</v>
      </c>
      <c r="P170" s="11" t="s">
        <v>80</v>
      </c>
      <c r="Q170" s="11" t="s">
        <v>87</v>
      </c>
      <c r="R170" s="11" t="s">
        <v>2651</v>
      </c>
      <c r="S170" s="11" t="s">
        <v>2652</v>
      </c>
      <c r="T170" s="105" t="s">
        <v>1</v>
      </c>
      <c r="U170" s="98"/>
      <c r="V170" s="51">
        <v>45691</v>
      </c>
      <c r="W170" s="11" t="s">
        <v>1555</v>
      </c>
      <c r="X170" s="154" t="s">
        <v>2</v>
      </c>
      <c r="Y170" s="154">
        <v>0</v>
      </c>
    </row>
    <row r="171" spans="1:25" ht="13" customHeight="1">
      <c r="A171" s="11">
        <v>165</v>
      </c>
      <c r="B171" s="47">
        <v>206953812</v>
      </c>
      <c r="C171" s="88" t="s">
        <v>2078</v>
      </c>
      <c r="D171" s="11" t="s">
        <v>2012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32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90</v>
      </c>
      <c r="R171" s="11" t="s">
        <v>2651</v>
      </c>
      <c r="S171" s="11" t="s">
        <v>2652</v>
      </c>
      <c r="T171" s="105" t="s">
        <v>1</v>
      </c>
      <c r="U171" s="98"/>
      <c r="V171" s="51">
        <v>46048</v>
      </c>
      <c r="W171" s="11" t="s">
        <v>1555</v>
      </c>
      <c r="X171" s="154" t="s">
        <v>2</v>
      </c>
      <c r="Y171" s="154">
        <v>0</v>
      </c>
    </row>
    <row r="172" spans="1:25" ht="13" customHeight="1">
      <c r="A172" s="11">
        <v>166</v>
      </c>
      <c r="B172" s="47">
        <v>205495602</v>
      </c>
      <c r="C172" s="88" t="s">
        <v>542</v>
      </c>
      <c r="D172" s="11" t="s">
        <v>1917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39</v>
      </c>
      <c r="K172" s="49" t="s">
        <v>76</v>
      </c>
      <c r="L172" s="49" t="s">
        <v>95</v>
      </c>
      <c r="M172" s="49" t="s">
        <v>77</v>
      </c>
      <c r="N172" s="49" t="s">
        <v>89</v>
      </c>
      <c r="O172" s="49" t="s">
        <v>67</v>
      </c>
      <c r="P172" s="11" t="s">
        <v>80</v>
      </c>
      <c r="Q172" s="11" t="s">
        <v>96</v>
      </c>
      <c r="R172" s="11" t="s">
        <v>2651</v>
      </c>
      <c r="S172" s="11" t="s">
        <v>2652</v>
      </c>
      <c r="T172" s="105" t="s">
        <v>10</v>
      </c>
      <c r="U172" s="98"/>
      <c r="V172" s="51">
        <v>45831</v>
      </c>
      <c r="W172" s="11" t="s">
        <v>1555</v>
      </c>
      <c r="X172" s="154" t="s">
        <v>2948</v>
      </c>
      <c r="Y172" s="154">
        <v>0</v>
      </c>
    </row>
    <row r="173" spans="1:25" ht="13" customHeight="1">
      <c r="A173" s="11">
        <v>167</v>
      </c>
      <c r="B173" s="47">
        <v>204299909</v>
      </c>
      <c r="C173" s="88" t="s">
        <v>2225</v>
      </c>
      <c r="D173" s="11" t="s">
        <v>2226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36</v>
      </c>
      <c r="M173" s="49" t="s">
        <v>78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2651</v>
      </c>
      <c r="S173" s="11" t="s">
        <v>2652</v>
      </c>
      <c r="T173" s="105" t="s">
        <v>1</v>
      </c>
      <c r="U173" s="98" t="s">
        <v>2944</v>
      </c>
      <c r="V173" s="51">
        <v>45589</v>
      </c>
      <c r="W173" s="11" t="s">
        <v>1555</v>
      </c>
      <c r="X173" s="154" t="s">
        <v>2</v>
      </c>
      <c r="Y173" s="154">
        <v>0</v>
      </c>
    </row>
    <row r="174" spans="1:25" ht="13" customHeight="1">
      <c r="A174" s="11">
        <v>168</v>
      </c>
      <c r="B174" s="47">
        <v>203850935</v>
      </c>
      <c r="C174" s="88" t="s">
        <v>2227</v>
      </c>
      <c r="D174" s="11" t="s">
        <v>2228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36</v>
      </c>
      <c r="M174" s="49" t="s">
        <v>78</v>
      </c>
      <c r="N174" s="48" t="s">
        <v>79</v>
      </c>
      <c r="O174" s="49" t="s">
        <v>67</v>
      </c>
      <c r="P174" s="11" t="s">
        <v>80</v>
      </c>
      <c r="Q174" s="11" t="s">
        <v>81</v>
      </c>
      <c r="R174" s="11" t="s">
        <v>2651</v>
      </c>
      <c r="S174" s="11" t="s">
        <v>2652</v>
      </c>
      <c r="T174" s="105" t="s">
        <v>1</v>
      </c>
      <c r="U174" s="98" t="s">
        <v>2944</v>
      </c>
      <c r="V174" s="51">
        <v>45524</v>
      </c>
      <c r="W174" s="11" t="s">
        <v>1555</v>
      </c>
      <c r="X174" s="154" t="s">
        <v>2</v>
      </c>
      <c r="Y174" s="154">
        <v>0</v>
      </c>
    </row>
    <row r="175" spans="1:25" ht="13" customHeight="1">
      <c r="A175" s="11">
        <v>169</v>
      </c>
      <c r="B175" s="47">
        <v>203679325</v>
      </c>
      <c r="C175" s="88" t="s">
        <v>2423</v>
      </c>
      <c r="D175" s="11" t="s">
        <v>2424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92</v>
      </c>
      <c r="M175" s="49" t="s">
        <v>84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2651</v>
      </c>
      <c r="S175" s="11" t="s">
        <v>2652</v>
      </c>
      <c r="T175" s="105" t="s">
        <v>1</v>
      </c>
      <c r="U175" s="98"/>
      <c r="V175" s="51">
        <v>45488</v>
      </c>
      <c r="W175" s="11" t="s">
        <v>1555</v>
      </c>
      <c r="X175" s="154" t="s">
        <v>2</v>
      </c>
      <c r="Y175" s="154">
        <v>0</v>
      </c>
    </row>
    <row r="176" spans="1:25" ht="13" customHeight="1">
      <c r="A176" s="11">
        <v>170</v>
      </c>
      <c r="B176" s="47">
        <v>202238249</v>
      </c>
      <c r="C176" s="88" t="s">
        <v>140</v>
      </c>
      <c r="D176" s="11" t="s">
        <v>1918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78</v>
      </c>
      <c r="M176" s="49" t="s">
        <v>92</v>
      </c>
      <c r="N176" s="48" t="s">
        <v>86</v>
      </c>
      <c r="O176" s="49" t="s">
        <v>67</v>
      </c>
      <c r="P176" s="11" t="s">
        <v>80</v>
      </c>
      <c r="Q176" s="11" t="s">
        <v>87</v>
      </c>
      <c r="R176" s="11" t="s">
        <v>2651</v>
      </c>
      <c r="S176" s="11" t="s">
        <v>2652</v>
      </c>
      <c r="T176" s="105" t="s">
        <v>1</v>
      </c>
      <c r="U176" s="98"/>
      <c r="V176" s="51">
        <v>45586</v>
      </c>
      <c r="W176" s="11" t="s">
        <v>1555</v>
      </c>
      <c r="X176" s="154" t="s">
        <v>2</v>
      </c>
      <c r="Y176" s="154">
        <v>0</v>
      </c>
    </row>
    <row r="177" spans="1:25" ht="13" customHeight="1">
      <c r="A177" s="11">
        <v>171</v>
      </c>
      <c r="B177" s="47">
        <v>102207652</v>
      </c>
      <c r="C177" s="88" t="s">
        <v>141</v>
      </c>
      <c r="D177" s="11" t="s">
        <v>1919</v>
      </c>
      <c r="E177" s="48" t="s">
        <v>34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39</v>
      </c>
      <c r="K177" s="49" t="s">
        <v>76</v>
      </c>
      <c r="L177" s="49" t="s">
        <v>88</v>
      </c>
      <c r="M177" s="49" t="s">
        <v>95</v>
      </c>
      <c r="N177" s="48" t="s">
        <v>108</v>
      </c>
      <c r="O177" s="49" t="s">
        <v>67</v>
      </c>
      <c r="P177" s="11" t="s">
        <v>80</v>
      </c>
      <c r="Q177" s="11" t="s">
        <v>98</v>
      </c>
      <c r="R177" s="11" t="s">
        <v>82</v>
      </c>
      <c r="S177" s="11" t="s">
        <v>2653</v>
      </c>
      <c r="T177" s="105" t="s">
        <v>1</v>
      </c>
      <c r="U177" s="98"/>
      <c r="V177" s="51">
        <v>42868</v>
      </c>
      <c r="W177" s="11" t="s">
        <v>1555</v>
      </c>
      <c r="X177" s="154" t="s">
        <v>2</v>
      </c>
      <c r="Y177" s="154">
        <v>0</v>
      </c>
    </row>
    <row r="178" spans="1:25" ht="13" customHeight="1">
      <c r="A178" s="11">
        <v>172</v>
      </c>
      <c r="B178" s="47">
        <v>203813085</v>
      </c>
      <c r="C178" s="88" t="s">
        <v>2229</v>
      </c>
      <c r="D178" s="11" t="s">
        <v>2230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92</v>
      </c>
      <c r="M178" s="49" t="s">
        <v>84</v>
      </c>
      <c r="N178" s="48" t="s">
        <v>86</v>
      </c>
      <c r="O178" s="49" t="s">
        <v>67</v>
      </c>
      <c r="P178" s="11" t="s">
        <v>80</v>
      </c>
      <c r="Q178" s="11" t="s">
        <v>99</v>
      </c>
      <c r="R178" s="11" t="s">
        <v>2651</v>
      </c>
      <c r="S178" s="11" t="s">
        <v>2652</v>
      </c>
      <c r="T178" s="105" t="s">
        <v>1</v>
      </c>
      <c r="U178" s="98"/>
      <c r="V178" s="51">
        <v>45517</v>
      </c>
      <c r="W178" s="11" t="s">
        <v>1555</v>
      </c>
      <c r="X178" s="154" t="s">
        <v>2</v>
      </c>
      <c r="Y178" s="154">
        <v>0</v>
      </c>
    </row>
    <row r="179" spans="1:25" ht="13" customHeight="1">
      <c r="A179" s="11">
        <v>173</v>
      </c>
      <c r="B179" s="47">
        <v>206875145</v>
      </c>
      <c r="C179" s="88" t="s">
        <v>1703</v>
      </c>
      <c r="D179" s="11" t="s">
        <v>1704</v>
      </c>
      <c r="E179" s="48" t="s">
        <v>31</v>
      </c>
      <c r="F179" s="48" t="s">
        <v>74</v>
      </c>
      <c r="G179" s="48" t="s">
        <v>64</v>
      </c>
      <c r="H179" s="48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9" t="s">
        <v>89</v>
      </c>
      <c r="O179" s="48" t="s">
        <v>67</v>
      </c>
      <c r="P179" s="48" t="s">
        <v>80</v>
      </c>
      <c r="Q179" s="11" t="s">
        <v>90</v>
      </c>
      <c r="R179" s="11" t="s">
        <v>2651</v>
      </c>
      <c r="S179" s="11" t="s">
        <v>2652</v>
      </c>
      <c r="T179" s="105" t="s">
        <v>1</v>
      </c>
      <c r="U179" s="98"/>
      <c r="V179" s="51">
        <v>46020</v>
      </c>
      <c r="W179" s="11" t="s">
        <v>1555</v>
      </c>
      <c r="X179" s="154" t="s">
        <v>2</v>
      </c>
      <c r="Y179" s="154">
        <v>0</v>
      </c>
    </row>
    <row r="180" spans="1:25" ht="13" customHeight="1">
      <c r="A180" s="11">
        <v>174</v>
      </c>
      <c r="B180" s="47">
        <v>206136724</v>
      </c>
      <c r="C180" s="88" t="s">
        <v>2425</v>
      </c>
      <c r="D180" s="11" t="s">
        <v>2426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9" t="s">
        <v>89</v>
      </c>
      <c r="O180" s="49" t="s">
        <v>67</v>
      </c>
      <c r="P180" s="11" t="s">
        <v>80</v>
      </c>
      <c r="Q180" s="11" t="s">
        <v>81</v>
      </c>
      <c r="R180" s="11" t="s">
        <v>2651</v>
      </c>
      <c r="S180" s="11" t="s">
        <v>2652</v>
      </c>
      <c r="T180" s="105" t="s">
        <v>4</v>
      </c>
      <c r="U180" s="98"/>
      <c r="V180" s="51">
        <v>45932</v>
      </c>
      <c r="W180" s="11" t="s">
        <v>1555</v>
      </c>
      <c r="X180" s="154" t="s">
        <v>2948</v>
      </c>
      <c r="Y180" s="154">
        <v>0</v>
      </c>
    </row>
    <row r="181" spans="1:25" ht="13" customHeight="1">
      <c r="A181" s="11">
        <v>175</v>
      </c>
      <c r="B181" s="47">
        <v>204329123</v>
      </c>
      <c r="C181" s="88" t="s">
        <v>2231</v>
      </c>
      <c r="D181" s="11" t="s">
        <v>2232</v>
      </c>
      <c r="E181" s="48" t="s">
        <v>31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77</v>
      </c>
      <c r="M181" s="49" t="s">
        <v>78</v>
      </c>
      <c r="N181" s="48" t="s">
        <v>86</v>
      </c>
      <c r="O181" s="49" t="s">
        <v>67</v>
      </c>
      <c r="P181" s="11" t="s">
        <v>80</v>
      </c>
      <c r="Q181" s="11" t="s">
        <v>87</v>
      </c>
      <c r="R181" s="11" t="s">
        <v>2651</v>
      </c>
      <c r="S181" s="11" t="s">
        <v>2652</v>
      </c>
      <c r="T181" s="105" t="s">
        <v>10</v>
      </c>
      <c r="U181" s="98"/>
      <c r="V181" s="51">
        <v>45589</v>
      </c>
      <c r="W181" s="11" t="s">
        <v>1555</v>
      </c>
      <c r="X181" s="154" t="s">
        <v>2948</v>
      </c>
      <c r="Y181" s="154">
        <v>0</v>
      </c>
    </row>
    <row r="182" spans="1:25" ht="13" customHeight="1">
      <c r="A182" s="11">
        <v>176</v>
      </c>
      <c r="B182" s="47">
        <v>206851163</v>
      </c>
      <c r="C182" s="88" t="s">
        <v>1714</v>
      </c>
      <c r="D182" s="11" t="s">
        <v>1715</v>
      </c>
      <c r="E182" s="48" t="s">
        <v>31</v>
      </c>
      <c r="F182" s="48" t="s">
        <v>74</v>
      </c>
      <c r="G182" s="48" t="s">
        <v>64</v>
      </c>
      <c r="H182" s="48" t="s">
        <v>75</v>
      </c>
      <c r="I182" s="11">
        <v>1299</v>
      </c>
      <c r="J182" s="49" t="s">
        <v>32</v>
      </c>
      <c r="K182" s="49" t="s">
        <v>76</v>
      </c>
      <c r="L182" s="49" t="s">
        <v>85</v>
      </c>
      <c r="M182" s="49" t="s">
        <v>88</v>
      </c>
      <c r="N182" s="49" t="s">
        <v>89</v>
      </c>
      <c r="O182" s="48" t="s">
        <v>67</v>
      </c>
      <c r="P182" s="48" t="s">
        <v>80</v>
      </c>
      <c r="Q182" s="11" t="s">
        <v>90</v>
      </c>
      <c r="R182" s="11" t="s">
        <v>2651</v>
      </c>
      <c r="S182" s="11" t="s">
        <v>2652</v>
      </c>
      <c r="T182" s="105" t="s">
        <v>1</v>
      </c>
      <c r="U182" s="98"/>
      <c r="V182" s="51">
        <v>46020</v>
      </c>
      <c r="W182" s="11" t="s">
        <v>1555</v>
      </c>
      <c r="X182" s="154" t="s">
        <v>2</v>
      </c>
      <c r="Y182" s="154">
        <v>0</v>
      </c>
    </row>
    <row r="183" spans="1:25" ht="13" customHeight="1">
      <c r="A183" s="11">
        <v>177</v>
      </c>
      <c r="B183" s="47">
        <v>203469083</v>
      </c>
      <c r="C183" s="88" t="s">
        <v>2233</v>
      </c>
      <c r="D183" s="11" t="s">
        <v>2234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39</v>
      </c>
      <c r="K183" s="49" t="s">
        <v>76</v>
      </c>
      <c r="L183" s="49" t="s">
        <v>92</v>
      </c>
      <c r="M183" s="49" t="s">
        <v>84</v>
      </c>
      <c r="N183" s="48" t="s">
        <v>79</v>
      </c>
      <c r="O183" s="49" t="s">
        <v>67</v>
      </c>
      <c r="P183" s="11" t="s">
        <v>80</v>
      </c>
      <c r="Q183" s="11" t="s">
        <v>81</v>
      </c>
      <c r="R183" s="11" t="s">
        <v>2651</v>
      </c>
      <c r="S183" s="11" t="s">
        <v>2652</v>
      </c>
      <c r="T183" s="105" t="s">
        <v>1</v>
      </c>
      <c r="U183" s="98"/>
      <c r="V183" s="51">
        <v>45456</v>
      </c>
      <c r="W183" s="11" t="s">
        <v>1555</v>
      </c>
      <c r="X183" s="154" t="s">
        <v>2</v>
      </c>
      <c r="Y183" s="154">
        <v>0</v>
      </c>
    </row>
    <row r="184" spans="1:25" ht="13" customHeight="1">
      <c r="A184" s="11">
        <v>178</v>
      </c>
      <c r="B184" s="47">
        <v>203679326</v>
      </c>
      <c r="C184" s="88" t="s">
        <v>2235</v>
      </c>
      <c r="D184" s="11" t="s">
        <v>2236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77</v>
      </c>
      <c r="M184" s="49" t="s">
        <v>78</v>
      </c>
      <c r="N184" s="48" t="s">
        <v>79</v>
      </c>
      <c r="O184" s="49" t="s">
        <v>67</v>
      </c>
      <c r="P184" s="11" t="s">
        <v>80</v>
      </c>
      <c r="Q184" s="11" t="s">
        <v>81</v>
      </c>
      <c r="R184" s="11" t="s">
        <v>2651</v>
      </c>
      <c r="S184" s="11" t="s">
        <v>2652</v>
      </c>
      <c r="T184" s="105" t="s">
        <v>10</v>
      </c>
      <c r="U184" s="98"/>
      <c r="V184" s="51">
        <v>45488</v>
      </c>
      <c r="W184" s="11" t="s">
        <v>1555</v>
      </c>
      <c r="X184" s="154" t="s">
        <v>2948</v>
      </c>
      <c r="Y184" s="154">
        <v>0</v>
      </c>
    </row>
    <row r="185" spans="1:25" ht="13" customHeight="1">
      <c r="A185" s="11">
        <v>179</v>
      </c>
      <c r="B185" s="47">
        <v>205301874</v>
      </c>
      <c r="C185" s="88" t="s">
        <v>1636</v>
      </c>
      <c r="D185" s="11" t="s">
        <v>1920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9" t="s">
        <v>89</v>
      </c>
      <c r="O185" s="49" t="s">
        <v>67</v>
      </c>
      <c r="P185" s="11" t="s">
        <v>80</v>
      </c>
      <c r="Q185" s="11" t="s">
        <v>96</v>
      </c>
      <c r="R185" s="11" t="s">
        <v>2651</v>
      </c>
      <c r="S185" s="11" t="s">
        <v>2652</v>
      </c>
      <c r="T185" s="105" t="s">
        <v>10</v>
      </c>
      <c r="U185" s="98"/>
      <c r="V185" s="51">
        <v>45950</v>
      </c>
      <c r="W185" s="11" t="s">
        <v>1555</v>
      </c>
      <c r="X185" s="154" t="s">
        <v>2948</v>
      </c>
      <c r="Y185" s="154">
        <v>0</v>
      </c>
    </row>
    <row r="186" spans="1:25" ht="13" customHeight="1">
      <c r="A186" s="11">
        <v>180</v>
      </c>
      <c r="B186" s="47">
        <v>206008708</v>
      </c>
      <c r="C186" s="88" t="s">
        <v>2237</v>
      </c>
      <c r="D186" s="11" t="s">
        <v>2238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36</v>
      </c>
      <c r="M186" s="49" t="s">
        <v>78</v>
      </c>
      <c r="N186" s="49" t="s">
        <v>89</v>
      </c>
      <c r="O186" s="49" t="s">
        <v>67</v>
      </c>
      <c r="P186" s="11" t="s">
        <v>80</v>
      </c>
      <c r="Q186" s="11" t="s">
        <v>81</v>
      </c>
      <c r="R186" s="11" t="s">
        <v>2651</v>
      </c>
      <c r="S186" s="11" t="s">
        <v>2652</v>
      </c>
      <c r="T186" s="105" t="s">
        <v>1</v>
      </c>
      <c r="U186" s="98" t="s">
        <v>2944</v>
      </c>
      <c r="V186" s="51">
        <v>45915</v>
      </c>
      <c r="W186" s="11" t="s">
        <v>1555</v>
      </c>
      <c r="X186" s="154" t="s">
        <v>2</v>
      </c>
      <c r="Y186" s="154">
        <v>0</v>
      </c>
    </row>
    <row r="187" spans="1:25" ht="13" customHeight="1">
      <c r="A187" s="11">
        <v>181</v>
      </c>
      <c r="B187" s="47">
        <v>206873881</v>
      </c>
      <c r="C187" s="88" t="s">
        <v>1687</v>
      </c>
      <c r="D187" s="11" t="s">
        <v>1688</v>
      </c>
      <c r="E187" s="48" t="s">
        <v>31</v>
      </c>
      <c r="F187" s="48" t="s">
        <v>74</v>
      </c>
      <c r="G187" s="48" t="s">
        <v>64</v>
      </c>
      <c r="H187" s="48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8" t="s">
        <v>67</v>
      </c>
      <c r="P187" s="48" t="s">
        <v>80</v>
      </c>
      <c r="Q187" s="11" t="s">
        <v>90</v>
      </c>
      <c r="R187" s="11" t="s">
        <v>2651</v>
      </c>
      <c r="S187" s="11" t="s">
        <v>2652</v>
      </c>
      <c r="T187" s="105" t="s">
        <v>10</v>
      </c>
      <c r="U187" s="98"/>
      <c r="V187" s="51">
        <v>46020</v>
      </c>
      <c r="W187" s="11" t="s">
        <v>1555</v>
      </c>
      <c r="X187" s="154" t="s">
        <v>2948</v>
      </c>
      <c r="Y187" s="154">
        <v>0</v>
      </c>
    </row>
    <row r="188" spans="1:25" ht="13" customHeight="1">
      <c r="A188" s="11">
        <v>182</v>
      </c>
      <c r="B188" s="47">
        <v>206175107</v>
      </c>
      <c r="C188" s="88" t="s">
        <v>2427</v>
      </c>
      <c r="D188" s="11" t="s">
        <v>2428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36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81</v>
      </c>
      <c r="R188" s="11" t="s">
        <v>2651</v>
      </c>
      <c r="S188" s="11" t="s">
        <v>2652</v>
      </c>
      <c r="T188" s="105" t="s">
        <v>1</v>
      </c>
      <c r="U188" s="98" t="s">
        <v>2944</v>
      </c>
      <c r="V188" s="51">
        <v>45932</v>
      </c>
      <c r="W188" s="11" t="s">
        <v>1555</v>
      </c>
      <c r="X188" s="154" t="s">
        <v>2</v>
      </c>
      <c r="Y188" s="154">
        <v>0</v>
      </c>
    </row>
    <row r="189" spans="1:25" ht="13" customHeight="1">
      <c r="A189" s="11">
        <v>183</v>
      </c>
      <c r="B189" s="47">
        <v>203469455</v>
      </c>
      <c r="C189" s="88" t="s">
        <v>2239</v>
      </c>
      <c r="D189" s="11" t="s">
        <v>2240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39</v>
      </c>
      <c r="K189" s="49" t="s">
        <v>76</v>
      </c>
      <c r="L189" s="49" t="s">
        <v>85</v>
      </c>
      <c r="M189" s="49" t="s">
        <v>88</v>
      </c>
      <c r="N189" s="48" t="s">
        <v>86</v>
      </c>
      <c r="O189" s="49" t="s">
        <v>67</v>
      </c>
      <c r="P189" s="11" t="s">
        <v>80</v>
      </c>
      <c r="Q189" s="11" t="s">
        <v>99</v>
      </c>
      <c r="R189" s="11" t="s">
        <v>2651</v>
      </c>
      <c r="S189" s="11" t="s">
        <v>2652</v>
      </c>
      <c r="T189" s="105" t="s">
        <v>7</v>
      </c>
      <c r="U189" s="98" t="s">
        <v>2941</v>
      </c>
      <c r="V189" s="51">
        <v>45456</v>
      </c>
      <c r="W189" s="11" t="s">
        <v>1555</v>
      </c>
      <c r="X189" s="154" t="s">
        <v>2948</v>
      </c>
      <c r="Y189" s="154" t="s">
        <v>2949</v>
      </c>
    </row>
    <row r="190" spans="1:25" ht="13" customHeight="1">
      <c r="A190" s="11">
        <v>184</v>
      </c>
      <c r="B190" s="47">
        <v>203813088</v>
      </c>
      <c r="C190" s="88" t="s">
        <v>142</v>
      </c>
      <c r="D190" s="11" t="s">
        <v>1922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92</v>
      </c>
      <c r="M190" s="49" t="s">
        <v>84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2651</v>
      </c>
      <c r="S190" s="11" t="s">
        <v>2652</v>
      </c>
      <c r="T190" s="105" t="s">
        <v>1</v>
      </c>
      <c r="U190" s="98"/>
      <c r="V190" s="51">
        <v>45517</v>
      </c>
      <c r="W190" s="11" t="s">
        <v>1555</v>
      </c>
      <c r="X190" s="154" t="s">
        <v>2</v>
      </c>
      <c r="Y190" s="154">
        <v>0</v>
      </c>
    </row>
    <row r="191" spans="1:25" ht="13" customHeight="1">
      <c r="A191" s="11">
        <v>185</v>
      </c>
      <c r="B191" s="47">
        <v>204072320</v>
      </c>
      <c r="C191" s="88" t="s">
        <v>143</v>
      </c>
      <c r="D191" s="11" t="s">
        <v>1923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85</v>
      </c>
      <c r="M191" s="49" t="s">
        <v>88</v>
      </c>
      <c r="N191" s="49" t="s">
        <v>89</v>
      </c>
      <c r="O191" s="49" t="s">
        <v>67</v>
      </c>
      <c r="P191" s="11" t="s">
        <v>80</v>
      </c>
      <c r="Q191" s="11" t="s">
        <v>90</v>
      </c>
      <c r="R191" s="11" t="s">
        <v>2651</v>
      </c>
      <c r="S191" s="11" t="s">
        <v>2652</v>
      </c>
      <c r="T191" s="105" t="s">
        <v>1</v>
      </c>
      <c r="U191" s="98"/>
      <c r="V191" s="51">
        <v>45684</v>
      </c>
      <c r="W191" s="11" t="s">
        <v>1555</v>
      </c>
      <c r="X191" s="154" t="s">
        <v>2</v>
      </c>
      <c r="Y191" s="154">
        <v>0</v>
      </c>
    </row>
    <row r="192" spans="1:25" ht="13" customHeight="1">
      <c r="A192" s="11">
        <v>186</v>
      </c>
      <c r="B192" s="47">
        <v>204299908</v>
      </c>
      <c r="C192" s="88" t="s">
        <v>144</v>
      </c>
      <c r="D192" s="11" t="s">
        <v>1924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77</v>
      </c>
      <c r="M192" s="49" t="s">
        <v>78</v>
      </c>
      <c r="N192" s="48" t="s">
        <v>86</v>
      </c>
      <c r="O192" s="49" t="s">
        <v>67</v>
      </c>
      <c r="P192" s="11" t="s">
        <v>80</v>
      </c>
      <c r="Q192" s="11" t="s">
        <v>87</v>
      </c>
      <c r="R192" s="11" t="s">
        <v>2651</v>
      </c>
      <c r="S192" s="11" t="s">
        <v>2652</v>
      </c>
      <c r="T192" s="105" t="s">
        <v>10</v>
      </c>
      <c r="U192" s="98"/>
      <c r="V192" s="51">
        <v>45589</v>
      </c>
      <c r="W192" s="11" t="s">
        <v>1555</v>
      </c>
      <c r="X192" s="154" t="s">
        <v>2948</v>
      </c>
      <c r="Y192" s="154">
        <v>0</v>
      </c>
    </row>
    <row r="193" spans="1:25" ht="13" customHeight="1">
      <c r="A193" s="11">
        <v>187</v>
      </c>
      <c r="B193" s="47">
        <v>205647585</v>
      </c>
      <c r="C193" s="88" t="s">
        <v>2241</v>
      </c>
      <c r="D193" s="11" t="s">
        <v>2242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32</v>
      </c>
      <c r="K193" s="49" t="s">
        <v>76</v>
      </c>
      <c r="L193" s="49" t="s">
        <v>95</v>
      </c>
      <c r="M193" s="49" t="s">
        <v>77</v>
      </c>
      <c r="N193" s="49" t="s">
        <v>89</v>
      </c>
      <c r="O193" s="49" t="s">
        <v>67</v>
      </c>
      <c r="P193" s="11" t="s">
        <v>80</v>
      </c>
      <c r="Q193" s="11" t="s">
        <v>96</v>
      </c>
      <c r="R193" s="11" t="s">
        <v>2651</v>
      </c>
      <c r="S193" s="11" t="s">
        <v>2652</v>
      </c>
      <c r="T193" s="105" t="s">
        <v>10</v>
      </c>
      <c r="U193" s="98"/>
      <c r="V193" s="51">
        <v>45852</v>
      </c>
      <c r="W193" s="11" t="s">
        <v>1555</v>
      </c>
      <c r="X193" s="154" t="s">
        <v>2948</v>
      </c>
      <c r="Y193" s="154">
        <v>0</v>
      </c>
    </row>
    <row r="194" spans="1:25" ht="13" customHeight="1">
      <c r="A194" s="11">
        <v>188</v>
      </c>
      <c r="B194" s="47">
        <v>205647825</v>
      </c>
      <c r="C194" s="88" t="s">
        <v>145</v>
      </c>
      <c r="D194" s="11" t="s">
        <v>1925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88</v>
      </c>
      <c r="M194" s="49" t="s">
        <v>95</v>
      </c>
      <c r="N194" s="49" t="s">
        <v>89</v>
      </c>
      <c r="O194" s="49" t="s">
        <v>67</v>
      </c>
      <c r="P194" s="11" t="s">
        <v>80</v>
      </c>
      <c r="Q194" s="11" t="s">
        <v>96</v>
      </c>
      <c r="R194" s="11" t="s">
        <v>2651</v>
      </c>
      <c r="S194" s="11" t="s">
        <v>2652</v>
      </c>
      <c r="T194" s="105" t="s">
        <v>1</v>
      </c>
      <c r="U194" s="98"/>
      <c r="V194" s="51">
        <v>45852</v>
      </c>
      <c r="W194" s="11" t="s">
        <v>1555</v>
      </c>
      <c r="X194" s="154" t="s">
        <v>2</v>
      </c>
      <c r="Y194" s="154">
        <v>0</v>
      </c>
    </row>
    <row r="195" spans="1:25" ht="13" customHeight="1">
      <c r="A195" s="11">
        <v>189</v>
      </c>
      <c r="B195" s="47">
        <v>206297429</v>
      </c>
      <c r="C195" s="88" t="s">
        <v>1638</v>
      </c>
      <c r="D195" s="11" t="s">
        <v>1926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77</v>
      </c>
      <c r="M195" s="49" t="s">
        <v>78</v>
      </c>
      <c r="N195" s="49" t="s">
        <v>79</v>
      </c>
      <c r="O195" s="49" t="s">
        <v>67</v>
      </c>
      <c r="P195" s="11" t="s">
        <v>80</v>
      </c>
      <c r="Q195" s="11" t="s">
        <v>96</v>
      </c>
      <c r="R195" s="11" t="s">
        <v>2651</v>
      </c>
      <c r="S195" s="11" t="s">
        <v>2652</v>
      </c>
      <c r="T195" s="105" t="s">
        <v>10</v>
      </c>
      <c r="U195" s="98"/>
      <c r="V195" s="51">
        <v>45950</v>
      </c>
      <c r="W195" s="11" t="s">
        <v>1555</v>
      </c>
      <c r="X195" s="154" t="s">
        <v>2948</v>
      </c>
      <c r="Y195" s="154" t="s">
        <v>2949</v>
      </c>
    </row>
    <row r="196" spans="1:25" ht="13" customHeight="1">
      <c r="A196" s="11">
        <v>190</v>
      </c>
      <c r="B196" s="47">
        <v>203469406</v>
      </c>
      <c r="C196" s="88" t="s">
        <v>146</v>
      </c>
      <c r="D196" s="11" t="s">
        <v>1927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32</v>
      </c>
      <c r="K196" s="49" t="s">
        <v>76</v>
      </c>
      <c r="L196" s="49" t="s">
        <v>85</v>
      </c>
      <c r="M196" s="49" t="s">
        <v>88</v>
      </c>
      <c r="N196" s="48" t="s">
        <v>86</v>
      </c>
      <c r="O196" s="49" t="s">
        <v>67</v>
      </c>
      <c r="P196" s="11" t="s">
        <v>80</v>
      </c>
      <c r="Q196" s="11" t="s">
        <v>99</v>
      </c>
      <c r="R196" s="11" t="s">
        <v>2651</v>
      </c>
      <c r="S196" s="11" t="s">
        <v>2652</v>
      </c>
      <c r="T196" s="105" t="s">
        <v>1</v>
      </c>
      <c r="U196" s="98"/>
      <c r="V196" s="51">
        <v>45456</v>
      </c>
      <c r="W196" s="11" t="s">
        <v>1555</v>
      </c>
      <c r="X196" s="154" t="s">
        <v>2</v>
      </c>
      <c r="Y196" s="154">
        <v>0</v>
      </c>
    </row>
    <row r="197" spans="1:25" ht="13" customHeight="1">
      <c r="A197" s="11">
        <v>191</v>
      </c>
      <c r="B197" s="47">
        <v>203555408</v>
      </c>
      <c r="C197" s="88" t="s">
        <v>147</v>
      </c>
      <c r="D197" s="11" t="s">
        <v>1928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39</v>
      </c>
      <c r="K197" s="49" t="s">
        <v>76</v>
      </c>
      <c r="L197" s="49" t="s">
        <v>77</v>
      </c>
      <c r="M197" s="49" t="s">
        <v>78</v>
      </c>
      <c r="N197" s="48" t="s">
        <v>79</v>
      </c>
      <c r="O197" s="49" t="s">
        <v>67</v>
      </c>
      <c r="P197" s="11" t="s">
        <v>80</v>
      </c>
      <c r="Q197" s="11" t="s">
        <v>81</v>
      </c>
      <c r="R197" s="11" t="s">
        <v>2651</v>
      </c>
      <c r="S197" s="11" t="s">
        <v>2652</v>
      </c>
      <c r="T197" s="105" t="s">
        <v>10</v>
      </c>
      <c r="U197" s="98"/>
      <c r="V197" s="51">
        <v>45470</v>
      </c>
      <c r="W197" s="11" t="s">
        <v>1555</v>
      </c>
      <c r="X197" s="154" t="s">
        <v>2948</v>
      </c>
      <c r="Y197" s="154">
        <v>0</v>
      </c>
    </row>
    <row r="198" spans="1:25" ht="13" customHeight="1">
      <c r="A198" s="11">
        <v>192</v>
      </c>
      <c r="B198" s="47">
        <v>203469114</v>
      </c>
      <c r="C198" s="88" t="s">
        <v>148</v>
      </c>
      <c r="D198" s="11" t="s">
        <v>1929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2651</v>
      </c>
      <c r="S198" s="11" t="s">
        <v>2652</v>
      </c>
      <c r="T198" s="105" t="s">
        <v>3</v>
      </c>
      <c r="U198" s="98"/>
      <c r="V198" s="51">
        <v>45456</v>
      </c>
      <c r="W198" s="11" t="s">
        <v>1555</v>
      </c>
      <c r="X198" s="154" t="s">
        <v>2948</v>
      </c>
      <c r="Y198" s="154">
        <v>0</v>
      </c>
    </row>
    <row r="199" spans="1:25" ht="13" customHeight="1">
      <c r="A199" s="11">
        <v>193</v>
      </c>
      <c r="B199" s="47">
        <v>203813078</v>
      </c>
      <c r="C199" s="88" t="s">
        <v>149</v>
      </c>
      <c r="D199" s="11" t="s">
        <v>1930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78</v>
      </c>
      <c r="M199" s="49" t="s">
        <v>92</v>
      </c>
      <c r="N199" s="48" t="s">
        <v>86</v>
      </c>
      <c r="O199" s="49" t="s">
        <v>67</v>
      </c>
      <c r="P199" s="11" t="s">
        <v>80</v>
      </c>
      <c r="Q199" s="11" t="s">
        <v>99</v>
      </c>
      <c r="R199" s="11" t="s">
        <v>2651</v>
      </c>
      <c r="S199" s="11" t="s">
        <v>2652</v>
      </c>
      <c r="T199" s="105" t="s">
        <v>1</v>
      </c>
      <c r="U199" s="98"/>
      <c r="V199" s="51">
        <v>45517</v>
      </c>
      <c r="W199" s="11" t="s">
        <v>1555</v>
      </c>
      <c r="X199" s="154" t="s">
        <v>2</v>
      </c>
      <c r="Y199" s="154">
        <v>0</v>
      </c>
    </row>
    <row r="200" spans="1:25" ht="13" customHeight="1">
      <c r="A200" s="11">
        <v>194</v>
      </c>
      <c r="B200" s="47">
        <v>206952968</v>
      </c>
      <c r="C200" s="88" t="s">
        <v>2067</v>
      </c>
      <c r="D200" s="11" t="s">
        <v>1996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84</v>
      </c>
      <c r="M200" s="49" t="s">
        <v>85</v>
      </c>
      <c r="N200" s="48" t="s">
        <v>86</v>
      </c>
      <c r="O200" s="49" t="s">
        <v>67</v>
      </c>
      <c r="P200" s="11" t="s">
        <v>80</v>
      </c>
      <c r="Q200" s="11" t="s">
        <v>90</v>
      </c>
      <c r="R200" s="11" t="s">
        <v>2651</v>
      </c>
      <c r="S200" s="11" t="s">
        <v>2652</v>
      </c>
      <c r="T200" s="105" t="s">
        <v>1</v>
      </c>
      <c r="U200" s="98"/>
      <c r="V200" s="51">
        <v>46048</v>
      </c>
      <c r="W200" s="11" t="s">
        <v>1555</v>
      </c>
      <c r="X200" s="154" t="s">
        <v>2</v>
      </c>
      <c r="Y200" s="154">
        <v>0</v>
      </c>
    </row>
    <row r="201" spans="1:25" ht="13" customHeight="1">
      <c r="A201" s="11">
        <v>195</v>
      </c>
      <c r="B201" s="47">
        <v>205608882</v>
      </c>
      <c r="C201" s="88" t="s">
        <v>591</v>
      </c>
      <c r="D201" s="11" t="s">
        <v>1931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92</v>
      </c>
      <c r="M201" s="49" t="s">
        <v>84</v>
      </c>
      <c r="N201" s="49" t="s">
        <v>89</v>
      </c>
      <c r="O201" s="49" t="s">
        <v>67</v>
      </c>
      <c r="P201" s="11" t="s">
        <v>80</v>
      </c>
      <c r="Q201" s="11" t="s">
        <v>90</v>
      </c>
      <c r="R201" s="11" t="s">
        <v>2651</v>
      </c>
      <c r="S201" s="11" t="s">
        <v>2652</v>
      </c>
      <c r="T201" s="105" t="s">
        <v>7</v>
      </c>
      <c r="U201" s="98" t="s">
        <v>2941</v>
      </c>
      <c r="V201" s="51">
        <v>45845</v>
      </c>
      <c r="W201" s="11" t="s">
        <v>1555</v>
      </c>
      <c r="X201" s="154" t="s">
        <v>2948</v>
      </c>
      <c r="Y201" s="154" t="s">
        <v>2941</v>
      </c>
    </row>
    <row r="202" spans="1:25" ht="13" customHeight="1">
      <c r="A202" s="11">
        <v>196</v>
      </c>
      <c r="B202" s="47">
        <v>205276100</v>
      </c>
      <c r="C202" s="88" t="s">
        <v>1421</v>
      </c>
      <c r="D202" s="11" t="s">
        <v>1944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77</v>
      </c>
      <c r="M202" s="49" t="s">
        <v>78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2651</v>
      </c>
      <c r="S202" s="11" t="s">
        <v>2652</v>
      </c>
      <c r="T202" s="105" t="s">
        <v>10</v>
      </c>
      <c r="U202" s="98"/>
      <c r="V202" s="51">
        <v>45796</v>
      </c>
      <c r="W202" s="11" t="s">
        <v>1555</v>
      </c>
      <c r="X202" s="154" t="s">
        <v>2948</v>
      </c>
      <c r="Y202" s="154">
        <v>0</v>
      </c>
    </row>
    <row r="203" spans="1:25" ht="13" customHeight="1">
      <c r="A203" s="11">
        <v>197</v>
      </c>
      <c r="B203" s="47">
        <v>203908354</v>
      </c>
      <c r="C203" s="88" t="s">
        <v>2243</v>
      </c>
      <c r="D203" s="11" t="s">
        <v>2244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95</v>
      </c>
      <c r="M203" s="49" t="s">
        <v>77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2651</v>
      </c>
      <c r="S203" s="11" t="s">
        <v>2652</v>
      </c>
      <c r="T203" s="105" t="s">
        <v>10</v>
      </c>
      <c r="U203" s="98"/>
      <c r="V203" s="51">
        <v>45684</v>
      </c>
      <c r="W203" s="11" t="s">
        <v>1555</v>
      </c>
      <c r="X203" s="154" t="s">
        <v>2948</v>
      </c>
      <c r="Y203" s="154">
        <v>0</v>
      </c>
    </row>
    <row r="204" spans="1:25" ht="13" customHeight="1">
      <c r="A204" s="11">
        <v>198</v>
      </c>
      <c r="B204" s="47">
        <v>205647835</v>
      </c>
      <c r="C204" s="88" t="s">
        <v>2245</v>
      </c>
      <c r="D204" s="11" t="s">
        <v>2246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85</v>
      </c>
      <c r="M204" s="49" t="s">
        <v>88</v>
      </c>
      <c r="N204" s="49" t="s">
        <v>89</v>
      </c>
      <c r="O204" s="49" t="s">
        <v>67</v>
      </c>
      <c r="P204" s="11" t="s">
        <v>80</v>
      </c>
      <c r="Q204" s="11" t="s">
        <v>96</v>
      </c>
      <c r="R204" s="11" t="s">
        <v>2651</v>
      </c>
      <c r="S204" s="11" t="s">
        <v>2652</v>
      </c>
      <c r="T204" s="105" t="s">
        <v>1</v>
      </c>
      <c r="U204" s="98"/>
      <c r="V204" s="51">
        <v>45852</v>
      </c>
      <c r="W204" s="11" t="s">
        <v>1555</v>
      </c>
      <c r="X204" s="154" t="s">
        <v>2</v>
      </c>
      <c r="Y204" s="154">
        <v>0</v>
      </c>
    </row>
    <row r="205" spans="1:25" ht="13" customHeight="1">
      <c r="A205" s="11">
        <v>199</v>
      </c>
      <c r="B205" s="47">
        <v>203850776</v>
      </c>
      <c r="C205" s="88" t="s">
        <v>2429</v>
      </c>
      <c r="D205" s="11" t="s">
        <v>2430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77</v>
      </c>
      <c r="M205" s="49" t="s">
        <v>78</v>
      </c>
      <c r="N205" s="48" t="s">
        <v>79</v>
      </c>
      <c r="O205" s="49" t="s">
        <v>67</v>
      </c>
      <c r="P205" s="11" t="s">
        <v>80</v>
      </c>
      <c r="Q205" s="11" t="s">
        <v>81</v>
      </c>
      <c r="R205" s="11" t="s">
        <v>2651</v>
      </c>
      <c r="S205" s="11" t="s">
        <v>2652</v>
      </c>
      <c r="T205" s="105" t="s">
        <v>10</v>
      </c>
      <c r="U205" s="98"/>
      <c r="V205" s="51">
        <v>45524</v>
      </c>
      <c r="W205" s="11" t="s">
        <v>1555</v>
      </c>
      <c r="X205" s="154" t="s">
        <v>2948</v>
      </c>
      <c r="Y205" s="154">
        <v>0</v>
      </c>
    </row>
    <row r="206" spans="1:25" ht="13" customHeight="1">
      <c r="A206" s="11">
        <v>200</v>
      </c>
      <c r="B206" s="47">
        <v>203469168</v>
      </c>
      <c r="C206" s="88" t="s">
        <v>2247</v>
      </c>
      <c r="D206" s="11" t="s">
        <v>2248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84</v>
      </c>
      <c r="M206" s="49" t="s">
        <v>85</v>
      </c>
      <c r="N206" s="48" t="s">
        <v>79</v>
      </c>
      <c r="O206" s="49" t="s">
        <v>67</v>
      </c>
      <c r="P206" s="11" t="s">
        <v>80</v>
      </c>
      <c r="Q206" s="11" t="s">
        <v>81</v>
      </c>
      <c r="R206" s="11" t="s">
        <v>2651</v>
      </c>
      <c r="S206" s="11" t="s">
        <v>2652</v>
      </c>
      <c r="T206" s="105" t="s">
        <v>1</v>
      </c>
      <c r="U206" s="98"/>
      <c r="V206" s="51">
        <v>45456</v>
      </c>
      <c r="W206" s="11" t="s">
        <v>1555</v>
      </c>
      <c r="X206" s="154" t="s">
        <v>2</v>
      </c>
      <c r="Y206" s="154">
        <v>0</v>
      </c>
    </row>
    <row r="207" spans="1:25" ht="13" customHeight="1">
      <c r="A207" s="11">
        <v>201</v>
      </c>
      <c r="B207" s="47">
        <v>205651024</v>
      </c>
      <c r="C207" s="88" t="s">
        <v>2249</v>
      </c>
      <c r="D207" s="11" t="s">
        <v>2250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32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96</v>
      </c>
      <c r="R207" s="11" t="s">
        <v>2651</v>
      </c>
      <c r="S207" s="11" t="s">
        <v>2652</v>
      </c>
      <c r="T207" s="105" t="s">
        <v>10</v>
      </c>
      <c r="U207" s="98"/>
      <c r="V207" s="51">
        <v>45852</v>
      </c>
      <c r="W207" s="11" t="s">
        <v>1555</v>
      </c>
      <c r="X207" s="154" t="s">
        <v>2948</v>
      </c>
      <c r="Y207" s="154">
        <v>0</v>
      </c>
    </row>
    <row r="208" spans="1:25" ht="13" customHeight="1">
      <c r="A208" s="11">
        <v>202</v>
      </c>
      <c r="B208" s="47">
        <v>205647828</v>
      </c>
      <c r="C208" s="88" t="s">
        <v>2251</v>
      </c>
      <c r="D208" s="11" t="s">
        <v>2252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92</v>
      </c>
      <c r="M208" s="49" t="s">
        <v>84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2651</v>
      </c>
      <c r="S208" s="11" t="s">
        <v>2652</v>
      </c>
      <c r="T208" s="105" t="s">
        <v>1</v>
      </c>
      <c r="U208" s="98"/>
      <c r="V208" s="51">
        <v>45852</v>
      </c>
      <c r="W208" s="11" t="s">
        <v>1555</v>
      </c>
      <c r="X208" s="154" t="s">
        <v>2</v>
      </c>
      <c r="Y208" s="154">
        <v>0</v>
      </c>
    </row>
    <row r="209" spans="1:25" ht="13" customHeight="1">
      <c r="A209" s="11">
        <v>203</v>
      </c>
      <c r="B209" s="47">
        <v>203555404</v>
      </c>
      <c r="C209" s="88" t="s">
        <v>2253</v>
      </c>
      <c r="D209" s="11" t="s">
        <v>2254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88</v>
      </c>
      <c r="M209" s="49" t="s">
        <v>95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2651</v>
      </c>
      <c r="S209" s="11" t="s">
        <v>2652</v>
      </c>
      <c r="T209" s="105" t="s">
        <v>1</v>
      </c>
      <c r="U209" s="98"/>
      <c r="V209" s="51">
        <v>45470</v>
      </c>
      <c r="W209" s="11" t="s">
        <v>1555</v>
      </c>
      <c r="X209" s="154" t="s">
        <v>2</v>
      </c>
      <c r="Y209" s="154">
        <v>0</v>
      </c>
    </row>
    <row r="210" spans="1:25" ht="13" customHeight="1">
      <c r="A210" s="11">
        <v>204</v>
      </c>
      <c r="B210" s="47">
        <v>102434105</v>
      </c>
      <c r="C210" s="88" t="s">
        <v>150</v>
      </c>
      <c r="D210" s="11" t="s">
        <v>151</v>
      </c>
      <c r="E210" s="48" t="s">
        <v>34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78</v>
      </c>
      <c r="M210" s="49" t="s">
        <v>92</v>
      </c>
      <c r="N210" s="48" t="s">
        <v>108</v>
      </c>
      <c r="O210" s="49" t="s">
        <v>67</v>
      </c>
      <c r="P210" s="11" t="s">
        <v>80</v>
      </c>
      <c r="Q210" s="11" t="s">
        <v>98</v>
      </c>
      <c r="R210" s="11" t="s">
        <v>2651</v>
      </c>
      <c r="S210" s="11" t="s">
        <v>2652</v>
      </c>
      <c r="T210" s="105" t="s">
        <v>7</v>
      </c>
      <c r="U210" s="98" t="s">
        <v>2945</v>
      </c>
      <c r="V210" s="51">
        <v>42883</v>
      </c>
      <c r="W210" s="11" t="s">
        <v>1555</v>
      </c>
      <c r="X210" s="154" t="s">
        <v>2948</v>
      </c>
      <c r="Y210" s="154">
        <v>0</v>
      </c>
    </row>
    <row r="211" spans="1:25" ht="13" customHeight="1">
      <c r="A211" s="11">
        <v>205</v>
      </c>
      <c r="B211" s="47">
        <v>204319805</v>
      </c>
      <c r="C211" s="88" t="s">
        <v>2255</v>
      </c>
      <c r="D211" s="11" t="s">
        <v>2256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39</v>
      </c>
      <c r="K211" s="49" t="s">
        <v>76</v>
      </c>
      <c r="L211" s="49" t="s">
        <v>77</v>
      </c>
      <c r="M211" s="49" t="s">
        <v>78</v>
      </c>
      <c r="N211" s="48" t="s">
        <v>86</v>
      </c>
      <c r="O211" s="49" t="s">
        <v>67</v>
      </c>
      <c r="P211" s="11" t="s">
        <v>80</v>
      </c>
      <c r="Q211" s="11" t="s">
        <v>87</v>
      </c>
      <c r="R211" s="11" t="s">
        <v>2651</v>
      </c>
      <c r="S211" s="11" t="s">
        <v>2652</v>
      </c>
      <c r="T211" s="105" t="s">
        <v>10</v>
      </c>
      <c r="U211" s="98"/>
      <c r="V211" s="51">
        <v>45589</v>
      </c>
      <c r="W211" s="11" t="s">
        <v>1555</v>
      </c>
      <c r="X211" s="154" t="s">
        <v>2948</v>
      </c>
      <c r="Y211" s="154">
        <v>0</v>
      </c>
    </row>
    <row r="212" spans="1:25" ht="13" customHeight="1">
      <c r="A212" s="11">
        <v>206</v>
      </c>
      <c r="B212" s="47">
        <v>206949310</v>
      </c>
      <c r="C212" s="89" t="s">
        <v>2108</v>
      </c>
      <c r="D212" s="101" t="s">
        <v>2109</v>
      </c>
      <c r="E212" s="101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84</v>
      </c>
      <c r="M212" s="49" t="s">
        <v>85</v>
      </c>
      <c r="N212" s="48" t="s">
        <v>86</v>
      </c>
      <c r="O212" s="49" t="s">
        <v>67</v>
      </c>
      <c r="P212" s="49" t="s">
        <v>80</v>
      </c>
      <c r="Q212" s="49" t="s">
        <v>90</v>
      </c>
      <c r="R212" s="11" t="s">
        <v>2651</v>
      </c>
      <c r="S212" s="11" t="s">
        <v>2652</v>
      </c>
      <c r="T212" s="105" t="s">
        <v>1</v>
      </c>
      <c r="U212" s="98"/>
      <c r="V212" s="51">
        <v>46048</v>
      </c>
      <c r="W212" s="11" t="s">
        <v>1555</v>
      </c>
      <c r="X212" s="154" t="s">
        <v>2</v>
      </c>
      <c r="Y212" s="154">
        <v>0</v>
      </c>
    </row>
    <row r="213" spans="1:25" ht="13" customHeight="1">
      <c r="A213" s="11">
        <v>207</v>
      </c>
      <c r="B213" s="47">
        <v>206007530</v>
      </c>
      <c r="C213" s="88" t="s">
        <v>606</v>
      </c>
      <c r="D213" s="11" t="s">
        <v>1932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39</v>
      </c>
      <c r="K213" s="49" t="s">
        <v>76</v>
      </c>
      <c r="L213" s="49" t="s">
        <v>88</v>
      </c>
      <c r="M213" s="49" t="s">
        <v>95</v>
      </c>
      <c r="N213" s="49" t="s">
        <v>89</v>
      </c>
      <c r="O213" s="49" t="s">
        <v>67</v>
      </c>
      <c r="P213" s="11" t="s">
        <v>80</v>
      </c>
      <c r="Q213" s="11" t="s">
        <v>81</v>
      </c>
      <c r="R213" s="11" t="s">
        <v>2651</v>
      </c>
      <c r="S213" s="11" t="s">
        <v>2652</v>
      </c>
      <c r="T213" s="105" t="s">
        <v>1</v>
      </c>
      <c r="U213" s="98"/>
      <c r="V213" s="51">
        <v>45915</v>
      </c>
      <c r="W213" s="11" t="s">
        <v>1555</v>
      </c>
      <c r="X213" s="154" t="s">
        <v>2</v>
      </c>
      <c r="Y213" s="154">
        <v>0</v>
      </c>
    </row>
    <row r="214" spans="1:25" ht="13" customHeight="1">
      <c r="A214" s="11">
        <v>208</v>
      </c>
      <c r="B214" s="47">
        <v>203800377</v>
      </c>
      <c r="C214" s="88" t="s">
        <v>2257</v>
      </c>
      <c r="D214" s="11" t="s">
        <v>2258</v>
      </c>
      <c r="E214" s="48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84</v>
      </c>
      <c r="M214" s="49" t="s">
        <v>85</v>
      </c>
      <c r="N214" s="49" t="s">
        <v>89</v>
      </c>
      <c r="O214" s="49" t="s">
        <v>67</v>
      </c>
      <c r="P214" s="11" t="s">
        <v>80</v>
      </c>
      <c r="Q214" s="11" t="s">
        <v>90</v>
      </c>
      <c r="R214" s="11" t="s">
        <v>2651</v>
      </c>
      <c r="S214" s="11" t="s">
        <v>2652</v>
      </c>
      <c r="T214" s="105" t="s">
        <v>1</v>
      </c>
      <c r="U214" s="98"/>
      <c r="V214" s="51">
        <v>45516</v>
      </c>
      <c r="W214" s="11" t="s">
        <v>1555</v>
      </c>
      <c r="X214" s="154" t="s">
        <v>2</v>
      </c>
      <c r="Y214" s="154">
        <v>0</v>
      </c>
    </row>
    <row r="215" spans="1:25" ht="13" customHeight="1">
      <c r="A215" s="11">
        <v>209</v>
      </c>
      <c r="B215" s="47">
        <v>205609143</v>
      </c>
      <c r="C215" s="88" t="s">
        <v>607</v>
      </c>
      <c r="D215" s="11" t="s">
        <v>1933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88</v>
      </c>
      <c r="M215" s="49" t="s">
        <v>95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2651</v>
      </c>
      <c r="S215" s="11" t="s">
        <v>2652</v>
      </c>
      <c r="T215" s="105" t="s">
        <v>1</v>
      </c>
      <c r="U215" s="98"/>
      <c r="V215" s="51">
        <v>45845</v>
      </c>
      <c r="W215" s="11" t="s">
        <v>1555</v>
      </c>
      <c r="X215" s="154" t="s">
        <v>2</v>
      </c>
      <c r="Y215" s="154" t="s">
        <v>2949</v>
      </c>
    </row>
    <row r="216" spans="1:25" ht="13" customHeight="1">
      <c r="A216" s="11">
        <v>210</v>
      </c>
      <c r="B216" s="47">
        <v>206296205</v>
      </c>
      <c r="C216" s="88" t="s">
        <v>1639</v>
      </c>
      <c r="D216" s="11" t="s">
        <v>1934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39</v>
      </c>
      <c r="K216" s="49" t="s">
        <v>76</v>
      </c>
      <c r="L216" s="49" t="s">
        <v>92</v>
      </c>
      <c r="M216" s="49" t="s">
        <v>84</v>
      </c>
      <c r="N216" s="49" t="s">
        <v>89</v>
      </c>
      <c r="O216" s="49" t="s">
        <v>67</v>
      </c>
      <c r="P216" s="11" t="s">
        <v>80</v>
      </c>
      <c r="Q216" s="11" t="s">
        <v>96</v>
      </c>
      <c r="R216" s="11" t="s">
        <v>2651</v>
      </c>
      <c r="S216" s="11" t="s">
        <v>2652</v>
      </c>
      <c r="T216" s="105" t="s">
        <v>1</v>
      </c>
      <c r="U216" s="98"/>
      <c r="V216" s="51">
        <v>45950</v>
      </c>
      <c r="W216" s="11" t="s">
        <v>1555</v>
      </c>
      <c r="X216" s="154" t="s">
        <v>2</v>
      </c>
      <c r="Y216" s="154">
        <v>0</v>
      </c>
    </row>
    <row r="217" spans="1:25" ht="13" customHeight="1">
      <c r="A217" s="11">
        <v>211</v>
      </c>
      <c r="B217" s="47">
        <v>203555406</v>
      </c>
      <c r="C217" s="88" t="s">
        <v>152</v>
      </c>
      <c r="D217" s="11" t="s">
        <v>1935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32</v>
      </c>
      <c r="K217" s="49" t="s">
        <v>76</v>
      </c>
      <c r="L217" s="49" t="s">
        <v>78</v>
      </c>
      <c r="M217" s="49" t="s">
        <v>92</v>
      </c>
      <c r="N217" s="48" t="s">
        <v>79</v>
      </c>
      <c r="O217" s="49" t="s">
        <v>67</v>
      </c>
      <c r="P217" s="11" t="s">
        <v>80</v>
      </c>
      <c r="Q217" s="11" t="s">
        <v>81</v>
      </c>
      <c r="R217" s="11" t="s">
        <v>2651</v>
      </c>
      <c r="S217" s="11" t="s">
        <v>2652</v>
      </c>
      <c r="T217" s="105" t="s">
        <v>1</v>
      </c>
      <c r="U217" s="98"/>
      <c r="V217" s="51">
        <v>45470</v>
      </c>
      <c r="W217" s="11" t="s">
        <v>1555</v>
      </c>
      <c r="X217" s="154" t="s">
        <v>2</v>
      </c>
      <c r="Y217" s="154">
        <v>0</v>
      </c>
    </row>
    <row r="218" spans="1:25" ht="13" customHeight="1">
      <c r="A218" s="11">
        <v>212</v>
      </c>
      <c r="B218" s="47">
        <v>203817154</v>
      </c>
      <c r="C218" s="88" t="s">
        <v>2259</v>
      </c>
      <c r="D218" s="11" t="s">
        <v>2260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39</v>
      </c>
      <c r="K218" s="49" t="s">
        <v>76</v>
      </c>
      <c r="L218" s="49" t="s">
        <v>92</v>
      </c>
      <c r="M218" s="49" t="s">
        <v>84</v>
      </c>
      <c r="N218" s="48" t="s">
        <v>79</v>
      </c>
      <c r="O218" s="49" t="s">
        <v>67</v>
      </c>
      <c r="P218" s="11" t="s">
        <v>80</v>
      </c>
      <c r="Q218" s="11" t="s">
        <v>81</v>
      </c>
      <c r="R218" s="11" t="s">
        <v>2651</v>
      </c>
      <c r="S218" s="11" t="s">
        <v>2652</v>
      </c>
      <c r="T218" s="105" t="s">
        <v>1</v>
      </c>
      <c r="U218" s="98"/>
      <c r="V218" s="51">
        <v>45517</v>
      </c>
      <c r="W218" s="11" t="s">
        <v>1555</v>
      </c>
      <c r="X218" s="154" t="s">
        <v>2</v>
      </c>
      <c r="Y218" s="154">
        <v>0</v>
      </c>
    </row>
    <row r="219" spans="1:25" ht="13" customHeight="1">
      <c r="A219" s="11">
        <v>213</v>
      </c>
      <c r="B219" s="47">
        <v>206192235</v>
      </c>
      <c r="C219" s="88" t="s">
        <v>1586</v>
      </c>
      <c r="D219" s="11" t="s">
        <v>1936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77</v>
      </c>
      <c r="M219" s="49" t="s">
        <v>78</v>
      </c>
      <c r="N219" s="49" t="s">
        <v>79</v>
      </c>
      <c r="O219" s="49" t="s">
        <v>67</v>
      </c>
      <c r="P219" s="11" t="s">
        <v>80</v>
      </c>
      <c r="Q219" s="11" t="s">
        <v>96</v>
      </c>
      <c r="R219" s="11" t="s">
        <v>2651</v>
      </c>
      <c r="S219" s="11" t="s">
        <v>2652</v>
      </c>
      <c r="T219" s="105" t="s">
        <v>10</v>
      </c>
      <c r="U219" s="98"/>
      <c r="V219" s="51">
        <v>45936</v>
      </c>
      <c r="W219" s="11" t="s">
        <v>1555</v>
      </c>
      <c r="X219" s="154" t="s">
        <v>2948</v>
      </c>
      <c r="Y219" s="154">
        <v>0</v>
      </c>
    </row>
    <row r="220" spans="1:25" ht="13" customHeight="1">
      <c r="A220" s="11">
        <v>214</v>
      </c>
      <c r="B220" s="47">
        <v>203813132</v>
      </c>
      <c r="C220" s="88" t="s">
        <v>153</v>
      </c>
      <c r="D220" s="11" t="s">
        <v>1937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95</v>
      </c>
      <c r="M220" s="49" t="s">
        <v>77</v>
      </c>
      <c r="N220" s="48" t="s">
        <v>86</v>
      </c>
      <c r="O220" s="49" t="s">
        <v>67</v>
      </c>
      <c r="P220" s="11" t="s">
        <v>80</v>
      </c>
      <c r="Q220" s="11" t="s">
        <v>99</v>
      </c>
      <c r="R220" s="11" t="s">
        <v>2651</v>
      </c>
      <c r="S220" s="11" t="s">
        <v>2652</v>
      </c>
      <c r="T220" s="105" t="s">
        <v>10</v>
      </c>
      <c r="U220" s="98"/>
      <c r="V220" s="51">
        <v>45517</v>
      </c>
      <c r="W220" s="11" t="s">
        <v>1555</v>
      </c>
      <c r="X220" s="154" t="s">
        <v>2948</v>
      </c>
      <c r="Y220" s="154">
        <v>0</v>
      </c>
    </row>
    <row r="221" spans="1:25" ht="13" customHeight="1">
      <c r="A221" s="11">
        <v>215</v>
      </c>
      <c r="B221" s="47">
        <v>203735945</v>
      </c>
      <c r="C221" s="88" t="s">
        <v>2407</v>
      </c>
      <c r="D221" s="11" t="s">
        <v>2408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85</v>
      </c>
      <c r="M221" s="49" t="s">
        <v>88</v>
      </c>
      <c r="N221" s="49" t="s">
        <v>89</v>
      </c>
      <c r="O221" s="49" t="s">
        <v>67</v>
      </c>
      <c r="P221" s="11" t="s">
        <v>80</v>
      </c>
      <c r="Q221" s="11" t="s">
        <v>90</v>
      </c>
      <c r="R221" s="11" t="s">
        <v>2651</v>
      </c>
      <c r="S221" s="11" t="s">
        <v>2652</v>
      </c>
      <c r="T221" s="105" t="s">
        <v>1</v>
      </c>
      <c r="U221" s="98"/>
      <c r="V221" s="51">
        <v>45502</v>
      </c>
      <c r="W221" s="11" t="s">
        <v>1555</v>
      </c>
      <c r="X221" s="154" t="s">
        <v>2</v>
      </c>
      <c r="Y221" s="154">
        <v>0</v>
      </c>
    </row>
    <row r="222" spans="1:25" ht="13" customHeight="1">
      <c r="A222" s="11">
        <v>216</v>
      </c>
      <c r="B222" s="47">
        <v>203816755</v>
      </c>
      <c r="C222" s="88" t="s">
        <v>2409</v>
      </c>
      <c r="D222" s="11" t="s">
        <v>2410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78</v>
      </c>
      <c r="M222" s="49" t="s">
        <v>92</v>
      </c>
      <c r="N222" s="49" t="s">
        <v>89</v>
      </c>
      <c r="O222" s="49" t="s">
        <v>67</v>
      </c>
      <c r="P222" s="11" t="s">
        <v>80</v>
      </c>
      <c r="Q222" s="11" t="s">
        <v>90</v>
      </c>
      <c r="R222" s="11" t="s">
        <v>2651</v>
      </c>
      <c r="S222" s="11" t="s">
        <v>2652</v>
      </c>
      <c r="T222" s="105" t="s">
        <v>3</v>
      </c>
      <c r="U222" s="98"/>
      <c r="V222" s="51">
        <v>45518</v>
      </c>
      <c r="W222" s="11" t="s">
        <v>1555</v>
      </c>
      <c r="X222" s="154" t="s">
        <v>2948</v>
      </c>
      <c r="Y222" s="154" t="s">
        <v>2950</v>
      </c>
    </row>
    <row r="223" spans="1:25" ht="13" customHeight="1">
      <c r="A223" s="11">
        <v>217</v>
      </c>
      <c r="B223" s="47">
        <v>205275635</v>
      </c>
      <c r="C223" s="88" t="s">
        <v>1640</v>
      </c>
      <c r="D223" s="11" t="s">
        <v>1938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89</v>
      </c>
      <c r="O223" s="49" t="s">
        <v>67</v>
      </c>
      <c r="P223" s="11" t="s">
        <v>80</v>
      </c>
      <c r="Q223" s="11" t="s">
        <v>96</v>
      </c>
      <c r="R223" s="11" t="s">
        <v>2651</v>
      </c>
      <c r="S223" s="11" t="s">
        <v>2652</v>
      </c>
      <c r="T223" s="105" t="s">
        <v>10</v>
      </c>
      <c r="U223" s="98"/>
      <c r="V223" s="51">
        <v>45950</v>
      </c>
      <c r="W223" s="11" t="s">
        <v>1555</v>
      </c>
      <c r="X223" s="154" t="s">
        <v>2948</v>
      </c>
      <c r="Y223" s="154">
        <v>0</v>
      </c>
    </row>
    <row r="224" spans="1:25" ht="13" customHeight="1">
      <c r="A224" s="11">
        <v>218</v>
      </c>
      <c r="B224" s="47">
        <v>203468510</v>
      </c>
      <c r="C224" s="88" t="s">
        <v>154</v>
      </c>
      <c r="D224" s="11" t="s">
        <v>155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2411</v>
      </c>
      <c r="K224" s="49" t="s">
        <v>76</v>
      </c>
      <c r="L224" s="49" t="s">
        <v>95</v>
      </c>
      <c r="M224" s="49" t="s">
        <v>77</v>
      </c>
      <c r="N224" s="48" t="s">
        <v>79</v>
      </c>
      <c r="O224" s="49" t="s">
        <v>33</v>
      </c>
      <c r="P224" s="11" t="s">
        <v>80</v>
      </c>
      <c r="Q224" s="11" t="s">
        <v>81</v>
      </c>
      <c r="R224" s="11" t="s">
        <v>158</v>
      </c>
      <c r="S224" s="11" t="s">
        <v>2654</v>
      </c>
      <c r="T224" s="105" t="s">
        <v>10</v>
      </c>
      <c r="U224" s="98"/>
      <c r="V224" s="51">
        <v>45456</v>
      </c>
      <c r="W224" s="49" t="s">
        <v>1556</v>
      </c>
      <c r="X224" s="154" t="s">
        <v>2948</v>
      </c>
      <c r="Y224" s="154">
        <v>0</v>
      </c>
    </row>
    <row r="225" spans="1:25" ht="13" customHeight="1">
      <c r="A225" s="11">
        <v>219</v>
      </c>
      <c r="B225" s="47">
        <v>202308467</v>
      </c>
      <c r="C225" s="88" t="s">
        <v>156</v>
      </c>
      <c r="D225" s="11" t="s">
        <v>157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32</v>
      </c>
      <c r="K225" s="49" t="s">
        <v>76</v>
      </c>
      <c r="L225" s="49" t="s">
        <v>85</v>
      </c>
      <c r="M225" s="49" t="s">
        <v>88</v>
      </c>
      <c r="N225" s="48" t="s">
        <v>79</v>
      </c>
      <c r="O225" s="49" t="s">
        <v>33</v>
      </c>
      <c r="P225" s="11" t="s">
        <v>80</v>
      </c>
      <c r="Q225" s="11" t="s">
        <v>81</v>
      </c>
      <c r="R225" s="11" t="s">
        <v>158</v>
      </c>
      <c r="S225" s="11" t="s">
        <v>2654</v>
      </c>
      <c r="T225" s="105" t="s">
        <v>1</v>
      </c>
      <c r="U225" s="98"/>
      <c r="V225" s="51">
        <v>45915</v>
      </c>
      <c r="W225" s="49" t="s">
        <v>1556</v>
      </c>
      <c r="X225" s="154" t="s">
        <v>2</v>
      </c>
      <c r="Y225" s="154">
        <v>0</v>
      </c>
    </row>
    <row r="226" spans="1:25" ht="13" customHeight="1">
      <c r="A226" s="11">
        <v>220</v>
      </c>
      <c r="B226" s="47">
        <v>204246160</v>
      </c>
      <c r="C226" s="88" t="s">
        <v>159</v>
      </c>
      <c r="D226" s="11" t="s">
        <v>160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84</v>
      </c>
      <c r="M226" s="49" t="s">
        <v>85</v>
      </c>
      <c r="N226" s="48" t="s">
        <v>86</v>
      </c>
      <c r="O226" s="49" t="s">
        <v>33</v>
      </c>
      <c r="P226" s="11" t="s">
        <v>80</v>
      </c>
      <c r="Q226" s="11" t="s">
        <v>87</v>
      </c>
      <c r="R226" s="11" t="s">
        <v>158</v>
      </c>
      <c r="S226" s="11" t="s">
        <v>2654</v>
      </c>
      <c r="T226" s="105" t="s">
        <v>1</v>
      </c>
      <c r="U226" s="98"/>
      <c r="V226" s="51">
        <v>45579</v>
      </c>
      <c r="W226" s="49" t="s">
        <v>1556</v>
      </c>
      <c r="X226" s="154" t="s">
        <v>2</v>
      </c>
      <c r="Y226" s="154">
        <v>0</v>
      </c>
    </row>
    <row r="227" spans="1:25" ht="13" customHeight="1">
      <c r="A227" s="11">
        <v>221</v>
      </c>
      <c r="B227" s="47">
        <v>207220266</v>
      </c>
      <c r="C227" s="88" t="s">
        <v>2302</v>
      </c>
      <c r="D227" s="11" t="s">
        <v>2303</v>
      </c>
      <c r="E227" s="48" t="s">
        <v>34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8" t="s">
        <v>97</v>
      </c>
      <c r="O227" s="49" t="s">
        <v>33</v>
      </c>
      <c r="P227" s="11" t="s">
        <v>80</v>
      </c>
      <c r="Q227" s="11" t="s">
        <v>98</v>
      </c>
      <c r="R227" s="11" t="s">
        <v>158</v>
      </c>
      <c r="S227" s="11" t="s">
        <v>2654</v>
      </c>
      <c r="T227" s="105" t="s">
        <v>10</v>
      </c>
      <c r="U227" s="98"/>
      <c r="V227" s="51">
        <v>46147</v>
      </c>
      <c r="W227" s="49" t="s">
        <v>1556</v>
      </c>
      <c r="X227" s="154" t="e">
        <v>#N/A</v>
      </c>
      <c r="Y227" s="154" t="e">
        <v>#N/A</v>
      </c>
    </row>
    <row r="228" spans="1:25" ht="13" customHeight="1">
      <c r="A228" s="11">
        <v>222</v>
      </c>
      <c r="B228" s="47">
        <v>203850930</v>
      </c>
      <c r="C228" s="88" t="s">
        <v>161</v>
      </c>
      <c r="D228" s="11" t="s">
        <v>162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84</v>
      </c>
      <c r="M228" s="49" t="s">
        <v>85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158</v>
      </c>
      <c r="S228" s="11" t="s">
        <v>2654</v>
      </c>
      <c r="T228" s="105" t="s">
        <v>1</v>
      </c>
      <c r="U228" s="98"/>
      <c r="V228" s="51">
        <v>45524</v>
      </c>
      <c r="W228" s="49" t="s">
        <v>1556</v>
      </c>
      <c r="X228" s="154" t="s">
        <v>2</v>
      </c>
      <c r="Y228" s="154">
        <v>0</v>
      </c>
    </row>
    <row r="229" spans="1:25" ht="13" customHeight="1">
      <c r="A229" s="11">
        <v>223</v>
      </c>
      <c r="B229" s="47">
        <v>206953795</v>
      </c>
      <c r="C229" s="88" t="s">
        <v>2053</v>
      </c>
      <c r="D229" s="11" t="s">
        <v>1982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92</v>
      </c>
      <c r="M229" s="49" t="s">
        <v>84</v>
      </c>
      <c r="N229" s="49" t="s">
        <v>86</v>
      </c>
      <c r="O229" s="49" t="s">
        <v>33</v>
      </c>
      <c r="P229" s="11" t="s">
        <v>80</v>
      </c>
      <c r="Q229" s="11" t="s">
        <v>96</v>
      </c>
      <c r="R229" s="11" t="s">
        <v>158</v>
      </c>
      <c r="S229" s="11" t="s">
        <v>2654</v>
      </c>
      <c r="T229" s="105" t="s">
        <v>1</v>
      </c>
      <c r="U229" s="98"/>
      <c r="V229" s="51">
        <v>46048</v>
      </c>
      <c r="W229" s="49" t="s">
        <v>1556</v>
      </c>
      <c r="X229" s="154" t="s">
        <v>2</v>
      </c>
      <c r="Y229" s="154">
        <v>0</v>
      </c>
    </row>
    <row r="230" spans="1:25" ht="13" customHeight="1">
      <c r="A230" s="11">
        <v>224</v>
      </c>
      <c r="B230" s="47">
        <v>206348033</v>
      </c>
      <c r="C230" s="88" t="s">
        <v>1641</v>
      </c>
      <c r="D230" s="11" t="s">
        <v>1642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77</v>
      </c>
      <c r="M230" s="49" t="s">
        <v>78</v>
      </c>
      <c r="N230" s="48" t="s">
        <v>79</v>
      </c>
      <c r="O230" s="49" t="s">
        <v>33</v>
      </c>
      <c r="P230" s="11" t="s">
        <v>80</v>
      </c>
      <c r="Q230" s="11" t="s">
        <v>81</v>
      </c>
      <c r="R230" s="11" t="s">
        <v>158</v>
      </c>
      <c r="S230" s="11" t="s">
        <v>2654</v>
      </c>
      <c r="T230" s="105" t="s">
        <v>10</v>
      </c>
      <c r="U230" s="98"/>
      <c r="V230" s="51">
        <v>45957</v>
      </c>
      <c r="W230" s="49" t="s">
        <v>1556</v>
      </c>
      <c r="X230" s="154" t="s">
        <v>2948</v>
      </c>
      <c r="Y230" s="154">
        <v>0</v>
      </c>
    </row>
    <row r="231" spans="1:25" ht="13" customHeight="1">
      <c r="A231" s="11">
        <v>225</v>
      </c>
      <c r="B231" s="47">
        <v>205977130</v>
      </c>
      <c r="C231" s="88" t="s">
        <v>163</v>
      </c>
      <c r="D231" s="11" t="s">
        <v>164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92</v>
      </c>
      <c r="M231" s="49" t="s">
        <v>84</v>
      </c>
      <c r="N231" s="48" t="s">
        <v>86</v>
      </c>
      <c r="O231" s="49" t="s">
        <v>33</v>
      </c>
      <c r="P231" s="11" t="s">
        <v>80</v>
      </c>
      <c r="Q231" s="11" t="s">
        <v>90</v>
      </c>
      <c r="R231" s="11" t="s">
        <v>158</v>
      </c>
      <c r="S231" s="11" t="s">
        <v>2654</v>
      </c>
      <c r="T231" s="105" t="s">
        <v>1</v>
      </c>
      <c r="U231" s="98"/>
      <c r="V231" s="51">
        <v>45915</v>
      </c>
      <c r="W231" s="49" t="s">
        <v>1556</v>
      </c>
      <c r="X231" s="154" t="s">
        <v>2</v>
      </c>
      <c r="Y231" s="154">
        <v>0</v>
      </c>
    </row>
    <row r="232" spans="1:25" ht="13" customHeight="1">
      <c r="A232" s="11">
        <v>226</v>
      </c>
      <c r="B232" s="47">
        <v>203555224</v>
      </c>
      <c r="C232" s="88" t="s">
        <v>1335</v>
      </c>
      <c r="D232" s="11" t="s">
        <v>1336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77</v>
      </c>
      <c r="M232" s="49" t="s">
        <v>78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158</v>
      </c>
      <c r="S232" s="11" t="s">
        <v>2654</v>
      </c>
      <c r="T232" s="105" t="s">
        <v>10</v>
      </c>
      <c r="U232" s="98"/>
      <c r="V232" s="51">
        <v>45470</v>
      </c>
      <c r="W232" s="49" t="s">
        <v>68</v>
      </c>
      <c r="X232" s="154" t="s">
        <v>2948</v>
      </c>
      <c r="Y232" s="154">
        <v>0</v>
      </c>
    </row>
    <row r="233" spans="1:25" ht="13" customHeight="1">
      <c r="A233" s="11">
        <v>227</v>
      </c>
      <c r="B233" s="47">
        <v>206953381</v>
      </c>
      <c r="C233" s="88" t="s">
        <v>2054</v>
      </c>
      <c r="D233" s="11" t="s">
        <v>1983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158</v>
      </c>
      <c r="S233" s="11" t="s">
        <v>2654</v>
      </c>
      <c r="T233" s="105" t="s">
        <v>1</v>
      </c>
      <c r="U233" s="98"/>
      <c r="V233" s="51">
        <v>46048</v>
      </c>
      <c r="W233" s="49" t="s">
        <v>1556</v>
      </c>
      <c r="X233" s="154" t="s">
        <v>2</v>
      </c>
      <c r="Y233" s="154">
        <v>0</v>
      </c>
    </row>
    <row r="234" spans="1:25" ht="13" customHeight="1">
      <c r="A234" s="11">
        <v>228</v>
      </c>
      <c r="B234" s="47">
        <v>205996683</v>
      </c>
      <c r="C234" s="88" t="s">
        <v>165</v>
      </c>
      <c r="D234" s="11" t="s">
        <v>166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84</v>
      </c>
      <c r="M234" s="49" t="s">
        <v>85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158</v>
      </c>
      <c r="S234" s="11" t="s">
        <v>2654</v>
      </c>
      <c r="T234" s="105" t="s">
        <v>3</v>
      </c>
      <c r="U234" s="98"/>
      <c r="V234" s="51">
        <v>45915</v>
      </c>
      <c r="W234" s="49" t="s">
        <v>1556</v>
      </c>
      <c r="X234" s="154" t="s">
        <v>2948</v>
      </c>
      <c r="Y234" s="154">
        <v>0</v>
      </c>
    </row>
    <row r="235" spans="1:25" ht="13" customHeight="1">
      <c r="A235" s="11">
        <v>229</v>
      </c>
      <c r="B235" s="47">
        <v>206192647</v>
      </c>
      <c r="C235" s="88" t="s">
        <v>1624</v>
      </c>
      <c r="D235" s="11" t="s">
        <v>1610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78</v>
      </c>
      <c r="M235" s="49" t="s">
        <v>92</v>
      </c>
      <c r="N235" s="48" t="s">
        <v>79</v>
      </c>
      <c r="O235" s="49" t="s">
        <v>33</v>
      </c>
      <c r="P235" s="11" t="s">
        <v>80</v>
      </c>
      <c r="Q235" s="11" t="s">
        <v>96</v>
      </c>
      <c r="R235" s="11" t="s">
        <v>158</v>
      </c>
      <c r="S235" s="11" t="s">
        <v>2654</v>
      </c>
      <c r="T235" s="105" t="s">
        <v>1</v>
      </c>
      <c r="U235" s="98"/>
      <c r="V235" s="51">
        <v>45943</v>
      </c>
      <c r="W235" s="49" t="s">
        <v>1556</v>
      </c>
      <c r="X235" s="154" t="s">
        <v>2</v>
      </c>
      <c r="Y235" s="154">
        <v>0</v>
      </c>
    </row>
    <row r="236" spans="1:25" ht="13" customHeight="1">
      <c r="A236" s="11">
        <v>230</v>
      </c>
      <c r="B236" s="47">
        <v>206953797</v>
      </c>
      <c r="C236" s="88" t="s">
        <v>2055</v>
      </c>
      <c r="D236" s="11" t="s">
        <v>1984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92</v>
      </c>
      <c r="M236" s="49" t="s">
        <v>84</v>
      </c>
      <c r="N236" s="49" t="s">
        <v>86</v>
      </c>
      <c r="O236" s="49" t="s">
        <v>33</v>
      </c>
      <c r="P236" s="11" t="s">
        <v>80</v>
      </c>
      <c r="Q236" s="11" t="s">
        <v>96</v>
      </c>
      <c r="R236" s="11" t="s">
        <v>158</v>
      </c>
      <c r="S236" s="11" t="s">
        <v>2654</v>
      </c>
      <c r="T236" s="105" t="s">
        <v>1</v>
      </c>
      <c r="U236" s="98"/>
      <c r="V236" s="51">
        <v>46048</v>
      </c>
      <c r="W236" s="49" t="s">
        <v>1556</v>
      </c>
      <c r="X236" s="154" t="s">
        <v>2</v>
      </c>
      <c r="Y236" s="154">
        <v>0</v>
      </c>
    </row>
    <row r="237" spans="1:25" ht="13" customHeight="1">
      <c r="A237" s="11">
        <v>231</v>
      </c>
      <c r="B237" s="47">
        <v>203850932</v>
      </c>
      <c r="C237" s="88" t="s">
        <v>167</v>
      </c>
      <c r="D237" s="11" t="s">
        <v>168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84</v>
      </c>
      <c r="M237" s="49" t="s">
        <v>85</v>
      </c>
      <c r="N237" s="48" t="s">
        <v>79</v>
      </c>
      <c r="O237" s="49" t="s">
        <v>33</v>
      </c>
      <c r="P237" s="11" t="s">
        <v>80</v>
      </c>
      <c r="Q237" s="11" t="s">
        <v>81</v>
      </c>
      <c r="R237" s="11" t="s">
        <v>158</v>
      </c>
      <c r="S237" s="11" t="s">
        <v>2654</v>
      </c>
      <c r="T237" s="105" t="s">
        <v>1</v>
      </c>
      <c r="U237" s="98"/>
      <c r="V237" s="51">
        <v>45524</v>
      </c>
      <c r="W237" s="49" t="s">
        <v>1556</v>
      </c>
      <c r="X237" s="154" t="s">
        <v>2</v>
      </c>
      <c r="Y237" s="154">
        <v>0</v>
      </c>
    </row>
    <row r="238" spans="1:25" ht="13" customHeight="1">
      <c r="A238" s="11">
        <v>232</v>
      </c>
      <c r="B238" s="47">
        <v>203709877</v>
      </c>
      <c r="C238" s="88" t="s">
        <v>169</v>
      </c>
      <c r="D238" s="11" t="s">
        <v>170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77</v>
      </c>
      <c r="M238" s="49" t="s">
        <v>78</v>
      </c>
      <c r="N238" s="48" t="s">
        <v>86</v>
      </c>
      <c r="O238" s="49" t="s">
        <v>33</v>
      </c>
      <c r="P238" s="11" t="s">
        <v>80</v>
      </c>
      <c r="Q238" s="11" t="s">
        <v>99</v>
      </c>
      <c r="R238" s="11" t="s">
        <v>158</v>
      </c>
      <c r="S238" s="11" t="s">
        <v>2654</v>
      </c>
      <c r="T238" s="105" t="s">
        <v>10</v>
      </c>
      <c r="U238" s="98"/>
      <c r="V238" s="51">
        <v>45495</v>
      </c>
      <c r="W238" s="49" t="s">
        <v>1556</v>
      </c>
      <c r="X238" s="154" t="s">
        <v>2948</v>
      </c>
      <c r="Y238" s="154">
        <v>0</v>
      </c>
    </row>
    <row r="239" spans="1:25" ht="13" customHeight="1">
      <c r="A239" s="11">
        <v>233</v>
      </c>
      <c r="B239" s="47">
        <v>206953796</v>
      </c>
      <c r="C239" s="88" t="s">
        <v>2056</v>
      </c>
      <c r="D239" s="11" t="s">
        <v>1985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92</v>
      </c>
      <c r="M239" s="49" t="s">
        <v>84</v>
      </c>
      <c r="N239" s="49" t="s">
        <v>86</v>
      </c>
      <c r="O239" s="49" t="s">
        <v>33</v>
      </c>
      <c r="P239" s="11" t="s">
        <v>80</v>
      </c>
      <c r="Q239" s="11" t="s">
        <v>96</v>
      </c>
      <c r="R239" s="11" t="s">
        <v>158</v>
      </c>
      <c r="S239" s="11" t="s">
        <v>2654</v>
      </c>
      <c r="T239" s="105" t="s">
        <v>1</v>
      </c>
      <c r="U239" s="98"/>
      <c r="V239" s="51">
        <v>46048</v>
      </c>
      <c r="W239" s="49" t="s">
        <v>1556</v>
      </c>
      <c r="X239" s="154" t="s">
        <v>2</v>
      </c>
      <c r="Y239" s="154">
        <v>0</v>
      </c>
    </row>
    <row r="240" spans="1:25" ht="13" customHeight="1">
      <c r="A240" s="11">
        <v>234</v>
      </c>
      <c r="B240" s="47">
        <v>203850933</v>
      </c>
      <c r="C240" s="88" t="s">
        <v>171</v>
      </c>
      <c r="D240" s="11" t="s">
        <v>172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95</v>
      </c>
      <c r="M240" s="49" t="s">
        <v>77</v>
      </c>
      <c r="N240" s="48" t="s">
        <v>79</v>
      </c>
      <c r="O240" s="49" t="s">
        <v>33</v>
      </c>
      <c r="P240" s="11" t="s">
        <v>80</v>
      </c>
      <c r="Q240" s="11" t="s">
        <v>81</v>
      </c>
      <c r="R240" s="11" t="s">
        <v>158</v>
      </c>
      <c r="S240" s="11" t="s">
        <v>2654</v>
      </c>
      <c r="T240" s="105" t="s">
        <v>10</v>
      </c>
      <c r="U240" s="98"/>
      <c r="V240" s="51">
        <v>45524</v>
      </c>
      <c r="W240" s="49" t="s">
        <v>1556</v>
      </c>
      <c r="X240" s="154" t="s">
        <v>2948</v>
      </c>
      <c r="Y240" s="154">
        <v>0</v>
      </c>
    </row>
    <row r="241" spans="1:25" ht="13" customHeight="1">
      <c r="A241" s="11">
        <v>235</v>
      </c>
      <c r="B241" s="47">
        <v>203468509</v>
      </c>
      <c r="C241" s="88" t="s">
        <v>173</v>
      </c>
      <c r="D241" s="11" t="s">
        <v>174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158</v>
      </c>
      <c r="S241" s="11" t="s">
        <v>2654</v>
      </c>
      <c r="T241" s="105" t="s">
        <v>10</v>
      </c>
      <c r="U241" s="98"/>
      <c r="V241" s="51">
        <v>45456</v>
      </c>
      <c r="W241" s="49" t="s">
        <v>1556</v>
      </c>
      <c r="X241" s="154" t="s">
        <v>2948</v>
      </c>
      <c r="Y241" s="154">
        <v>0</v>
      </c>
    </row>
    <row r="242" spans="1:25" ht="13" customHeight="1">
      <c r="A242" s="11">
        <v>236</v>
      </c>
      <c r="B242" s="47">
        <v>206361763</v>
      </c>
      <c r="C242" s="88" t="s">
        <v>1643</v>
      </c>
      <c r="D242" s="11" t="s">
        <v>1644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92</v>
      </c>
      <c r="M242" s="49" t="s">
        <v>84</v>
      </c>
      <c r="N242" s="49" t="s">
        <v>89</v>
      </c>
      <c r="O242" s="49" t="s">
        <v>33</v>
      </c>
      <c r="P242" s="11" t="s">
        <v>80</v>
      </c>
      <c r="Q242" s="11" t="s">
        <v>81</v>
      </c>
      <c r="R242" s="11" t="s">
        <v>158</v>
      </c>
      <c r="S242" s="11" t="s">
        <v>2654</v>
      </c>
      <c r="T242" s="105" t="s">
        <v>1</v>
      </c>
      <c r="U242" s="98"/>
      <c r="V242" s="51">
        <v>45957</v>
      </c>
      <c r="W242" s="49" t="s">
        <v>1556</v>
      </c>
      <c r="X242" s="154" t="s">
        <v>2</v>
      </c>
      <c r="Y242" s="154">
        <v>0</v>
      </c>
    </row>
    <row r="243" spans="1:25" ht="13" customHeight="1">
      <c r="A243" s="11">
        <v>237</v>
      </c>
      <c r="B243" s="47">
        <v>203850934</v>
      </c>
      <c r="C243" s="88" t="s">
        <v>175</v>
      </c>
      <c r="D243" s="11" t="s">
        <v>176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85</v>
      </c>
      <c r="M243" s="49" t="s">
        <v>88</v>
      </c>
      <c r="N243" s="48" t="s">
        <v>79</v>
      </c>
      <c r="O243" s="49" t="s">
        <v>33</v>
      </c>
      <c r="P243" s="11" t="s">
        <v>80</v>
      </c>
      <c r="Q243" s="11" t="s">
        <v>81</v>
      </c>
      <c r="R243" s="11" t="s">
        <v>158</v>
      </c>
      <c r="S243" s="11" t="s">
        <v>2654</v>
      </c>
      <c r="T243" s="105" t="s">
        <v>1</v>
      </c>
      <c r="U243" s="98"/>
      <c r="V243" s="51">
        <v>45524</v>
      </c>
      <c r="W243" s="49" t="s">
        <v>1556</v>
      </c>
      <c r="X243" s="154" t="s">
        <v>2</v>
      </c>
      <c r="Y243" s="154">
        <v>0</v>
      </c>
    </row>
    <row r="244" spans="1:25" ht="13" customHeight="1">
      <c r="A244" s="11">
        <v>238</v>
      </c>
      <c r="B244" s="47">
        <v>205996686</v>
      </c>
      <c r="C244" s="88" t="s">
        <v>177</v>
      </c>
      <c r="D244" s="11" t="s">
        <v>178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88</v>
      </c>
      <c r="M244" s="49" t="s">
        <v>95</v>
      </c>
      <c r="N244" s="49" t="s">
        <v>89</v>
      </c>
      <c r="O244" s="49" t="s">
        <v>33</v>
      </c>
      <c r="P244" s="11" t="s">
        <v>80</v>
      </c>
      <c r="Q244" s="11" t="s">
        <v>81</v>
      </c>
      <c r="R244" s="11" t="s">
        <v>158</v>
      </c>
      <c r="S244" s="11" t="s">
        <v>2654</v>
      </c>
      <c r="T244" s="105" t="s">
        <v>1</v>
      </c>
      <c r="U244" s="98"/>
      <c r="V244" s="51">
        <v>45915</v>
      </c>
      <c r="W244" s="49" t="s">
        <v>1556</v>
      </c>
      <c r="X244" s="154" t="s">
        <v>2</v>
      </c>
      <c r="Y244" s="154">
        <v>0</v>
      </c>
    </row>
    <row r="245" spans="1:25" ht="13" customHeight="1">
      <c r="A245" s="11">
        <v>239</v>
      </c>
      <c r="B245" s="47">
        <v>203468508</v>
      </c>
      <c r="C245" s="88" t="s">
        <v>179</v>
      </c>
      <c r="D245" s="11" t="s">
        <v>180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84</v>
      </c>
      <c r="M245" s="49" t="s">
        <v>85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158</v>
      </c>
      <c r="S245" s="11" t="s">
        <v>2654</v>
      </c>
      <c r="T245" s="105" t="s">
        <v>1</v>
      </c>
      <c r="U245" s="98"/>
      <c r="V245" s="51">
        <v>45456</v>
      </c>
      <c r="W245" s="49" t="s">
        <v>1556</v>
      </c>
      <c r="X245" s="154" t="s">
        <v>2</v>
      </c>
      <c r="Y245" s="154">
        <v>0</v>
      </c>
    </row>
    <row r="246" spans="1:25" ht="13" customHeight="1">
      <c r="A246" s="11">
        <v>240</v>
      </c>
      <c r="B246" s="47">
        <v>204941770</v>
      </c>
      <c r="C246" s="88" t="s">
        <v>181</v>
      </c>
      <c r="D246" s="11" t="s">
        <v>182</v>
      </c>
      <c r="E246" s="48" t="s">
        <v>34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78</v>
      </c>
      <c r="M246" s="49" t="s">
        <v>92</v>
      </c>
      <c r="N246" s="48" t="s">
        <v>97</v>
      </c>
      <c r="O246" s="49" t="s">
        <v>33</v>
      </c>
      <c r="P246" s="11" t="s">
        <v>80</v>
      </c>
      <c r="Q246" s="11" t="s">
        <v>98</v>
      </c>
      <c r="R246" s="11" t="s">
        <v>158</v>
      </c>
      <c r="S246" s="11" t="s">
        <v>2654</v>
      </c>
      <c r="T246" s="105" t="s">
        <v>1</v>
      </c>
      <c r="U246" s="98"/>
      <c r="V246" s="51">
        <v>45733</v>
      </c>
      <c r="W246" s="49" t="s">
        <v>1556</v>
      </c>
      <c r="X246" s="154" t="s">
        <v>2</v>
      </c>
      <c r="Y246" s="154">
        <v>0</v>
      </c>
    </row>
    <row r="247" spans="1:25" ht="13" customHeight="1">
      <c r="A247" s="11">
        <v>241</v>
      </c>
      <c r="B247" s="47">
        <v>203468507</v>
      </c>
      <c r="C247" s="88" t="s">
        <v>183</v>
      </c>
      <c r="D247" s="11" t="s">
        <v>184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39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158</v>
      </c>
      <c r="S247" s="11" t="s">
        <v>2654</v>
      </c>
      <c r="T247" s="105" t="s">
        <v>1</v>
      </c>
      <c r="U247" s="98"/>
      <c r="V247" s="51">
        <v>45456</v>
      </c>
      <c r="W247" s="49" t="s">
        <v>1556</v>
      </c>
      <c r="X247" s="154" t="s">
        <v>2</v>
      </c>
      <c r="Y247" s="154">
        <v>0</v>
      </c>
    </row>
    <row r="248" spans="1:25" ht="13" customHeight="1">
      <c r="A248" s="11">
        <v>242</v>
      </c>
      <c r="B248" s="47">
        <v>106268319</v>
      </c>
      <c r="C248" s="88" t="s">
        <v>185</v>
      </c>
      <c r="D248" s="11" t="s">
        <v>186</v>
      </c>
      <c r="E248" s="48" t="s">
        <v>34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95</v>
      </c>
      <c r="M248" s="49" t="s">
        <v>77</v>
      </c>
      <c r="N248" s="48" t="s">
        <v>108</v>
      </c>
      <c r="O248" s="49" t="s">
        <v>33</v>
      </c>
      <c r="P248" s="11" t="s">
        <v>80</v>
      </c>
      <c r="Q248" s="11" t="s">
        <v>98</v>
      </c>
      <c r="R248" s="11" t="s">
        <v>158</v>
      </c>
      <c r="S248" s="11" t="s">
        <v>2654</v>
      </c>
      <c r="T248" s="105" t="s">
        <v>10</v>
      </c>
      <c r="U248" s="98"/>
      <c r="V248" s="51">
        <v>44757</v>
      </c>
      <c r="W248" s="49" t="s">
        <v>1556</v>
      </c>
      <c r="X248" s="154" t="s">
        <v>2948</v>
      </c>
      <c r="Y248" s="154">
        <v>0</v>
      </c>
    </row>
    <row r="249" spans="1:25" ht="13" customHeight="1">
      <c r="A249" s="11">
        <v>243</v>
      </c>
      <c r="B249" s="47">
        <v>206149617</v>
      </c>
      <c r="C249" s="88" t="s">
        <v>187</v>
      </c>
      <c r="D249" s="11" t="s">
        <v>188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78</v>
      </c>
      <c r="M249" s="49" t="s">
        <v>92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158</v>
      </c>
      <c r="S249" s="11" t="s">
        <v>2654</v>
      </c>
      <c r="T249" s="105" t="s">
        <v>1</v>
      </c>
      <c r="U249" s="98"/>
      <c r="V249" s="51">
        <v>45929</v>
      </c>
      <c r="W249" s="49" t="s">
        <v>1556</v>
      </c>
      <c r="X249" s="154" t="s">
        <v>2</v>
      </c>
      <c r="Y249" s="154">
        <v>0</v>
      </c>
    </row>
    <row r="250" spans="1:25" ht="13" customHeight="1">
      <c r="A250" s="11">
        <v>244</v>
      </c>
      <c r="B250" s="47">
        <v>102577243</v>
      </c>
      <c r="C250" s="88" t="s">
        <v>189</v>
      </c>
      <c r="D250" s="11" t="s">
        <v>190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95</v>
      </c>
      <c r="M250" s="49" t="s">
        <v>77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158</v>
      </c>
      <c r="S250" s="11" t="s">
        <v>2654</v>
      </c>
      <c r="T250" s="105" t="s">
        <v>10</v>
      </c>
      <c r="U250" s="98"/>
      <c r="V250" s="51">
        <v>42913</v>
      </c>
      <c r="W250" s="49" t="s">
        <v>1556</v>
      </c>
      <c r="X250" s="154" t="e">
        <v>#N/A</v>
      </c>
      <c r="Y250" s="154" t="e">
        <v>#N/A</v>
      </c>
    </row>
    <row r="251" spans="1:25" ht="13" customHeight="1">
      <c r="A251" s="11">
        <v>245</v>
      </c>
      <c r="B251" s="47">
        <v>204095446</v>
      </c>
      <c r="C251" s="88" t="s">
        <v>1373</v>
      </c>
      <c r="D251" s="11" t="s">
        <v>1374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1181</v>
      </c>
      <c r="J251" s="49" t="s">
        <v>32</v>
      </c>
      <c r="K251" s="49" t="s">
        <v>76</v>
      </c>
      <c r="L251" s="49" t="s">
        <v>85</v>
      </c>
      <c r="M251" s="49" t="s">
        <v>88</v>
      </c>
      <c r="N251" s="48" t="s">
        <v>86</v>
      </c>
      <c r="O251" s="49" t="s">
        <v>33</v>
      </c>
      <c r="P251" s="11" t="s">
        <v>80</v>
      </c>
      <c r="Q251" s="11" t="s">
        <v>87</v>
      </c>
      <c r="R251" s="11" t="s">
        <v>158</v>
      </c>
      <c r="S251" s="11" t="s">
        <v>2654</v>
      </c>
      <c r="T251" s="105" t="s">
        <v>1</v>
      </c>
      <c r="U251" s="98"/>
      <c r="V251" s="51">
        <v>45561</v>
      </c>
      <c r="W251" s="49" t="s">
        <v>1556</v>
      </c>
      <c r="X251" s="154" t="s">
        <v>2</v>
      </c>
      <c r="Y251" s="154">
        <v>0</v>
      </c>
    </row>
    <row r="252" spans="1:25" ht="13" customHeight="1">
      <c r="A252" s="11">
        <v>246</v>
      </c>
      <c r="B252" s="47">
        <v>206239528</v>
      </c>
      <c r="C252" s="88" t="s">
        <v>1625</v>
      </c>
      <c r="D252" s="11" t="s">
        <v>1609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79</v>
      </c>
      <c r="O252" s="49" t="s">
        <v>33</v>
      </c>
      <c r="P252" s="11" t="s">
        <v>80</v>
      </c>
      <c r="Q252" s="11" t="s">
        <v>81</v>
      </c>
      <c r="R252" s="11" t="s">
        <v>158</v>
      </c>
      <c r="S252" s="11" t="s">
        <v>2654</v>
      </c>
      <c r="T252" s="105" t="s">
        <v>10</v>
      </c>
      <c r="U252" s="98"/>
      <c r="V252" s="51">
        <v>45943</v>
      </c>
      <c r="W252" s="49" t="s">
        <v>1556</v>
      </c>
      <c r="X252" s="154" t="s">
        <v>2948</v>
      </c>
      <c r="Y252" s="154">
        <v>0</v>
      </c>
    </row>
    <row r="253" spans="1:25" ht="13" customHeight="1">
      <c r="A253" s="11">
        <v>247</v>
      </c>
      <c r="B253" s="47">
        <v>203709876</v>
      </c>
      <c r="C253" s="88" t="s">
        <v>191</v>
      </c>
      <c r="D253" s="11" t="s">
        <v>192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86</v>
      </c>
      <c r="O253" s="49" t="s">
        <v>33</v>
      </c>
      <c r="P253" s="11" t="s">
        <v>80</v>
      </c>
      <c r="Q253" s="11" t="s">
        <v>99</v>
      </c>
      <c r="R253" s="11" t="s">
        <v>158</v>
      </c>
      <c r="S253" s="11" t="s">
        <v>2654</v>
      </c>
      <c r="T253" s="105" t="s">
        <v>10</v>
      </c>
      <c r="U253" s="98"/>
      <c r="V253" s="51">
        <v>45495</v>
      </c>
      <c r="W253" s="49" t="s">
        <v>1556</v>
      </c>
      <c r="X253" s="154" t="s">
        <v>2948</v>
      </c>
      <c r="Y253" s="154">
        <v>0</v>
      </c>
    </row>
    <row r="254" spans="1:25" ht="13" customHeight="1">
      <c r="A254" s="11">
        <v>248</v>
      </c>
      <c r="B254" s="47">
        <v>201228114</v>
      </c>
      <c r="C254" s="88" t="s">
        <v>193</v>
      </c>
      <c r="D254" s="11" t="s">
        <v>194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2411</v>
      </c>
      <c r="K254" s="49" t="s">
        <v>76</v>
      </c>
      <c r="L254" s="49" t="s">
        <v>78</v>
      </c>
      <c r="M254" s="49" t="s">
        <v>92</v>
      </c>
      <c r="N254" s="48" t="s">
        <v>86</v>
      </c>
      <c r="O254" s="49" t="s">
        <v>33</v>
      </c>
      <c r="P254" s="11" t="s">
        <v>80</v>
      </c>
      <c r="Q254" s="11" t="s">
        <v>87</v>
      </c>
      <c r="R254" s="11" t="s">
        <v>158</v>
      </c>
      <c r="S254" s="11" t="s">
        <v>2654</v>
      </c>
      <c r="T254" s="105" t="s">
        <v>1</v>
      </c>
      <c r="U254" s="98" t="s">
        <v>2952</v>
      </c>
      <c r="V254" s="51">
        <v>45596</v>
      </c>
      <c r="W254" s="49" t="s">
        <v>1556</v>
      </c>
      <c r="X254" s="154" t="s">
        <v>2948</v>
      </c>
      <c r="Y254" s="154">
        <v>0</v>
      </c>
    </row>
    <row r="255" spans="1:25" ht="13" customHeight="1">
      <c r="A255" s="11">
        <v>249</v>
      </c>
      <c r="B255" s="47">
        <v>206348034</v>
      </c>
      <c r="C255" s="88" t="s">
        <v>1669</v>
      </c>
      <c r="D255" s="11" t="s">
        <v>1682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84</v>
      </c>
      <c r="M255" s="49" t="s">
        <v>85</v>
      </c>
      <c r="N255" s="49" t="s">
        <v>89</v>
      </c>
      <c r="O255" s="49" t="s">
        <v>33</v>
      </c>
      <c r="P255" s="11" t="s">
        <v>80</v>
      </c>
      <c r="Q255" s="11" t="s">
        <v>81</v>
      </c>
      <c r="R255" s="11" t="s">
        <v>158</v>
      </c>
      <c r="S255" s="11" t="s">
        <v>2654</v>
      </c>
      <c r="T255" s="105" t="s">
        <v>1</v>
      </c>
      <c r="U255" s="98"/>
      <c r="V255" s="51">
        <v>45957</v>
      </c>
      <c r="W255" s="49" t="s">
        <v>1556</v>
      </c>
      <c r="X255" s="154" t="s">
        <v>2</v>
      </c>
      <c r="Y255" s="154">
        <v>0</v>
      </c>
    </row>
    <row r="256" spans="1:25" ht="13" customHeight="1">
      <c r="A256" s="11">
        <v>250</v>
      </c>
      <c r="B256" s="47">
        <v>203850938</v>
      </c>
      <c r="C256" s="88" t="s">
        <v>195</v>
      </c>
      <c r="D256" s="11" t="s">
        <v>196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84</v>
      </c>
      <c r="M256" s="49" t="s">
        <v>85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158</v>
      </c>
      <c r="S256" s="11" t="s">
        <v>2654</v>
      </c>
      <c r="T256" s="105" t="s">
        <v>1</v>
      </c>
      <c r="U256" s="98"/>
      <c r="V256" s="51">
        <v>45524</v>
      </c>
      <c r="W256" s="49" t="s">
        <v>1556</v>
      </c>
      <c r="X256" s="154" t="s">
        <v>2</v>
      </c>
      <c r="Y256" s="154">
        <v>0</v>
      </c>
    </row>
    <row r="257" spans="1:25" ht="13" customHeight="1">
      <c r="A257" s="11">
        <v>251</v>
      </c>
      <c r="B257" s="47">
        <v>203709886</v>
      </c>
      <c r="C257" s="88" t="s">
        <v>197</v>
      </c>
      <c r="D257" s="11" t="s">
        <v>198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2411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158</v>
      </c>
      <c r="S257" s="11" t="s">
        <v>2654</v>
      </c>
      <c r="T257" s="105" t="s">
        <v>10</v>
      </c>
      <c r="U257" s="98"/>
      <c r="V257" s="51">
        <v>45495</v>
      </c>
      <c r="W257" s="49" t="s">
        <v>1556</v>
      </c>
      <c r="X257" s="154" t="s">
        <v>2948</v>
      </c>
      <c r="Y257" s="154">
        <v>0</v>
      </c>
    </row>
    <row r="258" spans="1:25" ht="13" customHeight="1">
      <c r="A258" s="11">
        <v>252</v>
      </c>
      <c r="B258" s="47">
        <v>103875256</v>
      </c>
      <c r="C258" s="88" t="s">
        <v>199</v>
      </c>
      <c r="D258" s="11" t="s">
        <v>200</v>
      </c>
      <c r="E258" s="48" t="s">
        <v>34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32</v>
      </c>
      <c r="K258" s="49" t="s">
        <v>76</v>
      </c>
      <c r="L258" s="49" t="s">
        <v>88</v>
      </c>
      <c r="M258" s="49" t="s">
        <v>95</v>
      </c>
      <c r="N258" s="48" t="s">
        <v>108</v>
      </c>
      <c r="O258" s="49" t="s">
        <v>33</v>
      </c>
      <c r="P258" s="11" t="s">
        <v>80</v>
      </c>
      <c r="Q258" s="11" t="s">
        <v>98</v>
      </c>
      <c r="R258" s="11" t="s">
        <v>158</v>
      </c>
      <c r="S258" s="11" t="s">
        <v>2654</v>
      </c>
      <c r="T258" s="105" t="s">
        <v>1</v>
      </c>
      <c r="U258" s="98"/>
      <c r="V258" s="51">
        <v>44782</v>
      </c>
      <c r="W258" s="49" t="s">
        <v>1556</v>
      </c>
      <c r="X258" s="154" t="s">
        <v>2</v>
      </c>
      <c r="Y258" s="154">
        <v>0</v>
      </c>
    </row>
    <row r="259" spans="1:25" ht="13" customHeight="1">
      <c r="A259" s="11">
        <v>253</v>
      </c>
      <c r="B259" s="47">
        <v>204883087</v>
      </c>
      <c r="C259" s="88" t="s">
        <v>201</v>
      </c>
      <c r="D259" s="11" t="s">
        <v>202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95</v>
      </c>
      <c r="M259" s="49" t="s">
        <v>77</v>
      </c>
      <c r="N259" s="48" t="s">
        <v>86</v>
      </c>
      <c r="O259" s="49" t="s">
        <v>33</v>
      </c>
      <c r="P259" s="11" t="s">
        <v>80</v>
      </c>
      <c r="Q259" s="11" t="s">
        <v>87</v>
      </c>
      <c r="R259" s="11" t="s">
        <v>158</v>
      </c>
      <c r="S259" s="11" t="s">
        <v>2654</v>
      </c>
      <c r="T259" s="105" t="s">
        <v>10</v>
      </c>
      <c r="U259" s="98"/>
      <c r="V259" s="51">
        <v>45691</v>
      </c>
      <c r="W259" s="49" t="s">
        <v>1556</v>
      </c>
      <c r="X259" s="154" t="s">
        <v>2948</v>
      </c>
      <c r="Y259" s="154">
        <v>0</v>
      </c>
    </row>
    <row r="260" spans="1:25" ht="13" customHeight="1">
      <c r="A260" s="11">
        <v>254</v>
      </c>
      <c r="B260" s="47">
        <v>204967040</v>
      </c>
      <c r="C260" s="88" t="s">
        <v>203</v>
      </c>
      <c r="D260" s="11" t="s">
        <v>204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2411</v>
      </c>
      <c r="K260" s="49" t="s">
        <v>76</v>
      </c>
      <c r="L260" s="49" t="s">
        <v>78</v>
      </c>
      <c r="M260" s="49" t="s">
        <v>92</v>
      </c>
      <c r="N260" s="48" t="s">
        <v>86</v>
      </c>
      <c r="O260" s="49" t="s">
        <v>33</v>
      </c>
      <c r="P260" s="11" t="s">
        <v>80</v>
      </c>
      <c r="Q260" s="11" t="s">
        <v>90</v>
      </c>
      <c r="R260" s="11" t="s">
        <v>158</v>
      </c>
      <c r="S260" s="11" t="s">
        <v>2654</v>
      </c>
      <c r="T260" s="105" t="s">
        <v>1</v>
      </c>
      <c r="U260" s="98"/>
      <c r="V260" s="51">
        <v>45719</v>
      </c>
      <c r="W260" s="49" t="s">
        <v>1556</v>
      </c>
      <c r="X260" s="154" t="s">
        <v>2</v>
      </c>
      <c r="Y260" s="154">
        <v>0</v>
      </c>
    </row>
    <row r="261" spans="1:25" ht="13" customHeight="1">
      <c r="A261" s="11">
        <v>255</v>
      </c>
      <c r="B261" s="47">
        <v>203470082</v>
      </c>
      <c r="C261" s="88" t="s">
        <v>205</v>
      </c>
      <c r="D261" s="11" t="s">
        <v>206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2411</v>
      </c>
      <c r="K261" s="49" t="s">
        <v>76</v>
      </c>
      <c r="L261" s="49" t="s">
        <v>84</v>
      </c>
      <c r="M261" s="49" t="s">
        <v>85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158</v>
      </c>
      <c r="S261" s="11" t="s">
        <v>2654</v>
      </c>
      <c r="T261" s="105" t="s">
        <v>1</v>
      </c>
      <c r="U261" s="98"/>
      <c r="V261" s="51">
        <v>45456</v>
      </c>
      <c r="W261" s="49" t="s">
        <v>1556</v>
      </c>
      <c r="X261" s="154" t="s">
        <v>2</v>
      </c>
      <c r="Y261" s="154">
        <v>0</v>
      </c>
    </row>
    <row r="262" spans="1:25" ht="13" customHeight="1">
      <c r="A262" s="11">
        <v>256</v>
      </c>
      <c r="B262" s="47">
        <v>206015654</v>
      </c>
      <c r="C262" s="88" t="s">
        <v>207</v>
      </c>
      <c r="D262" s="11" t="s">
        <v>208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92</v>
      </c>
      <c r="M262" s="49" t="s">
        <v>84</v>
      </c>
      <c r="N262" s="48" t="s">
        <v>79</v>
      </c>
      <c r="O262" s="49" t="s">
        <v>33</v>
      </c>
      <c r="P262" s="11" t="s">
        <v>80</v>
      </c>
      <c r="Q262" s="11" t="s">
        <v>81</v>
      </c>
      <c r="R262" s="11" t="s">
        <v>158</v>
      </c>
      <c r="S262" s="11" t="s">
        <v>2654</v>
      </c>
      <c r="T262" s="105" t="s">
        <v>1</v>
      </c>
      <c r="U262" s="98"/>
      <c r="V262" s="51">
        <v>45915</v>
      </c>
      <c r="W262" s="49" t="s">
        <v>1556</v>
      </c>
      <c r="X262" s="154" t="s">
        <v>2</v>
      </c>
      <c r="Y262" s="154">
        <v>0</v>
      </c>
    </row>
    <row r="263" spans="1:25" ht="13" customHeight="1">
      <c r="A263" s="11">
        <v>257</v>
      </c>
      <c r="B263" s="47">
        <v>203635600</v>
      </c>
      <c r="C263" s="88" t="s">
        <v>209</v>
      </c>
      <c r="D263" s="11" t="s">
        <v>210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88</v>
      </c>
      <c r="M263" s="49" t="s">
        <v>95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158</v>
      </c>
      <c r="S263" s="11" t="s">
        <v>2654</v>
      </c>
      <c r="T263" s="105" t="s">
        <v>1</v>
      </c>
      <c r="U263" s="98"/>
      <c r="V263" s="51">
        <v>45481</v>
      </c>
      <c r="W263" s="49" t="s">
        <v>1556</v>
      </c>
      <c r="X263" s="154" t="s">
        <v>2</v>
      </c>
      <c r="Y263" s="154">
        <v>0</v>
      </c>
    </row>
    <row r="264" spans="1:25" ht="13" customHeight="1">
      <c r="A264" s="11">
        <v>258</v>
      </c>
      <c r="B264" s="47">
        <v>204013736</v>
      </c>
      <c r="C264" s="88" t="s">
        <v>211</v>
      </c>
      <c r="D264" s="11" t="s">
        <v>212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2411</v>
      </c>
      <c r="K264" s="49" t="s">
        <v>76</v>
      </c>
      <c r="L264" s="49" t="s">
        <v>77</v>
      </c>
      <c r="M264" s="49" t="s">
        <v>78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158</v>
      </c>
      <c r="S264" s="11" t="s">
        <v>2654</v>
      </c>
      <c r="T264" s="105" t="s">
        <v>10</v>
      </c>
      <c r="U264" s="98"/>
      <c r="V264" s="51">
        <v>45551</v>
      </c>
      <c r="W264" s="49" t="s">
        <v>1556</v>
      </c>
      <c r="X264" s="154" t="s">
        <v>2948</v>
      </c>
      <c r="Y264" s="154">
        <v>0</v>
      </c>
    </row>
    <row r="265" spans="1:25" ht="13" customHeight="1">
      <c r="A265" s="11">
        <v>259</v>
      </c>
      <c r="B265" s="47">
        <v>206953819</v>
      </c>
      <c r="C265" s="88" t="s">
        <v>2050</v>
      </c>
      <c r="D265" s="11" t="s">
        <v>1979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32</v>
      </c>
      <c r="K265" s="49" t="s">
        <v>76</v>
      </c>
      <c r="L265" s="49" t="s">
        <v>88</v>
      </c>
      <c r="M265" s="49" t="s">
        <v>95</v>
      </c>
      <c r="N265" s="49" t="s">
        <v>89</v>
      </c>
      <c r="O265" s="49" t="s">
        <v>33</v>
      </c>
      <c r="P265" s="11" t="s">
        <v>80</v>
      </c>
      <c r="Q265" s="11" t="s">
        <v>96</v>
      </c>
      <c r="R265" s="11" t="s">
        <v>158</v>
      </c>
      <c r="S265" s="11" t="s">
        <v>2654</v>
      </c>
      <c r="T265" s="105" t="s">
        <v>1</v>
      </c>
      <c r="U265" s="98"/>
      <c r="V265" s="51">
        <v>46048</v>
      </c>
      <c r="W265" s="49" t="s">
        <v>1556</v>
      </c>
      <c r="X265" s="154" t="s">
        <v>2</v>
      </c>
      <c r="Y265" s="154">
        <v>0</v>
      </c>
    </row>
    <row r="266" spans="1:25" ht="13" customHeight="1">
      <c r="A266" s="11">
        <v>260</v>
      </c>
      <c r="B266" s="47">
        <v>206348214</v>
      </c>
      <c r="C266" s="88" t="s">
        <v>1645</v>
      </c>
      <c r="D266" s="11" t="s">
        <v>1646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77</v>
      </c>
      <c r="M266" s="49" t="s">
        <v>78</v>
      </c>
      <c r="N266" s="49" t="s">
        <v>89</v>
      </c>
      <c r="O266" s="49" t="s">
        <v>33</v>
      </c>
      <c r="P266" s="11" t="s">
        <v>80</v>
      </c>
      <c r="Q266" s="11" t="s">
        <v>81</v>
      </c>
      <c r="R266" s="11" t="s">
        <v>158</v>
      </c>
      <c r="S266" s="11" t="s">
        <v>2654</v>
      </c>
      <c r="T266" s="105" t="s">
        <v>10</v>
      </c>
      <c r="U266" s="98"/>
      <c r="V266" s="51">
        <v>45957</v>
      </c>
      <c r="W266" s="49" t="s">
        <v>1556</v>
      </c>
      <c r="X266" s="154" t="s">
        <v>2948</v>
      </c>
      <c r="Y266" s="154">
        <v>0</v>
      </c>
    </row>
    <row r="267" spans="1:25" ht="13" customHeight="1">
      <c r="A267" s="11">
        <v>261</v>
      </c>
      <c r="B267" s="47">
        <v>206148779</v>
      </c>
      <c r="C267" s="88" t="s">
        <v>213</v>
      </c>
      <c r="D267" s="11" t="s">
        <v>214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95</v>
      </c>
      <c r="M267" s="49" t="s">
        <v>77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158</v>
      </c>
      <c r="S267" s="11" t="s">
        <v>2654</v>
      </c>
      <c r="T267" s="105" t="s">
        <v>10</v>
      </c>
      <c r="U267" s="98"/>
      <c r="V267" s="51">
        <v>45929</v>
      </c>
      <c r="W267" s="49" t="s">
        <v>1556</v>
      </c>
      <c r="X267" s="154" t="s">
        <v>2948</v>
      </c>
      <c r="Y267" s="154">
        <v>0</v>
      </c>
    </row>
    <row r="268" spans="1:25" ht="13" customHeight="1">
      <c r="A268" s="11">
        <v>262</v>
      </c>
      <c r="B268" s="47">
        <v>206192491</v>
      </c>
      <c r="C268" s="88" t="s">
        <v>1626</v>
      </c>
      <c r="D268" s="11" t="s">
        <v>1611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85</v>
      </c>
      <c r="M268" s="49" t="s">
        <v>88</v>
      </c>
      <c r="N268" s="48" t="s">
        <v>79</v>
      </c>
      <c r="O268" s="49" t="s">
        <v>33</v>
      </c>
      <c r="P268" s="11" t="s">
        <v>80</v>
      </c>
      <c r="Q268" s="11" t="s">
        <v>96</v>
      </c>
      <c r="R268" s="11" t="s">
        <v>158</v>
      </c>
      <c r="S268" s="11" t="s">
        <v>2654</v>
      </c>
      <c r="T268" s="105" t="s">
        <v>1</v>
      </c>
      <c r="U268" s="98"/>
      <c r="V268" s="51">
        <v>45943</v>
      </c>
      <c r="W268" s="49" t="s">
        <v>1556</v>
      </c>
      <c r="X268" s="154" t="s">
        <v>2</v>
      </c>
      <c r="Y268" s="154">
        <v>0</v>
      </c>
    </row>
    <row r="269" spans="1:25" ht="13" customHeight="1">
      <c r="A269" s="11">
        <v>263</v>
      </c>
      <c r="B269" s="47">
        <v>206953568</v>
      </c>
      <c r="C269" s="88" t="s">
        <v>2051</v>
      </c>
      <c r="D269" s="11" t="s">
        <v>1980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158</v>
      </c>
      <c r="S269" s="11" t="s">
        <v>2654</v>
      </c>
      <c r="T269" s="105" t="s">
        <v>1</v>
      </c>
      <c r="U269" s="98"/>
      <c r="V269" s="51">
        <v>46048</v>
      </c>
      <c r="W269" s="49" t="s">
        <v>1556</v>
      </c>
      <c r="X269" s="154" t="s">
        <v>2</v>
      </c>
      <c r="Y269" s="154">
        <v>0</v>
      </c>
    </row>
    <row r="270" spans="1:25" ht="13" customHeight="1">
      <c r="A270" s="11">
        <v>264</v>
      </c>
      <c r="B270" s="47">
        <v>206953818</v>
      </c>
      <c r="C270" s="88" t="s">
        <v>2052</v>
      </c>
      <c r="D270" s="11" t="s">
        <v>1981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92</v>
      </c>
      <c r="M270" s="49" t="s">
        <v>84</v>
      </c>
      <c r="N270" s="49" t="s">
        <v>89</v>
      </c>
      <c r="O270" s="49" t="s">
        <v>33</v>
      </c>
      <c r="P270" s="11" t="s">
        <v>80</v>
      </c>
      <c r="Q270" s="11" t="s">
        <v>96</v>
      </c>
      <c r="R270" s="11" t="s">
        <v>158</v>
      </c>
      <c r="S270" s="11" t="s">
        <v>2654</v>
      </c>
      <c r="T270" s="105" t="s">
        <v>1</v>
      </c>
      <c r="U270" s="98"/>
      <c r="V270" s="51">
        <v>46048</v>
      </c>
      <c r="W270" s="49" t="s">
        <v>1556</v>
      </c>
      <c r="X270" s="154" t="s">
        <v>2</v>
      </c>
      <c r="Y270" s="154">
        <v>0</v>
      </c>
    </row>
    <row r="271" spans="1:25" ht="13" customHeight="1">
      <c r="A271" s="11">
        <v>265</v>
      </c>
      <c r="B271" s="47">
        <v>203709884</v>
      </c>
      <c r="C271" s="88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77</v>
      </c>
      <c r="M271" s="49" t="s">
        <v>78</v>
      </c>
      <c r="N271" s="48" t="s">
        <v>86</v>
      </c>
      <c r="O271" s="49" t="s">
        <v>33</v>
      </c>
      <c r="P271" s="11" t="s">
        <v>80</v>
      </c>
      <c r="Q271" s="11" t="s">
        <v>99</v>
      </c>
      <c r="R271" s="11" t="s">
        <v>158</v>
      </c>
      <c r="S271" s="11" t="s">
        <v>2654</v>
      </c>
      <c r="T271" s="105" t="s">
        <v>10</v>
      </c>
      <c r="U271" s="98"/>
      <c r="V271" s="51">
        <v>45495</v>
      </c>
      <c r="W271" s="49" t="s">
        <v>1556</v>
      </c>
      <c r="X271" s="154" t="s">
        <v>2948</v>
      </c>
      <c r="Y271" s="154">
        <v>0</v>
      </c>
    </row>
    <row r="272" spans="1:25" ht="13" customHeight="1">
      <c r="A272" s="11">
        <v>266</v>
      </c>
      <c r="B272" s="47">
        <v>203709883</v>
      </c>
      <c r="C272" s="88" t="s">
        <v>217</v>
      </c>
      <c r="D272" s="11" t="s">
        <v>218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86</v>
      </c>
      <c r="O272" s="49" t="s">
        <v>33</v>
      </c>
      <c r="P272" s="11" t="s">
        <v>80</v>
      </c>
      <c r="Q272" s="11" t="s">
        <v>99</v>
      </c>
      <c r="R272" s="11" t="s">
        <v>158</v>
      </c>
      <c r="S272" s="11" t="s">
        <v>2654</v>
      </c>
      <c r="T272" s="105" t="s">
        <v>1</v>
      </c>
      <c r="U272" s="98"/>
      <c r="V272" s="51">
        <v>45495</v>
      </c>
      <c r="W272" s="49" t="s">
        <v>1556</v>
      </c>
      <c r="X272" s="154" t="s">
        <v>2</v>
      </c>
      <c r="Y272" s="154">
        <v>0</v>
      </c>
    </row>
    <row r="273" spans="1:25" ht="13" customHeight="1">
      <c r="A273" s="11">
        <v>267</v>
      </c>
      <c r="B273" s="47">
        <v>203470579</v>
      </c>
      <c r="C273" s="88" t="s">
        <v>219</v>
      </c>
      <c r="D273" s="11" t="s">
        <v>220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77</v>
      </c>
      <c r="M273" s="49" t="s">
        <v>78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158</v>
      </c>
      <c r="S273" s="11" t="s">
        <v>2654</v>
      </c>
      <c r="T273" s="105" t="s">
        <v>10</v>
      </c>
      <c r="U273" s="98"/>
      <c r="V273" s="51">
        <v>45456</v>
      </c>
      <c r="W273" s="49" t="s">
        <v>1556</v>
      </c>
      <c r="X273" s="154" t="s">
        <v>2948</v>
      </c>
      <c r="Y273" s="154">
        <v>0</v>
      </c>
    </row>
    <row r="274" spans="1:25" ht="13" customHeight="1">
      <c r="A274" s="11">
        <v>268</v>
      </c>
      <c r="B274" s="47">
        <v>206791751</v>
      </c>
      <c r="C274" s="88" t="s">
        <v>2431</v>
      </c>
      <c r="D274" s="11" t="s">
        <v>2432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78</v>
      </c>
      <c r="M274" s="49" t="s">
        <v>92</v>
      </c>
      <c r="N274" s="49" t="s">
        <v>89</v>
      </c>
      <c r="O274" s="49" t="s">
        <v>35</v>
      </c>
      <c r="P274" s="11" t="s">
        <v>80</v>
      </c>
      <c r="Q274" s="11" t="s">
        <v>90</v>
      </c>
      <c r="R274" s="11" t="s">
        <v>223</v>
      </c>
      <c r="S274" s="11" t="s">
        <v>2655</v>
      </c>
      <c r="T274" s="105" t="s">
        <v>1</v>
      </c>
      <c r="U274" s="98"/>
      <c r="V274" s="51">
        <v>45999</v>
      </c>
      <c r="W274" s="49" t="s">
        <v>1560</v>
      </c>
      <c r="X274" s="154" t="s">
        <v>2</v>
      </c>
      <c r="Y274" s="154">
        <v>0</v>
      </c>
    </row>
    <row r="275" spans="1:25" ht="13" customHeight="1">
      <c r="A275" s="11">
        <v>269</v>
      </c>
      <c r="B275" s="47">
        <v>111231851</v>
      </c>
      <c r="C275" s="88" t="s">
        <v>221</v>
      </c>
      <c r="D275" s="11" t="s">
        <v>222</v>
      </c>
      <c r="E275" s="48" t="s">
        <v>34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88</v>
      </c>
      <c r="M275" s="49" t="s">
        <v>95</v>
      </c>
      <c r="N275" s="48" t="s">
        <v>108</v>
      </c>
      <c r="O275" s="49" t="s">
        <v>35</v>
      </c>
      <c r="P275" s="11" t="s">
        <v>80</v>
      </c>
      <c r="Q275" s="11" t="s">
        <v>98</v>
      </c>
      <c r="R275" s="11" t="s">
        <v>223</v>
      </c>
      <c r="S275" s="11" t="s">
        <v>2655</v>
      </c>
      <c r="T275" s="105" t="s">
        <v>1</v>
      </c>
      <c r="U275" s="98"/>
      <c r="V275" s="51">
        <v>44782</v>
      </c>
      <c r="W275" s="49" t="s">
        <v>1557</v>
      </c>
      <c r="X275" s="154" t="s">
        <v>2</v>
      </c>
      <c r="Y275" s="154">
        <v>0</v>
      </c>
    </row>
    <row r="276" spans="1:25" ht="13" customHeight="1">
      <c r="A276" s="11">
        <v>270</v>
      </c>
      <c r="B276" s="47">
        <v>206791753</v>
      </c>
      <c r="C276" s="88" t="s">
        <v>2433</v>
      </c>
      <c r="D276" s="11" t="s">
        <v>2434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39</v>
      </c>
      <c r="K276" s="49" t="s">
        <v>76</v>
      </c>
      <c r="L276" s="49" t="s">
        <v>88</v>
      </c>
      <c r="M276" s="49" t="s">
        <v>95</v>
      </c>
      <c r="N276" s="49" t="s">
        <v>89</v>
      </c>
      <c r="O276" s="49" t="s">
        <v>35</v>
      </c>
      <c r="P276" s="11" t="s">
        <v>80</v>
      </c>
      <c r="Q276" s="11" t="s">
        <v>90</v>
      </c>
      <c r="R276" s="11" t="s">
        <v>224</v>
      </c>
      <c r="S276" s="11" t="s">
        <v>225</v>
      </c>
      <c r="T276" s="105" t="s">
        <v>1</v>
      </c>
      <c r="U276" s="98"/>
      <c r="V276" s="51">
        <v>45999</v>
      </c>
      <c r="W276" s="49" t="s">
        <v>1561</v>
      </c>
      <c r="X276" s="154" t="s">
        <v>2</v>
      </c>
      <c r="Y276" s="154">
        <v>0</v>
      </c>
    </row>
    <row r="277" spans="1:25" ht="13" customHeight="1">
      <c r="A277" s="11">
        <v>271</v>
      </c>
      <c r="B277" s="47">
        <v>203850647</v>
      </c>
      <c r="C277" s="88" t="s">
        <v>2435</v>
      </c>
      <c r="D277" s="11" t="s">
        <v>2436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78</v>
      </c>
      <c r="M277" s="49" t="s">
        <v>92</v>
      </c>
      <c r="N277" s="48" t="s">
        <v>86</v>
      </c>
      <c r="O277" s="49" t="s">
        <v>35</v>
      </c>
      <c r="P277" s="11" t="s">
        <v>80</v>
      </c>
      <c r="Q277" s="11" t="s">
        <v>90</v>
      </c>
      <c r="R277" s="11" t="s">
        <v>224</v>
      </c>
      <c r="S277" s="11" t="s">
        <v>225</v>
      </c>
      <c r="T277" s="105" t="s">
        <v>1</v>
      </c>
      <c r="U277" s="98"/>
      <c r="V277" s="51">
        <v>45524</v>
      </c>
      <c r="W277" s="49" t="s">
        <v>1559</v>
      </c>
      <c r="X277" s="154" t="s">
        <v>2</v>
      </c>
      <c r="Y277" s="154">
        <v>0</v>
      </c>
    </row>
    <row r="278" spans="1:25" ht="13" customHeight="1">
      <c r="A278" s="11">
        <v>272</v>
      </c>
      <c r="B278" s="47">
        <v>203816837</v>
      </c>
      <c r="C278" s="88" t="s">
        <v>226</v>
      </c>
      <c r="D278" s="11" t="s">
        <v>227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8" t="s">
        <v>86</v>
      </c>
      <c r="O278" s="49" t="s">
        <v>35</v>
      </c>
      <c r="P278" s="11" t="s">
        <v>80</v>
      </c>
      <c r="Q278" s="11" t="s">
        <v>99</v>
      </c>
      <c r="R278" s="11" t="s">
        <v>224</v>
      </c>
      <c r="S278" s="11" t="s">
        <v>225</v>
      </c>
      <c r="T278" s="105" t="s">
        <v>7</v>
      </c>
      <c r="U278" s="98" t="s">
        <v>2941</v>
      </c>
      <c r="V278" s="51">
        <v>45517</v>
      </c>
      <c r="W278" s="49" t="s">
        <v>1560</v>
      </c>
      <c r="X278" s="154" t="s">
        <v>2948</v>
      </c>
      <c r="Y278" s="154" t="s">
        <v>2949</v>
      </c>
    </row>
    <row r="279" spans="1:25" ht="13" customHeight="1">
      <c r="A279" s="11">
        <v>273</v>
      </c>
      <c r="B279" s="47">
        <v>206006416</v>
      </c>
      <c r="C279" s="88" t="s">
        <v>228</v>
      </c>
      <c r="D279" s="11" t="s">
        <v>229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79</v>
      </c>
      <c r="O279" s="49" t="s">
        <v>35</v>
      </c>
      <c r="P279" s="11" t="s">
        <v>80</v>
      </c>
      <c r="Q279" s="11" t="s">
        <v>81</v>
      </c>
      <c r="R279" s="11" t="s">
        <v>230</v>
      </c>
      <c r="S279" s="11" t="s">
        <v>1732</v>
      </c>
      <c r="T279" s="105" t="s">
        <v>7</v>
      </c>
      <c r="U279" s="98" t="s">
        <v>2941</v>
      </c>
      <c r="V279" s="51">
        <v>45915</v>
      </c>
      <c r="W279" s="49" t="s">
        <v>1560</v>
      </c>
      <c r="X279" s="154" t="s">
        <v>2948</v>
      </c>
      <c r="Y279" s="154" t="s">
        <v>2941</v>
      </c>
    </row>
    <row r="280" spans="1:25" ht="13" customHeight="1">
      <c r="A280" s="11">
        <v>274</v>
      </c>
      <c r="B280" s="47">
        <v>203850646</v>
      </c>
      <c r="C280" s="88" t="s">
        <v>2437</v>
      </c>
      <c r="D280" s="11" t="s">
        <v>2438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88</v>
      </c>
      <c r="M280" s="49" t="s">
        <v>95</v>
      </c>
      <c r="N280" s="48" t="s">
        <v>86</v>
      </c>
      <c r="O280" s="49" t="s">
        <v>35</v>
      </c>
      <c r="P280" s="11" t="s">
        <v>80</v>
      </c>
      <c r="Q280" s="11" t="s">
        <v>90</v>
      </c>
      <c r="R280" s="11" t="s">
        <v>224</v>
      </c>
      <c r="S280" s="11" t="s">
        <v>225</v>
      </c>
      <c r="T280" s="105" t="s">
        <v>1</v>
      </c>
      <c r="U280" s="98"/>
      <c r="V280" s="51">
        <v>45524</v>
      </c>
      <c r="W280" s="49" t="s">
        <v>1559</v>
      </c>
      <c r="X280" s="154" t="s">
        <v>2</v>
      </c>
      <c r="Y280" s="154">
        <v>0</v>
      </c>
    </row>
    <row r="281" spans="1:25" ht="13" customHeight="1">
      <c r="A281" s="11">
        <v>275</v>
      </c>
      <c r="B281" s="47">
        <v>203741314</v>
      </c>
      <c r="C281" s="88" t="s">
        <v>232</v>
      </c>
      <c r="D281" s="11" t="s">
        <v>233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77</v>
      </c>
      <c r="M281" s="49" t="s">
        <v>78</v>
      </c>
      <c r="N281" s="48" t="s">
        <v>79</v>
      </c>
      <c r="O281" s="49" t="s">
        <v>35</v>
      </c>
      <c r="P281" s="11" t="s">
        <v>80</v>
      </c>
      <c r="Q281" s="11" t="s">
        <v>81</v>
      </c>
      <c r="R281" s="11" t="s">
        <v>223</v>
      </c>
      <c r="S281" s="11" t="s">
        <v>2655</v>
      </c>
      <c r="T281" s="105" t="s">
        <v>10</v>
      </c>
      <c r="U281" s="98"/>
      <c r="V281" s="51">
        <v>45502</v>
      </c>
      <c r="W281" s="49" t="s">
        <v>1560</v>
      </c>
      <c r="X281" s="154" t="s">
        <v>2948</v>
      </c>
      <c r="Y281" s="154">
        <v>0</v>
      </c>
    </row>
    <row r="282" spans="1:25" ht="13" customHeight="1">
      <c r="A282" s="11">
        <v>276</v>
      </c>
      <c r="B282" s="47">
        <v>203813034</v>
      </c>
      <c r="C282" s="88" t="s">
        <v>234</v>
      </c>
      <c r="D282" s="11" t="s">
        <v>235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224</v>
      </c>
      <c r="S282" s="11" t="s">
        <v>225</v>
      </c>
      <c r="T282" s="105" t="s">
        <v>10</v>
      </c>
      <c r="U282" s="98"/>
      <c r="V282" s="51">
        <v>45517</v>
      </c>
      <c r="W282" s="49" t="s">
        <v>1560</v>
      </c>
      <c r="X282" s="154" t="s">
        <v>2948</v>
      </c>
      <c r="Y282" s="154">
        <v>0</v>
      </c>
    </row>
    <row r="283" spans="1:25" ht="13" customHeight="1">
      <c r="A283" s="11">
        <v>277</v>
      </c>
      <c r="B283" s="47">
        <v>203813038</v>
      </c>
      <c r="C283" s="88" t="s">
        <v>236</v>
      </c>
      <c r="D283" s="11" t="s">
        <v>237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84</v>
      </c>
      <c r="M283" s="49" t="s">
        <v>85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224</v>
      </c>
      <c r="S283" s="11" t="s">
        <v>225</v>
      </c>
      <c r="T283" s="105" t="s">
        <v>1</v>
      </c>
      <c r="U283" s="98"/>
      <c r="V283" s="51">
        <v>45517</v>
      </c>
      <c r="W283" s="49" t="s">
        <v>1560</v>
      </c>
      <c r="X283" s="154" t="s">
        <v>2</v>
      </c>
      <c r="Y283" s="154">
        <v>0</v>
      </c>
    </row>
    <row r="284" spans="1:25" ht="13" customHeight="1">
      <c r="A284" s="11">
        <v>278</v>
      </c>
      <c r="B284" s="47">
        <v>203813033</v>
      </c>
      <c r="C284" s="88" t="s">
        <v>238</v>
      </c>
      <c r="D284" s="11" t="s">
        <v>239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39</v>
      </c>
      <c r="K284" s="49" t="s">
        <v>76</v>
      </c>
      <c r="L284" s="49" t="s">
        <v>78</v>
      </c>
      <c r="M284" s="49" t="s">
        <v>92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224</v>
      </c>
      <c r="S284" s="11" t="s">
        <v>225</v>
      </c>
      <c r="T284" s="105" t="s">
        <v>1</v>
      </c>
      <c r="U284" s="98"/>
      <c r="V284" s="51">
        <v>45517</v>
      </c>
      <c r="W284" s="49" t="s">
        <v>1560</v>
      </c>
      <c r="X284" s="154" t="s">
        <v>2</v>
      </c>
      <c r="Y284" s="154">
        <v>0</v>
      </c>
    </row>
    <row r="285" spans="1:25" ht="13" customHeight="1">
      <c r="A285" s="11">
        <v>279</v>
      </c>
      <c r="B285" s="47">
        <v>205977111</v>
      </c>
      <c r="C285" s="88" t="s">
        <v>240</v>
      </c>
      <c r="D285" s="11" t="s">
        <v>241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85</v>
      </c>
      <c r="M285" s="49" t="s">
        <v>88</v>
      </c>
      <c r="N285" s="48" t="s">
        <v>86</v>
      </c>
      <c r="O285" s="49" t="s">
        <v>35</v>
      </c>
      <c r="P285" s="11" t="s">
        <v>80</v>
      </c>
      <c r="Q285" s="11" t="s">
        <v>90</v>
      </c>
      <c r="R285" s="11" t="s">
        <v>230</v>
      </c>
      <c r="S285" s="11" t="s">
        <v>1732</v>
      </c>
      <c r="T285" s="105" t="s">
        <v>1</v>
      </c>
      <c r="U285" s="98"/>
      <c r="V285" s="51">
        <v>45915</v>
      </c>
      <c r="W285" s="49" t="s">
        <v>1558</v>
      </c>
      <c r="X285" s="154" t="s">
        <v>2</v>
      </c>
      <c r="Y285" s="154">
        <v>0</v>
      </c>
    </row>
    <row r="286" spans="1:25" ht="13" customHeight="1">
      <c r="A286" s="11">
        <v>280</v>
      </c>
      <c r="B286" s="47">
        <v>204319797</v>
      </c>
      <c r="C286" s="88" t="s">
        <v>242</v>
      </c>
      <c r="D286" s="11" t="s">
        <v>243</v>
      </c>
      <c r="E286" s="48" t="s">
        <v>31</v>
      </c>
      <c r="F286" s="48" t="s">
        <v>74</v>
      </c>
      <c r="G286" s="11" t="s">
        <v>65</v>
      </c>
      <c r="H286" s="11" t="s">
        <v>75</v>
      </c>
      <c r="I286" s="11">
        <v>1299</v>
      </c>
      <c r="J286" s="49" t="s">
        <v>39</v>
      </c>
      <c r="K286" s="49" t="s">
        <v>76</v>
      </c>
      <c r="L286" s="49" t="s">
        <v>84</v>
      </c>
      <c r="M286" s="49" t="s">
        <v>85</v>
      </c>
      <c r="N286" s="48" t="s">
        <v>86</v>
      </c>
      <c r="O286" s="49" t="s">
        <v>68</v>
      </c>
      <c r="P286" s="11" t="s">
        <v>80</v>
      </c>
      <c r="Q286" s="11" t="s">
        <v>87</v>
      </c>
      <c r="R286" s="11" t="s">
        <v>2660</v>
      </c>
      <c r="S286" s="11" t="s">
        <v>2661</v>
      </c>
      <c r="T286" s="105" t="s">
        <v>1</v>
      </c>
      <c r="U286" s="98"/>
      <c r="V286" s="51">
        <v>45589</v>
      </c>
      <c r="W286" s="49" t="s">
        <v>68</v>
      </c>
      <c r="X286" s="154" t="s">
        <v>2</v>
      </c>
      <c r="Y286" s="154">
        <v>0</v>
      </c>
    </row>
    <row r="287" spans="1:25" ht="13" customHeight="1">
      <c r="A287" s="11">
        <v>281</v>
      </c>
      <c r="B287" s="11">
        <v>206871907</v>
      </c>
      <c r="C287" s="88" t="s">
        <v>1751</v>
      </c>
      <c r="D287" s="11" t="s">
        <v>1752</v>
      </c>
      <c r="E287" s="48" t="s">
        <v>31</v>
      </c>
      <c r="F287" s="48" t="s">
        <v>74</v>
      </c>
      <c r="G287" s="48" t="s">
        <v>64</v>
      </c>
      <c r="H287" s="48" t="s">
        <v>75</v>
      </c>
      <c r="I287" s="11">
        <v>1299</v>
      </c>
      <c r="J287" s="49" t="s">
        <v>2411</v>
      </c>
      <c r="K287" s="49" t="s">
        <v>76</v>
      </c>
      <c r="L287" s="49" t="s">
        <v>84</v>
      </c>
      <c r="M287" s="49" t="s">
        <v>85</v>
      </c>
      <c r="N287" s="49" t="s">
        <v>89</v>
      </c>
      <c r="O287" s="48" t="s">
        <v>35</v>
      </c>
      <c r="P287" s="48" t="s">
        <v>80</v>
      </c>
      <c r="Q287" s="11" t="s">
        <v>81</v>
      </c>
      <c r="R287" s="11" t="s">
        <v>224</v>
      </c>
      <c r="S287" s="11" t="s">
        <v>225</v>
      </c>
      <c r="T287" s="105" t="s">
        <v>1</v>
      </c>
      <c r="U287" s="98"/>
      <c r="V287" s="51">
        <v>46020</v>
      </c>
      <c r="W287" s="49" t="s">
        <v>1559</v>
      </c>
      <c r="X287" s="154" t="s">
        <v>2</v>
      </c>
      <c r="Y287" s="154">
        <v>0</v>
      </c>
    </row>
    <row r="288" spans="1:25" ht="13" customHeight="1">
      <c r="A288" s="11">
        <v>282</v>
      </c>
      <c r="B288" s="47">
        <v>110330601</v>
      </c>
      <c r="C288" s="88" t="s">
        <v>244</v>
      </c>
      <c r="D288" s="11" t="s">
        <v>245</v>
      </c>
      <c r="E288" s="48" t="s">
        <v>34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95</v>
      </c>
      <c r="M288" s="49" t="s">
        <v>77</v>
      </c>
      <c r="N288" s="48" t="s">
        <v>108</v>
      </c>
      <c r="O288" s="49" t="s">
        <v>35</v>
      </c>
      <c r="P288" s="11" t="s">
        <v>80</v>
      </c>
      <c r="Q288" s="11" t="s">
        <v>98</v>
      </c>
      <c r="R288" s="11" t="s">
        <v>223</v>
      </c>
      <c r="S288" s="11" t="s">
        <v>2655</v>
      </c>
      <c r="T288" s="105" t="s">
        <v>10</v>
      </c>
      <c r="U288" s="98"/>
      <c r="V288" s="51">
        <v>44757</v>
      </c>
      <c r="W288" s="49" t="s">
        <v>1557</v>
      </c>
      <c r="X288" s="154" t="s">
        <v>2948</v>
      </c>
      <c r="Y288" s="154">
        <v>0</v>
      </c>
    </row>
    <row r="289" spans="1:25" ht="13" customHeight="1">
      <c r="A289" s="11">
        <v>283</v>
      </c>
      <c r="B289" s="47">
        <v>203796734</v>
      </c>
      <c r="C289" s="88" t="s">
        <v>246</v>
      </c>
      <c r="D289" s="11" t="s">
        <v>247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78</v>
      </c>
      <c r="M289" s="49" t="s">
        <v>92</v>
      </c>
      <c r="N289" s="48" t="s">
        <v>79</v>
      </c>
      <c r="O289" s="49" t="s">
        <v>35</v>
      </c>
      <c r="P289" s="11" t="s">
        <v>80</v>
      </c>
      <c r="Q289" s="11" t="s">
        <v>81</v>
      </c>
      <c r="R289" s="11" t="s">
        <v>224</v>
      </c>
      <c r="S289" s="11" t="s">
        <v>225</v>
      </c>
      <c r="T289" s="105" t="s">
        <v>1</v>
      </c>
      <c r="U289" s="98"/>
      <c r="V289" s="51">
        <v>45517</v>
      </c>
      <c r="W289" s="49" t="s">
        <v>1560</v>
      </c>
      <c r="X289" s="154" t="s">
        <v>2</v>
      </c>
      <c r="Y289" s="154">
        <v>0</v>
      </c>
    </row>
    <row r="290" spans="1:25" ht="13" customHeight="1">
      <c r="A290" s="11">
        <v>284</v>
      </c>
      <c r="B290" s="47">
        <v>206883746</v>
      </c>
      <c r="C290" s="88" t="s">
        <v>1769</v>
      </c>
      <c r="D290" s="11" t="s">
        <v>1770</v>
      </c>
      <c r="E290" s="11" t="s">
        <v>31</v>
      </c>
      <c r="F290" s="11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9" t="s">
        <v>89</v>
      </c>
      <c r="O290" s="11" t="s">
        <v>35</v>
      </c>
      <c r="P290" s="11" t="s">
        <v>80</v>
      </c>
      <c r="Q290" s="11" t="s">
        <v>96</v>
      </c>
      <c r="R290" s="11" t="s">
        <v>230</v>
      </c>
      <c r="S290" s="11" t="s">
        <v>1732</v>
      </c>
      <c r="T290" s="105" t="s">
        <v>1</v>
      </c>
      <c r="U290" s="98"/>
      <c r="V290" s="51">
        <v>46027</v>
      </c>
      <c r="W290" s="11" t="s">
        <v>1560</v>
      </c>
      <c r="X290" s="154" t="s">
        <v>2</v>
      </c>
      <c r="Y290" s="154">
        <v>0</v>
      </c>
    </row>
    <row r="291" spans="1:25" ht="13" customHeight="1">
      <c r="A291" s="11">
        <v>285</v>
      </c>
      <c r="B291" s="47">
        <v>205477618</v>
      </c>
      <c r="C291" s="88" t="s">
        <v>248</v>
      </c>
      <c r="D291" s="11" t="s">
        <v>249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88</v>
      </c>
      <c r="M291" s="49" t="s">
        <v>95</v>
      </c>
      <c r="N291" s="48" t="s">
        <v>86</v>
      </c>
      <c r="O291" s="49" t="s">
        <v>35</v>
      </c>
      <c r="P291" s="11" t="s">
        <v>80</v>
      </c>
      <c r="Q291" s="11" t="s">
        <v>90</v>
      </c>
      <c r="R291" s="11" t="s">
        <v>224</v>
      </c>
      <c r="S291" s="11" t="s">
        <v>225</v>
      </c>
      <c r="T291" s="105" t="s">
        <v>1</v>
      </c>
      <c r="U291" s="98"/>
      <c r="V291" s="51">
        <v>45831</v>
      </c>
      <c r="W291" s="49" t="s">
        <v>1561</v>
      </c>
      <c r="X291" s="154" t="s">
        <v>2</v>
      </c>
      <c r="Y291" s="154">
        <v>0</v>
      </c>
    </row>
    <row r="292" spans="1:25" ht="13" customHeight="1">
      <c r="A292" s="11">
        <v>286</v>
      </c>
      <c r="B292" s="47">
        <v>206015600</v>
      </c>
      <c r="C292" s="88" t="s">
        <v>251</v>
      </c>
      <c r="D292" s="11" t="s">
        <v>252</v>
      </c>
      <c r="E292" s="48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78</v>
      </c>
      <c r="M292" s="49" t="s">
        <v>92</v>
      </c>
      <c r="N292" s="48" t="s">
        <v>79</v>
      </c>
      <c r="O292" s="49" t="s">
        <v>35</v>
      </c>
      <c r="P292" s="11" t="s">
        <v>80</v>
      </c>
      <c r="Q292" s="11" t="s">
        <v>81</v>
      </c>
      <c r="R292" s="11" t="s">
        <v>230</v>
      </c>
      <c r="S292" s="11" t="s">
        <v>1732</v>
      </c>
      <c r="T292" s="105" t="s">
        <v>3</v>
      </c>
      <c r="U292" s="98"/>
      <c r="V292" s="51">
        <v>45915</v>
      </c>
      <c r="W292" s="49" t="s">
        <v>1560</v>
      </c>
      <c r="X292" s="154" t="s">
        <v>2948</v>
      </c>
      <c r="Y292" s="154">
        <v>0</v>
      </c>
    </row>
    <row r="293" spans="1:25" ht="13" customHeight="1">
      <c r="A293" s="11">
        <v>287</v>
      </c>
      <c r="B293" s="47">
        <v>203880236</v>
      </c>
      <c r="C293" s="88" t="s">
        <v>253</v>
      </c>
      <c r="D293" s="11" t="s">
        <v>254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224</v>
      </c>
      <c r="S293" s="11" t="s">
        <v>225</v>
      </c>
      <c r="T293" s="105" t="s">
        <v>1</v>
      </c>
      <c r="U293" s="98"/>
      <c r="V293" s="51">
        <v>45530</v>
      </c>
      <c r="W293" s="49" t="s">
        <v>1560</v>
      </c>
      <c r="X293" s="154" t="s">
        <v>2</v>
      </c>
      <c r="Y293" s="154">
        <v>0</v>
      </c>
    </row>
    <row r="294" spans="1:25" ht="13" customHeight="1">
      <c r="A294" s="11">
        <v>288</v>
      </c>
      <c r="B294" s="47">
        <v>203741612</v>
      </c>
      <c r="C294" s="88" t="s">
        <v>255</v>
      </c>
      <c r="D294" s="11" t="s">
        <v>256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39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223</v>
      </c>
      <c r="S294" s="11" t="s">
        <v>2655</v>
      </c>
      <c r="T294" s="105" t="s">
        <v>1</v>
      </c>
      <c r="U294" s="98"/>
      <c r="V294" s="51">
        <v>45516</v>
      </c>
      <c r="W294" s="49" t="s">
        <v>1560</v>
      </c>
      <c r="X294" s="154" t="s">
        <v>2</v>
      </c>
      <c r="Y294" s="154">
        <v>0</v>
      </c>
    </row>
    <row r="295" spans="1:25" ht="13" customHeight="1">
      <c r="A295" s="11">
        <v>289</v>
      </c>
      <c r="B295" s="47">
        <v>203737145</v>
      </c>
      <c r="C295" s="88" t="s">
        <v>257</v>
      </c>
      <c r="D295" s="11" t="s">
        <v>258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2411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223</v>
      </c>
      <c r="S295" s="11" t="s">
        <v>2655</v>
      </c>
      <c r="T295" s="105" t="s">
        <v>1</v>
      </c>
      <c r="U295" s="98"/>
      <c r="V295" s="51">
        <v>45502</v>
      </c>
      <c r="W295" s="49" t="s">
        <v>1560</v>
      </c>
      <c r="X295" s="154" t="s">
        <v>2</v>
      </c>
      <c r="Y295" s="154">
        <v>0</v>
      </c>
    </row>
    <row r="296" spans="1:25" ht="13" customHeight="1">
      <c r="A296" s="11">
        <v>290</v>
      </c>
      <c r="B296" s="47">
        <v>203813036</v>
      </c>
      <c r="C296" s="88" t="s">
        <v>259</v>
      </c>
      <c r="D296" s="11" t="s">
        <v>260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84</v>
      </c>
      <c r="M296" s="49" t="s">
        <v>85</v>
      </c>
      <c r="N296" s="48" t="s">
        <v>86</v>
      </c>
      <c r="O296" s="49" t="s">
        <v>35</v>
      </c>
      <c r="P296" s="11" t="s">
        <v>80</v>
      </c>
      <c r="Q296" s="11" t="s">
        <v>99</v>
      </c>
      <c r="R296" s="11" t="s">
        <v>224</v>
      </c>
      <c r="S296" s="11" t="s">
        <v>225</v>
      </c>
      <c r="T296" s="105" t="s">
        <v>3</v>
      </c>
      <c r="U296" s="98"/>
      <c r="V296" s="51">
        <v>45517</v>
      </c>
      <c r="W296" s="49" t="s">
        <v>1561</v>
      </c>
      <c r="X296" s="154" t="s">
        <v>2948</v>
      </c>
      <c r="Y296" s="154">
        <v>0</v>
      </c>
    </row>
    <row r="297" spans="1:25" ht="13" customHeight="1">
      <c r="A297" s="11">
        <v>291</v>
      </c>
      <c r="B297" s="47">
        <v>203813037</v>
      </c>
      <c r="C297" s="88" t="s">
        <v>261</v>
      </c>
      <c r="D297" s="11" t="s">
        <v>262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86</v>
      </c>
      <c r="O297" s="49" t="s">
        <v>35</v>
      </c>
      <c r="P297" s="11" t="s">
        <v>80</v>
      </c>
      <c r="Q297" s="11" t="s">
        <v>99</v>
      </c>
      <c r="R297" s="11" t="s">
        <v>224</v>
      </c>
      <c r="S297" s="11" t="s">
        <v>225</v>
      </c>
      <c r="T297" s="105" t="s">
        <v>1</v>
      </c>
      <c r="U297" s="98"/>
      <c r="V297" s="51">
        <v>45517</v>
      </c>
      <c r="W297" s="49" t="s">
        <v>1560</v>
      </c>
      <c r="X297" s="154" t="s">
        <v>2</v>
      </c>
      <c r="Y297" s="154">
        <v>0</v>
      </c>
    </row>
    <row r="298" spans="1:25" ht="13" customHeight="1">
      <c r="A298" s="11">
        <v>292</v>
      </c>
      <c r="B298" s="47">
        <v>206958086</v>
      </c>
      <c r="C298" s="88" t="s">
        <v>2439</v>
      </c>
      <c r="D298" s="11" t="s">
        <v>2440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9" t="s">
        <v>89</v>
      </c>
      <c r="O298" s="49" t="s">
        <v>35</v>
      </c>
      <c r="P298" s="11" t="s">
        <v>80</v>
      </c>
      <c r="Q298" s="11" t="s">
        <v>96</v>
      </c>
      <c r="R298" s="11" t="s">
        <v>223</v>
      </c>
      <c r="S298" s="11" t="s">
        <v>2655</v>
      </c>
      <c r="T298" s="105" t="s">
        <v>1</v>
      </c>
      <c r="U298" s="98"/>
      <c r="V298" s="51">
        <v>46048</v>
      </c>
      <c r="W298" s="49" t="s">
        <v>1560</v>
      </c>
      <c r="X298" s="154" t="s">
        <v>2</v>
      </c>
      <c r="Y298" s="154">
        <v>0</v>
      </c>
    </row>
    <row r="299" spans="1:25" ht="13" customHeight="1">
      <c r="A299" s="11">
        <v>293</v>
      </c>
      <c r="B299" s="47">
        <v>204868861</v>
      </c>
      <c r="C299" s="88" t="s">
        <v>263</v>
      </c>
      <c r="D299" s="11" t="s">
        <v>264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77</v>
      </c>
      <c r="M299" s="49" t="s">
        <v>78</v>
      </c>
      <c r="N299" s="48" t="s">
        <v>86</v>
      </c>
      <c r="O299" s="49" t="s">
        <v>35</v>
      </c>
      <c r="P299" s="11" t="s">
        <v>80</v>
      </c>
      <c r="Q299" s="11" t="s">
        <v>87</v>
      </c>
      <c r="R299" s="11" t="s">
        <v>223</v>
      </c>
      <c r="S299" s="11" t="s">
        <v>2655</v>
      </c>
      <c r="T299" s="105" t="s">
        <v>10</v>
      </c>
      <c r="U299" s="98"/>
      <c r="V299" s="51">
        <v>45691</v>
      </c>
      <c r="W299" s="49" t="s">
        <v>1560</v>
      </c>
      <c r="X299" s="154" t="s">
        <v>2948</v>
      </c>
      <c r="Y299" s="154" t="s">
        <v>2950</v>
      </c>
    </row>
    <row r="300" spans="1:25" ht="13" customHeight="1">
      <c r="A300" s="11">
        <v>294</v>
      </c>
      <c r="B300" s="47">
        <v>206883741</v>
      </c>
      <c r="C300" s="88" t="s">
        <v>1771</v>
      </c>
      <c r="D300" s="11" t="s">
        <v>1772</v>
      </c>
      <c r="E300" s="11" t="s">
        <v>31</v>
      </c>
      <c r="F300" s="11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78</v>
      </c>
      <c r="M300" s="49" t="s">
        <v>92</v>
      </c>
      <c r="N300" s="49" t="s">
        <v>89</v>
      </c>
      <c r="O300" s="11" t="s">
        <v>35</v>
      </c>
      <c r="P300" s="11" t="s">
        <v>80</v>
      </c>
      <c r="Q300" s="11" t="s">
        <v>96</v>
      </c>
      <c r="R300" s="11" t="s">
        <v>230</v>
      </c>
      <c r="S300" s="11" t="s">
        <v>1732</v>
      </c>
      <c r="T300" s="105" t="s">
        <v>1</v>
      </c>
      <c r="U300" s="98"/>
      <c r="V300" s="51">
        <v>46027</v>
      </c>
      <c r="W300" s="11" t="s">
        <v>1560</v>
      </c>
      <c r="X300" s="154" t="s">
        <v>2</v>
      </c>
      <c r="Y300" s="154">
        <v>0</v>
      </c>
    </row>
    <row r="301" spans="1:25" ht="13" customHeight="1">
      <c r="A301" s="11">
        <v>295</v>
      </c>
      <c r="B301" s="47">
        <v>203813035</v>
      </c>
      <c r="C301" s="88" t="s">
        <v>266</v>
      </c>
      <c r="D301" s="11" t="s">
        <v>267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2411</v>
      </c>
      <c r="K301" s="49" t="s">
        <v>76</v>
      </c>
      <c r="L301" s="49" t="s">
        <v>78</v>
      </c>
      <c r="M301" s="49" t="s">
        <v>92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223</v>
      </c>
      <c r="S301" s="11" t="s">
        <v>2655</v>
      </c>
      <c r="T301" s="105" t="s">
        <v>1</v>
      </c>
      <c r="U301" s="98"/>
      <c r="V301" s="51">
        <v>45517</v>
      </c>
      <c r="W301" s="49" t="s">
        <v>1560</v>
      </c>
      <c r="X301" s="154" t="s">
        <v>2</v>
      </c>
      <c r="Y301" s="154">
        <v>0</v>
      </c>
    </row>
    <row r="302" spans="1:25" ht="13" customHeight="1">
      <c r="A302" s="11">
        <v>296</v>
      </c>
      <c r="B302" s="47">
        <v>203736754</v>
      </c>
      <c r="C302" s="88" t="s">
        <v>268</v>
      </c>
      <c r="D302" s="11" t="s">
        <v>269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84</v>
      </c>
      <c r="M302" s="49" t="s">
        <v>85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223</v>
      </c>
      <c r="S302" s="11" t="s">
        <v>2655</v>
      </c>
      <c r="T302" s="105" t="s">
        <v>3</v>
      </c>
      <c r="U302" s="98"/>
      <c r="V302" s="51">
        <v>45502</v>
      </c>
      <c r="W302" s="49" t="s">
        <v>1560</v>
      </c>
      <c r="X302" s="154" t="s">
        <v>2948</v>
      </c>
      <c r="Y302" s="154">
        <v>0</v>
      </c>
    </row>
    <row r="303" spans="1:25" ht="13" customHeight="1">
      <c r="A303" s="11">
        <v>297</v>
      </c>
      <c r="B303" s="47">
        <v>203709740</v>
      </c>
      <c r="C303" s="88" t="s">
        <v>270</v>
      </c>
      <c r="D303" s="11" t="s">
        <v>271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39</v>
      </c>
      <c r="K303" s="49" t="s">
        <v>76</v>
      </c>
      <c r="L303" s="49" t="s">
        <v>85</v>
      </c>
      <c r="M303" s="49" t="s">
        <v>88</v>
      </c>
      <c r="N303" s="48" t="s">
        <v>86</v>
      </c>
      <c r="O303" s="49" t="s">
        <v>35</v>
      </c>
      <c r="P303" s="11" t="s">
        <v>80</v>
      </c>
      <c r="Q303" s="11" t="s">
        <v>99</v>
      </c>
      <c r="R303" s="11" t="s">
        <v>223</v>
      </c>
      <c r="S303" s="11" t="s">
        <v>2655</v>
      </c>
      <c r="T303" s="105" t="s">
        <v>1</v>
      </c>
      <c r="U303" s="98"/>
      <c r="V303" s="51">
        <v>45495</v>
      </c>
      <c r="W303" s="49" t="s">
        <v>1560</v>
      </c>
      <c r="X303" s="154" t="s">
        <v>2</v>
      </c>
      <c r="Y303" s="154">
        <v>0</v>
      </c>
    </row>
    <row r="304" spans="1:25" ht="13" customHeight="1">
      <c r="A304" s="11">
        <v>298</v>
      </c>
      <c r="B304" s="47">
        <v>203802272</v>
      </c>
      <c r="C304" s="88" t="s">
        <v>272</v>
      </c>
      <c r="D304" s="11" t="s">
        <v>273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84</v>
      </c>
      <c r="M304" s="49" t="s">
        <v>85</v>
      </c>
      <c r="N304" s="48" t="s">
        <v>79</v>
      </c>
      <c r="O304" s="49" t="s">
        <v>35</v>
      </c>
      <c r="P304" s="11" t="s">
        <v>80</v>
      </c>
      <c r="Q304" s="11" t="s">
        <v>81</v>
      </c>
      <c r="R304" s="11" t="s">
        <v>223</v>
      </c>
      <c r="S304" s="11" t="s">
        <v>2655</v>
      </c>
      <c r="T304" s="105" t="s">
        <v>1</v>
      </c>
      <c r="U304" s="98"/>
      <c r="V304" s="51">
        <v>45517</v>
      </c>
      <c r="W304" s="49" t="s">
        <v>1560</v>
      </c>
      <c r="X304" s="154" t="s">
        <v>2</v>
      </c>
      <c r="Y304" s="154">
        <v>0</v>
      </c>
    </row>
    <row r="305" spans="1:25" ht="13" customHeight="1">
      <c r="A305" s="11">
        <v>299</v>
      </c>
      <c r="B305" s="47">
        <v>204869090</v>
      </c>
      <c r="C305" s="88" t="s">
        <v>274</v>
      </c>
      <c r="D305" s="11" t="s">
        <v>275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95</v>
      </c>
      <c r="M305" s="49" t="s">
        <v>77</v>
      </c>
      <c r="N305" s="48" t="s">
        <v>86</v>
      </c>
      <c r="O305" s="49" t="s">
        <v>35</v>
      </c>
      <c r="P305" s="11" t="s">
        <v>80</v>
      </c>
      <c r="Q305" s="11" t="s">
        <v>87</v>
      </c>
      <c r="R305" s="11" t="s">
        <v>224</v>
      </c>
      <c r="S305" s="11" t="s">
        <v>225</v>
      </c>
      <c r="T305" s="105" t="s">
        <v>10</v>
      </c>
      <c r="U305" s="98"/>
      <c r="V305" s="51">
        <v>45691</v>
      </c>
      <c r="W305" s="49" t="s">
        <v>1559</v>
      </c>
      <c r="X305" s="154" t="s">
        <v>2948</v>
      </c>
      <c r="Y305" s="154">
        <v>0</v>
      </c>
    </row>
    <row r="306" spans="1:25" ht="13" customHeight="1">
      <c r="A306" s="11">
        <v>300</v>
      </c>
      <c r="B306" s="47">
        <v>206845692</v>
      </c>
      <c r="C306" s="88" t="s">
        <v>2441</v>
      </c>
      <c r="D306" s="47" t="s">
        <v>2442</v>
      </c>
      <c r="E306" s="47" t="s">
        <v>31</v>
      </c>
      <c r="F306" s="47" t="s">
        <v>74</v>
      </c>
      <c r="G306" s="47" t="s">
        <v>64</v>
      </c>
      <c r="H306" s="47" t="s">
        <v>75</v>
      </c>
      <c r="I306" s="47">
        <v>1299</v>
      </c>
      <c r="J306" s="49" t="s">
        <v>2411</v>
      </c>
      <c r="K306" s="49" t="s">
        <v>76</v>
      </c>
      <c r="L306" s="49" t="s">
        <v>78</v>
      </c>
      <c r="M306" s="49" t="s">
        <v>92</v>
      </c>
      <c r="N306" s="49" t="s">
        <v>89</v>
      </c>
      <c r="O306" s="47" t="s">
        <v>35</v>
      </c>
      <c r="P306" s="47" t="s">
        <v>80</v>
      </c>
      <c r="Q306" s="47" t="s">
        <v>90</v>
      </c>
      <c r="R306" s="11" t="s">
        <v>230</v>
      </c>
      <c r="S306" s="47" t="s">
        <v>1732</v>
      </c>
      <c r="T306" s="105" t="s">
        <v>1</v>
      </c>
      <c r="U306" s="98"/>
      <c r="V306" s="51">
        <v>46013</v>
      </c>
      <c r="W306" s="47" t="s">
        <v>1560</v>
      </c>
      <c r="X306" s="154" t="s">
        <v>2</v>
      </c>
      <c r="Y306" s="154">
        <v>0</v>
      </c>
    </row>
    <row r="307" spans="1:25" ht="13" customHeight="1">
      <c r="A307" s="11">
        <v>301</v>
      </c>
      <c r="B307" s="47">
        <v>203635501</v>
      </c>
      <c r="C307" s="88" t="s">
        <v>276</v>
      </c>
      <c r="D307" s="11" t="s">
        <v>277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78</v>
      </c>
      <c r="M307" s="49" t="s">
        <v>92</v>
      </c>
      <c r="N307" s="48" t="s">
        <v>79</v>
      </c>
      <c r="O307" s="49" t="s">
        <v>35</v>
      </c>
      <c r="P307" s="11" t="s">
        <v>80</v>
      </c>
      <c r="Q307" s="11" t="s">
        <v>81</v>
      </c>
      <c r="R307" s="11" t="s">
        <v>224</v>
      </c>
      <c r="S307" s="11" t="s">
        <v>225</v>
      </c>
      <c r="T307" s="105" t="s">
        <v>1</v>
      </c>
      <c r="U307" s="98"/>
      <c r="V307" s="51">
        <v>45481</v>
      </c>
      <c r="W307" s="49" t="s">
        <v>1560</v>
      </c>
      <c r="X307" s="154" t="s">
        <v>2</v>
      </c>
      <c r="Y307" s="154">
        <v>0</v>
      </c>
    </row>
    <row r="308" spans="1:25" ht="13" customHeight="1">
      <c r="A308" s="11">
        <v>302</v>
      </c>
      <c r="B308" s="47">
        <v>206915298</v>
      </c>
      <c r="C308" s="88" t="s">
        <v>2443</v>
      </c>
      <c r="D308" s="11" t="s">
        <v>2444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89</v>
      </c>
      <c r="O308" s="49" t="s">
        <v>35</v>
      </c>
      <c r="P308" s="49" t="s">
        <v>80</v>
      </c>
      <c r="Q308" s="49" t="s">
        <v>90</v>
      </c>
      <c r="R308" s="11" t="s">
        <v>223</v>
      </c>
      <c r="S308" s="49" t="s">
        <v>2655</v>
      </c>
      <c r="T308" s="105" t="s">
        <v>1</v>
      </c>
      <c r="U308" s="98"/>
      <c r="V308" s="51">
        <v>46034</v>
      </c>
      <c r="W308" s="49" t="s">
        <v>1560</v>
      </c>
      <c r="X308" s="154" t="s">
        <v>2</v>
      </c>
      <c r="Y308" s="154">
        <v>0</v>
      </c>
    </row>
    <row r="309" spans="1:25" ht="13" customHeight="1">
      <c r="A309" s="11">
        <v>303</v>
      </c>
      <c r="B309" s="47">
        <v>206504126</v>
      </c>
      <c r="C309" s="88" t="s">
        <v>2445</v>
      </c>
      <c r="D309" s="11" t="s">
        <v>2446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86</v>
      </c>
      <c r="O309" s="49" t="s">
        <v>35</v>
      </c>
      <c r="P309" s="11" t="s">
        <v>80</v>
      </c>
      <c r="Q309" s="11" t="s">
        <v>90</v>
      </c>
      <c r="R309" s="11" t="s">
        <v>230</v>
      </c>
      <c r="S309" s="11" t="s">
        <v>1732</v>
      </c>
      <c r="T309" s="105" t="s">
        <v>1</v>
      </c>
      <c r="U309" s="98"/>
      <c r="V309" s="51">
        <v>45971</v>
      </c>
      <c r="W309" s="49" t="s">
        <v>1560</v>
      </c>
      <c r="X309" s="154" t="s">
        <v>2</v>
      </c>
      <c r="Y309" s="154">
        <v>0</v>
      </c>
    </row>
    <row r="310" spans="1:25" ht="13" customHeight="1">
      <c r="A310" s="11">
        <v>304</v>
      </c>
      <c r="B310" s="47">
        <v>203881598</v>
      </c>
      <c r="C310" s="88" t="s">
        <v>278</v>
      </c>
      <c r="D310" s="11" t="s">
        <v>279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8" t="s">
        <v>79</v>
      </c>
      <c r="O310" s="49" t="s">
        <v>35</v>
      </c>
      <c r="P310" s="11" t="s">
        <v>80</v>
      </c>
      <c r="Q310" s="11" t="s">
        <v>81</v>
      </c>
      <c r="R310" s="11" t="s">
        <v>224</v>
      </c>
      <c r="S310" s="11" t="s">
        <v>225</v>
      </c>
      <c r="T310" s="105" t="s">
        <v>1</v>
      </c>
      <c r="U310" s="98"/>
      <c r="V310" s="51">
        <v>45530</v>
      </c>
      <c r="W310" s="49" t="s">
        <v>1560</v>
      </c>
      <c r="X310" s="154" t="s">
        <v>2</v>
      </c>
      <c r="Y310" s="154">
        <v>0</v>
      </c>
    </row>
    <row r="311" spans="1:25" ht="13" customHeight="1">
      <c r="A311" s="11">
        <v>305</v>
      </c>
      <c r="B311" s="47">
        <v>206915295</v>
      </c>
      <c r="C311" s="88" t="s">
        <v>2447</v>
      </c>
      <c r="D311" s="11" t="s">
        <v>2448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9" t="s">
        <v>35</v>
      </c>
      <c r="P311" s="49" t="s">
        <v>80</v>
      </c>
      <c r="Q311" s="49" t="s">
        <v>90</v>
      </c>
      <c r="R311" s="11" t="s">
        <v>223</v>
      </c>
      <c r="S311" s="49" t="s">
        <v>2655</v>
      </c>
      <c r="T311" s="105" t="s">
        <v>1</v>
      </c>
      <c r="U311" s="98"/>
      <c r="V311" s="51">
        <v>46034</v>
      </c>
      <c r="W311" s="49" t="s">
        <v>1560</v>
      </c>
      <c r="X311" s="154" t="s">
        <v>2</v>
      </c>
      <c r="Y311" s="154">
        <v>0</v>
      </c>
    </row>
    <row r="312" spans="1:25" ht="13" customHeight="1">
      <c r="A312" s="11">
        <v>306</v>
      </c>
      <c r="B312" s="47">
        <v>203712972</v>
      </c>
      <c r="C312" s="88" t="s">
        <v>280</v>
      </c>
      <c r="D312" s="11" t="s">
        <v>281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86</v>
      </c>
      <c r="O312" s="49" t="s">
        <v>35</v>
      </c>
      <c r="P312" s="11" t="s">
        <v>80</v>
      </c>
      <c r="Q312" s="11" t="s">
        <v>99</v>
      </c>
      <c r="R312" s="11" t="s">
        <v>224</v>
      </c>
      <c r="S312" s="11" t="s">
        <v>225</v>
      </c>
      <c r="T312" s="105" t="s">
        <v>7</v>
      </c>
      <c r="U312" s="98" t="s">
        <v>2941</v>
      </c>
      <c r="V312" s="51">
        <v>45517</v>
      </c>
      <c r="W312" s="49" t="s">
        <v>1560</v>
      </c>
      <c r="X312" s="154" t="s">
        <v>2948</v>
      </c>
      <c r="Y312" s="154" t="s">
        <v>2949</v>
      </c>
    </row>
    <row r="313" spans="1:25" ht="13" customHeight="1">
      <c r="A313" s="11">
        <v>307</v>
      </c>
      <c r="B313" s="47">
        <v>204883250</v>
      </c>
      <c r="C313" s="88" t="s">
        <v>282</v>
      </c>
      <c r="D313" s="11" t="s">
        <v>283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8" t="s">
        <v>86</v>
      </c>
      <c r="O313" s="49" t="s">
        <v>35</v>
      </c>
      <c r="P313" s="11" t="s">
        <v>80</v>
      </c>
      <c r="Q313" s="11" t="s">
        <v>87</v>
      </c>
      <c r="R313" s="11" t="s">
        <v>224</v>
      </c>
      <c r="S313" s="11" t="s">
        <v>225</v>
      </c>
      <c r="T313" s="105" t="s">
        <v>1</v>
      </c>
      <c r="U313" s="98"/>
      <c r="V313" s="51">
        <v>45691</v>
      </c>
      <c r="W313" s="49" t="s">
        <v>1559</v>
      </c>
      <c r="X313" s="154" t="s">
        <v>2</v>
      </c>
      <c r="Y313" s="154">
        <v>0</v>
      </c>
    </row>
    <row r="314" spans="1:25" ht="13" customHeight="1">
      <c r="A314" s="11">
        <v>308</v>
      </c>
      <c r="B314" s="47">
        <v>203521129</v>
      </c>
      <c r="C314" s="88" t="s">
        <v>284</v>
      </c>
      <c r="D314" s="11" t="s">
        <v>285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39</v>
      </c>
      <c r="K314" s="49" t="s">
        <v>76</v>
      </c>
      <c r="L314" s="49" t="s">
        <v>78</v>
      </c>
      <c r="M314" s="49" t="s">
        <v>92</v>
      </c>
      <c r="N314" s="48" t="s">
        <v>79</v>
      </c>
      <c r="O314" s="49" t="s">
        <v>35</v>
      </c>
      <c r="P314" s="11" t="s">
        <v>80</v>
      </c>
      <c r="Q314" s="11" t="s">
        <v>81</v>
      </c>
      <c r="R314" s="11" t="s">
        <v>223</v>
      </c>
      <c r="S314" s="11" t="s">
        <v>2655</v>
      </c>
      <c r="T314" s="105" t="s">
        <v>1</v>
      </c>
      <c r="U314" s="98"/>
      <c r="V314" s="51">
        <v>45463</v>
      </c>
      <c r="W314" s="49" t="s">
        <v>1560</v>
      </c>
      <c r="X314" s="154" t="s">
        <v>2</v>
      </c>
      <c r="Y314" s="154">
        <v>0</v>
      </c>
    </row>
    <row r="315" spans="1:25" ht="13" customHeight="1">
      <c r="A315" s="11">
        <v>309</v>
      </c>
      <c r="B315" s="47">
        <v>205236900</v>
      </c>
      <c r="C315" s="88" t="s">
        <v>286</v>
      </c>
      <c r="D315" s="11" t="s">
        <v>287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86</v>
      </c>
      <c r="O315" s="49" t="s">
        <v>35</v>
      </c>
      <c r="P315" s="11" t="s">
        <v>80</v>
      </c>
      <c r="Q315" s="11" t="s">
        <v>90</v>
      </c>
      <c r="R315" s="11" t="s">
        <v>224</v>
      </c>
      <c r="S315" s="11" t="s">
        <v>225</v>
      </c>
      <c r="T315" s="105" t="s">
        <v>7</v>
      </c>
      <c r="U315" s="98" t="s">
        <v>2941</v>
      </c>
      <c r="V315" s="51">
        <v>45831</v>
      </c>
      <c r="W315" s="49" t="s">
        <v>1561</v>
      </c>
      <c r="X315" s="154" t="s">
        <v>2948</v>
      </c>
      <c r="Y315" s="154" t="s">
        <v>2949</v>
      </c>
    </row>
    <row r="316" spans="1:25" ht="13" customHeight="1">
      <c r="A316" s="11">
        <v>310</v>
      </c>
      <c r="B316" s="47">
        <v>203468310</v>
      </c>
      <c r="C316" s="88" t="s">
        <v>288</v>
      </c>
      <c r="D316" s="11" t="s">
        <v>289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79</v>
      </c>
      <c r="O316" s="49" t="s">
        <v>35</v>
      </c>
      <c r="P316" s="11" t="s">
        <v>80</v>
      </c>
      <c r="Q316" s="11" t="s">
        <v>81</v>
      </c>
      <c r="R316" s="11" t="s">
        <v>224</v>
      </c>
      <c r="S316" s="11" t="s">
        <v>225</v>
      </c>
      <c r="T316" s="105" t="s">
        <v>1</v>
      </c>
      <c r="U316" s="98"/>
      <c r="V316" s="51">
        <v>45456</v>
      </c>
      <c r="W316" s="49" t="s">
        <v>1557</v>
      </c>
      <c r="X316" s="154" t="s">
        <v>2</v>
      </c>
      <c r="Y316" s="154">
        <v>0</v>
      </c>
    </row>
    <row r="317" spans="1:25" ht="13" customHeight="1">
      <c r="A317" s="11">
        <v>311</v>
      </c>
      <c r="B317" s="47">
        <v>206873865</v>
      </c>
      <c r="C317" s="88" t="s">
        <v>2449</v>
      </c>
      <c r="D317" s="11" t="s">
        <v>2450</v>
      </c>
      <c r="E317" s="48" t="s">
        <v>31</v>
      </c>
      <c r="F317" s="48" t="s">
        <v>74</v>
      </c>
      <c r="G317" s="48" t="s">
        <v>64</v>
      </c>
      <c r="H317" s="48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89</v>
      </c>
      <c r="O317" s="48" t="s">
        <v>35</v>
      </c>
      <c r="P317" s="48" t="s">
        <v>80</v>
      </c>
      <c r="Q317" s="11" t="s">
        <v>90</v>
      </c>
      <c r="R317" s="11" t="s">
        <v>230</v>
      </c>
      <c r="S317" s="11" t="s">
        <v>1732</v>
      </c>
      <c r="T317" s="105" t="s">
        <v>1</v>
      </c>
      <c r="U317" s="98"/>
      <c r="V317" s="51">
        <v>46020</v>
      </c>
      <c r="W317" s="49" t="s">
        <v>1560</v>
      </c>
      <c r="X317" s="154" t="s">
        <v>2</v>
      </c>
      <c r="Y317" s="154">
        <v>0</v>
      </c>
    </row>
    <row r="318" spans="1:25" ht="13" customHeight="1">
      <c r="A318" s="11">
        <v>312</v>
      </c>
      <c r="B318" s="47">
        <v>203800480</v>
      </c>
      <c r="C318" s="88" t="s">
        <v>2451</v>
      </c>
      <c r="D318" s="11" t="s">
        <v>2452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90</v>
      </c>
      <c r="R318" s="11" t="s">
        <v>223</v>
      </c>
      <c r="S318" s="11" t="s">
        <v>2655</v>
      </c>
      <c r="T318" s="105" t="s">
        <v>1</v>
      </c>
      <c r="U318" s="98"/>
      <c r="V318" s="51">
        <v>45516</v>
      </c>
      <c r="W318" s="49" t="s">
        <v>1560</v>
      </c>
      <c r="X318" s="154" t="s">
        <v>2</v>
      </c>
      <c r="Y318" s="154">
        <v>0</v>
      </c>
    </row>
    <row r="319" spans="1:25" ht="13" customHeight="1">
      <c r="A319" s="11">
        <v>313</v>
      </c>
      <c r="B319" s="47">
        <v>206958910</v>
      </c>
      <c r="C319" s="88" t="s">
        <v>2049</v>
      </c>
      <c r="D319" s="11" t="s">
        <v>1978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89</v>
      </c>
      <c r="O319" s="49" t="s">
        <v>35</v>
      </c>
      <c r="P319" s="11" t="s">
        <v>80</v>
      </c>
      <c r="Q319" s="11" t="s">
        <v>96</v>
      </c>
      <c r="R319" s="11" t="s">
        <v>223</v>
      </c>
      <c r="S319" s="11" t="s">
        <v>2655</v>
      </c>
      <c r="T319" s="105" t="s">
        <v>1</v>
      </c>
      <c r="U319" s="98"/>
      <c r="V319" s="51">
        <v>46048</v>
      </c>
      <c r="W319" s="49" t="s">
        <v>1560</v>
      </c>
      <c r="X319" s="154" t="s">
        <v>2</v>
      </c>
      <c r="Y319" s="154">
        <v>0</v>
      </c>
    </row>
    <row r="320" spans="1:25" ht="13" customHeight="1">
      <c r="A320" s="11">
        <v>314</v>
      </c>
      <c r="B320" s="47">
        <v>203521521</v>
      </c>
      <c r="C320" s="88" t="s">
        <v>290</v>
      </c>
      <c r="D320" s="11" t="s">
        <v>291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79</v>
      </c>
      <c r="O320" s="49" t="s">
        <v>35</v>
      </c>
      <c r="P320" s="11" t="s">
        <v>80</v>
      </c>
      <c r="Q320" s="11" t="s">
        <v>81</v>
      </c>
      <c r="R320" s="11" t="s">
        <v>224</v>
      </c>
      <c r="S320" s="11" t="s">
        <v>225</v>
      </c>
      <c r="T320" s="105" t="s">
        <v>1</v>
      </c>
      <c r="U320" s="98"/>
      <c r="V320" s="51">
        <v>45463</v>
      </c>
      <c r="W320" s="49" t="s">
        <v>1557</v>
      </c>
      <c r="X320" s="154" t="s">
        <v>2</v>
      </c>
      <c r="Y320" s="154">
        <v>0</v>
      </c>
    </row>
    <row r="321" spans="1:25" ht="13" customHeight="1">
      <c r="A321" s="11">
        <v>315</v>
      </c>
      <c r="B321" s="47">
        <v>203965524</v>
      </c>
      <c r="C321" s="88" t="s">
        <v>292</v>
      </c>
      <c r="D321" s="11" t="s">
        <v>293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95</v>
      </c>
      <c r="M321" s="49" t="s">
        <v>77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224</v>
      </c>
      <c r="S321" s="11" t="s">
        <v>225</v>
      </c>
      <c r="T321" s="105" t="s">
        <v>10</v>
      </c>
      <c r="U321" s="98"/>
      <c r="V321" s="51">
        <v>45544</v>
      </c>
      <c r="W321" s="49" t="s">
        <v>1560</v>
      </c>
      <c r="X321" s="154" t="s">
        <v>2948</v>
      </c>
      <c r="Y321" s="154">
        <v>0</v>
      </c>
    </row>
    <row r="322" spans="1:25" ht="13" customHeight="1">
      <c r="A322" s="11">
        <v>316</v>
      </c>
      <c r="B322" s="47">
        <v>205609884</v>
      </c>
      <c r="C322" s="88" t="s">
        <v>2453</v>
      </c>
      <c r="D322" s="11" t="s">
        <v>2454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8" t="s">
        <v>86</v>
      </c>
      <c r="O322" s="49" t="s">
        <v>35</v>
      </c>
      <c r="P322" s="11" t="s">
        <v>80</v>
      </c>
      <c r="Q322" s="11" t="s">
        <v>90</v>
      </c>
      <c r="R322" s="11" t="s">
        <v>223</v>
      </c>
      <c r="S322" s="11" t="s">
        <v>2655</v>
      </c>
      <c r="T322" s="105" t="s">
        <v>7</v>
      </c>
      <c r="U322" s="98" t="s">
        <v>2941</v>
      </c>
      <c r="V322" s="51">
        <v>45845</v>
      </c>
      <c r="W322" s="49" t="s">
        <v>1560</v>
      </c>
      <c r="X322" s="154" t="s">
        <v>2948</v>
      </c>
      <c r="Y322" s="154" t="s">
        <v>2941</v>
      </c>
    </row>
    <row r="323" spans="1:25" ht="13" customHeight="1">
      <c r="A323" s="11">
        <v>317</v>
      </c>
      <c r="B323" s="47">
        <v>206006412</v>
      </c>
      <c r="C323" s="88" t="s">
        <v>295</v>
      </c>
      <c r="D323" s="11" t="s">
        <v>1731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77</v>
      </c>
      <c r="M323" s="49" t="s">
        <v>78</v>
      </c>
      <c r="N323" s="48" t="s">
        <v>79</v>
      </c>
      <c r="O323" s="49" t="s">
        <v>35</v>
      </c>
      <c r="P323" s="11" t="s">
        <v>80</v>
      </c>
      <c r="Q323" s="11" t="s">
        <v>81</v>
      </c>
      <c r="R323" s="11" t="s">
        <v>223</v>
      </c>
      <c r="S323" s="11" t="s">
        <v>2655</v>
      </c>
      <c r="T323" s="105" t="s">
        <v>10</v>
      </c>
      <c r="U323" s="98"/>
      <c r="V323" s="51">
        <v>45915</v>
      </c>
      <c r="W323" s="49" t="s">
        <v>1560</v>
      </c>
      <c r="X323" s="154" t="s">
        <v>2948</v>
      </c>
      <c r="Y323" s="154">
        <v>0</v>
      </c>
    </row>
    <row r="324" spans="1:25" ht="13" customHeight="1">
      <c r="A324" s="11">
        <v>318</v>
      </c>
      <c r="B324" s="47">
        <v>203965495</v>
      </c>
      <c r="C324" s="88" t="s">
        <v>296</v>
      </c>
      <c r="D324" s="11" t="s">
        <v>297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8" t="s">
        <v>79</v>
      </c>
      <c r="O324" s="49" t="s">
        <v>35</v>
      </c>
      <c r="P324" s="11" t="s">
        <v>80</v>
      </c>
      <c r="Q324" s="11" t="s">
        <v>81</v>
      </c>
      <c r="R324" s="11" t="s">
        <v>223</v>
      </c>
      <c r="S324" s="11" t="s">
        <v>2655</v>
      </c>
      <c r="T324" s="105" t="s">
        <v>7</v>
      </c>
      <c r="U324" s="98" t="s">
        <v>2941</v>
      </c>
      <c r="V324" s="51">
        <v>45544</v>
      </c>
      <c r="W324" s="49" t="s">
        <v>1560</v>
      </c>
      <c r="X324" s="154" t="s">
        <v>2948</v>
      </c>
      <c r="Y324" s="154" t="s">
        <v>2941</v>
      </c>
    </row>
    <row r="325" spans="1:25" ht="13" customHeight="1">
      <c r="A325" s="11">
        <v>319</v>
      </c>
      <c r="B325" s="47">
        <v>203802274</v>
      </c>
      <c r="C325" s="88" t="s">
        <v>298</v>
      </c>
      <c r="D325" s="11" t="s">
        <v>299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223</v>
      </c>
      <c r="S325" s="11" t="s">
        <v>2655</v>
      </c>
      <c r="T325" s="105" t="s">
        <v>1</v>
      </c>
      <c r="U325" s="98"/>
      <c r="V325" s="51">
        <v>45516</v>
      </c>
      <c r="W325" s="49" t="s">
        <v>1560</v>
      </c>
      <c r="X325" s="154" t="s">
        <v>2</v>
      </c>
      <c r="Y325" s="154">
        <v>0</v>
      </c>
    </row>
    <row r="326" spans="1:25" ht="13" customHeight="1">
      <c r="A326" s="11">
        <v>320</v>
      </c>
      <c r="B326" s="47">
        <v>205506017</v>
      </c>
      <c r="C326" s="88" t="s">
        <v>2455</v>
      </c>
      <c r="D326" s="11" t="s">
        <v>2456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77</v>
      </c>
      <c r="M326" s="49" t="s">
        <v>78</v>
      </c>
      <c r="N326" s="49" t="s">
        <v>89</v>
      </c>
      <c r="O326" s="49" t="s">
        <v>35</v>
      </c>
      <c r="P326" s="11" t="s">
        <v>80</v>
      </c>
      <c r="Q326" s="11" t="s">
        <v>96</v>
      </c>
      <c r="R326" s="11" t="s">
        <v>223</v>
      </c>
      <c r="S326" s="11" t="s">
        <v>2655</v>
      </c>
      <c r="T326" s="105" t="s">
        <v>10</v>
      </c>
      <c r="U326" s="98"/>
      <c r="V326" s="51">
        <v>45831</v>
      </c>
      <c r="W326" s="49" t="s">
        <v>1560</v>
      </c>
      <c r="X326" s="154" t="s">
        <v>2948</v>
      </c>
      <c r="Y326" s="154">
        <v>0</v>
      </c>
    </row>
    <row r="327" spans="1:25" ht="13" customHeight="1">
      <c r="A327" s="11">
        <v>321</v>
      </c>
      <c r="B327" s="47">
        <v>205608618</v>
      </c>
      <c r="C327" s="88" t="s">
        <v>2457</v>
      </c>
      <c r="D327" s="11" t="s">
        <v>2458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223</v>
      </c>
      <c r="S327" s="11" t="s">
        <v>2655</v>
      </c>
      <c r="T327" s="105" t="s">
        <v>1</v>
      </c>
      <c r="U327" s="98"/>
      <c r="V327" s="51">
        <v>45845</v>
      </c>
      <c r="W327" s="49" t="s">
        <v>1560</v>
      </c>
      <c r="X327" s="154" t="s">
        <v>2</v>
      </c>
      <c r="Y327" s="154">
        <v>0</v>
      </c>
    </row>
    <row r="328" spans="1:25" ht="13" customHeight="1">
      <c r="A328" s="11">
        <v>322</v>
      </c>
      <c r="B328" s="47">
        <v>203965520</v>
      </c>
      <c r="C328" s="88" t="s">
        <v>301</v>
      </c>
      <c r="D328" s="11" t="s">
        <v>302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39</v>
      </c>
      <c r="K328" s="49" t="s">
        <v>76</v>
      </c>
      <c r="L328" s="49" t="s">
        <v>78</v>
      </c>
      <c r="M328" s="49" t="s">
        <v>92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223</v>
      </c>
      <c r="S328" s="11" t="s">
        <v>2655</v>
      </c>
      <c r="T328" s="105" t="s">
        <v>1</v>
      </c>
      <c r="U328" s="98"/>
      <c r="V328" s="51">
        <v>45544</v>
      </c>
      <c r="W328" s="49" t="s">
        <v>1560</v>
      </c>
      <c r="X328" s="154" t="s">
        <v>2</v>
      </c>
      <c r="Y328" s="154">
        <v>0</v>
      </c>
    </row>
    <row r="329" spans="1:25" ht="13" customHeight="1">
      <c r="A329" s="11">
        <v>323</v>
      </c>
      <c r="B329" s="47">
        <v>203851006</v>
      </c>
      <c r="C329" s="88" t="s">
        <v>303</v>
      </c>
      <c r="D329" s="11" t="s">
        <v>304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225</v>
      </c>
      <c r="T329" s="105" t="s">
        <v>1</v>
      </c>
      <c r="U329" s="98"/>
      <c r="V329" s="51">
        <v>45524</v>
      </c>
      <c r="W329" s="49" t="s">
        <v>1559</v>
      </c>
      <c r="X329" s="154" t="s">
        <v>2</v>
      </c>
      <c r="Y329" s="154">
        <v>0</v>
      </c>
    </row>
    <row r="330" spans="1:25" ht="13" customHeight="1">
      <c r="A330" s="11">
        <v>324</v>
      </c>
      <c r="B330" s="47">
        <v>203881601</v>
      </c>
      <c r="C330" s="88" t="s">
        <v>305</v>
      </c>
      <c r="D330" s="11" t="s">
        <v>306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88</v>
      </c>
      <c r="M330" s="49" t="s">
        <v>95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223</v>
      </c>
      <c r="S330" s="11" t="s">
        <v>2655</v>
      </c>
      <c r="T330" s="105" t="s">
        <v>1</v>
      </c>
      <c r="U330" s="98"/>
      <c r="V330" s="51">
        <v>45530</v>
      </c>
      <c r="W330" s="49" t="s">
        <v>1560</v>
      </c>
      <c r="X330" s="154" t="s">
        <v>2</v>
      </c>
      <c r="Y330" s="154">
        <v>0</v>
      </c>
    </row>
    <row r="331" spans="1:25" ht="13" customHeight="1">
      <c r="A331" s="11">
        <v>325</v>
      </c>
      <c r="B331" s="47">
        <v>204967143</v>
      </c>
      <c r="C331" s="88" t="s">
        <v>307</v>
      </c>
      <c r="D331" s="11" t="s">
        <v>308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84</v>
      </c>
      <c r="M331" s="49" t="s">
        <v>85</v>
      </c>
      <c r="N331" s="48" t="s">
        <v>86</v>
      </c>
      <c r="O331" s="49" t="s">
        <v>35</v>
      </c>
      <c r="P331" s="11" t="s">
        <v>80</v>
      </c>
      <c r="Q331" s="11" t="s">
        <v>90</v>
      </c>
      <c r="R331" s="11" t="s">
        <v>223</v>
      </c>
      <c r="S331" s="11" t="s">
        <v>2655</v>
      </c>
      <c r="T331" s="105" t="s">
        <v>1</v>
      </c>
      <c r="U331" s="98"/>
      <c r="V331" s="51">
        <v>45826</v>
      </c>
      <c r="W331" s="49" t="s">
        <v>1560</v>
      </c>
      <c r="X331" s="154" t="s">
        <v>2</v>
      </c>
      <c r="Y331" s="154">
        <v>0</v>
      </c>
    </row>
    <row r="332" spans="1:25" ht="13" customHeight="1">
      <c r="A332" s="11">
        <v>326</v>
      </c>
      <c r="B332" s="47">
        <v>206065200</v>
      </c>
      <c r="C332" s="88" t="s">
        <v>309</v>
      </c>
      <c r="D332" s="11" t="s">
        <v>310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79</v>
      </c>
      <c r="O332" s="49" t="s">
        <v>35</v>
      </c>
      <c r="P332" s="11" t="s">
        <v>80</v>
      </c>
      <c r="Q332" s="11" t="s">
        <v>81</v>
      </c>
      <c r="R332" s="11" t="s">
        <v>224</v>
      </c>
      <c r="S332" s="11" t="s">
        <v>225</v>
      </c>
      <c r="T332" s="105" t="s">
        <v>1</v>
      </c>
      <c r="U332" s="98"/>
      <c r="V332" s="51">
        <v>45922</v>
      </c>
      <c r="W332" s="49" t="s">
        <v>1559</v>
      </c>
      <c r="X332" s="154" t="s">
        <v>2</v>
      </c>
      <c r="Y332" s="154">
        <v>0</v>
      </c>
    </row>
    <row r="333" spans="1:25" ht="13" customHeight="1">
      <c r="A333" s="11">
        <v>327</v>
      </c>
      <c r="B333" s="47">
        <v>205495596</v>
      </c>
      <c r="C333" s="88" t="s">
        <v>2459</v>
      </c>
      <c r="D333" s="11" t="s">
        <v>2460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84</v>
      </c>
      <c r="M333" s="49" t="s">
        <v>85</v>
      </c>
      <c r="N333" s="49" t="s">
        <v>89</v>
      </c>
      <c r="O333" s="49" t="s">
        <v>35</v>
      </c>
      <c r="P333" s="11" t="s">
        <v>80</v>
      </c>
      <c r="Q333" s="11" t="s">
        <v>96</v>
      </c>
      <c r="R333" s="11" t="s">
        <v>223</v>
      </c>
      <c r="S333" s="11" t="s">
        <v>2655</v>
      </c>
      <c r="T333" s="105" t="s">
        <v>1</v>
      </c>
      <c r="U333" s="98"/>
      <c r="V333" s="51">
        <v>45831</v>
      </c>
      <c r="W333" s="49" t="s">
        <v>1560</v>
      </c>
      <c r="X333" s="154" t="s">
        <v>2</v>
      </c>
      <c r="Y333" s="154">
        <v>0</v>
      </c>
    </row>
    <row r="334" spans="1:25" ht="13" customHeight="1">
      <c r="A334" s="11">
        <v>328</v>
      </c>
      <c r="B334" s="47">
        <v>204246157</v>
      </c>
      <c r="C334" s="88" t="s">
        <v>311</v>
      </c>
      <c r="D334" s="11" t="s">
        <v>312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86</v>
      </c>
      <c r="O334" s="49" t="s">
        <v>35</v>
      </c>
      <c r="P334" s="11" t="s">
        <v>80</v>
      </c>
      <c r="Q334" s="11" t="s">
        <v>87</v>
      </c>
      <c r="R334" s="11" t="s">
        <v>223</v>
      </c>
      <c r="S334" s="11" t="s">
        <v>2655</v>
      </c>
      <c r="T334" s="105" t="s">
        <v>1</v>
      </c>
      <c r="U334" s="98"/>
      <c r="V334" s="51">
        <v>45579</v>
      </c>
      <c r="W334" s="49" t="s">
        <v>1560</v>
      </c>
      <c r="X334" s="154" t="s">
        <v>2</v>
      </c>
      <c r="Y334" s="154">
        <v>0</v>
      </c>
    </row>
    <row r="335" spans="1:25" ht="13" customHeight="1">
      <c r="A335" s="11">
        <v>329</v>
      </c>
      <c r="B335" s="47">
        <v>204868859</v>
      </c>
      <c r="C335" s="88" t="s">
        <v>313</v>
      </c>
      <c r="D335" s="11" t="s">
        <v>314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8" t="s">
        <v>86</v>
      </c>
      <c r="O335" s="49" t="s">
        <v>35</v>
      </c>
      <c r="P335" s="11" t="s">
        <v>80</v>
      </c>
      <c r="Q335" s="11" t="s">
        <v>87</v>
      </c>
      <c r="R335" s="11" t="s">
        <v>230</v>
      </c>
      <c r="S335" s="11" t="s">
        <v>1732</v>
      </c>
      <c r="T335" s="105" t="s">
        <v>1</v>
      </c>
      <c r="U335" s="98"/>
      <c r="V335" s="51">
        <v>45691</v>
      </c>
      <c r="W335" s="49" t="s">
        <v>1560</v>
      </c>
      <c r="X335" s="154" t="s">
        <v>2</v>
      </c>
      <c r="Y335" s="154">
        <v>0</v>
      </c>
    </row>
    <row r="336" spans="1:25" ht="13" customHeight="1">
      <c r="A336" s="11">
        <v>330</v>
      </c>
      <c r="B336" s="47">
        <v>204872907</v>
      </c>
      <c r="C336" s="88" t="s">
        <v>315</v>
      </c>
      <c r="D336" s="11" t="s">
        <v>316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223</v>
      </c>
      <c r="S336" s="11" t="s">
        <v>2655</v>
      </c>
      <c r="T336" s="105" t="s">
        <v>7</v>
      </c>
      <c r="U336" s="98" t="s">
        <v>2941</v>
      </c>
      <c r="V336" s="51">
        <v>45826</v>
      </c>
      <c r="W336" s="49" t="s">
        <v>1560</v>
      </c>
      <c r="X336" s="154" t="s">
        <v>2948</v>
      </c>
      <c r="Y336" s="154" t="s">
        <v>2949</v>
      </c>
    </row>
    <row r="337" spans="1:25" ht="13" customHeight="1">
      <c r="A337" s="11">
        <v>331</v>
      </c>
      <c r="B337" s="47">
        <v>206065195</v>
      </c>
      <c r="C337" s="88" t="s">
        <v>317</v>
      </c>
      <c r="D337" s="11" t="s">
        <v>318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84</v>
      </c>
      <c r="M337" s="49" t="s">
        <v>85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224</v>
      </c>
      <c r="S337" s="11" t="s">
        <v>225</v>
      </c>
      <c r="T337" s="105" t="s">
        <v>1</v>
      </c>
      <c r="U337" s="98"/>
      <c r="V337" s="51">
        <v>45922</v>
      </c>
      <c r="W337" s="49" t="s">
        <v>1559</v>
      </c>
      <c r="X337" s="154" t="s">
        <v>2</v>
      </c>
      <c r="Y337" s="154">
        <v>0</v>
      </c>
    </row>
    <row r="338" spans="1:25" ht="13" customHeight="1">
      <c r="A338" s="11">
        <v>332</v>
      </c>
      <c r="B338" s="47">
        <v>203468317</v>
      </c>
      <c r="C338" s="88" t="s">
        <v>319</v>
      </c>
      <c r="D338" s="11" t="s">
        <v>320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224</v>
      </c>
      <c r="S338" s="11" t="s">
        <v>225</v>
      </c>
      <c r="T338" s="105" t="s">
        <v>1</v>
      </c>
      <c r="U338" s="98"/>
      <c r="V338" s="51">
        <v>45456</v>
      </c>
      <c r="W338" s="49" t="s">
        <v>1557</v>
      </c>
      <c r="X338" s="154" t="s">
        <v>2</v>
      </c>
      <c r="Y338" s="154">
        <v>0</v>
      </c>
    </row>
    <row r="339" spans="1:25" ht="13" customHeight="1">
      <c r="A339" s="11">
        <v>333</v>
      </c>
      <c r="B339" s="47">
        <v>205671334</v>
      </c>
      <c r="C339" s="88" t="s">
        <v>2304</v>
      </c>
      <c r="D339" s="11" t="s">
        <v>2305</v>
      </c>
      <c r="E339" s="48" t="s">
        <v>34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78</v>
      </c>
      <c r="M339" s="49" t="s">
        <v>92</v>
      </c>
      <c r="N339" s="48" t="s">
        <v>97</v>
      </c>
      <c r="O339" s="49" t="s">
        <v>35</v>
      </c>
      <c r="P339" s="11" t="s">
        <v>80</v>
      </c>
      <c r="Q339" s="11" t="s">
        <v>98</v>
      </c>
      <c r="R339" s="11" t="s">
        <v>230</v>
      </c>
      <c r="S339" s="11" t="s">
        <v>1732</v>
      </c>
      <c r="T339" s="105" t="s">
        <v>1</v>
      </c>
      <c r="U339" s="98"/>
      <c r="V339" s="51">
        <v>46062</v>
      </c>
      <c r="W339" s="49" t="s">
        <v>1562</v>
      </c>
      <c r="X339" s="154" t="s">
        <v>2</v>
      </c>
      <c r="Y339" s="154">
        <v>0</v>
      </c>
    </row>
    <row r="340" spans="1:25" ht="13" customHeight="1">
      <c r="A340" s="11">
        <v>334</v>
      </c>
      <c r="B340" s="47">
        <v>203851004</v>
      </c>
      <c r="C340" s="88" t="s">
        <v>321</v>
      </c>
      <c r="D340" s="11" t="s">
        <v>322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79</v>
      </c>
      <c r="O340" s="49" t="s">
        <v>35</v>
      </c>
      <c r="P340" s="11" t="s">
        <v>80</v>
      </c>
      <c r="Q340" s="11" t="s">
        <v>81</v>
      </c>
      <c r="R340" s="11" t="s">
        <v>224</v>
      </c>
      <c r="S340" s="11" t="s">
        <v>225</v>
      </c>
      <c r="T340" s="105" t="s">
        <v>1</v>
      </c>
      <c r="U340" s="98"/>
      <c r="V340" s="51">
        <v>45524</v>
      </c>
      <c r="W340" s="49" t="s">
        <v>1559</v>
      </c>
      <c r="X340" s="154" t="s">
        <v>2</v>
      </c>
      <c r="Y340" s="154">
        <v>0</v>
      </c>
    </row>
    <row r="341" spans="1:25" ht="13" customHeight="1">
      <c r="A341" s="11">
        <v>335</v>
      </c>
      <c r="B341" s="47">
        <v>203736252</v>
      </c>
      <c r="C341" s="88" t="s">
        <v>2461</v>
      </c>
      <c r="D341" s="11" t="s">
        <v>2462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92</v>
      </c>
      <c r="M341" s="49" t="s">
        <v>84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223</v>
      </c>
      <c r="S341" s="11" t="s">
        <v>2655</v>
      </c>
      <c r="T341" s="105" t="s">
        <v>1</v>
      </c>
      <c r="U341" s="98"/>
      <c r="V341" s="51">
        <v>45502</v>
      </c>
      <c r="W341" s="49" t="s">
        <v>1560</v>
      </c>
      <c r="X341" s="154" t="s">
        <v>2</v>
      </c>
      <c r="Y341" s="154">
        <v>0</v>
      </c>
    </row>
    <row r="342" spans="1:25" ht="13" customHeight="1">
      <c r="A342" s="11">
        <v>336</v>
      </c>
      <c r="B342" s="47">
        <v>204246170</v>
      </c>
      <c r="C342" s="88" t="s">
        <v>323</v>
      </c>
      <c r="D342" s="11" t="s">
        <v>324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85</v>
      </c>
      <c r="M342" s="49" t="s">
        <v>88</v>
      </c>
      <c r="N342" s="48" t="s">
        <v>86</v>
      </c>
      <c r="O342" s="49" t="s">
        <v>35</v>
      </c>
      <c r="P342" s="11" t="s">
        <v>80</v>
      </c>
      <c r="Q342" s="11" t="s">
        <v>87</v>
      </c>
      <c r="R342" s="11" t="s">
        <v>223</v>
      </c>
      <c r="S342" s="11" t="s">
        <v>2655</v>
      </c>
      <c r="T342" s="105" t="s">
        <v>1</v>
      </c>
      <c r="U342" s="98"/>
      <c r="V342" s="51">
        <v>45579</v>
      </c>
      <c r="W342" s="49" t="s">
        <v>1560</v>
      </c>
      <c r="X342" s="154" t="s">
        <v>2</v>
      </c>
      <c r="Y342" s="154">
        <v>0</v>
      </c>
    </row>
    <row r="343" spans="1:25" ht="13" customHeight="1">
      <c r="A343" s="11">
        <v>337</v>
      </c>
      <c r="B343" s="47">
        <v>204246161</v>
      </c>
      <c r="C343" s="88" t="s">
        <v>325</v>
      </c>
      <c r="D343" s="11" t="s">
        <v>326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78</v>
      </c>
      <c r="M343" s="49" t="s">
        <v>92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223</v>
      </c>
      <c r="S343" s="11" t="s">
        <v>2655</v>
      </c>
      <c r="T343" s="105" t="s">
        <v>1</v>
      </c>
      <c r="U343" s="98"/>
      <c r="V343" s="51">
        <v>45579</v>
      </c>
      <c r="W343" s="49" t="s">
        <v>1560</v>
      </c>
      <c r="X343" s="154" t="s">
        <v>2</v>
      </c>
      <c r="Y343" s="154">
        <v>0</v>
      </c>
    </row>
    <row r="344" spans="1:25" ht="13" customHeight="1">
      <c r="A344" s="11">
        <v>338</v>
      </c>
      <c r="B344" s="47">
        <v>102582327</v>
      </c>
      <c r="C344" s="88" t="s">
        <v>327</v>
      </c>
      <c r="D344" s="11" t="s">
        <v>328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2411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223</v>
      </c>
      <c r="S344" s="11" t="s">
        <v>2655</v>
      </c>
      <c r="T344" s="105" t="s">
        <v>1</v>
      </c>
      <c r="U344" s="98"/>
      <c r="V344" s="51">
        <v>42960</v>
      </c>
      <c r="W344" s="49" t="s">
        <v>1562</v>
      </c>
      <c r="X344" s="154" t="s">
        <v>2</v>
      </c>
      <c r="Y344" s="154">
        <v>0</v>
      </c>
    </row>
    <row r="345" spans="1:25" ht="13" customHeight="1">
      <c r="A345" s="11">
        <v>339</v>
      </c>
      <c r="B345" s="47">
        <v>203555714</v>
      </c>
      <c r="C345" s="88" t="s">
        <v>329</v>
      </c>
      <c r="D345" s="11" t="s">
        <v>330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32</v>
      </c>
      <c r="K345" s="49" t="s">
        <v>76</v>
      </c>
      <c r="L345" s="49" t="s">
        <v>77</v>
      </c>
      <c r="M345" s="49" t="s">
        <v>78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224</v>
      </c>
      <c r="S345" s="11" t="s">
        <v>225</v>
      </c>
      <c r="T345" s="105" t="s">
        <v>10</v>
      </c>
      <c r="U345" s="98"/>
      <c r="V345" s="51">
        <v>45470</v>
      </c>
      <c r="W345" s="49" t="s">
        <v>1559</v>
      </c>
      <c r="X345" s="154" t="s">
        <v>2948</v>
      </c>
      <c r="Y345" s="154">
        <v>0</v>
      </c>
    </row>
    <row r="346" spans="1:25" ht="13" customHeight="1">
      <c r="A346" s="11">
        <v>340</v>
      </c>
      <c r="B346" s="47">
        <v>203468318</v>
      </c>
      <c r="C346" s="88" t="s">
        <v>331</v>
      </c>
      <c r="D346" s="11" t="s">
        <v>332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78</v>
      </c>
      <c r="M346" s="49" t="s">
        <v>92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224</v>
      </c>
      <c r="S346" s="11" t="s">
        <v>225</v>
      </c>
      <c r="T346" s="105" t="s">
        <v>1</v>
      </c>
      <c r="U346" s="98"/>
      <c r="V346" s="51">
        <v>45456</v>
      </c>
      <c r="W346" s="49" t="s">
        <v>1557</v>
      </c>
      <c r="X346" s="154" t="s">
        <v>2</v>
      </c>
      <c r="Y346" s="154">
        <v>0</v>
      </c>
    </row>
    <row r="347" spans="1:25" ht="13" customHeight="1">
      <c r="A347" s="11">
        <v>341</v>
      </c>
      <c r="B347" s="47">
        <v>206873868</v>
      </c>
      <c r="C347" s="88" t="s">
        <v>2463</v>
      </c>
      <c r="D347" s="11" t="s">
        <v>2464</v>
      </c>
      <c r="E347" s="48" t="s">
        <v>31</v>
      </c>
      <c r="F347" s="48" t="s">
        <v>74</v>
      </c>
      <c r="G347" s="48" t="s">
        <v>64</v>
      </c>
      <c r="H347" s="48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9" t="s">
        <v>89</v>
      </c>
      <c r="O347" s="48" t="s">
        <v>35</v>
      </c>
      <c r="P347" s="48" t="s">
        <v>80</v>
      </c>
      <c r="Q347" s="11" t="s">
        <v>90</v>
      </c>
      <c r="R347" s="11" t="s">
        <v>230</v>
      </c>
      <c r="S347" s="11" t="s">
        <v>1732</v>
      </c>
      <c r="T347" s="105" t="s">
        <v>1</v>
      </c>
      <c r="U347" s="98"/>
      <c r="V347" s="51">
        <v>46020</v>
      </c>
      <c r="W347" s="49" t="s">
        <v>1560</v>
      </c>
      <c r="X347" s="154" t="s">
        <v>2</v>
      </c>
      <c r="Y347" s="154">
        <v>0</v>
      </c>
    </row>
    <row r="348" spans="1:25" ht="13" customHeight="1">
      <c r="A348" s="11">
        <v>342</v>
      </c>
      <c r="B348" s="47">
        <v>204868858</v>
      </c>
      <c r="C348" s="88" t="s">
        <v>333</v>
      </c>
      <c r="D348" s="11" t="s">
        <v>334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2411</v>
      </c>
      <c r="K348" s="49" t="s">
        <v>76</v>
      </c>
      <c r="L348" s="49" t="s">
        <v>84</v>
      </c>
      <c r="M348" s="49" t="s">
        <v>85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223</v>
      </c>
      <c r="S348" s="11" t="s">
        <v>2655</v>
      </c>
      <c r="T348" s="105" t="s">
        <v>1</v>
      </c>
      <c r="U348" s="98"/>
      <c r="V348" s="51">
        <v>45691</v>
      </c>
      <c r="W348" s="49" t="s">
        <v>1560</v>
      </c>
      <c r="X348" s="154" t="s">
        <v>2</v>
      </c>
      <c r="Y348" s="154">
        <v>0</v>
      </c>
    </row>
    <row r="349" spans="1:25" ht="13" customHeight="1">
      <c r="A349" s="11">
        <v>343</v>
      </c>
      <c r="B349" s="47">
        <v>203521428</v>
      </c>
      <c r="C349" s="88" t="s">
        <v>335</v>
      </c>
      <c r="D349" s="11" t="s">
        <v>336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32</v>
      </c>
      <c r="K349" s="49" t="s">
        <v>76</v>
      </c>
      <c r="L349" s="49" t="s">
        <v>78</v>
      </c>
      <c r="M349" s="49" t="s">
        <v>92</v>
      </c>
      <c r="N349" s="48" t="s">
        <v>79</v>
      </c>
      <c r="O349" s="49" t="s">
        <v>35</v>
      </c>
      <c r="P349" s="11" t="s">
        <v>80</v>
      </c>
      <c r="Q349" s="11" t="s">
        <v>81</v>
      </c>
      <c r="R349" s="11" t="s">
        <v>224</v>
      </c>
      <c r="S349" s="11" t="s">
        <v>225</v>
      </c>
      <c r="T349" s="105" t="s">
        <v>1</v>
      </c>
      <c r="U349" s="98"/>
      <c r="V349" s="51">
        <v>45463</v>
      </c>
      <c r="W349" s="49" t="s">
        <v>1561</v>
      </c>
      <c r="X349" s="154" t="s">
        <v>2</v>
      </c>
      <c r="Y349" s="154">
        <v>0</v>
      </c>
    </row>
    <row r="350" spans="1:25" ht="13" customHeight="1">
      <c r="A350" s="11">
        <v>344</v>
      </c>
      <c r="B350" s="47">
        <v>204246156</v>
      </c>
      <c r="C350" s="88" t="s">
        <v>337</v>
      </c>
      <c r="D350" s="11" t="s">
        <v>338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86</v>
      </c>
      <c r="O350" s="49" t="s">
        <v>35</v>
      </c>
      <c r="P350" s="11" t="s">
        <v>80</v>
      </c>
      <c r="Q350" s="11" t="s">
        <v>87</v>
      </c>
      <c r="R350" s="11" t="s">
        <v>2778</v>
      </c>
      <c r="S350" s="11" t="s">
        <v>2656</v>
      </c>
      <c r="T350" s="105" t="s">
        <v>1</v>
      </c>
      <c r="U350" s="98"/>
      <c r="V350" s="51">
        <v>45579</v>
      </c>
      <c r="W350" s="49" t="s">
        <v>1560</v>
      </c>
      <c r="X350" s="154" t="s">
        <v>2</v>
      </c>
      <c r="Y350" s="154">
        <v>0</v>
      </c>
    </row>
    <row r="351" spans="1:25" ht="13" customHeight="1">
      <c r="A351" s="11">
        <v>345</v>
      </c>
      <c r="B351" s="47">
        <v>103060279</v>
      </c>
      <c r="C351" s="88" t="s">
        <v>339</v>
      </c>
      <c r="D351" s="11" t="s">
        <v>340</v>
      </c>
      <c r="E351" s="48" t="s">
        <v>34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92</v>
      </c>
      <c r="M351" s="49" t="s">
        <v>84</v>
      </c>
      <c r="N351" s="48" t="s">
        <v>108</v>
      </c>
      <c r="O351" s="49" t="s">
        <v>35</v>
      </c>
      <c r="P351" s="11" t="s">
        <v>80</v>
      </c>
      <c r="Q351" s="11" t="s">
        <v>98</v>
      </c>
      <c r="R351" s="11" t="s">
        <v>224</v>
      </c>
      <c r="S351" s="11" t="s">
        <v>225</v>
      </c>
      <c r="T351" s="105" t="s">
        <v>1</v>
      </c>
      <c r="U351" s="98"/>
      <c r="V351" s="51">
        <v>43080</v>
      </c>
      <c r="W351" s="49" t="s">
        <v>1561</v>
      </c>
      <c r="X351" s="154" t="s">
        <v>2</v>
      </c>
      <c r="Y351" s="154">
        <v>0</v>
      </c>
    </row>
    <row r="352" spans="1:25" ht="13" customHeight="1">
      <c r="A352" s="11">
        <v>346</v>
      </c>
      <c r="B352" s="47">
        <v>204880567</v>
      </c>
      <c r="C352" s="88" t="s">
        <v>2465</v>
      </c>
      <c r="D352" s="11" t="s">
        <v>2466</v>
      </c>
      <c r="E352" s="48" t="s">
        <v>31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84</v>
      </c>
      <c r="M352" s="49" t="s">
        <v>85</v>
      </c>
      <c r="N352" s="49" t="s">
        <v>89</v>
      </c>
      <c r="O352" s="49" t="s">
        <v>35</v>
      </c>
      <c r="P352" s="11" t="s">
        <v>80</v>
      </c>
      <c r="Q352" s="11" t="s">
        <v>90</v>
      </c>
      <c r="R352" s="11" t="s">
        <v>223</v>
      </c>
      <c r="S352" s="11" t="s">
        <v>2655</v>
      </c>
      <c r="T352" s="105" t="s">
        <v>1</v>
      </c>
      <c r="U352" s="98"/>
      <c r="V352" s="51">
        <v>45826</v>
      </c>
      <c r="W352" s="49" t="s">
        <v>1560</v>
      </c>
      <c r="X352" s="154" t="s">
        <v>2</v>
      </c>
      <c r="Y352" s="154">
        <v>0</v>
      </c>
    </row>
    <row r="353" spans="1:25" ht="13" customHeight="1">
      <c r="A353" s="11">
        <v>347</v>
      </c>
      <c r="B353" s="47">
        <v>203736250</v>
      </c>
      <c r="C353" s="88" t="s">
        <v>2467</v>
      </c>
      <c r="D353" s="11" t="s">
        <v>2468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39</v>
      </c>
      <c r="K353" s="49" t="s">
        <v>76</v>
      </c>
      <c r="L353" s="49" t="s">
        <v>77</v>
      </c>
      <c r="M353" s="49" t="s">
        <v>78</v>
      </c>
      <c r="N353" s="48" t="s">
        <v>86</v>
      </c>
      <c r="O353" s="49" t="s">
        <v>35</v>
      </c>
      <c r="P353" s="11" t="s">
        <v>80</v>
      </c>
      <c r="Q353" s="11" t="s">
        <v>90</v>
      </c>
      <c r="R353" s="11" t="s">
        <v>223</v>
      </c>
      <c r="S353" s="11" t="s">
        <v>2655</v>
      </c>
      <c r="T353" s="105" t="s">
        <v>10</v>
      </c>
      <c r="U353" s="98"/>
      <c r="V353" s="51">
        <v>45502</v>
      </c>
      <c r="W353" s="49" t="s">
        <v>1560</v>
      </c>
      <c r="X353" s="154" t="s">
        <v>2948</v>
      </c>
      <c r="Y353" s="154">
        <v>0</v>
      </c>
    </row>
    <row r="354" spans="1:25" ht="13" customHeight="1">
      <c r="A354" s="11">
        <v>348</v>
      </c>
      <c r="B354" s="47">
        <v>205495355</v>
      </c>
      <c r="C354" s="88" t="s">
        <v>341</v>
      </c>
      <c r="D354" s="11" t="s">
        <v>342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78</v>
      </c>
      <c r="M354" s="49" t="s">
        <v>92</v>
      </c>
      <c r="N354" s="49" t="s">
        <v>89</v>
      </c>
      <c r="O354" s="49" t="s">
        <v>35</v>
      </c>
      <c r="P354" s="11" t="s">
        <v>80</v>
      </c>
      <c r="Q354" s="11" t="s">
        <v>96</v>
      </c>
      <c r="R354" s="11" t="s">
        <v>224</v>
      </c>
      <c r="S354" s="11" t="s">
        <v>225</v>
      </c>
      <c r="T354" s="105" t="s">
        <v>1</v>
      </c>
      <c r="U354" s="98"/>
      <c r="V354" s="51">
        <v>45831</v>
      </c>
      <c r="W354" s="49" t="s">
        <v>1561</v>
      </c>
      <c r="X354" s="154" t="s">
        <v>2</v>
      </c>
      <c r="Y354" s="154">
        <v>0</v>
      </c>
    </row>
    <row r="355" spans="1:25" ht="13" customHeight="1">
      <c r="A355" s="11">
        <v>349</v>
      </c>
      <c r="B355" s="47">
        <v>206873870</v>
      </c>
      <c r="C355" s="88" t="s">
        <v>1745</v>
      </c>
      <c r="D355" s="11" t="s">
        <v>1746</v>
      </c>
      <c r="E355" s="48" t="s">
        <v>31</v>
      </c>
      <c r="F355" s="48" t="s">
        <v>74</v>
      </c>
      <c r="G355" s="48" t="s">
        <v>64</v>
      </c>
      <c r="H355" s="48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8" t="s">
        <v>35</v>
      </c>
      <c r="P355" s="48" t="s">
        <v>80</v>
      </c>
      <c r="Q355" s="11" t="s">
        <v>90</v>
      </c>
      <c r="R355" s="11" t="s">
        <v>230</v>
      </c>
      <c r="S355" s="11" t="s">
        <v>1732</v>
      </c>
      <c r="T355" s="105" t="s">
        <v>1</v>
      </c>
      <c r="U355" s="98"/>
      <c r="V355" s="51">
        <v>46020</v>
      </c>
      <c r="W355" s="49" t="s">
        <v>1560</v>
      </c>
      <c r="X355" s="154" t="s">
        <v>2</v>
      </c>
      <c r="Y355" s="154">
        <v>0</v>
      </c>
    </row>
    <row r="356" spans="1:25" ht="13" customHeight="1">
      <c r="A356" s="11">
        <v>350</v>
      </c>
      <c r="B356" s="47">
        <v>203741310</v>
      </c>
      <c r="C356" s="88" t="s">
        <v>343</v>
      </c>
      <c r="D356" s="11" t="s">
        <v>344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84</v>
      </c>
      <c r="M356" s="49" t="s">
        <v>85</v>
      </c>
      <c r="N356" s="48" t="s">
        <v>79</v>
      </c>
      <c r="O356" s="49" t="s">
        <v>35</v>
      </c>
      <c r="P356" s="11" t="s">
        <v>80</v>
      </c>
      <c r="Q356" s="11" t="s">
        <v>81</v>
      </c>
      <c r="R356" s="11" t="s">
        <v>223</v>
      </c>
      <c r="S356" s="11" t="s">
        <v>2655</v>
      </c>
      <c r="T356" s="105" t="s">
        <v>1</v>
      </c>
      <c r="U356" s="98"/>
      <c r="V356" s="51">
        <v>45502</v>
      </c>
      <c r="W356" s="49" t="s">
        <v>1560</v>
      </c>
      <c r="X356" s="154" t="s">
        <v>2</v>
      </c>
      <c r="Y356" s="154">
        <v>0</v>
      </c>
    </row>
    <row r="357" spans="1:25" ht="13" customHeight="1">
      <c r="A357" s="11">
        <v>351</v>
      </c>
      <c r="B357" s="47">
        <v>203741317</v>
      </c>
      <c r="C357" s="88" t="s">
        <v>345</v>
      </c>
      <c r="D357" s="11" t="s">
        <v>346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39</v>
      </c>
      <c r="K357" s="49" t="s">
        <v>76</v>
      </c>
      <c r="L357" s="49" t="s">
        <v>85</v>
      </c>
      <c r="M357" s="49" t="s">
        <v>88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223</v>
      </c>
      <c r="S357" s="11" t="s">
        <v>2655</v>
      </c>
      <c r="T357" s="105" t="s">
        <v>1</v>
      </c>
      <c r="U357" s="98"/>
      <c r="V357" s="51">
        <v>45502</v>
      </c>
      <c r="W357" s="49" t="s">
        <v>1560</v>
      </c>
      <c r="X357" s="154" t="s">
        <v>2</v>
      </c>
      <c r="Y357" s="154">
        <v>0</v>
      </c>
    </row>
    <row r="358" spans="1:25" ht="13" customHeight="1">
      <c r="A358" s="11">
        <v>352</v>
      </c>
      <c r="B358" s="47">
        <v>206065199</v>
      </c>
      <c r="C358" s="88" t="s">
        <v>347</v>
      </c>
      <c r="D358" s="11" t="s">
        <v>348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88</v>
      </c>
      <c r="M358" s="49" t="s">
        <v>95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225</v>
      </c>
      <c r="T358" s="105" t="s">
        <v>1</v>
      </c>
      <c r="U358" s="98"/>
      <c r="V358" s="51">
        <v>45922</v>
      </c>
      <c r="W358" s="49" t="s">
        <v>1559</v>
      </c>
      <c r="X358" s="154" t="s">
        <v>2</v>
      </c>
      <c r="Y358" s="154">
        <v>0</v>
      </c>
    </row>
    <row r="359" spans="1:25" ht="13" customHeight="1">
      <c r="A359" s="11">
        <v>353</v>
      </c>
      <c r="B359" s="47">
        <v>203736253</v>
      </c>
      <c r="C359" s="88" t="s">
        <v>2469</v>
      </c>
      <c r="D359" s="11" t="s">
        <v>2470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77</v>
      </c>
      <c r="M359" s="49" t="s">
        <v>78</v>
      </c>
      <c r="N359" s="48" t="s">
        <v>86</v>
      </c>
      <c r="O359" s="49" t="s">
        <v>35</v>
      </c>
      <c r="P359" s="11" t="s">
        <v>80</v>
      </c>
      <c r="Q359" s="11" t="s">
        <v>90</v>
      </c>
      <c r="R359" s="11" t="s">
        <v>223</v>
      </c>
      <c r="S359" s="11" t="s">
        <v>2655</v>
      </c>
      <c r="T359" s="105" t="s">
        <v>10</v>
      </c>
      <c r="U359" s="98"/>
      <c r="V359" s="51">
        <v>45502</v>
      </c>
      <c r="W359" s="49" t="s">
        <v>1560</v>
      </c>
      <c r="X359" s="154" t="s">
        <v>2948</v>
      </c>
      <c r="Y359" s="154">
        <v>0</v>
      </c>
    </row>
    <row r="360" spans="1:25" ht="13" customHeight="1">
      <c r="A360" s="11">
        <v>354</v>
      </c>
      <c r="B360" s="47">
        <v>203521133</v>
      </c>
      <c r="C360" s="88" t="s">
        <v>349</v>
      </c>
      <c r="D360" s="11" t="s">
        <v>350</v>
      </c>
      <c r="E360" s="48" t="s">
        <v>31</v>
      </c>
      <c r="F360" s="48" t="s">
        <v>74</v>
      </c>
      <c r="G360" s="11" t="s">
        <v>65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95</v>
      </c>
      <c r="M360" s="49" t="s">
        <v>77</v>
      </c>
      <c r="N360" s="48" t="s">
        <v>79</v>
      </c>
      <c r="O360" s="49" t="s">
        <v>68</v>
      </c>
      <c r="P360" s="11" t="s">
        <v>80</v>
      </c>
      <c r="Q360" s="11" t="s">
        <v>81</v>
      </c>
      <c r="R360" s="11" t="s">
        <v>2660</v>
      </c>
      <c r="S360" s="11" t="s">
        <v>2661</v>
      </c>
      <c r="T360" s="105" t="s">
        <v>10</v>
      </c>
      <c r="U360" s="98"/>
      <c r="V360" s="51">
        <v>45463</v>
      </c>
      <c r="W360" s="49" t="s">
        <v>68</v>
      </c>
      <c r="X360" s="154" t="s">
        <v>2948</v>
      </c>
      <c r="Y360" s="154">
        <v>0</v>
      </c>
    </row>
    <row r="361" spans="1:25" ht="13" customHeight="1">
      <c r="A361" s="11">
        <v>355</v>
      </c>
      <c r="B361" s="47">
        <v>204013733</v>
      </c>
      <c r="C361" s="88" t="s">
        <v>351</v>
      </c>
      <c r="D361" s="11" t="s">
        <v>352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78</v>
      </c>
      <c r="M361" s="49" t="s">
        <v>92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224</v>
      </c>
      <c r="S361" s="11" t="s">
        <v>225</v>
      </c>
      <c r="T361" s="105" t="s">
        <v>1</v>
      </c>
      <c r="U361" s="98"/>
      <c r="V361" s="51">
        <v>45551</v>
      </c>
      <c r="W361" s="49" t="s">
        <v>1560</v>
      </c>
      <c r="X361" s="154" t="s">
        <v>2</v>
      </c>
      <c r="Y361" s="154">
        <v>0</v>
      </c>
    </row>
    <row r="362" spans="1:25" ht="13" customHeight="1">
      <c r="A362" s="11">
        <v>356</v>
      </c>
      <c r="B362" s="47">
        <v>204967151</v>
      </c>
      <c r="C362" s="88" t="s">
        <v>2471</v>
      </c>
      <c r="D362" s="11" t="s">
        <v>2472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85</v>
      </c>
      <c r="M362" s="49" t="s">
        <v>88</v>
      </c>
      <c r="N362" s="48" t="s">
        <v>86</v>
      </c>
      <c r="O362" s="49" t="s">
        <v>35</v>
      </c>
      <c r="P362" s="11" t="s">
        <v>80</v>
      </c>
      <c r="Q362" s="11" t="s">
        <v>90</v>
      </c>
      <c r="R362" s="11" t="s">
        <v>223</v>
      </c>
      <c r="S362" s="11" t="s">
        <v>2655</v>
      </c>
      <c r="T362" s="105" t="s">
        <v>1</v>
      </c>
      <c r="U362" s="98"/>
      <c r="V362" s="51">
        <v>45826</v>
      </c>
      <c r="W362" s="49" t="s">
        <v>1560</v>
      </c>
      <c r="X362" s="154" t="s">
        <v>2</v>
      </c>
      <c r="Y362" s="154">
        <v>0</v>
      </c>
    </row>
    <row r="363" spans="1:25" ht="13" customHeight="1">
      <c r="A363" s="11">
        <v>357</v>
      </c>
      <c r="B363" s="47">
        <v>203965496</v>
      </c>
      <c r="C363" s="88" t="s">
        <v>353</v>
      </c>
      <c r="D363" s="11" t="s">
        <v>354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39</v>
      </c>
      <c r="K363" s="49" t="s">
        <v>76</v>
      </c>
      <c r="L363" s="49" t="s">
        <v>84</v>
      </c>
      <c r="M363" s="49" t="s">
        <v>85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223</v>
      </c>
      <c r="S363" s="11" t="s">
        <v>2655</v>
      </c>
      <c r="T363" s="105" t="s">
        <v>7</v>
      </c>
      <c r="U363" s="98"/>
      <c r="V363" s="51">
        <v>45544</v>
      </c>
      <c r="W363" s="49" t="s">
        <v>1560</v>
      </c>
      <c r="X363" s="154" t="s">
        <v>2948</v>
      </c>
      <c r="Y363" s="154">
        <v>0</v>
      </c>
    </row>
    <row r="364" spans="1:25" ht="13" customHeight="1">
      <c r="A364" s="11">
        <v>358</v>
      </c>
      <c r="B364" s="47">
        <v>203965492</v>
      </c>
      <c r="C364" s="88" t="s">
        <v>355</v>
      </c>
      <c r="D364" s="11" t="s">
        <v>356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223</v>
      </c>
      <c r="S364" s="11" t="s">
        <v>2655</v>
      </c>
      <c r="T364" s="105" t="s">
        <v>7</v>
      </c>
      <c r="U364" s="98"/>
      <c r="V364" s="51">
        <v>45544</v>
      </c>
      <c r="W364" s="49" t="s">
        <v>1560</v>
      </c>
      <c r="X364" s="154" t="s">
        <v>2948</v>
      </c>
      <c r="Y364" s="154">
        <v>0</v>
      </c>
    </row>
    <row r="365" spans="1:25" ht="13" customHeight="1">
      <c r="A365" s="11">
        <v>359</v>
      </c>
      <c r="B365" s="47">
        <v>205502951</v>
      </c>
      <c r="C365" s="88" t="s">
        <v>357</v>
      </c>
      <c r="D365" s="11" t="s">
        <v>358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88</v>
      </c>
      <c r="M365" s="49" t="s">
        <v>95</v>
      </c>
      <c r="N365" s="49" t="s">
        <v>89</v>
      </c>
      <c r="O365" s="49" t="s">
        <v>35</v>
      </c>
      <c r="P365" s="11" t="s">
        <v>80</v>
      </c>
      <c r="Q365" s="11" t="s">
        <v>96</v>
      </c>
      <c r="R365" s="11" t="s">
        <v>223</v>
      </c>
      <c r="S365" s="11" t="s">
        <v>2655</v>
      </c>
      <c r="T365" s="105" t="s">
        <v>1</v>
      </c>
      <c r="U365" s="98"/>
      <c r="V365" s="51">
        <v>45831</v>
      </c>
      <c r="W365" s="49" t="s">
        <v>1560</v>
      </c>
      <c r="X365" s="154" t="s">
        <v>2</v>
      </c>
      <c r="Y365" s="154">
        <v>0</v>
      </c>
    </row>
    <row r="366" spans="1:25" ht="13" customHeight="1">
      <c r="A366" s="11">
        <v>360</v>
      </c>
      <c r="B366" s="47">
        <v>203521134</v>
      </c>
      <c r="C366" s="88" t="s">
        <v>359</v>
      </c>
      <c r="D366" s="11" t="s">
        <v>360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230</v>
      </c>
      <c r="S366" s="11" t="s">
        <v>1732</v>
      </c>
      <c r="T366" s="105" t="s">
        <v>1</v>
      </c>
      <c r="U366" s="98"/>
      <c r="V366" s="51">
        <v>45463</v>
      </c>
      <c r="W366" s="49" t="s">
        <v>1560</v>
      </c>
      <c r="X366" s="154" t="s">
        <v>2</v>
      </c>
      <c r="Y366" s="154">
        <v>0</v>
      </c>
    </row>
    <row r="367" spans="1:25" ht="13" customHeight="1">
      <c r="A367" s="11">
        <v>361</v>
      </c>
      <c r="B367" s="47">
        <v>206886729</v>
      </c>
      <c r="C367" s="88" t="s">
        <v>2473</v>
      </c>
      <c r="D367" s="11" t="s">
        <v>2474</v>
      </c>
      <c r="E367" s="11" t="s">
        <v>31</v>
      </c>
      <c r="F367" s="11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9" t="s">
        <v>79</v>
      </c>
      <c r="O367" s="11" t="s">
        <v>35</v>
      </c>
      <c r="P367" s="11" t="s">
        <v>80</v>
      </c>
      <c r="Q367" s="11" t="s">
        <v>96</v>
      </c>
      <c r="R367" s="11" t="s">
        <v>223</v>
      </c>
      <c r="S367" s="11" t="s">
        <v>2655</v>
      </c>
      <c r="T367" s="105" t="s">
        <v>1</v>
      </c>
      <c r="U367" s="98"/>
      <c r="V367" s="51">
        <v>46027</v>
      </c>
      <c r="W367" s="11" t="s">
        <v>1560</v>
      </c>
      <c r="X367" s="154" t="s">
        <v>2</v>
      </c>
      <c r="Y367" s="154">
        <v>0</v>
      </c>
    </row>
    <row r="368" spans="1:25" ht="13" customHeight="1">
      <c r="A368" s="11">
        <v>362</v>
      </c>
      <c r="B368" s="47">
        <v>206886638</v>
      </c>
      <c r="C368" s="88" t="s">
        <v>1773</v>
      </c>
      <c r="D368" s="11" t="s">
        <v>1774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89</v>
      </c>
      <c r="O368" s="11" t="s">
        <v>35</v>
      </c>
      <c r="P368" s="11" t="s">
        <v>80</v>
      </c>
      <c r="Q368" s="11" t="s">
        <v>96</v>
      </c>
      <c r="R368" s="11" t="s">
        <v>223</v>
      </c>
      <c r="S368" s="11" t="s">
        <v>2655</v>
      </c>
      <c r="T368" s="105" t="s">
        <v>1</v>
      </c>
      <c r="U368" s="98"/>
      <c r="V368" s="51">
        <v>46027</v>
      </c>
      <c r="W368" s="11" t="s">
        <v>1560</v>
      </c>
      <c r="X368" s="154" t="s">
        <v>2</v>
      </c>
      <c r="Y368" s="154">
        <v>0</v>
      </c>
    </row>
    <row r="369" spans="1:25" ht="13" customHeight="1">
      <c r="A369" s="11">
        <v>363</v>
      </c>
      <c r="B369" s="47">
        <v>206890228</v>
      </c>
      <c r="C369" s="88" t="s">
        <v>1775</v>
      </c>
      <c r="D369" s="11" t="s">
        <v>1776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223</v>
      </c>
      <c r="S369" s="11" t="s">
        <v>2655</v>
      </c>
      <c r="T369" s="105" t="s">
        <v>1</v>
      </c>
      <c r="U369" s="98"/>
      <c r="V369" s="51">
        <v>46027</v>
      </c>
      <c r="W369" s="11" t="s">
        <v>1560</v>
      </c>
      <c r="X369" s="154" t="s">
        <v>2</v>
      </c>
      <c r="Y369" s="154">
        <v>0</v>
      </c>
    </row>
    <row r="370" spans="1:25" ht="13" customHeight="1">
      <c r="A370" s="11">
        <v>364</v>
      </c>
      <c r="B370" s="47">
        <v>206015637</v>
      </c>
      <c r="C370" s="88" t="s">
        <v>363</v>
      </c>
      <c r="D370" s="11" t="s">
        <v>364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224</v>
      </c>
      <c r="S370" s="11" t="s">
        <v>225</v>
      </c>
      <c r="T370" s="105" t="s">
        <v>1</v>
      </c>
      <c r="U370" s="98"/>
      <c r="V370" s="51">
        <v>45915</v>
      </c>
      <c r="W370" s="49" t="s">
        <v>1561</v>
      </c>
      <c r="X370" s="154" t="s">
        <v>2</v>
      </c>
      <c r="Y370" s="154">
        <v>0</v>
      </c>
    </row>
    <row r="371" spans="1:25" ht="13" customHeight="1">
      <c r="A371" s="11">
        <v>365</v>
      </c>
      <c r="B371" s="47">
        <v>206065197</v>
      </c>
      <c r="C371" s="88" t="s">
        <v>365</v>
      </c>
      <c r="D371" s="11" t="s">
        <v>366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88</v>
      </c>
      <c r="M371" s="49" t="s">
        <v>95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224</v>
      </c>
      <c r="S371" s="11" t="s">
        <v>225</v>
      </c>
      <c r="T371" s="105" t="s">
        <v>1</v>
      </c>
      <c r="U371" s="98"/>
      <c r="V371" s="51">
        <v>45922</v>
      </c>
      <c r="W371" s="49" t="s">
        <v>1559</v>
      </c>
      <c r="X371" s="154" t="s">
        <v>2</v>
      </c>
      <c r="Y371" s="154">
        <v>0</v>
      </c>
    </row>
    <row r="372" spans="1:25" ht="13" customHeight="1">
      <c r="A372" s="11">
        <v>366</v>
      </c>
      <c r="B372" s="47">
        <v>206873556</v>
      </c>
      <c r="C372" s="88" t="s">
        <v>1739</v>
      </c>
      <c r="D372" s="11" t="s">
        <v>1740</v>
      </c>
      <c r="E372" s="48" t="s">
        <v>31</v>
      </c>
      <c r="F372" s="48" t="s">
        <v>74</v>
      </c>
      <c r="G372" s="48" t="s">
        <v>64</v>
      </c>
      <c r="H372" s="48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48" t="s">
        <v>35</v>
      </c>
      <c r="P372" s="48" t="s">
        <v>80</v>
      </c>
      <c r="Q372" s="11" t="s">
        <v>81</v>
      </c>
      <c r="R372" s="11" t="s">
        <v>224</v>
      </c>
      <c r="S372" s="11" t="s">
        <v>225</v>
      </c>
      <c r="T372" s="105" t="s">
        <v>7</v>
      </c>
      <c r="U372" s="98" t="s">
        <v>2941</v>
      </c>
      <c r="V372" s="51">
        <v>46020</v>
      </c>
      <c r="W372" s="49" t="s">
        <v>1559</v>
      </c>
      <c r="X372" s="154" t="s">
        <v>2948</v>
      </c>
      <c r="Y372" s="154" t="s">
        <v>2941</v>
      </c>
    </row>
    <row r="373" spans="1:25" ht="13" customHeight="1">
      <c r="A373" s="11">
        <v>367</v>
      </c>
      <c r="B373" s="47">
        <v>204246158</v>
      </c>
      <c r="C373" s="88" t="s">
        <v>367</v>
      </c>
      <c r="D373" s="11" t="s">
        <v>368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84</v>
      </c>
      <c r="M373" s="49" t="s">
        <v>85</v>
      </c>
      <c r="N373" s="48" t="s">
        <v>86</v>
      </c>
      <c r="O373" s="49" t="s">
        <v>35</v>
      </c>
      <c r="P373" s="11" t="s">
        <v>80</v>
      </c>
      <c r="Q373" s="11" t="s">
        <v>87</v>
      </c>
      <c r="R373" s="11" t="s">
        <v>224</v>
      </c>
      <c r="S373" s="11" t="s">
        <v>225</v>
      </c>
      <c r="T373" s="105" t="s">
        <v>7</v>
      </c>
      <c r="U373" s="98" t="s">
        <v>2941</v>
      </c>
      <c r="V373" s="51">
        <v>45579</v>
      </c>
      <c r="W373" s="49" t="s">
        <v>1559</v>
      </c>
      <c r="X373" s="154" t="s">
        <v>2948</v>
      </c>
      <c r="Y373" s="154" t="s">
        <v>2949</v>
      </c>
    </row>
    <row r="374" spans="1:25" ht="13" customHeight="1">
      <c r="A374" s="11">
        <v>368</v>
      </c>
      <c r="B374" s="47">
        <v>205495359</v>
      </c>
      <c r="C374" s="88" t="s">
        <v>2475</v>
      </c>
      <c r="D374" s="11" t="s">
        <v>2476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88</v>
      </c>
      <c r="M374" s="49" t="s">
        <v>95</v>
      </c>
      <c r="N374" s="49" t="s">
        <v>89</v>
      </c>
      <c r="O374" s="49" t="s">
        <v>35</v>
      </c>
      <c r="P374" s="11" t="s">
        <v>80</v>
      </c>
      <c r="Q374" s="11" t="s">
        <v>96</v>
      </c>
      <c r="R374" s="11" t="s">
        <v>223</v>
      </c>
      <c r="S374" s="11" t="s">
        <v>2655</v>
      </c>
      <c r="T374" s="105" t="s">
        <v>1</v>
      </c>
      <c r="U374" s="98"/>
      <c r="V374" s="51">
        <v>45831</v>
      </c>
      <c r="W374" s="49" t="s">
        <v>1560</v>
      </c>
      <c r="X374" s="154" t="s">
        <v>2</v>
      </c>
      <c r="Y374" s="154">
        <v>0</v>
      </c>
    </row>
    <row r="375" spans="1:25" ht="13" customHeight="1">
      <c r="A375" s="11">
        <v>369</v>
      </c>
      <c r="B375" s="11">
        <v>206873551</v>
      </c>
      <c r="C375" s="88" t="s">
        <v>1763</v>
      </c>
      <c r="D375" s="11" t="s">
        <v>1764</v>
      </c>
      <c r="E375" s="48" t="s">
        <v>31</v>
      </c>
      <c r="F375" s="48" t="s">
        <v>74</v>
      </c>
      <c r="G375" s="48" t="s">
        <v>64</v>
      </c>
      <c r="H375" s="48" t="s">
        <v>75</v>
      </c>
      <c r="I375" s="11">
        <v>1299</v>
      </c>
      <c r="J375" s="49" t="s">
        <v>39</v>
      </c>
      <c r="K375" s="49" t="s">
        <v>76</v>
      </c>
      <c r="L375" s="49" t="s">
        <v>78</v>
      </c>
      <c r="M375" s="49" t="s">
        <v>92</v>
      </c>
      <c r="N375" s="49" t="s">
        <v>89</v>
      </c>
      <c r="O375" s="48" t="s">
        <v>35</v>
      </c>
      <c r="P375" s="48" t="s">
        <v>80</v>
      </c>
      <c r="Q375" s="11" t="s">
        <v>81</v>
      </c>
      <c r="R375" s="11" t="s">
        <v>230</v>
      </c>
      <c r="S375" s="11" t="s">
        <v>1732</v>
      </c>
      <c r="T375" s="105" t="s">
        <v>1</v>
      </c>
      <c r="U375" s="98"/>
      <c r="V375" s="51">
        <v>46020</v>
      </c>
      <c r="W375" s="11" t="s">
        <v>1560</v>
      </c>
      <c r="X375" s="154" t="s">
        <v>2</v>
      </c>
      <c r="Y375" s="154">
        <v>0</v>
      </c>
    </row>
    <row r="376" spans="1:25" ht="13" customHeight="1">
      <c r="A376" s="11">
        <v>370</v>
      </c>
      <c r="B376" s="47">
        <v>203468401</v>
      </c>
      <c r="C376" s="88" t="s">
        <v>369</v>
      </c>
      <c r="D376" s="11" t="s">
        <v>370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39</v>
      </c>
      <c r="K376" s="49" t="s">
        <v>76</v>
      </c>
      <c r="L376" s="49" t="s">
        <v>95</v>
      </c>
      <c r="M376" s="49" t="s">
        <v>77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223</v>
      </c>
      <c r="S376" s="11" t="s">
        <v>2655</v>
      </c>
      <c r="T376" s="105" t="s">
        <v>10</v>
      </c>
      <c r="U376" s="98"/>
      <c r="V376" s="51">
        <v>45456</v>
      </c>
      <c r="W376" s="49" t="s">
        <v>1560</v>
      </c>
      <c r="X376" s="154" t="s">
        <v>2948</v>
      </c>
      <c r="Y376" s="154">
        <v>0</v>
      </c>
    </row>
    <row r="377" spans="1:25" ht="13" customHeight="1">
      <c r="A377" s="11">
        <v>371</v>
      </c>
      <c r="B377" s="11">
        <v>206873639</v>
      </c>
      <c r="C377" s="88" t="s">
        <v>1767</v>
      </c>
      <c r="D377" s="11" t="s">
        <v>1768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79</v>
      </c>
      <c r="O377" s="48" t="s">
        <v>35</v>
      </c>
      <c r="P377" s="48" t="s">
        <v>80</v>
      </c>
      <c r="Q377" s="11" t="s">
        <v>81</v>
      </c>
      <c r="R377" s="11" t="s">
        <v>230</v>
      </c>
      <c r="S377" s="11" t="s">
        <v>1732</v>
      </c>
      <c r="T377" s="105" t="s">
        <v>1</v>
      </c>
      <c r="U377" s="98"/>
      <c r="V377" s="51">
        <v>46020</v>
      </c>
      <c r="W377" s="11" t="s">
        <v>1560</v>
      </c>
      <c r="X377" s="154" t="s">
        <v>2</v>
      </c>
      <c r="Y377" s="154">
        <v>0</v>
      </c>
    </row>
    <row r="378" spans="1:25" ht="13" customHeight="1">
      <c r="A378" s="11">
        <v>372</v>
      </c>
      <c r="B378" s="47">
        <v>206504141</v>
      </c>
      <c r="C378" s="88" t="s">
        <v>2477</v>
      </c>
      <c r="D378" s="11" t="s">
        <v>2478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8" t="s">
        <v>86</v>
      </c>
      <c r="O378" s="49" t="s">
        <v>35</v>
      </c>
      <c r="P378" s="11" t="s">
        <v>80</v>
      </c>
      <c r="Q378" s="11" t="s">
        <v>90</v>
      </c>
      <c r="R378" s="11" t="s">
        <v>230</v>
      </c>
      <c r="S378" s="11" t="s">
        <v>1732</v>
      </c>
      <c r="T378" s="105" t="s">
        <v>1</v>
      </c>
      <c r="U378" s="98"/>
      <c r="V378" s="51">
        <v>45971</v>
      </c>
      <c r="W378" s="49" t="s">
        <v>1560</v>
      </c>
      <c r="X378" s="154" t="s">
        <v>2</v>
      </c>
      <c r="Y378" s="154">
        <v>0</v>
      </c>
    </row>
    <row r="379" spans="1:25" ht="13" customHeight="1">
      <c r="A379" s="11">
        <v>373</v>
      </c>
      <c r="B379" s="47">
        <v>203468395</v>
      </c>
      <c r="C379" s="88" t="s">
        <v>371</v>
      </c>
      <c r="D379" s="11" t="s">
        <v>372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79</v>
      </c>
      <c r="O379" s="49" t="s">
        <v>35</v>
      </c>
      <c r="P379" s="11" t="s">
        <v>80</v>
      </c>
      <c r="Q379" s="11" t="s">
        <v>81</v>
      </c>
      <c r="R379" s="11" t="s">
        <v>223</v>
      </c>
      <c r="S379" s="11" t="s">
        <v>2655</v>
      </c>
      <c r="T379" s="105" t="s">
        <v>1</v>
      </c>
      <c r="U379" s="98"/>
      <c r="V379" s="51">
        <v>45456</v>
      </c>
      <c r="W379" s="49" t="s">
        <v>1560</v>
      </c>
      <c r="X379" s="154" t="s">
        <v>2</v>
      </c>
      <c r="Y379" s="154">
        <v>0</v>
      </c>
    </row>
    <row r="380" spans="1:25" ht="13" customHeight="1">
      <c r="A380" s="11">
        <v>374</v>
      </c>
      <c r="B380" s="47">
        <v>204406416</v>
      </c>
      <c r="C380" s="88" t="s">
        <v>373</v>
      </c>
      <c r="D380" s="11" t="s">
        <v>374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86</v>
      </c>
      <c r="O380" s="49" t="s">
        <v>35</v>
      </c>
      <c r="P380" s="11" t="s">
        <v>80</v>
      </c>
      <c r="Q380" s="11" t="s">
        <v>87</v>
      </c>
      <c r="R380" s="11" t="s">
        <v>223</v>
      </c>
      <c r="S380" s="11" t="s">
        <v>2655</v>
      </c>
      <c r="T380" s="105" t="s">
        <v>1</v>
      </c>
      <c r="U380" s="98"/>
      <c r="V380" s="51">
        <v>45596</v>
      </c>
      <c r="W380" s="49" t="s">
        <v>1561</v>
      </c>
      <c r="X380" s="154" t="s">
        <v>2</v>
      </c>
      <c r="Y380" s="154">
        <v>0</v>
      </c>
    </row>
    <row r="381" spans="1:25" ht="13" customHeight="1">
      <c r="A381" s="11">
        <v>375</v>
      </c>
      <c r="B381" s="47">
        <v>203741324</v>
      </c>
      <c r="C381" s="88" t="s">
        <v>375</v>
      </c>
      <c r="D381" s="11" t="s">
        <v>376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85</v>
      </c>
      <c r="M381" s="49" t="s">
        <v>88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223</v>
      </c>
      <c r="S381" s="11" t="s">
        <v>2655</v>
      </c>
      <c r="T381" s="105" t="s">
        <v>1</v>
      </c>
      <c r="U381" s="98"/>
      <c r="V381" s="51">
        <v>45502</v>
      </c>
      <c r="W381" s="49" t="s">
        <v>1560</v>
      </c>
      <c r="X381" s="154" t="s">
        <v>2</v>
      </c>
      <c r="Y381" s="154">
        <v>0</v>
      </c>
    </row>
    <row r="382" spans="1:25" ht="13" customHeight="1">
      <c r="A382" s="11">
        <v>376</v>
      </c>
      <c r="B382" s="47">
        <v>203816301</v>
      </c>
      <c r="C382" s="88" t="s">
        <v>2479</v>
      </c>
      <c r="D382" s="11" t="s">
        <v>2480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84</v>
      </c>
      <c r="M382" s="49" t="s">
        <v>85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224</v>
      </c>
      <c r="S382" s="11" t="s">
        <v>225</v>
      </c>
      <c r="T382" s="105" t="s">
        <v>1</v>
      </c>
      <c r="U382" s="98"/>
      <c r="V382" s="51">
        <v>45518</v>
      </c>
      <c r="W382" s="49" t="s">
        <v>1560</v>
      </c>
      <c r="X382" s="154" t="s">
        <v>2</v>
      </c>
      <c r="Y382" s="154">
        <v>0</v>
      </c>
    </row>
    <row r="383" spans="1:25" ht="13" customHeight="1">
      <c r="A383" s="11">
        <v>377</v>
      </c>
      <c r="B383" s="47">
        <v>203800383</v>
      </c>
      <c r="C383" s="88" t="s">
        <v>2481</v>
      </c>
      <c r="D383" s="11" t="s">
        <v>2482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223</v>
      </c>
      <c r="S383" s="11" t="s">
        <v>2655</v>
      </c>
      <c r="T383" s="105" t="s">
        <v>1</v>
      </c>
      <c r="U383" s="98"/>
      <c r="V383" s="51">
        <v>45516</v>
      </c>
      <c r="W383" s="49" t="s">
        <v>1561</v>
      </c>
      <c r="X383" s="154" t="s">
        <v>2</v>
      </c>
      <c r="Y383" s="154">
        <v>0</v>
      </c>
    </row>
    <row r="384" spans="1:25" ht="13" customHeight="1">
      <c r="A384" s="11">
        <v>378</v>
      </c>
      <c r="B384" s="47">
        <v>203521427</v>
      </c>
      <c r="C384" s="88" t="s">
        <v>377</v>
      </c>
      <c r="D384" s="11" t="s">
        <v>378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95</v>
      </c>
      <c r="M384" s="49" t="s">
        <v>77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224</v>
      </c>
      <c r="S384" s="11" t="s">
        <v>225</v>
      </c>
      <c r="T384" s="105" t="s">
        <v>10</v>
      </c>
      <c r="U384" s="98"/>
      <c r="V384" s="51">
        <v>45463</v>
      </c>
      <c r="W384" s="49" t="s">
        <v>1558</v>
      </c>
      <c r="X384" s="154" t="s">
        <v>2948</v>
      </c>
      <c r="Y384" s="154">
        <v>0</v>
      </c>
    </row>
    <row r="385" spans="1:25" ht="13" customHeight="1">
      <c r="A385" s="11">
        <v>379</v>
      </c>
      <c r="B385" s="47">
        <v>203965502</v>
      </c>
      <c r="C385" s="88" t="s">
        <v>380</v>
      </c>
      <c r="D385" s="11" t="s">
        <v>381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224</v>
      </c>
      <c r="S385" s="11" t="s">
        <v>225</v>
      </c>
      <c r="T385" s="105" t="s">
        <v>1</v>
      </c>
      <c r="U385" s="98"/>
      <c r="V385" s="51">
        <v>45544</v>
      </c>
      <c r="W385" s="49" t="s">
        <v>1560</v>
      </c>
      <c r="X385" s="154" t="s">
        <v>2</v>
      </c>
      <c r="Y385" s="154">
        <v>0</v>
      </c>
    </row>
    <row r="386" spans="1:25" ht="13" customHeight="1">
      <c r="A386" s="11">
        <v>380</v>
      </c>
      <c r="B386" s="47">
        <v>206072868</v>
      </c>
      <c r="C386" s="88" t="s">
        <v>382</v>
      </c>
      <c r="D386" s="11" t="s">
        <v>383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9" t="s">
        <v>79</v>
      </c>
      <c r="O386" s="49" t="s">
        <v>35</v>
      </c>
      <c r="P386" s="11" t="s">
        <v>80</v>
      </c>
      <c r="Q386" s="11" t="s">
        <v>81</v>
      </c>
      <c r="R386" s="11" t="s">
        <v>230</v>
      </c>
      <c r="S386" s="11" t="s">
        <v>1732</v>
      </c>
      <c r="T386" s="105" t="s">
        <v>1</v>
      </c>
      <c r="U386" s="98"/>
      <c r="V386" s="51">
        <v>45922</v>
      </c>
      <c r="W386" s="49" t="s">
        <v>1560</v>
      </c>
      <c r="X386" s="154" t="s">
        <v>2</v>
      </c>
      <c r="Y386" s="154">
        <v>0</v>
      </c>
    </row>
    <row r="387" spans="1:25" ht="13" customHeight="1">
      <c r="A387" s="11">
        <v>381</v>
      </c>
      <c r="B387" s="47">
        <v>206504132</v>
      </c>
      <c r="C387" s="88" t="s">
        <v>2483</v>
      </c>
      <c r="D387" s="11" t="s">
        <v>2484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78</v>
      </c>
      <c r="M387" s="49" t="s">
        <v>92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230</v>
      </c>
      <c r="S387" s="11" t="s">
        <v>1732</v>
      </c>
      <c r="T387" s="105" t="s">
        <v>1</v>
      </c>
      <c r="U387" s="98"/>
      <c r="V387" s="51">
        <v>45971</v>
      </c>
      <c r="W387" s="49" t="s">
        <v>1560</v>
      </c>
      <c r="X387" s="154" t="s">
        <v>2</v>
      </c>
      <c r="Y387" s="154">
        <v>0</v>
      </c>
    </row>
    <row r="388" spans="1:25" ht="13" customHeight="1">
      <c r="A388" s="11">
        <v>382</v>
      </c>
      <c r="B388" s="47">
        <v>205608625</v>
      </c>
      <c r="C388" s="88" t="s">
        <v>384</v>
      </c>
      <c r="D388" s="11" t="s">
        <v>385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39</v>
      </c>
      <c r="K388" s="49" t="s">
        <v>76</v>
      </c>
      <c r="L388" s="49" t="s">
        <v>88</v>
      </c>
      <c r="M388" s="49" t="s">
        <v>95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223</v>
      </c>
      <c r="S388" s="11" t="s">
        <v>2655</v>
      </c>
      <c r="T388" s="105" t="s">
        <v>1</v>
      </c>
      <c r="U388" s="98"/>
      <c r="V388" s="51">
        <v>45845</v>
      </c>
      <c r="W388" s="49" t="s">
        <v>1560</v>
      </c>
      <c r="X388" s="154" t="s">
        <v>2</v>
      </c>
      <c r="Y388" s="154">
        <v>0</v>
      </c>
    </row>
    <row r="389" spans="1:25" ht="13" customHeight="1">
      <c r="A389" s="11">
        <v>383</v>
      </c>
      <c r="B389" s="11">
        <v>206873552</v>
      </c>
      <c r="C389" s="88" t="s">
        <v>1761</v>
      </c>
      <c r="D389" s="11" t="s">
        <v>1762</v>
      </c>
      <c r="E389" s="48" t="s">
        <v>31</v>
      </c>
      <c r="F389" s="48" t="s">
        <v>74</v>
      </c>
      <c r="G389" s="48" t="s">
        <v>64</v>
      </c>
      <c r="H389" s="48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9" t="s">
        <v>89</v>
      </c>
      <c r="O389" s="48" t="s">
        <v>35</v>
      </c>
      <c r="P389" s="48" t="s">
        <v>80</v>
      </c>
      <c r="Q389" s="11" t="s">
        <v>81</v>
      </c>
      <c r="R389" s="11" t="s">
        <v>230</v>
      </c>
      <c r="S389" s="11" t="s">
        <v>1732</v>
      </c>
      <c r="T389" s="105" t="s">
        <v>1</v>
      </c>
      <c r="U389" s="98"/>
      <c r="V389" s="51">
        <v>46020</v>
      </c>
      <c r="W389" s="11" t="s">
        <v>1560</v>
      </c>
      <c r="X389" s="154" t="s">
        <v>2</v>
      </c>
      <c r="Y389" s="154">
        <v>0</v>
      </c>
    </row>
    <row r="390" spans="1:25" ht="13" customHeight="1">
      <c r="A390" s="11">
        <v>384</v>
      </c>
      <c r="B390" s="47">
        <v>202218633</v>
      </c>
      <c r="C390" s="88" t="s">
        <v>386</v>
      </c>
      <c r="D390" s="11" t="s">
        <v>387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85</v>
      </c>
      <c r="M390" s="49" t="s">
        <v>88</v>
      </c>
      <c r="N390" s="48" t="s">
        <v>86</v>
      </c>
      <c r="O390" s="49" t="s">
        <v>35</v>
      </c>
      <c r="P390" s="11" t="s">
        <v>80</v>
      </c>
      <c r="Q390" s="11" t="s">
        <v>87</v>
      </c>
      <c r="R390" s="11" t="s">
        <v>223</v>
      </c>
      <c r="S390" s="11" t="s">
        <v>2655</v>
      </c>
      <c r="T390" s="105" t="s">
        <v>1</v>
      </c>
      <c r="U390" s="98"/>
      <c r="V390" s="51">
        <v>45586</v>
      </c>
      <c r="W390" s="49" t="s">
        <v>1560</v>
      </c>
      <c r="X390" s="154" t="s">
        <v>2</v>
      </c>
      <c r="Y390" s="154">
        <v>0</v>
      </c>
    </row>
    <row r="391" spans="1:25" ht="13" customHeight="1">
      <c r="A391" s="11">
        <v>385</v>
      </c>
      <c r="B391" s="47">
        <v>206073369</v>
      </c>
      <c r="C391" s="88" t="s">
        <v>388</v>
      </c>
      <c r="D391" s="11" t="s">
        <v>389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78</v>
      </c>
      <c r="M391" s="49" t="s">
        <v>92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224</v>
      </c>
      <c r="S391" s="11" t="s">
        <v>225</v>
      </c>
      <c r="T391" s="105" t="s">
        <v>1</v>
      </c>
      <c r="U391" s="98"/>
      <c r="V391" s="51">
        <v>45922</v>
      </c>
      <c r="W391" s="49" t="s">
        <v>1559</v>
      </c>
      <c r="X391" s="154" t="s">
        <v>2</v>
      </c>
      <c r="Y391" s="154">
        <v>0</v>
      </c>
    </row>
    <row r="392" spans="1:25" ht="13" customHeight="1">
      <c r="A392" s="11">
        <v>386</v>
      </c>
      <c r="B392" s="47">
        <v>206874115</v>
      </c>
      <c r="C392" s="88" t="s">
        <v>2485</v>
      </c>
      <c r="D392" s="11" t="s">
        <v>2486</v>
      </c>
      <c r="E392" s="48" t="s">
        <v>31</v>
      </c>
      <c r="F392" s="48" t="s">
        <v>74</v>
      </c>
      <c r="G392" s="48" t="s">
        <v>64</v>
      </c>
      <c r="H392" s="48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9" t="s">
        <v>89</v>
      </c>
      <c r="O392" s="48" t="s">
        <v>35</v>
      </c>
      <c r="P392" s="48" t="s">
        <v>80</v>
      </c>
      <c r="Q392" s="11" t="s">
        <v>90</v>
      </c>
      <c r="R392" s="11" t="s">
        <v>230</v>
      </c>
      <c r="S392" s="11" t="s">
        <v>1732</v>
      </c>
      <c r="T392" s="105" t="s">
        <v>1</v>
      </c>
      <c r="U392" s="98"/>
      <c r="V392" s="51">
        <v>46020</v>
      </c>
      <c r="W392" s="49" t="s">
        <v>1560</v>
      </c>
      <c r="X392" s="154" t="s">
        <v>2</v>
      </c>
      <c r="Y392" s="154">
        <v>0</v>
      </c>
    </row>
    <row r="393" spans="1:25" ht="13" customHeight="1">
      <c r="A393" s="11">
        <v>387</v>
      </c>
      <c r="B393" s="11">
        <v>206873567</v>
      </c>
      <c r="C393" s="88" t="s">
        <v>1755</v>
      </c>
      <c r="D393" s="11" t="s">
        <v>1756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81</v>
      </c>
      <c r="R393" s="11" t="s">
        <v>230</v>
      </c>
      <c r="S393" s="11" t="s">
        <v>1732</v>
      </c>
      <c r="T393" s="105" t="s">
        <v>1</v>
      </c>
      <c r="U393" s="98"/>
      <c r="V393" s="51">
        <v>46020</v>
      </c>
      <c r="W393" s="49" t="s">
        <v>1560</v>
      </c>
      <c r="X393" s="154" t="s">
        <v>2</v>
      </c>
      <c r="Y393" s="154">
        <v>0</v>
      </c>
    </row>
    <row r="394" spans="1:25" ht="13" customHeight="1">
      <c r="A394" s="11">
        <v>388</v>
      </c>
      <c r="B394" s="47">
        <v>203737200</v>
      </c>
      <c r="C394" s="88" t="s">
        <v>2487</v>
      </c>
      <c r="D394" s="11" t="s">
        <v>2488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90</v>
      </c>
      <c r="R394" s="11" t="s">
        <v>230</v>
      </c>
      <c r="S394" s="11" t="s">
        <v>1732</v>
      </c>
      <c r="T394" s="105" t="s">
        <v>1</v>
      </c>
      <c r="U394" s="98"/>
      <c r="V394" s="51">
        <v>45502</v>
      </c>
      <c r="W394" s="49" t="s">
        <v>1560</v>
      </c>
      <c r="X394" s="154" t="s">
        <v>2</v>
      </c>
      <c r="Y394" s="154">
        <v>0</v>
      </c>
    </row>
    <row r="395" spans="1:25" ht="13" customHeight="1">
      <c r="A395" s="11">
        <v>389</v>
      </c>
      <c r="B395" s="47">
        <v>206873643</v>
      </c>
      <c r="C395" s="88" t="s">
        <v>1741</v>
      </c>
      <c r="D395" s="11" t="s">
        <v>1742</v>
      </c>
      <c r="E395" s="48" t="s">
        <v>31</v>
      </c>
      <c r="F395" s="48" t="s">
        <v>74</v>
      </c>
      <c r="G395" s="48" t="s">
        <v>64</v>
      </c>
      <c r="H395" s="48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8" t="s">
        <v>35</v>
      </c>
      <c r="P395" s="48" t="s">
        <v>80</v>
      </c>
      <c r="Q395" s="11" t="s">
        <v>81</v>
      </c>
      <c r="R395" s="11" t="s">
        <v>230</v>
      </c>
      <c r="S395" s="11" t="s">
        <v>1732</v>
      </c>
      <c r="T395" s="105" t="s">
        <v>1</v>
      </c>
      <c r="U395" s="98"/>
      <c r="V395" s="51">
        <v>46020</v>
      </c>
      <c r="W395" s="49" t="s">
        <v>1560</v>
      </c>
      <c r="X395" s="154" t="s">
        <v>2</v>
      </c>
      <c r="Y395" s="154">
        <v>0</v>
      </c>
    </row>
    <row r="396" spans="1:25" ht="13" customHeight="1">
      <c r="A396" s="11">
        <v>390</v>
      </c>
      <c r="B396" s="47">
        <v>204246601</v>
      </c>
      <c r="C396" s="88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39</v>
      </c>
      <c r="K396" s="49" t="s">
        <v>76</v>
      </c>
      <c r="L396" s="49" t="s">
        <v>84</v>
      </c>
      <c r="M396" s="49" t="s">
        <v>85</v>
      </c>
      <c r="N396" s="48" t="s">
        <v>86</v>
      </c>
      <c r="O396" s="49" t="s">
        <v>35</v>
      </c>
      <c r="P396" s="11" t="s">
        <v>80</v>
      </c>
      <c r="Q396" s="11" t="s">
        <v>87</v>
      </c>
      <c r="R396" s="11" t="s">
        <v>223</v>
      </c>
      <c r="S396" s="11" t="s">
        <v>2655</v>
      </c>
      <c r="T396" s="105" t="s">
        <v>1</v>
      </c>
      <c r="U396" s="98"/>
      <c r="V396" s="51">
        <v>45579</v>
      </c>
      <c r="W396" s="49" t="s">
        <v>1560</v>
      </c>
      <c r="X396" s="154" t="s">
        <v>2</v>
      </c>
      <c r="Y396" s="154">
        <v>0</v>
      </c>
    </row>
    <row r="397" spans="1:25" ht="13" customHeight="1">
      <c r="A397" s="11">
        <v>391</v>
      </c>
      <c r="B397" s="47">
        <v>206874042</v>
      </c>
      <c r="C397" s="88" t="s">
        <v>2489</v>
      </c>
      <c r="D397" s="11" t="s">
        <v>2490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230</v>
      </c>
      <c r="S397" s="11" t="s">
        <v>1732</v>
      </c>
      <c r="T397" s="105" t="s">
        <v>1</v>
      </c>
      <c r="U397" s="98"/>
      <c r="V397" s="51">
        <v>46020</v>
      </c>
      <c r="W397" s="49" t="s">
        <v>1560</v>
      </c>
      <c r="X397" s="154" t="s">
        <v>2</v>
      </c>
      <c r="Y397" s="154">
        <v>0</v>
      </c>
    </row>
    <row r="398" spans="1:25" ht="13" customHeight="1">
      <c r="A398" s="11">
        <v>392</v>
      </c>
      <c r="B398" s="47">
        <v>206846115</v>
      </c>
      <c r="C398" s="88" t="s">
        <v>2491</v>
      </c>
      <c r="D398" s="47" t="s">
        <v>2492</v>
      </c>
      <c r="E398" s="47" t="s">
        <v>31</v>
      </c>
      <c r="F398" s="47" t="s">
        <v>74</v>
      </c>
      <c r="G398" s="47" t="s">
        <v>64</v>
      </c>
      <c r="H398" s="47" t="s">
        <v>75</v>
      </c>
      <c r="I398" s="47">
        <v>1299</v>
      </c>
      <c r="J398" s="49" t="s">
        <v>2411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7" t="s">
        <v>35</v>
      </c>
      <c r="P398" s="47" t="s">
        <v>80</v>
      </c>
      <c r="Q398" s="47" t="s">
        <v>90</v>
      </c>
      <c r="R398" s="11" t="s">
        <v>230</v>
      </c>
      <c r="S398" s="47" t="s">
        <v>1732</v>
      </c>
      <c r="T398" s="105" t="s">
        <v>1</v>
      </c>
      <c r="U398" s="98"/>
      <c r="V398" s="51">
        <v>46013</v>
      </c>
      <c r="W398" s="47" t="s">
        <v>1560</v>
      </c>
      <c r="X398" s="154" t="s">
        <v>2</v>
      </c>
      <c r="Y398" s="154">
        <v>0</v>
      </c>
    </row>
    <row r="399" spans="1:25" ht="13" customHeight="1">
      <c r="A399" s="11">
        <v>393</v>
      </c>
      <c r="B399" s="47">
        <v>203816298</v>
      </c>
      <c r="C399" s="88" t="s">
        <v>2493</v>
      </c>
      <c r="D399" s="11" t="s">
        <v>2494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224</v>
      </c>
      <c r="S399" s="11" t="s">
        <v>225</v>
      </c>
      <c r="T399" s="105" t="s">
        <v>1</v>
      </c>
      <c r="U399" s="98"/>
      <c r="V399" s="51">
        <v>45826</v>
      </c>
      <c r="W399" s="49" t="s">
        <v>1560</v>
      </c>
      <c r="X399" s="154" t="s">
        <v>2</v>
      </c>
      <c r="Y399" s="154">
        <v>0</v>
      </c>
    </row>
    <row r="400" spans="1:25" ht="13" customHeight="1">
      <c r="A400" s="11">
        <v>394</v>
      </c>
      <c r="B400" s="47">
        <v>204246603</v>
      </c>
      <c r="C400" s="88" t="s">
        <v>392</v>
      </c>
      <c r="D400" s="11" t="s">
        <v>393</v>
      </c>
      <c r="E400" s="48" t="s">
        <v>31</v>
      </c>
      <c r="F400" s="48" t="s">
        <v>74</v>
      </c>
      <c r="G400" s="11" t="s">
        <v>65</v>
      </c>
      <c r="H400" s="11" t="s">
        <v>1319</v>
      </c>
      <c r="I400" s="11">
        <v>1299</v>
      </c>
      <c r="J400" s="49" t="s">
        <v>39</v>
      </c>
      <c r="K400" s="49" t="s">
        <v>76</v>
      </c>
      <c r="L400" s="49" t="s">
        <v>85</v>
      </c>
      <c r="M400" s="49" t="s">
        <v>88</v>
      </c>
      <c r="N400" s="48" t="s">
        <v>86</v>
      </c>
      <c r="O400" s="49" t="s">
        <v>68</v>
      </c>
      <c r="P400" s="11" t="s">
        <v>80</v>
      </c>
      <c r="Q400" s="11" t="s">
        <v>87</v>
      </c>
      <c r="R400" s="11" t="s">
        <v>2660</v>
      </c>
      <c r="S400" s="11" t="s">
        <v>2661</v>
      </c>
      <c r="T400" s="105" t="s">
        <v>7</v>
      </c>
      <c r="U400" s="98" t="s">
        <v>2941</v>
      </c>
      <c r="V400" s="51">
        <v>45579</v>
      </c>
      <c r="W400" s="49" t="s">
        <v>68</v>
      </c>
      <c r="X400" s="154" t="s">
        <v>2948</v>
      </c>
      <c r="Y400" s="154" t="s">
        <v>2941</v>
      </c>
    </row>
    <row r="401" spans="1:25" ht="13" customHeight="1">
      <c r="A401" s="11">
        <v>395</v>
      </c>
      <c r="B401" s="47">
        <v>205977115</v>
      </c>
      <c r="C401" s="88" t="s">
        <v>394</v>
      </c>
      <c r="D401" s="11" t="s">
        <v>395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8" t="s">
        <v>86</v>
      </c>
      <c r="O401" s="49" t="s">
        <v>35</v>
      </c>
      <c r="P401" s="11" t="s">
        <v>80</v>
      </c>
      <c r="Q401" s="11" t="s">
        <v>90</v>
      </c>
      <c r="R401" s="11" t="s">
        <v>223</v>
      </c>
      <c r="S401" s="11" t="s">
        <v>2655</v>
      </c>
      <c r="T401" s="105" t="s">
        <v>1</v>
      </c>
      <c r="U401" s="98"/>
      <c r="V401" s="51">
        <v>45915</v>
      </c>
      <c r="W401" s="49" t="s">
        <v>1560</v>
      </c>
      <c r="X401" s="154" t="s">
        <v>2</v>
      </c>
      <c r="Y401" s="154">
        <v>0</v>
      </c>
    </row>
    <row r="402" spans="1:25" ht="13" customHeight="1">
      <c r="A402" s="11">
        <v>396</v>
      </c>
      <c r="B402" s="47">
        <v>206504129</v>
      </c>
      <c r="C402" s="88" t="s">
        <v>2495</v>
      </c>
      <c r="D402" s="11" t="s">
        <v>2496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39</v>
      </c>
      <c r="K402" s="49" t="s">
        <v>76</v>
      </c>
      <c r="L402" s="49" t="s">
        <v>78</v>
      </c>
      <c r="M402" s="49" t="s">
        <v>92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223</v>
      </c>
      <c r="S402" s="11" t="s">
        <v>2655</v>
      </c>
      <c r="T402" s="105" t="s">
        <v>1</v>
      </c>
      <c r="U402" s="98"/>
      <c r="V402" s="51">
        <v>45971</v>
      </c>
      <c r="W402" s="49" t="s">
        <v>1560</v>
      </c>
      <c r="X402" s="154" t="s">
        <v>2</v>
      </c>
      <c r="Y402" s="154">
        <v>0</v>
      </c>
    </row>
    <row r="403" spans="1:25" ht="13" customHeight="1">
      <c r="A403" s="11">
        <v>397</v>
      </c>
      <c r="B403" s="47">
        <v>203521425</v>
      </c>
      <c r="C403" s="88" t="s">
        <v>396</v>
      </c>
      <c r="D403" s="11" t="s">
        <v>397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95</v>
      </c>
      <c r="M403" s="49" t="s">
        <v>77</v>
      </c>
      <c r="N403" s="48" t="s">
        <v>79</v>
      </c>
      <c r="O403" s="49" t="s">
        <v>35</v>
      </c>
      <c r="P403" s="11" t="s">
        <v>80</v>
      </c>
      <c r="Q403" s="11" t="s">
        <v>81</v>
      </c>
      <c r="R403" s="11" t="s">
        <v>224</v>
      </c>
      <c r="S403" s="11" t="s">
        <v>225</v>
      </c>
      <c r="T403" s="105" t="s">
        <v>10</v>
      </c>
      <c r="U403" s="98"/>
      <c r="V403" s="51">
        <v>45463</v>
      </c>
      <c r="W403" s="49" t="s">
        <v>1559</v>
      </c>
      <c r="X403" s="154" t="s">
        <v>2948</v>
      </c>
      <c r="Y403" s="154">
        <v>0</v>
      </c>
    </row>
    <row r="404" spans="1:25" ht="13" customHeight="1">
      <c r="A404" s="11">
        <v>398</v>
      </c>
      <c r="B404" s="47">
        <v>203736254</v>
      </c>
      <c r="C404" s="88" t="s">
        <v>2497</v>
      </c>
      <c r="D404" s="11" t="s">
        <v>2498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39</v>
      </c>
      <c r="K404" s="49" t="s">
        <v>76</v>
      </c>
      <c r="L404" s="49" t="s">
        <v>84</v>
      </c>
      <c r="M404" s="49" t="s">
        <v>85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223</v>
      </c>
      <c r="S404" s="11" t="s">
        <v>2655</v>
      </c>
      <c r="T404" s="105" t="s">
        <v>1</v>
      </c>
      <c r="U404" s="98"/>
      <c r="V404" s="51">
        <v>45502</v>
      </c>
      <c r="W404" s="49" t="s">
        <v>1560</v>
      </c>
      <c r="X404" s="154" t="s">
        <v>2</v>
      </c>
      <c r="Y404" s="154">
        <v>0</v>
      </c>
    </row>
    <row r="405" spans="1:25" ht="13" customHeight="1">
      <c r="A405" s="11">
        <v>399</v>
      </c>
      <c r="B405" s="47">
        <v>203800481</v>
      </c>
      <c r="C405" s="88" t="s">
        <v>398</v>
      </c>
      <c r="D405" s="11" t="s">
        <v>399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224</v>
      </c>
      <c r="S405" s="11" t="s">
        <v>225</v>
      </c>
      <c r="T405" s="105" t="s">
        <v>1</v>
      </c>
      <c r="U405" s="98"/>
      <c r="V405" s="51">
        <v>45516</v>
      </c>
      <c r="W405" s="49" t="s">
        <v>1560</v>
      </c>
      <c r="X405" s="154" t="s">
        <v>2</v>
      </c>
      <c r="Y405" s="154">
        <v>0</v>
      </c>
    </row>
    <row r="406" spans="1:25" ht="13" customHeight="1">
      <c r="A406" s="11">
        <v>400</v>
      </c>
      <c r="B406" s="47">
        <v>205977117</v>
      </c>
      <c r="C406" s="88" t="s">
        <v>2499</v>
      </c>
      <c r="D406" s="11" t="s">
        <v>2500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230</v>
      </c>
      <c r="S406" s="11" t="s">
        <v>1732</v>
      </c>
      <c r="T406" s="105" t="s">
        <v>1</v>
      </c>
      <c r="U406" s="98"/>
      <c r="V406" s="51">
        <v>45915</v>
      </c>
      <c r="W406" s="49" t="s">
        <v>1560</v>
      </c>
      <c r="X406" s="154" t="s">
        <v>2</v>
      </c>
      <c r="Y406" s="154">
        <v>0</v>
      </c>
    </row>
    <row r="407" spans="1:25" ht="13" customHeight="1">
      <c r="A407" s="11">
        <v>401</v>
      </c>
      <c r="B407" s="47">
        <v>205236908</v>
      </c>
      <c r="C407" s="88" t="s">
        <v>2501</v>
      </c>
      <c r="D407" s="11" t="s">
        <v>2502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85</v>
      </c>
      <c r="M407" s="49" t="s">
        <v>88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224</v>
      </c>
      <c r="S407" s="11" t="s">
        <v>225</v>
      </c>
      <c r="T407" s="105" t="s">
        <v>1</v>
      </c>
      <c r="U407" s="98"/>
      <c r="V407" s="51">
        <v>45831</v>
      </c>
      <c r="W407" s="49" t="s">
        <v>1561</v>
      </c>
      <c r="X407" s="154" t="s">
        <v>2</v>
      </c>
      <c r="Y407" s="154">
        <v>0</v>
      </c>
    </row>
    <row r="408" spans="1:25" ht="13" customHeight="1">
      <c r="A408" s="11">
        <v>402</v>
      </c>
      <c r="B408" s="47">
        <v>206846689</v>
      </c>
      <c r="C408" s="88" t="s">
        <v>2503</v>
      </c>
      <c r="D408" s="47" t="s">
        <v>2504</v>
      </c>
      <c r="E408" s="47" t="s">
        <v>31</v>
      </c>
      <c r="F408" s="47" t="s">
        <v>74</v>
      </c>
      <c r="G408" s="47" t="s">
        <v>64</v>
      </c>
      <c r="H408" s="47" t="s">
        <v>75</v>
      </c>
      <c r="I408" s="47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9" t="s">
        <v>89</v>
      </c>
      <c r="O408" s="47" t="s">
        <v>35</v>
      </c>
      <c r="P408" s="47" t="s">
        <v>80</v>
      </c>
      <c r="Q408" s="47" t="s">
        <v>90</v>
      </c>
      <c r="R408" s="11" t="s">
        <v>230</v>
      </c>
      <c r="S408" s="47" t="s">
        <v>1732</v>
      </c>
      <c r="T408" s="105" t="s">
        <v>1</v>
      </c>
      <c r="U408" s="98"/>
      <c r="V408" s="51">
        <v>46013</v>
      </c>
      <c r="W408" s="47" t="s">
        <v>1560</v>
      </c>
      <c r="X408" s="154" t="s">
        <v>2</v>
      </c>
      <c r="Y408" s="154">
        <v>0</v>
      </c>
    </row>
    <row r="409" spans="1:25" ht="13" customHeight="1">
      <c r="A409" s="11">
        <v>403</v>
      </c>
      <c r="B409" s="47">
        <v>206934195</v>
      </c>
      <c r="C409" s="88" t="s">
        <v>2505</v>
      </c>
      <c r="D409" s="11" t="s">
        <v>2506</v>
      </c>
      <c r="E409" s="48" t="s">
        <v>31</v>
      </c>
      <c r="F409" s="48" t="s">
        <v>74</v>
      </c>
      <c r="G409" s="48" t="s">
        <v>64</v>
      </c>
      <c r="H409" s="48" t="s">
        <v>75</v>
      </c>
      <c r="I409" s="11">
        <v>1299</v>
      </c>
      <c r="J409" s="49" t="s">
        <v>39</v>
      </c>
      <c r="K409" s="49" t="s">
        <v>76</v>
      </c>
      <c r="L409" s="49" t="s">
        <v>78</v>
      </c>
      <c r="M409" s="49" t="s">
        <v>92</v>
      </c>
      <c r="N409" s="49" t="s">
        <v>79</v>
      </c>
      <c r="O409" s="49" t="s">
        <v>35</v>
      </c>
      <c r="P409" s="49" t="s">
        <v>80</v>
      </c>
      <c r="Q409" s="11" t="s">
        <v>96</v>
      </c>
      <c r="R409" s="11" t="s">
        <v>223</v>
      </c>
      <c r="S409" s="11" t="s">
        <v>2655</v>
      </c>
      <c r="T409" s="105" t="s">
        <v>1</v>
      </c>
      <c r="U409" s="98"/>
      <c r="V409" s="51">
        <v>46041</v>
      </c>
      <c r="W409" s="49" t="s">
        <v>1560</v>
      </c>
      <c r="X409" s="154" t="s">
        <v>2</v>
      </c>
      <c r="Y409" s="154">
        <v>0</v>
      </c>
    </row>
    <row r="410" spans="1:25" ht="13" customHeight="1">
      <c r="A410" s="11">
        <v>404</v>
      </c>
      <c r="B410" s="47">
        <v>206791755</v>
      </c>
      <c r="C410" s="88" t="s">
        <v>2507</v>
      </c>
      <c r="D410" s="11" t="s">
        <v>2508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89</v>
      </c>
      <c r="O410" s="49" t="s">
        <v>35</v>
      </c>
      <c r="P410" s="11" t="s">
        <v>80</v>
      </c>
      <c r="Q410" s="11" t="s">
        <v>90</v>
      </c>
      <c r="R410" s="11" t="s">
        <v>223</v>
      </c>
      <c r="S410" s="11" t="s">
        <v>2655</v>
      </c>
      <c r="T410" s="105" t="s">
        <v>1</v>
      </c>
      <c r="U410" s="98"/>
      <c r="V410" s="51">
        <v>45999</v>
      </c>
      <c r="W410" s="49" t="s">
        <v>1560</v>
      </c>
      <c r="X410" s="154" t="s">
        <v>2</v>
      </c>
      <c r="Y410" s="154">
        <v>0</v>
      </c>
    </row>
    <row r="411" spans="1:25" ht="13" customHeight="1">
      <c r="A411" s="11">
        <v>405</v>
      </c>
      <c r="B411" s="47">
        <v>203736255</v>
      </c>
      <c r="C411" s="88" t="s">
        <v>2509</v>
      </c>
      <c r="D411" s="11" t="s">
        <v>2510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92</v>
      </c>
      <c r="M411" s="49" t="s">
        <v>84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223</v>
      </c>
      <c r="S411" s="11" t="s">
        <v>2655</v>
      </c>
      <c r="T411" s="105" t="s">
        <v>1</v>
      </c>
      <c r="U411" s="98"/>
      <c r="V411" s="51">
        <v>45502</v>
      </c>
      <c r="W411" s="49" t="s">
        <v>1560</v>
      </c>
      <c r="X411" s="154" t="s">
        <v>2</v>
      </c>
      <c r="Y411" s="154">
        <v>0</v>
      </c>
    </row>
    <row r="412" spans="1:25" ht="13" customHeight="1">
      <c r="A412" s="11">
        <v>406</v>
      </c>
      <c r="B412" s="47">
        <v>204246163</v>
      </c>
      <c r="C412" s="88" t="s">
        <v>401</v>
      </c>
      <c r="D412" s="11" t="s">
        <v>402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77</v>
      </c>
      <c r="M412" s="49" t="s">
        <v>78</v>
      </c>
      <c r="N412" s="48" t="s">
        <v>86</v>
      </c>
      <c r="O412" s="49" t="s">
        <v>35</v>
      </c>
      <c r="P412" s="11" t="s">
        <v>80</v>
      </c>
      <c r="Q412" s="11" t="s">
        <v>87</v>
      </c>
      <c r="R412" s="11" t="s">
        <v>223</v>
      </c>
      <c r="S412" s="11" t="s">
        <v>2655</v>
      </c>
      <c r="T412" s="105" t="s">
        <v>10</v>
      </c>
      <c r="U412" s="98"/>
      <c r="V412" s="51">
        <v>45579</v>
      </c>
      <c r="W412" s="49" t="s">
        <v>1560</v>
      </c>
      <c r="X412" s="154" t="s">
        <v>2948</v>
      </c>
      <c r="Y412" s="154">
        <v>0</v>
      </c>
    </row>
    <row r="413" spans="1:25" ht="13" customHeight="1">
      <c r="A413" s="11">
        <v>407</v>
      </c>
      <c r="B413" s="47">
        <v>206846692</v>
      </c>
      <c r="C413" s="88" t="s">
        <v>2511</v>
      </c>
      <c r="D413" s="47" t="s">
        <v>2512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230</v>
      </c>
      <c r="S413" s="47" t="s">
        <v>1732</v>
      </c>
      <c r="T413" s="105" t="s">
        <v>1</v>
      </c>
      <c r="U413" s="98"/>
      <c r="V413" s="51">
        <v>46013</v>
      </c>
      <c r="W413" s="47" t="s">
        <v>1560</v>
      </c>
      <c r="X413" s="154" t="s">
        <v>2</v>
      </c>
      <c r="Y413" s="154">
        <v>0</v>
      </c>
    </row>
    <row r="414" spans="1:25" ht="13" customHeight="1">
      <c r="A414" s="11">
        <v>408</v>
      </c>
      <c r="B414" s="47">
        <v>206072876</v>
      </c>
      <c r="C414" s="88" t="s">
        <v>403</v>
      </c>
      <c r="D414" s="11" t="s">
        <v>404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32</v>
      </c>
      <c r="K414" s="49" t="s">
        <v>76</v>
      </c>
      <c r="L414" s="49" t="s">
        <v>78</v>
      </c>
      <c r="M414" s="49" t="s">
        <v>92</v>
      </c>
      <c r="N414" s="48" t="s">
        <v>79</v>
      </c>
      <c r="O414" s="49" t="s">
        <v>35</v>
      </c>
      <c r="P414" s="11" t="s">
        <v>80</v>
      </c>
      <c r="Q414" s="11" t="s">
        <v>81</v>
      </c>
      <c r="R414" s="11" t="s">
        <v>223</v>
      </c>
      <c r="S414" s="11" t="s">
        <v>2655</v>
      </c>
      <c r="T414" s="105" t="s">
        <v>1</v>
      </c>
      <c r="U414" s="98"/>
      <c r="V414" s="51">
        <v>45922</v>
      </c>
      <c r="W414" s="49" t="s">
        <v>1560</v>
      </c>
      <c r="X414" s="154" t="s">
        <v>2</v>
      </c>
      <c r="Y414" s="154">
        <v>0</v>
      </c>
    </row>
    <row r="415" spans="1:25" ht="13" customHeight="1">
      <c r="A415" s="11">
        <v>409</v>
      </c>
      <c r="B415" s="47">
        <v>203736329</v>
      </c>
      <c r="C415" s="88" t="s">
        <v>2513</v>
      </c>
      <c r="D415" s="11" t="s">
        <v>2514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223</v>
      </c>
      <c r="S415" s="11" t="s">
        <v>2655</v>
      </c>
      <c r="T415" s="105" t="s">
        <v>1</v>
      </c>
      <c r="U415" s="98"/>
      <c r="V415" s="51">
        <v>45502</v>
      </c>
      <c r="W415" s="49" t="s">
        <v>1560</v>
      </c>
      <c r="X415" s="154" t="s">
        <v>2</v>
      </c>
      <c r="Y415" s="154">
        <v>0</v>
      </c>
    </row>
    <row r="416" spans="1:25" ht="13" customHeight="1">
      <c r="A416" s="11">
        <v>410</v>
      </c>
      <c r="B416" s="47">
        <v>205477624</v>
      </c>
      <c r="C416" s="88" t="s">
        <v>405</v>
      </c>
      <c r="D416" s="11" t="s">
        <v>406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88</v>
      </c>
      <c r="M416" s="49" t="s">
        <v>95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224</v>
      </c>
      <c r="S416" s="11" t="s">
        <v>225</v>
      </c>
      <c r="T416" s="105" t="s">
        <v>1</v>
      </c>
      <c r="U416" s="98"/>
      <c r="V416" s="51">
        <v>45831</v>
      </c>
      <c r="W416" s="49" t="s">
        <v>1561</v>
      </c>
      <c r="X416" s="154" t="s">
        <v>2</v>
      </c>
      <c r="Y416" s="154">
        <v>0</v>
      </c>
    </row>
    <row r="417" spans="1:25" ht="13" customHeight="1">
      <c r="A417" s="11">
        <v>411</v>
      </c>
      <c r="B417" s="47">
        <v>203599606</v>
      </c>
      <c r="C417" s="88" t="s">
        <v>407</v>
      </c>
      <c r="D417" s="11" t="s">
        <v>408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79</v>
      </c>
      <c r="O417" s="49" t="s">
        <v>35</v>
      </c>
      <c r="P417" s="11" t="s">
        <v>80</v>
      </c>
      <c r="Q417" s="11" t="s">
        <v>81</v>
      </c>
      <c r="R417" s="11" t="s">
        <v>223</v>
      </c>
      <c r="S417" s="11" t="s">
        <v>2655</v>
      </c>
      <c r="T417" s="105" t="s">
        <v>1</v>
      </c>
      <c r="U417" s="98"/>
      <c r="V417" s="51">
        <v>45544</v>
      </c>
      <c r="W417" s="49" t="s">
        <v>1560</v>
      </c>
      <c r="X417" s="154" t="s">
        <v>2</v>
      </c>
      <c r="Y417" s="154">
        <v>0</v>
      </c>
    </row>
    <row r="418" spans="1:25" ht="13" customHeight="1">
      <c r="A418" s="11">
        <v>412</v>
      </c>
      <c r="B418" s="47">
        <v>202334276</v>
      </c>
      <c r="C418" s="88" t="s">
        <v>409</v>
      </c>
      <c r="D418" s="11" t="s">
        <v>410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86</v>
      </c>
      <c r="O418" s="49" t="s">
        <v>35</v>
      </c>
      <c r="P418" s="11" t="s">
        <v>80</v>
      </c>
      <c r="Q418" s="11" t="s">
        <v>87</v>
      </c>
      <c r="R418" s="11" t="s">
        <v>230</v>
      </c>
      <c r="S418" s="11" t="s">
        <v>1732</v>
      </c>
      <c r="T418" s="105" t="s">
        <v>1</v>
      </c>
      <c r="U418" s="98"/>
      <c r="V418" s="51">
        <v>45581</v>
      </c>
      <c r="W418" s="49" t="s">
        <v>1560</v>
      </c>
      <c r="X418" s="154" t="s">
        <v>2</v>
      </c>
      <c r="Y418" s="154">
        <v>0</v>
      </c>
    </row>
    <row r="419" spans="1:25" ht="13" customHeight="1">
      <c r="A419" s="11">
        <v>413</v>
      </c>
      <c r="B419" s="47">
        <v>203521525</v>
      </c>
      <c r="C419" s="88" t="s">
        <v>411</v>
      </c>
      <c r="D419" s="11" t="s">
        <v>412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224</v>
      </c>
      <c r="S419" s="11" t="s">
        <v>225</v>
      </c>
      <c r="T419" s="105" t="s">
        <v>1</v>
      </c>
      <c r="U419" s="98"/>
      <c r="V419" s="51">
        <v>45463</v>
      </c>
      <c r="W419" s="49" t="s">
        <v>1558</v>
      </c>
      <c r="X419" s="154" t="s">
        <v>2</v>
      </c>
      <c r="Y419" s="154">
        <v>0</v>
      </c>
    </row>
    <row r="420" spans="1:25" ht="13" customHeight="1">
      <c r="A420" s="11">
        <v>414</v>
      </c>
      <c r="B420" s="47">
        <v>206073366</v>
      </c>
      <c r="C420" s="88" t="s">
        <v>413</v>
      </c>
      <c r="D420" s="11" t="s">
        <v>414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79</v>
      </c>
      <c r="O420" s="49" t="s">
        <v>35</v>
      </c>
      <c r="P420" s="11" t="s">
        <v>80</v>
      </c>
      <c r="Q420" s="11" t="s">
        <v>81</v>
      </c>
      <c r="R420" s="11" t="s">
        <v>230</v>
      </c>
      <c r="S420" s="11" t="s">
        <v>1732</v>
      </c>
      <c r="T420" s="105" t="s">
        <v>7</v>
      </c>
      <c r="U420" s="98" t="s">
        <v>2941</v>
      </c>
      <c r="V420" s="51">
        <v>45922</v>
      </c>
      <c r="W420" s="49" t="s">
        <v>1560</v>
      </c>
      <c r="X420" s="154" t="s">
        <v>2948</v>
      </c>
      <c r="Y420" s="154" t="s">
        <v>2941</v>
      </c>
    </row>
    <row r="421" spans="1:25" ht="13" customHeight="1">
      <c r="A421" s="11">
        <v>415</v>
      </c>
      <c r="B421" s="47">
        <v>205608629</v>
      </c>
      <c r="C421" s="88" t="s">
        <v>2515</v>
      </c>
      <c r="D421" s="11" t="s">
        <v>2516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39</v>
      </c>
      <c r="K421" s="49" t="s">
        <v>76</v>
      </c>
      <c r="L421" s="49" t="s">
        <v>77</v>
      </c>
      <c r="M421" s="49" t="s">
        <v>78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223</v>
      </c>
      <c r="S421" s="11" t="s">
        <v>2655</v>
      </c>
      <c r="T421" s="105" t="s">
        <v>10</v>
      </c>
      <c r="U421" s="98"/>
      <c r="V421" s="51">
        <v>45845</v>
      </c>
      <c r="W421" s="49" t="s">
        <v>1560</v>
      </c>
      <c r="X421" s="154" t="s">
        <v>2948</v>
      </c>
      <c r="Y421" s="154">
        <v>0</v>
      </c>
    </row>
    <row r="422" spans="1:25" ht="13" customHeight="1">
      <c r="A422" s="11">
        <v>416</v>
      </c>
      <c r="B422" s="47">
        <v>203521131</v>
      </c>
      <c r="C422" s="88" t="s">
        <v>415</v>
      </c>
      <c r="D422" s="11" t="s">
        <v>416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77</v>
      </c>
      <c r="M422" s="49" t="s">
        <v>78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223</v>
      </c>
      <c r="S422" s="11" t="s">
        <v>2655</v>
      </c>
      <c r="T422" s="105" t="s">
        <v>10</v>
      </c>
      <c r="U422" s="98"/>
      <c r="V422" s="51">
        <v>45463</v>
      </c>
      <c r="W422" s="49" t="s">
        <v>1560</v>
      </c>
      <c r="X422" s="154" t="s">
        <v>2948</v>
      </c>
      <c r="Y422" s="154">
        <v>0</v>
      </c>
    </row>
    <row r="423" spans="1:25" ht="13" customHeight="1">
      <c r="A423" s="11">
        <v>417</v>
      </c>
      <c r="B423" s="11">
        <v>206953801</v>
      </c>
      <c r="C423" s="88" t="s">
        <v>2133</v>
      </c>
      <c r="D423" s="11" t="s">
        <v>2134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78</v>
      </c>
      <c r="M423" s="49" t="s">
        <v>92</v>
      </c>
      <c r="N423" s="49" t="s">
        <v>86</v>
      </c>
      <c r="O423" s="86" t="s">
        <v>35</v>
      </c>
      <c r="P423" s="11" t="s">
        <v>80</v>
      </c>
      <c r="Q423" s="83" t="s">
        <v>90</v>
      </c>
      <c r="R423" s="11" t="s">
        <v>223</v>
      </c>
      <c r="S423" s="54" t="s">
        <v>2655</v>
      </c>
      <c r="T423" s="105" t="s">
        <v>1</v>
      </c>
      <c r="U423" s="98"/>
      <c r="V423" s="51">
        <v>46051</v>
      </c>
      <c r="W423" s="2" t="s">
        <v>1560</v>
      </c>
      <c r="X423" s="154" t="s">
        <v>2</v>
      </c>
      <c r="Y423" s="154">
        <v>0</v>
      </c>
    </row>
    <row r="424" spans="1:25" ht="13" customHeight="1">
      <c r="A424" s="11">
        <v>418</v>
      </c>
      <c r="B424" s="47">
        <v>204246608</v>
      </c>
      <c r="C424" s="88" t="s">
        <v>417</v>
      </c>
      <c r="D424" s="11" t="s">
        <v>418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39</v>
      </c>
      <c r="K424" s="49" t="s">
        <v>76</v>
      </c>
      <c r="L424" s="49" t="s">
        <v>78</v>
      </c>
      <c r="M424" s="49" t="s">
        <v>92</v>
      </c>
      <c r="N424" s="48" t="s">
        <v>86</v>
      </c>
      <c r="O424" s="49" t="s">
        <v>35</v>
      </c>
      <c r="P424" s="11" t="s">
        <v>80</v>
      </c>
      <c r="Q424" s="11" t="s">
        <v>87</v>
      </c>
      <c r="R424" s="11" t="s">
        <v>224</v>
      </c>
      <c r="S424" s="11" t="s">
        <v>225</v>
      </c>
      <c r="T424" s="105" t="s">
        <v>1</v>
      </c>
      <c r="U424" s="98"/>
      <c r="V424" s="51">
        <v>45579</v>
      </c>
      <c r="W424" s="49" t="s">
        <v>1559</v>
      </c>
      <c r="X424" s="154" t="s">
        <v>2</v>
      </c>
      <c r="Y424" s="154">
        <v>0</v>
      </c>
    </row>
    <row r="425" spans="1:25" ht="13" customHeight="1">
      <c r="A425" s="11">
        <v>419</v>
      </c>
      <c r="B425" s="47">
        <v>204869083</v>
      </c>
      <c r="C425" s="88" t="s">
        <v>419</v>
      </c>
      <c r="D425" s="11" t="s">
        <v>420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86</v>
      </c>
      <c r="O425" s="49" t="s">
        <v>35</v>
      </c>
      <c r="P425" s="11" t="s">
        <v>80</v>
      </c>
      <c r="Q425" s="11" t="s">
        <v>87</v>
      </c>
      <c r="R425" s="11" t="s">
        <v>224</v>
      </c>
      <c r="S425" s="11" t="s">
        <v>225</v>
      </c>
      <c r="T425" s="105" t="s">
        <v>4</v>
      </c>
      <c r="U425" s="98"/>
      <c r="V425" s="51">
        <v>45691</v>
      </c>
      <c r="W425" s="49" t="s">
        <v>1559</v>
      </c>
      <c r="X425" s="154" t="s">
        <v>2948</v>
      </c>
      <c r="Y425" s="154" t="s">
        <v>2949</v>
      </c>
    </row>
    <row r="426" spans="1:25" ht="13" customHeight="1">
      <c r="A426" s="11">
        <v>420</v>
      </c>
      <c r="B426" s="47">
        <v>204241393</v>
      </c>
      <c r="C426" s="88" t="s">
        <v>421</v>
      </c>
      <c r="D426" s="11" t="s">
        <v>422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8" t="s">
        <v>86</v>
      </c>
      <c r="O426" s="49" t="s">
        <v>35</v>
      </c>
      <c r="P426" s="11" t="s">
        <v>80</v>
      </c>
      <c r="Q426" s="11" t="s">
        <v>87</v>
      </c>
      <c r="R426" s="11" t="s">
        <v>223</v>
      </c>
      <c r="S426" s="11" t="s">
        <v>2655</v>
      </c>
      <c r="T426" s="105" t="s">
        <v>7</v>
      </c>
      <c r="U426" s="98" t="s">
        <v>2941</v>
      </c>
      <c r="V426" s="51">
        <v>45579</v>
      </c>
      <c r="W426" s="49" t="s">
        <v>1559</v>
      </c>
      <c r="X426" s="154" t="s">
        <v>2948</v>
      </c>
      <c r="Y426" s="154" t="s">
        <v>2941</v>
      </c>
    </row>
    <row r="427" spans="1:25" ht="13" customHeight="1">
      <c r="A427" s="11">
        <v>421</v>
      </c>
      <c r="B427" s="47">
        <v>204246616</v>
      </c>
      <c r="C427" s="88" t="s">
        <v>423</v>
      </c>
      <c r="D427" s="11" t="s">
        <v>424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78</v>
      </c>
      <c r="M427" s="49" t="s">
        <v>92</v>
      </c>
      <c r="N427" s="48" t="s">
        <v>86</v>
      </c>
      <c r="O427" s="49" t="s">
        <v>35</v>
      </c>
      <c r="P427" s="11" t="s">
        <v>80</v>
      </c>
      <c r="Q427" s="11" t="s">
        <v>87</v>
      </c>
      <c r="R427" s="11" t="s">
        <v>223</v>
      </c>
      <c r="S427" s="11" t="s">
        <v>2655</v>
      </c>
      <c r="T427" s="105" t="s">
        <v>1</v>
      </c>
      <c r="U427" s="98"/>
      <c r="V427" s="51">
        <v>45579</v>
      </c>
      <c r="W427" s="49" t="s">
        <v>1560</v>
      </c>
      <c r="X427" s="154" t="s">
        <v>2</v>
      </c>
      <c r="Y427" s="154">
        <v>0</v>
      </c>
    </row>
    <row r="428" spans="1:25" ht="13" customHeight="1">
      <c r="A428" s="11">
        <v>422</v>
      </c>
      <c r="B428" s="47">
        <v>204246611</v>
      </c>
      <c r="C428" s="88" t="s">
        <v>425</v>
      </c>
      <c r="D428" s="11" t="s">
        <v>426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87</v>
      </c>
      <c r="R428" s="11" t="s">
        <v>224</v>
      </c>
      <c r="S428" s="11" t="s">
        <v>225</v>
      </c>
      <c r="T428" s="105" t="s">
        <v>7</v>
      </c>
      <c r="U428" s="98" t="s">
        <v>2941</v>
      </c>
      <c r="V428" s="51">
        <v>45579</v>
      </c>
      <c r="W428" s="49" t="s">
        <v>1559</v>
      </c>
      <c r="X428" s="154" t="s">
        <v>2948</v>
      </c>
      <c r="Y428" s="154" t="s">
        <v>2951</v>
      </c>
    </row>
    <row r="429" spans="1:25" ht="13" customHeight="1">
      <c r="A429" s="11">
        <v>423</v>
      </c>
      <c r="B429" s="47">
        <v>206004604</v>
      </c>
      <c r="C429" s="88" t="s">
        <v>427</v>
      </c>
      <c r="D429" s="11" t="s">
        <v>428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8" t="s">
        <v>79</v>
      </c>
      <c r="O429" s="49" t="s">
        <v>35</v>
      </c>
      <c r="P429" s="11" t="s">
        <v>80</v>
      </c>
      <c r="Q429" s="11" t="s">
        <v>81</v>
      </c>
      <c r="R429" s="11" t="s">
        <v>224</v>
      </c>
      <c r="S429" s="11" t="s">
        <v>225</v>
      </c>
      <c r="T429" s="105" t="s">
        <v>1</v>
      </c>
      <c r="U429" s="98"/>
      <c r="V429" s="51">
        <v>45915</v>
      </c>
      <c r="W429" s="49" t="s">
        <v>1561</v>
      </c>
      <c r="X429" s="154" t="s">
        <v>2</v>
      </c>
      <c r="Y429" s="154">
        <v>0</v>
      </c>
    </row>
    <row r="430" spans="1:25" ht="13" customHeight="1">
      <c r="A430" s="11">
        <v>424</v>
      </c>
      <c r="B430" s="47">
        <v>206846703</v>
      </c>
      <c r="C430" s="88" t="s">
        <v>2517</v>
      </c>
      <c r="D430" s="47" t="s">
        <v>2518</v>
      </c>
      <c r="E430" s="47" t="s">
        <v>31</v>
      </c>
      <c r="F430" s="47" t="s">
        <v>74</v>
      </c>
      <c r="G430" s="47" t="s">
        <v>64</v>
      </c>
      <c r="H430" s="47" t="s">
        <v>75</v>
      </c>
      <c r="I430" s="47">
        <v>1299</v>
      </c>
      <c r="J430" s="49" t="s">
        <v>39</v>
      </c>
      <c r="K430" s="49" t="s">
        <v>76</v>
      </c>
      <c r="L430" s="49" t="s">
        <v>78</v>
      </c>
      <c r="M430" s="49" t="s">
        <v>92</v>
      </c>
      <c r="N430" s="49" t="s">
        <v>89</v>
      </c>
      <c r="O430" s="47" t="s">
        <v>35</v>
      </c>
      <c r="P430" s="47" t="s">
        <v>80</v>
      </c>
      <c r="Q430" s="47" t="s">
        <v>90</v>
      </c>
      <c r="R430" s="11" t="s">
        <v>230</v>
      </c>
      <c r="S430" s="47" t="s">
        <v>1732</v>
      </c>
      <c r="T430" s="105" t="s">
        <v>1</v>
      </c>
      <c r="U430" s="98"/>
      <c r="V430" s="51">
        <v>46013</v>
      </c>
      <c r="W430" s="47" t="s">
        <v>1560</v>
      </c>
      <c r="X430" s="154" t="s">
        <v>2</v>
      </c>
      <c r="Y430" s="154">
        <v>0</v>
      </c>
    </row>
    <row r="431" spans="1:25" ht="13" customHeight="1">
      <c r="A431" s="11">
        <v>425</v>
      </c>
      <c r="B431" s="47">
        <v>204882795</v>
      </c>
      <c r="C431" s="88" t="s">
        <v>429</v>
      </c>
      <c r="D431" s="11" t="s">
        <v>430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39</v>
      </c>
      <c r="K431" s="49" t="s">
        <v>76</v>
      </c>
      <c r="L431" s="49" t="s">
        <v>77</v>
      </c>
      <c r="M431" s="49" t="s">
        <v>78</v>
      </c>
      <c r="N431" s="48" t="s">
        <v>86</v>
      </c>
      <c r="O431" s="49" t="s">
        <v>35</v>
      </c>
      <c r="P431" s="11" t="s">
        <v>80</v>
      </c>
      <c r="Q431" s="11" t="s">
        <v>90</v>
      </c>
      <c r="R431" s="11" t="s">
        <v>223</v>
      </c>
      <c r="S431" s="11" t="s">
        <v>2655</v>
      </c>
      <c r="T431" s="105" t="s">
        <v>10</v>
      </c>
      <c r="U431" s="98"/>
      <c r="V431" s="51">
        <v>45826</v>
      </c>
      <c r="W431" s="49" t="s">
        <v>1560</v>
      </c>
      <c r="X431" s="154" t="s">
        <v>2948</v>
      </c>
      <c r="Y431" s="154">
        <v>0</v>
      </c>
    </row>
    <row r="432" spans="1:25" ht="13" customHeight="1">
      <c r="A432" s="11">
        <v>426</v>
      </c>
      <c r="B432" s="47">
        <v>203737144</v>
      </c>
      <c r="C432" s="88" t="s">
        <v>432</v>
      </c>
      <c r="D432" s="11" t="s">
        <v>433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85</v>
      </c>
      <c r="M432" s="49" t="s">
        <v>88</v>
      </c>
      <c r="N432" s="48" t="s">
        <v>79</v>
      </c>
      <c r="O432" s="49" t="s">
        <v>35</v>
      </c>
      <c r="P432" s="11" t="s">
        <v>80</v>
      </c>
      <c r="Q432" s="11" t="s">
        <v>81</v>
      </c>
      <c r="R432" s="11" t="s">
        <v>223</v>
      </c>
      <c r="S432" s="11" t="s">
        <v>2655</v>
      </c>
      <c r="T432" s="105" t="s">
        <v>1</v>
      </c>
      <c r="U432" s="98"/>
      <c r="V432" s="51">
        <v>45502</v>
      </c>
      <c r="W432" s="49" t="s">
        <v>1560</v>
      </c>
      <c r="X432" s="154" t="s">
        <v>2</v>
      </c>
      <c r="Y432" s="154">
        <v>0</v>
      </c>
    </row>
    <row r="433" spans="1:25" ht="13" customHeight="1">
      <c r="A433" s="11">
        <v>427</v>
      </c>
      <c r="B433" s="47">
        <v>102434104</v>
      </c>
      <c r="C433" s="88" t="s">
        <v>2401</v>
      </c>
      <c r="D433" s="11" t="s">
        <v>2402</v>
      </c>
      <c r="E433" s="48" t="s">
        <v>34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88</v>
      </c>
      <c r="M433" s="49" t="s">
        <v>95</v>
      </c>
      <c r="N433" s="48" t="s">
        <v>97</v>
      </c>
      <c r="O433" s="49" t="s">
        <v>35</v>
      </c>
      <c r="P433" s="11" t="s">
        <v>80</v>
      </c>
      <c r="Q433" s="11" t="s">
        <v>98</v>
      </c>
      <c r="R433" s="11" t="s">
        <v>230</v>
      </c>
      <c r="S433" s="11" t="s">
        <v>1732</v>
      </c>
      <c r="T433" s="105" t="s">
        <v>1</v>
      </c>
      <c r="U433" s="98"/>
      <c r="V433" s="51">
        <v>42883</v>
      </c>
      <c r="W433" s="49" t="s">
        <v>1562</v>
      </c>
      <c r="X433" s="154" t="s">
        <v>2</v>
      </c>
      <c r="Y433" s="154">
        <v>0</v>
      </c>
    </row>
    <row r="434" spans="1:25" ht="13" customHeight="1">
      <c r="A434" s="11">
        <v>428</v>
      </c>
      <c r="B434" s="47">
        <v>204967153</v>
      </c>
      <c r="C434" s="88" t="s">
        <v>2519</v>
      </c>
      <c r="D434" s="11" t="s">
        <v>2520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39</v>
      </c>
      <c r="K434" s="49" t="s">
        <v>76</v>
      </c>
      <c r="L434" s="49" t="s">
        <v>92</v>
      </c>
      <c r="M434" s="49" t="s">
        <v>84</v>
      </c>
      <c r="N434" s="48" t="s">
        <v>86</v>
      </c>
      <c r="O434" s="49" t="s">
        <v>35</v>
      </c>
      <c r="P434" s="11" t="s">
        <v>80</v>
      </c>
      <c r="Q434" s="11" t="s">
        <v>90</v>
      </c>
      <c r="R434" s="11" t="s">
        <v>223</v>
      </c>
      <c r="S434" s="11" t="s">
        <v>2655</v>
      </c>
      <c r="T434" s="105" t="s">
        <v>1</v>
      </c>
      <c r="U434" s="98"/>
      <c r="V434" s="51">
        <v>45826</v>
      </c>
      <c r="W434" s="49" t="s">
        <v>1560</v>
      </c>
      <c r="X434" s="154" t="s">
        <v>2</v>
      </c>
      <c r="Y434" s="154">
        <v>0</v>
      </c>
    </row>
    <row r="435" spans="1:25" ht="13" customHeight="1">
      <c r="A435" s="11">
        <v>429</v>
      </c>
      <c r="B435" s="47">
        <v>206015634</v>
      </c>
      <c r="C435" s="88" t="s">
        <v>434</v>
      </c>
      <c r="D435" s="11" t="s">
        <v>435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88</v>
      </c>
      <c r="M435" s="49" t="s">
        <v>95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230</v>
      </c>
      <c r="S435" s="11" t="s">
        <v>1732</v>
      </c>
      <c r="T435" s="105" t="s">
        <v>1</v>
      </c>
      <c r="U435" s="98"/>
      <c r="V435" s="51">
        <v>45915</v>
      </c>
      <c r="W435" s="49" t="s">
        <v>1558</v>
      </c>
      <c r="X435" s="154" t="s">
        <v>2</v>
      </c>
      <c r="Y435" s="154">
        <v>0</v>
      </c>
    </row>
    <row r="436" spans="1:25" ht="13" customHeight="1">
      <c r="A436" s="11">
        <v>430</v>
      </c>
      <c r="B436" s="47">
        <v>203736757</v>
      </c>
      <c r="C436" s="88" t="s">
        <v>437</v>
      </c>
      <c r="D436" s="11" t="s">
        <v>438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88</v>
      </c>
      <c r="M436" s="49" t="s">
        <v>95</v>
      </c>
      <c r="N436" s="48" t="s">
        <v>86</v>
      </c>
      <c r="O436" s="49" t="s">
        <v>35</v>
      </c>
      <c r="P436" s="11" t="s">
        <v>80</v>
      </c>
      <c r="Q436" s="11" t="s">
        <v>99</v>
      </c>
      <c r="R436" s="11" t="s">
        <v>230</v>
      </c>
      <c r="S436" s="11" t="s">
        <v>1732</v>
      </c>
      <c r="T436" s="105" t="s">
        <v>1</v>
      </c>
      <c r="U436" s="98"/>
      <c r="V436" s="51">
        <v>45502</v>
      </c>
      <c r="W436" s="49" t="s">
        <v>1560</v>
      </c>
      <c r="X436" s="154" t="s">
        <v>2</v>
      </c>
      <c r="Y436" s="154">
        <v>0</v>
      </c>
    </row>
    <row r="437" spans="1:25" ht="13" customHeight="1">
      <c r="A437" s="11">
        <v>431</v>
      </c>
      <c r="B437" s="47">
        <v>206874057</v>
      </c>
      <c r="C437" s="88" t="s">
        <v>2521</v>
      </c>
      <c r="D437" s="11" t="s">
        <v>2522</v>
      </c>
      <c r="E437" s="48" t="s">
        <v>31</v>
      </c>
      <c r="F437" s="48" t="s">
        <v>74</v>
      </c>
      <c r="G437" s="48" t="s">
        <v>64</v>
      </c>
      <c r="H437" s="48" t="s">
        <v>75</v>
      </c>
      <c r="I437" s="11">
        <v>1299</v>
      </c>
      <c r="J437" s="49" t="s">
        <v>39</v>
      </c>
      <c r="K437" s="49" t="s">
        <v>76</v>
      </c>
      <c r="L437" s="49" t="s">
        <v>85</v>
      </c>
      <c r="M437" s="49" t="s">
        <v>88</v>
      </c>
      <c r="N437" s="49" t="s">
        <v>89</v>
      </c>
      <c r="O437" s="48" t="s">
        <v>35</v>
      </c>
      <c r="P437" s="48" t="s">
        <v>80</v>
      </c>
      <c r="Q437" s="11" t="s">
        <v>90</v>
      </c>
      <c r="R437" s="11" t="s">
        <v>230</v>
      </c>
      <c r="S437" s="11" t="s">
        <v>1732</v>
      </c>
      <c r="T437" s="105" t="s">
        <v>1</v>
      </c>
      <c r="U437" s="98"/>
      <c r="V437" s="51">
        <v>46020</v>
      </c>
      <c r="W437" s="49" t="s">
        <v>1560</v>
      </c>
      <c r="X437" s="154" t="s">
        <v>2</v>
      </c>
      <c r="Y437" s="154">
        <v>0</v>
      </c>
    </row>
    <row r="438" spans="1:25" ht="13" customHeight="1">
      <c r="A438" s="11">
        <v>432</v>
      </c>
      <c r="B438" s="47">
        <v>206874041</v>
      </c>
      <c r="C438" s="88" t="s">
        <v>2523</v>
      </c>
      <c r="D438" s="11" t="s">
        <v>2524</v>
      </c>
      <c r="E438" s="48" t="s">
        <v>31</v>
      </c>
      <c r="F438" s="48" t="s">
        <v>74</v>
      </c>
      <c r="G438" s="48" t="s">
        <v>64</v>
      </c>
      <c r="H438" s="48" t="s">
        <v>75</v>
      </c>
      <c r="I438" s="11">
        <v>1299</v>
      </c>
      <c r="J438" s="49" t="s">
        <v>32</v>
      </c>
      <c r="K438" s="49" t="s">
        <v>76</v>
      </c>
      <c r="L438" s="49" t="s">
        <v>78</v>
      </c>
      <c r="M438" s="49" t="s">
        <v>92</v>
      </c>
      <c r="N438" s="49" t="s">
        <v>89</v>
      </c>
      <c r="O438" s="48" t="s">
        <v>35</v>
      </c>
      <c r="P438" s="48" t="s">
        <v>80</v>
      </c>
      <c r="Q438" s="11" t="s">
        <v>90</v>
      </c>
      <c r="R438" s="11" t="s">
        <v>230</v>
      </c>
      <c r="S438" s="11" t="s">
        <v>1732</v>
      </c>
      <c r="T438" s="105" t="s">
        <v>1</v>
      </c>
      <c r="U438" s="98"/>
      <c r="V438" s="51">
        <v>46020</v>
      </c>
      <c r="W438" s="49" t="s">
        <v>1560</v>
      </c>
      <c r="X438" s="154" t="s">
        <v>2</v>
      </c>
      <c r="Y438" s="154">
        <v>0</v>
      </c>
    </row>
    <row r="439" spans="1:25" ht="13" customHeight="1">
      <c r="A439" s="11">
        <v>433</v>
      </c>
      <c r="B439" s="47">
        <v>203736776</v>
      </c>
      <c r="C439" s="88" t="s">
        <v>439</v>
      </c>
      <c r="D439" s="11" t="s">
        <v>440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39</v>
      </c>
      <c r="K439" s="49" t="s">
        <v>76</v>
      </c>
      <c r="L439" s="49" t="s">
        <v>88</v>
      </c>
      <c r="M439" s="49" t="s">
        <v>95</v>
      </c>
      <c r="N439" s="48" t="s">
        <v>86</v>
      </c>
      <c r="O439" s="49" t="s">
        <v>35</v>
      </c>
      <c r="P439" s="11" t="s">
        <v>80</v>
      </c>
      <c r="Q439" s="11" t="s">
        <v>99</v>
      </c>
      <c r="R439" s="11" t="s">
        <v>223</v>
      </c>
      <c r="S439" s="11" t="s">
        <v>2655</v>
      </c>
      <c r="T439" s="105" t="s">
        <v>1</v>
      </c>
      <c r="U439" s="98"/>
      <c r="V439" s="51">
        <v>45502</v>
      </c>
      <c r="W439" s="49" t="s">
        <v>1560</v>
      </c>
      <c r="X439" s="154" t="s">
        <v>2</v>
      </c>
      <c r="Y439" s="154">
        <v>0</v>
      </c>
    </row>
    <row r="440" spans="1:25" ht="13" customHeight="1">
      <c r="A440" s="11">
        <v>434</v>
      </c>
      <c r="B440" s="47">
        <v>204868850</v>
      </c>
      <c r="C440" s="88" t="s">
        <v>441</v>
      </c>
      <c r="D440" s="11" t="s">
        <v>442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85</v>
      </c>
      <c r="M440" s="49" t="s">
        <v>88</v>
      </c>
      <c r="N440" s="48" t="s">
        <v>86</v>
      </c>
      <c r="O440" s="49" t="s">
        <v>35</v>
      </c>
      <c r="P440" s="11" t="s">
        <v>80</v>
      </c>
      <c r="Q440" s="11" t="s">
        <v>87</v>
      </c>
      <c r="R440" s="11" t="s">
        <v>224</v>
      </c>
      <c r="S440" s="11" t="s">
        <v>225</v>
      </c>
      <c r="T440" s="105" t="s">
        <v>1</v>
      </c>
      <c r="U440" s="98"/>
      <c r="V440" s="51">
        <v>45691</v>
      </c>
      <c r="W440" s="49" t="s">
        <v>1559</v>
      </c>
      <c r="X440" s="154" t="s">
        <v>2</v>
      </c>
      <c r="Y440" s="154">
        <v>0</v>
      </c>
    </row>
    <row r="441" spans="1:25" ht="13" customHeight="1">
      <c r="A441" s="11">
        <v>435</v>
      </c>
      <c r="B441" s="47">
        <v>204246610</v>
      </c>
      <c r="C441" s="88" t="s">
        <v>443</v>
      </c>
      <c r="D441" s="11" t="s">
        <v>444</v>
      </c>
      <c r="E441" s="48" t="s">
        <v>31</v>
      </c>
      <c r="F441" s="48" t="s">
        <v>74</v>
      </c>
      <c r="G441" s="11" t="s">
        <v>65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78</v>
      </c>
      <c r="M441" s="49" t="s">
        <v>92</v>
      </c>
      <c r="N441" s="48" t="s">
        <v>86</v>
      </c>
      <c r="O441" s="49" t="s">
        <v>68</v>
      </c>
      <c r="P441" s="11" t="s">
        <v>80</v>
      </c>
      <c r="Q441" s="11" t="s">
        <v>87</v>
      </c>
      <c r="R441" s="11" t="s">
        <v>2660</v>
      </c>
      <c r="S441" s="11" t="s">
        <v>2661</v>
      </c>
      <c r="T441" s="105" t="s">
        <v>3</v>
      </c>
      <c r="U441" s="98"/>
      <c r="V441" s="51">
        <v>45579</v>
      </c>
      <c r="W441" s="49" t="s">
        <v>68</v>
      </c>
      <c r="X441" s="154" t="s">
        <v>2948</v>
      </c>
      <c r="Y441" s="154">
        <v>0</v>
      </c>
    </row>
    <row r="442" spans="1:25" ht="13" customHeight="1">
      <c r="A442" s="11">
        <v>436</v>
      </c>
      <c r="B442" s="47">
        <v>109468376</v>
      </c>
      <c r="C442" s="88" t="s">
        <v>2143</v>
      </c>
      <c r="D442" s="11" t="s">
        <v>2144</v>
      </c>
      <c r="E442" s="48" t="s">
        <v>34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78</v>
      </c>
      <c r="M442" s="49" t="s">
        <v>92</v>
      </c>
      <c r="N442" s="48" t="s">
        <v>97</v>
      </c>
      <c r="O442" s="49" t="s">
        <v>35</v>
      </c>
      <c r="P442" s="11" t="s">
        <v>80</v>
      </c>
      <c r="Q442" s="11" t="s">
        <v>98</v>
      </c>
      <c r="R442" s="11" t="s">
        <v>223</v>
      </c>
      <c r="S442" s="11" t="s">
        <v>2655</v>
      </c>
      <c r="T442" s="105" t="s">
        <v>1</v>
      </c>
      <c r="U442" s="98"/>
      <c r="V442" s="51">
        <v>44812</v>
      </c>
      <c r="W442" s="49" t="s">
        <v>1562</v>
      </c>
      <c r="X442" s="154" t="s">
        <v>2</v>
      </c>
      <c r="Y442" s="154">
        <v>0</v>
      </c>
    </row>
    <row r="443" spans="1:25" ht="13" customHeight="1">
      <c r="A443" s="11">
        <v>437</v>
      </c>
      <c r="B443" s="47">
        <v>205986151</v>
      </c>
      <c r="C443" s="88" t="s">
        <v>2525</v>
      </c>
      <c r="D443" s="11" t="s">
        <v>2526</v>
      </c>
      <c r="E443" s="48" t="s">
        <v>31</v>
      </c>
      <c r="F443" s="48" t="s">
        <v>74</v>
      </c>
      <c r="G443" s="11" t="s">
        <v>64</v>
      </c>
      <c r="H443" s="11" t="s">
        <v>75</v>
      </c>
      <c r="I443" s="11">
        <v>1299</v>
      </c>
      <c r="J443" s="49" t="s">
        <v>39</v>
      </c>
      <c r="K443" s="49" t="s">
        <v>76</v>
      </c>
      <c r="L443" s="49" t="s">
        <v>88</v>
      </c>
      <c r="M443" s="49" t="s">
        <v>95</v>
      </c>
      <c r="N443" s="48" t="s">
        <v>86</v>
      </c>
      <c r="O443" s="49" t="s">
        <v>35</v>
      </c>
      <c r="P443" s="11" t="s">
        <v>80</v>
      </c>
      <c r="Q443" s="11" t="s">
        <v>90</v>
      </c>
      <c r="R443" s="11" t="s">
        <v>230</v>
      </c>
      <c r="S443" s="11" t="s">
        <v>1732</v>
      </c>
      <c r="T443" s="105" t="s">
        <v>1</v>
      </c>
      <c r="U443" s="98"/>
      <c r="V443" s="51">
        <v>45915</v>
      </c>
      <c r="W443" s="49" t="s">
        <v>1560</v>
      </c>
      <c r="X443" s="154" t="s">
        <v>2</v>
      </c>
      <c r="Y443" s="154">
        <v>0</v>
      </c>
    </row>
    <row r="444" spans="1:25" ht="13" customHeight="1">
      <c r="A444" s="11">
        <v>438</v>
      </c>
      <c r="B444" s="47">
        <v>204246607</v>
      </c>
      <c r="C444" s="88" t="s">
        <v>445</v>
      </c>
      <c r="D444" s="11" t="s">
        <v>446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85</v>
      </c>
      <c r="M444" s="49" t="s">
        <v>88</v>
      </c>
      <c r="N444" s="48" t="s">
        <v>86</v>
      </c>
      <c r="O444" s="49" t="s">
        <v>35</v>
      </c>
      <c r="P444" s="11" t="s">
        <v>80</v>
      </c>
      <c r="Q444" s="11" t="s">
        <v>87</v>
      </c>
      <c r="R444" s="11" t="s">
        <v>223</v>
      </c>
      <c r="S444" s="11" t="s">
        <v>2655</v>
      </c>
      <c r="T444" s="105" t="s">
        <v>1</v>
      </c>
      <c r="U444" s="98"/>
      <c r="V444" s="51">
        <v>45579</v>
      </c>
      <c r="W444" s="49" t="s">
        <v>1560</v>
      </c>
      <c r="X444" s="154" t="s">
        <v>2</v>
      </c>
      <c r="Y444" s="154">
        <v>0</v>
      </c>
    </row>
    <row r="445" spans="1:25" ht="13" customHeight="1">
      <c r="A445" s="11">
        <v>439</v>
      </c>
      <c r="B445" s="47">
        <v>205608621</v>
      </c>
      <c r="C445" s="88" t="s">
        <v>2527</v>
      </c>
      <c r="D445" s="11" t="s">
        <v>2528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32</v>
      </c>
      <c r="K445" s="49" t="s">
        <v>76</v>
      </c>
      <c r="L445" s="49" t="s">
        <v>78</v>
      </c>
      <c r="M445" s="49" t="s">
        <v>92</v>
      </c>
      <c r="N445" s="48" t="s">
        <v>86</v>
      </c>
      <c r="O445" s="49" t="s">
        <v>35</v>
      </c>
      <c r="P445" s="11" t="s">
        <v>80</v>
      </c>
      <c r="Q445" s="11" t="s">
        <v>90</v>
      </c>
      <c r="R445" s="11" t="s">
        <v>223</v>
      </c>
      <c r="S445" s="11" t="s">
        <v>2655</v>
      </c>
      <c r="T445" s="105" t="s">
        <v>7</v>
      </c>
      <c r="U445" s="98" t="s">
        <v>2941</v>
      </c>
      <c r="V445" s="51">
        <v>45845</v>
      </c>
      <c r="W445" s="49" t="s">
        <v>1560</v>
      </c>
      <c r="X445" s="154" t="s">
        <v>2948</v>
      </c>
      <c r="Y445" s="154" t="s">
        <v>2941</v>
      </c>
    </row>
    <row r="446" spans="1:25" ht="13" customHeight="1">
      <c r="A446" s="11">
        <v>440</v>
      </c>
      <c r="B446" s="47">
        <v>205506107</v>
      </c>
      <c r="C446" s="88" t="s">
        <v>2529</v>
      </c>
      <c r="D446" s="11" t="s">
        <v>2530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78</v>
      </c>
      <c r="M446" s="49" t="s">
        <v>92</v>
      </c>
      <c r="N446" s="49" t="s">
        <v>89</v>
      </c>
      <c r="O446" s="49" t="s">
        <v>35</v>
      </c>
      <c r="P446" s="11" t="s">
        <v>80</v>
      </c>
      <c r="Q446" s="11" t="s">
        <v>96</v>
      </c>
      <c r="R446" s="11" t="s">
        <v>223</v>
      </c>
      <c r="S446" s="11" t="s">
        <v>2655</v>
      </c>
      <c r="T446" s="105" t="s">
        <v>1</v>
      </c>
      <c r="U446" s="98"/>
      <c r="V446" s="51">
        <v>45831</v>
      </c>
      <c r="W446" s="49" t="s">
        <v>1560</v>
      </c>
      <c r="X446" s="154" t="s">
        <v>2</v>
      </c>
      <c r="Y446" s="154">
        <v>0</v>
      </c>
    </row>
    <row r="447" spans="1:25" ht="13" customHeight="1">
      <c r="A447" s="11">
        <v>441</v>
      </c>
      <c r="B447" s="47">
        <v>203881600</v>
      </c>
      <c r="C447" s="88" t="s">
        <v>448</v>
      </c>
      <c r="D447" s="11" t="s">
        <v>449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84</v>
      </c>
      <c r="M447" s="49" t="s">
        <v>85</v>
      </c>
      <c r="N447" s="48" t="s">
        <v>79</v>
      </c>
      <c r="O447" s="49" t="s">
        <v>35</v>
      </c>
      <c r="P447" s="11" t="s">
        <v>80</v>
      </c>
      <c r="Q447" s="11" t="s">
        <v>81</v>
      </c>
      <c r="R447" s="11" t="s">
        <v>223</v>
      </c>
      <c r="S447" s="11" t="s">
        <v>2655</v>
      </c>
      <c r="T447" s="105" t="s">
        <v>1</v>
      </c>
      <c r="U447" s="98"/>
      <c r="V447" s="51">
        <v>45530</v>
      </c>
      <c r="W447" s="49" t="s">
        <v>1560</v>
      </c>
      <c r="X447" s="154" t="s">
        <v>2</v>
      </c>
      <c r="Y447" s="154">
        <v>0</v>
      </c>
    </row>
    <row r="448" spans="1:25" ht="13" customHeight="1">
      <c r="A448" s="11">
        <v>442</v>
      </c>
      <c r="B448" s="47">
        <v>206073365</v>
      </c>
      <c r="C448" s="88" t="s">
        <v>450</v>
      </c>
      <c r="D448" s="11" t="s">
        <v>451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84</v>
      </c>
      <c r="M448" s="49" t="s">
        <v>85</v>
      </c>
      <c r="N448" s="48" t="s">
        <v>79</v>
      </c>
      <c r="O448" s="49" t="s">
        <v>35</v>
      </c>
      <c r="P448" s="11" t="s">
        <v>80</v>
      </c>
      <c r="Q448" s="11" t="s">
        <v>81</v>
      </c>
      <c r="R448" s="11" t="s">
        <v>224</v>
      </c>
      <c r="S448" s="11" t="s">
        <v>225</v>
      </c>
      <c r="T448" s="105" t="s">
        <v>1</v>
      </c>
      <c r="U448" s="98"/>
      <c r="V448" s="51">
        <v>45922</v>
      </c>
      <c r="W448" s="49" t="s">
        <v>1559</v>
      </c>
      <c r="X448" s="154" t="s">
        <v>2</v>
      </c>
      <c r="Y448" s="154">
        <v>0</v>
      </c>
    </row>
    <row r="449" spans="1:25" ht="13" customHeight="1">
      <c r="A449" s="11">
        <v>443</v>
      </c>
      <c r="B449" s="47">
        <v>206934198</v>
      </c>
      <c r="C449" s="88" t="s">
        <v>1973</v>
      </c>
      <c r="D449" s="11" t="s">
        <v>1953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78</v>
      </c>
      <c r="M449" s="49" t="s">
        <v>92</v>
      </c>
      <c r="N449" s="49" t="s">
        <v>89</v>
      </c>
      <c r="O449" s="49" t="s">
        <v>35</v>
      </c>
      <c r="P449" s="11" t="s">
        <v>80</v>
      </c>
      <c r="Q449" s="11" t="s">
        <v>96</v>
      </c>
      <c r="R449" s="11" t="s">
        <v>224</v>
      </c>
      <c r="S449" s="11" t="s">
        <v>225</v>
      </c>
      <c r="T449" s="105" t="s">
        <v>1</v>
      </c>
      <c r="U449" s="98"/>
      <c r="V449" s="51">
        <v>46041</v>
      </c>
      <c r="W449" s="49" t="s">
        <v>1561</v>
      </c>
      <c r="X449" s="154" t="s">
        <v>2</v>
      </c>
      <c r="Y449" s="154">
        <v>0</v>
      </c>
    </row>
    <row r="450" spans="1:25" ht="13" customHeight="1">
      <c r="A450" s="11">
        <v>444</v>
      </c>
      <c r="B450" s="47">
        <v>206874046</v>
      </c>
      <c r="C450" s="88" t="s">
        <v>2531</v>
      </c>
      <c r="D450" s="11" t="s">
        <v>2532</v>
      </c>
      <c r="E450" s="48" t="s">
        <v>31</v>
      </c>
      <c r="F450" s="48" t="s">
        <v>74</v>
      </c>
      <c r="G450" s="48" t="s">
        <v>64</v>
      </c>
      <c r="H450" s="48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9" t="s">
        <v>89</v>
      </c>
      <c r="O450" s="48" t="s">
        <v>35</v>
      </c>
      <c r="P450" s="48" t="s">
        <v>80</v>
      </c>
      <c r="Q450" s="11" t="s">
        <v>90</v>
      </c>
      <c r="R450" s="11" t="s">
        <v>230</v>
      </c>
      <c r="S450" s="11" t="s">
        <v>1732</v>
      </c>
      <c r="T450" s="105" t="s">
        <v>1</v>
      </c>
      <c r="U450" s="98"/>
      <c r="V450" s="51">
        <v>46020</v>
      </c>
      <c r="W450" s="49" t="s">
        <v>1560</v>
      </c>
      <c r="X450" s="154" t="s">
        <v>2</v>
      </c>
      <c r="Y450" s="154">
        <v>0</v>
      </c>
    </row>
    <row r="451" spans="1:25" ht="13" customHeight="1">
      <c r="A451" s="11">
        <v>445</v>
      </c>
      <c r="B451" s="47">
        <v>206873657</v>
      </c>
      <c r="C451" s="88" t="s">
        <v>1737</v>
      </c>
      <c r="D451" s="11" t="s">
        <v>1738</v>
      </c>
      <c r="E451" s="48" t="s">
        <v>31</v>
      </c>
      <c r="F451" s="48" t="s">
        <v>74</v>
      </c>
      <c r="G451" s="48" t="s">
        <v>64</v>
      </c>
      <c r="H451" s="48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79</v>
      </c>
      <c r="O451" s="48" t="s">
        <v>35</v>
      </c>
      <c r="P451" s="48" t="s">
        <v>80</v>
      </c>
      <c r="Q451" s="11" t="s">
        <v>81</v>
      </c>
      <c r="R451" s="11" t="s">
        <v>224</v>
      </c>
      <c r="S451" s="11" t="s">
        <v>225</v>
      </c>
      <c r="T451" s="105" t="s">
        <v>1</v>
      </c>
      <c r="U451" s="98"/>
      <c r="V451" s="51">
        <v>46020</v>
      </c>
      <c r="W451" s="49" t="s">
        <v>1559</v>
      </c>
      <c r="X451" s="154" t="s">
        <v>2</v>
      </c>
      <c r="Y451" s="154">
        <v>0</v>
      </c>
    </row>
    <row r="452" spans="1:25" ht="13" customHeight="1">
      <c r="A452" s="11">
        <v>446</v>
      </c>
      <c r="B452" s="47">
        <v>206873651</v>
      </c>
      <c r="C452" s="88" t="s">
        <v>1733</v>
      </c>
      <c r="D452" s="11" t="s">
        <v>1734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81</v>
      </c>
      <c r="R452" s="11" t="s">
        <v>224</v>
      </c>
      <c r="S452" s="11" t="s">
        <v>225</v>
      </c>
      <c r="T452" s="105" t="s">
        <v>1</v>
      </c>
      <c r="U452" s="98"/>
      <c r="V452" s="51">
        <v>46020</v>
      </c>
      <c r="W452" s="49" t="s">
        <v>1559</v>
      </c>
      <c r="X452" s="154" t="s">
        <v>2</v>
      </c>
      <c r="Y452" s="154">
        <v>0</v>
      </c>
    </row>
    <row r="453" spans="1:25" ht="13" customHeight="1">
      <c r="A453" s="11">
        <v>447</v>
      </c>
      <c r="B453" s="47">
        <v>205608623</v>
      </c>
      <c r="C453" s="88" t="s">
        <v>2533</v>
      </c>
      <c r="D453" s="11" t="s">
        <v>2534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78</v>
      </c>
      <c r="M453" s="49" t="s">
        <v>92</v>
      </c>
      <c r="N453" s="48" t="s">
        <v>86</v>
      </c>
      <c r="O453" s="49" t="s">
        <v>35</v>
      </c>
      <c r="P453" s="11" t="s">
        <v>80</v>
      </c>
      <c r="Q453" s="11" t="s">
        <v>90</v>
      </c>
      <c r="R453" s="11" t="s">
        <v>230</v>
      </c>
      <c r="S453" s="11" t="s">
        <v>1732</v>
      </c>
      <c r="T453" s="105" t="s">
        <v>7</v>
      </c>
      <c r="U453" s="98" t="s">
        <v>2941</v>
      </c>
      <c r="V453" s="51">
        <v>45845</v>
      </c>
      <c r="W453" s="49" t="s">
        <v>1560</v>
      </c>
      <c r="X453" s="154" t="s">
        <v>2948</v>
      </c>
      <c r="Y453" s="154" t="s">
        <v>2941</v>
      </c>
    </row>
    <row r="454" spans="1:25" ht="13" customHeight="1">
      <c r="A454" s="11">
        <v>448</v>
      </c>
      <c r="B454" s="47">
        <v>204883236</v>
      </c>
      <c r="C454" s="88" t="s">
        <v>453</v>
      </c>
      <c r="D454" s="11" t="s">
        <v>454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95</v>
      </c>
      <c r="M454" s="49" t="s">
        <v>77</v>
      </c>
      <c r="N454" s="49" t="s">
        <v>89</v>
      </c>
      <c r="O454" s="49" t="s">
        <v>35</v>
      </c>
      <c r="P454" s="11" t="s">
        <v>80</v>
      </c>
      <c r="Q454" s="11" t="s">
        <v>87</v>
      </c>
      <c r="R454" s="11" t="s">
        <v>224</v>
      </c>
      <c r="S454" s="11" t="s">
        <v>225</v>
      </c>
      <c r="T454" s="105" t="s">
        <v>10</v>
      </c>
      <c r="U454" s="98"/>
      <c r="V454" s="51">
        <v>45691</v>
      </c>
      <c r="W454" s="49" t="s">
        <v>1559</v>
      </c>
      <c r="X454" s="154" t="s">
        <v>2948</v>
      </c>
      <c r="Y454" s="154">
        <v>0</v>
      </c>
    </row>
    <row r="455" spans="1:25" ht="13" customHeight="1">
      <c r="A455" s="11">
        <v>449</v>
      </c>
      <c r="B455" s="47">
        <v>206915008</v>
      </c>
      <c r="C455" s="88" t="s">
        <v>2535</v>
      </c>
      <c r="D455" s="11" t="s">
        <v>2536</v>
      </c>
      <c r="E455" s="11" t="s">
        <v>31</v>
      </c>
      <c r="F455" s="11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11" t="s">
        <v>35</v>
      </c>
      <c r="P455" s="11" t="s">
        <v>80</v>
      </c>
      <c r="Q455" s="11" t="s">
        <v>90</v>
      </c>
      <c r="R455" s="11" t="s">
        <v>224</v>
      </c>
      <c r="S455" s="11" t="s">
        <v>225</v>
      </c>
      <c r="T455" s="105" t="s">
        <v>1</v>
      </c>
      <c r="U455" s="98"/>
      <c r="V455" s="51">
        <v>46034</v>
      </c>
      <c r="W455" s="11" t="s">
        <v>1559</v>
      </c>
      <c r="X455" s="154" t="s">
        <v>2</v>
      </c>
      <c r="Y455" s="154">
        <v>0</v>
      </c>
    </row>
    <row r="456" spans="1:25" ht="13" customHeight="1">
      <c r="A456" s="11">
        <v>450</v>
      </c>
      <c r="B456" s="47">
        <v>109749061</v>
      </c>
      <c r="C456" s="88" t="s">
        <v>455</v>
      </c>
      <c r="D456" s="11" t="s">
        <v>456</v>
      </c>
      <c r="E456" s="48" t="s">
        <v>34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95</v>
      </c>
      <c r="M456" s="49" t="s">
        <v>77</v>
      </c>
      <c r="N456" s="48" t="s">
        <v>108</v>
      </c>
      <c r="O456" s="49" t="s">
        <v>35</v>
      </c>
      <c r="P456" s="11" t="s">
        <v>80</v>
      </c>
      <c r="Q456" s="11" t="s">
        <v>98</v>
      </c>
      <c r="R456" s="11" t="s">
        <v>224</v>
      </c>
      <c r="S456" s="11" t="s">
        <v>225</v>
      </c>
      <c r="T456" s="105" t="s">
        <v>10</v>
      </c>
      <c r="U456" s="98"/>
      <c r="V456" s="51">
        <v>44831</v>
      </c>
      <c r="W456" s="49" t="s">
        <v>1561</v>
      </c>
      <c r="X456" s="154" t="s">
        <v>2948</v>
      </c>
      <c r="Y456" s="154">
        <v>0</v>
      </c>
    </row>
    <row r="457" spans="1:25" ht="13" customHeight="1">
      <c r="A457" s="11">
        <v>451</v>
      </c>
      <c r="B457" s="47">
        <v>204883085</v>
      </c>
      <c r="C457" s="88" t="s">
        <v>457</v>
      </c>
      <c r="D457" s="11" t="s">
        <v>458</v>
      </c>
      <c r="E457" s="48" t="s">
        <v>31</v>
      </c>
      <c r="F457" s="48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77</v>
      </c>
      <c r="M457" s="49" t="s">
        <v>78</v>
      </c>
      <c r="N457" s="48" t="s">
        <v>86</v>
      </c>
      <c r="O457" s="49" t="s">
        <v>35</v>
      </c>
      <c r="P457" s="11" t="s">
        <v>80</v>
      </c>
      <c r="Q457" s="11" t="s">
        <v>87</v>
      </c>
      <c r="R457" s="11" t="s">
        <v>230</v>
      </c>
      <c r="S457" s="11" t="s">
        <v>1732</v>
      </c>
      <c r="T457" s="105" t="s">
        <v>10</v>
      </c>
      <c r="U457" s="98"/>
      <c r="V457" s="51">
        <v>45691</v>
      </c>
      <c r="W457" s="49" t="s">
        <v>1560</v>
      </c>
      <c r="X457" s="154" t="s">
        <v>2948</v>
      </c>
      <c r="Y457" s="154">
        <v>0</v>
      </c>
    </row>
    <row r="458" spans="1:25" ht="13" customHeight="1">
      <c r="A458" s="11">
        <v>452</v>
      </c>
      <c r="B458" s="47">
        <v>102207617</v>
      </c>
      <c r="C458" s="88" t="s">
        <v>460</v>
      </c>
      <c r="D458" s="11" t="s">
        <v>461</v>
      </c>
      <c r="E458" s="48" t="s">
        <v>34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8" t="s">
        <v>97</v>
      </c>
      <c r="O458" s="49" t="s">
        <v>35</v>
      </c>
      <c r="P458" s="11" t="s">
        <v>80</v>
      </c>
      <c r="Q458" s="11" t="s">
        <v>98</v>
      </c>
      <c r="R458" s="11" t="s">
        <v>224</v>
      </c>
      <c r="S458" s="11" t="s">
        <v>225</v>
      </c>
      <c r="T458" s="105" t="s">
        <v>1</v>
      </c>
      <c r="U458" s="98"/>
      <c r="V458" s="51">
        <v>42868</v>
      </c>
      <c r="W458" s="49" t="s">
        <v>1562</v>
      </c>
      <c r="X458" s="154" t="s">
        <v>2</v>
      </c>
      <c r="Y458" s="154">
        <v>0</v>
      </c>
    </row>
    <row r="459" spans="1:25" ht="13" customHeight="1">
      <c r="A459" s="11">
        <v>453</v>
      </c>
      <c r="B459" s="47">
        <v>204967049</v>
      </c>
      <c r="C459" s="88" t="s">
        <v>462</v>
      </c>
      <c r="D459" s="11" t="s">
        <v>463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32</v>
      </c>
      <c r="K459" s="49" t="s">
        <v>76</v>
      </c>
      <c r="L459" s="49" t="s">
        <v>88</v>
      </c>
      <c r="M459" s="49" t="s">
        <v>95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230</v>
      </c>
      <c r="S459" s="11" t="s">
        <v>1732</v>
      </c>
      <c r="T459" s="105" t="s">
        <v>1</v>
      </c>
      <c r="U459" s="98"/>
      <c r="V459" s="51">
        <v>45826</v>
      </c>
      <c r="W459" s="49" t="s">
        <v>1560</v>
      </c>
      <c r="X459" s="154" t="s">
        <v>2</v>
      </c>
      <c r="Y459" s="154">
        <v>0</v>
      </c>
    </row>
    <row r="460" spans="1:25" ht="13" customHeight="1">
      <c r="A460" s="11">
        <v>454</v>
      </c>
      <c r="B460" s="47">
        <v>203881597</v>
      </c>
      <c r="C460" s="88" t="s">
        <v>464</v>
      </c>
      <c r="D460" s="11" t="s">
        <v>465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84</v>
      </c>
      <c r="M460" s="49" t="s">
        <v>85</v>
      </c>
      <c r="N460" s="48" t="s">
        <v>79</v>
      </c>
      <c r="O460" s="49" t="s">
        <v>35</v>
      </c>
      <c r="P460" s="11" t="s">
        <v>80</v>
      </c>
      <c r="Q460" s="11" t="s">
        <v>81</v>
      </c>
      <c r="R460" s="11" t="s">
        <v>230</v>
      </c>
      <c r="S460" s="11" t="s">
        <v>1732</v>
      </c>
      <c r="T460" s="105" t="s">
        <v>3</v>
      </c>
      <c r="U460" s="98"/>
      <c r="V460" s="51">
        <v>45530</v>
      </c>
      <c r="W460" s="49" t="s">
        <v>1560</v>
      </c>
      <c r="X460" s="154" t="s">
        <v>2948</v>
      </c>
      <c r="Y460" s="154">
        <v>0</v>
      </c>
    </row>
    <row r="461" spans="1:25" ht="13" customHeight="1">
      <c r="A461" s="11">
        <v>455</v>
      </c>
      <c r="B461" s="47">
        <v>203881599</v>
      </c>
      <c r="C461" s="88" t="s">
        <v>466</v>
      </c>
      <c r="D461" s="11" t="s">
        <v>467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95</v>
      </c>
      <c r="M461" s="49" t="s">
        <v>77</v>
      </c>
      <c r="N461" s="48" t="s">
        <v>79</v>
      </c>
      <c r="O461" s="49" t="s">
        <v>35</v>
      </c>
      <c r="P461" s="11" t="s">
        <v>80</v>
      </c>
      <c r="Q461" s="11" t="s">
        <v>81</v>
      </c>
      <c r="R461" s="11" t="s">
        <v>230</v>
      </c>
      <c r="S461" s="11" t="s">
        <v>1732</v>
      </c>
      <c r="T461" s="105" t="s">
        <v>10</v>
      </c>
      <c r="U461" s="98"/>
      <c r="V461" s="51">
        <v>45530</v>
      </c>
      <c r="W461" s="49" t="s">
        <v>1560</v>
      </c>
      <c r="X461" s="154" t="s">
        <v>2948</v>
      </c>
      <c r="Y461" s="154">
        <v>0</v>
      </c>
    </row>
    <row r="462" spans="1:25" ht="13" customHeight="1">
      <c r="A462" s="11">
        <v>456</v>
      </c>
      <c r="B462" s="47">
        <v>204869096</v>
      </c>
      <c r="C462" s="88" t="s">
        <v>468</v>
      </c>
      <c r="D462" s="11" t="s">
        <v>469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77</v>
      </c>
      <c r="M462" s="49" t="s">
        <v>78</v>
      </c>
      <c r="N462" s="48" t="s">
        <v>86</v>
      </c>
      <c r="O462" s="49" t="s">
        <v>35</v>
      </c>
      <c r="P462" s="11" t="s">
        <v>80</v>
      </c>
      <c r="Q462" s="11" t="s">
        <v>87</v>
      </c>
      <c r="R462" s="11" t="s">
        <v>230</v>
      </c>
      <c r="S462" s="11" t="s">
        <v>1732</v>
      </c>
      <c r="T462" s="105" t="s">
        <v>10</v>
      </c>
      <c r="U462" s="98"/>
      <c r="V462" s="51">
        <v>45691</v>
      </c>
      <c r="W462" s="49" t="s">
        <v>1560</v>
      </c>
      <c r="X462" s="154" t="s">
        <v>2948</v>
      </c>
      <c r="Y462" s="154">
        <v>0</v>
      </c>
    </row>
    <row r="463" spans="1:25" ht="13" customHeight="1">
      <c r="A463" s="11">
        <v>457</v>
      </c>
      <c r="B463" s="47">
        <v>204869088</v>
      </c>
      <c r="C463" s="88" t="s">
        <v>470</v>
      </c>
      <c r="D463" s="11" t="s">
        <v>471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88</v>
      </c>
      <c r="M463" s="49" t="s">
        <v>95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224</v>
      </c>
      <c r="S463" s="11" t="s">
        <v>225</v>
      </c>
      <c r="T463" s="105" t="s">
        <v>1</v>
      </c>
      <c r="U463" s="98"/>
      <c r="V463" s="51">
        <v>45691</v>
      </c>
      <c r="W463" s="49" t="s">
        <v>1559</v>
      </c>
      <c r="X463" s="154" t="s">
        <v>2</v>
      </c>
      <c r="Y463" s="154">
        <v>0</v>
      </c>
    </row>
    <row r="464" spans="1:25" ht="13" customHeight="1">
      <c r="A464" s="11">
        <v>458</v>
      </c>
      <c r="B464" s="47">
        <v>203521523</v>
      </c>
      <c r="C464" s="88" t="s">
        <v>472</v>
      </c>
      <c r="D464" s="11" t="s">
        <v>473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79</v>
      </c>
      <c r="O464" s="49" t="s">
        <v>35</v>
      </c>
      <c r="P464" s="11" t="s">
        <v>80</v>
      </c>
      <c r="Q464" s="11" t="s">
        <v>81</v>
      </c>
      <c r="R464" s="11" t="s">
        <v>224</v>
      </c>
      <c r="S464" s="11" t="s">
        <v>225</v>
      </c>
      <c r="T464" s="105" t="s">
        <v>1</v>
      </c>
      <c r="U464" s="98"/>
      <c r="V464" s="51">
        <v>45463</v>
      </c>
      <c r="W464" s="49" t="s">
        <v>1557</v>
      </c>
      <c r="X464" s="154" t="s">
        <v>2</v>
      </c>
      <c r="Y464" s="154">
        <v>0</v>
      </c>
    </row>
    <row r="465" spans="1:25" ht="13" customHeight="1">
      <c r="A465" s="11">
        <v>459</v>
      </c>
      <c r="B465" s="47">
        <v>206874059</v>
      </c>
      <c r="C465" s="88" t="s">
        <v>2537</v>
      </c>
      <c r="D465" s="11" t="s">
        <v>2538</v>
      </c>
      <c r="E465" s="48" t="s">
        <v>31</v>
      </c>
      <c r="F465" s="48" t="s">
        <v>74</v>
      </c>
      <c r="G465" s="48" t="s">
        <v>64</v>
      </c>
      <c r="H465" s="48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9" t="s">
        <v>89</v>
      </c>
      <c r="O465" s="48" t="s">
        <v>35</v>
      </c>
      <c r="P465" s="48" t="s">
        <v>80</v>
      </c>
      <c r="Q465" s="11" t="s">
        <v>90</v>
      </c>
      <c r="R465" s="11" t="s">
        <v>230</v>
      </c>
      <c r="S465" s="11" t="s">
        <v>1732</v>
      </c>
      <c r="T465" s="105" t="s">
        <v>1</v>
      </c>
      <c r="U465" s="98"/>
      <c r="V465" s="51">
        <v>46020</v>
      </c>
      <c r="W465" s="49" t="s">
        <v>1560</v>
      </c>
      <c r="X465" s="154" t="s">
        <v>2</v>
      </c>
      <c r="Y465" s="154">
        <v>0</v>
      </c>
    </row>
    <row r="466" spans="1:25" ht="13" customHeight="1">
      <c r="A466" s="11">
        <v>460</v>
      </c>
      <c r="B466" s="47">
        <v>204252239</v>
      </c>
      <c r="C466" s="88" t="s">
        <v>474</v>
      </c>
      <c r="D466" s="11" t="s">
        <v>475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85</v>
      </c>
      <c r="M466" s="49" t="s">
        <v>88</v>
      </c>
      <c r="N466" s="48" t="s">
        <v>86</v>
      </c>
      <c r="O466" s="49" t="s">
        <v>35</v>
      </c>
      <c r="P466" s="11" t="s">
        <v>80</v>
      </c>
      <c r="Q466" s="11" t="s">
        <v>87</v>
      </c>
      <c r="R466" s="11" t="s">
        <v>224</v>
      </c>
      <c r="S466" s="11" t="s">
        <v>225</v>
      </c>
      <c r="T466" s="105" t="s">
        <v>1</v>
      </c>
      <c r="U466" s="98"/>
      <c r="V466" s="51">
        <v>45579</v>
      </c>
      <c r="W466" s="49" t="s">
        <v>1560</v>
      </c>
      <c r="X466" s="154" t="s">
        <v>2</v>
      </c>
      <c r="Y466" s="154">
        <v>0</v>
      </c>
    </row>
    <row r="467" spans="1:25" ht="13" customHeight="1">
      <c r="A467" s="11">
        <v>461</v>
      </c>
      <c r="B467" s="47">
        <v>206934437</v>
      </c>
      <c r="C467" s="88" t="s">
        <v>1974</v>
      </c>
      <c r="D467" s="11" t="s">
        <v>1954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9" t="s">
        <v>89</v>
      </c>
      <c r="O467" s="49" t="s">
        <v>35</v>
      </c>
      <c r="P467" s="11" t="s">
        <v>80</v>
      </c>
      <c r="Q467" s="11" t="s">
        <v>96</v>
      </c>
      <c r="R467" s="11" t="s">
        <v>223</v>
      </c>
      <c r="S467" s="11" t="s">
        <v>2655</v>
      </c>
      <c r="T467" s="105" t="s">
        <v>1</v>
      </c>
      <c r="U467" s="98"/>
      <c r="V467" s="51">
        <v>46041</v>
      </c>
      <c r="W467" s="49" t="s">
        <v>1560</v>
      </c>
      <c r="X467" s="154" t="s">
        <v>2</v>
      </c>
      <c r="Y467" s="154">
        <v>0</v>
      </c>
    </row>
    <row r="468" spans="1:25" ht="13" customHeight="1">
      <c r="A468" s="11">
        <v>462</v>
      </c>
      <c r="B468" s="47">
        <v>203881596</v>
      </c>
      <c r="C468" s="88" t="s">
        <v>476</v>
      </c>
      <c r="D468" s="11" t="s">
        <v>477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79</v>
      </c>
      <c r="O468" s="49" t="s">
        <v>35</v>
      </c>
      <c r="P468" s="11" t="s">
        <v>80</v>
      </c>
      <c r="Q468" s="11" t="s">
        <v>81</v>
      </c>
      <c r="R468" s="11" t="s">
        <v>230</v>
      </c>
      <c r="S468" s="11" t="s">
        <v>1732</v>
      </c>
      <c r="T468" s="105" t="s">
        <v>10</v>
      </c>
      <c r="U468" s="98"/>
      <c r="V468" s="51">
        <v>45530</v>
      </c>
      <c r="W468" s="49" t="s">
        <v>1560</v>
      </c>
      <c r="X468" s="154" t="s">
        <v>2948</v>
      </c>
      <c r="Y468" s="154">
        <v>0</v>
      </c>
    </row>
    <row r="469" spans="1:25" ht="13" customHeight="1">
      <c r="A469" s="11">
        <v>463</v>
      </c>
      <c r="B469" s="47">
        <v>204869092</v>
      </c>
      <c r="C469" s="88" t="s">
        <v>478</v>
      </c>
      <c r="D469" s="11" t="s">
        <v>479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224</v>
      </c>
      <c r="S469" s="11" t="s">
        <v>225</v>
      </c>
      <c r="T469" s="105" t="s">
        <v>1</v>
      </c>
      <c r="U469" s="98"/>
      <c r="V469" s="51">
        <v>45691</v>
      </c>
      <c r="W469" s="49" t="s">
        <v>1559</v>
      </c>
      <c r="X469" s="154" t="s">
        <v>2</v>
      </c>
      <c r="Y469" s="154">
        <v>0</v>
      </c>
    </row>
    <row r="470" spans="1:25" ht="13" customHeight="1">
      <c r="A470" s="11">
        <v>464</v>
      </c>
      <c r="B470" s="47">
        <v>204883247</v>
      </c>
      <c r="C470" s="88" t="s">
        <v>480</v>
      </c>
      <c r="D470" s="11" t="s">
        <v>481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224</v>
      </c>
      <c r="S470" s="11" t="s">
        <v>225</v>
      </c>
      <c r="T470" s="105" t="s">
        <v>1</v>
      </c>
      <c r="U470" s="98"/>
      <c r="V470" s="51">
        <v>45691</v>
      </c>
      <c r="W470" s="49" t="s">
        <v>1559</v>
      </c>
      <c r="X470" s="154" t="s">
        <v>2</v>
      </c>
      <c r="Y470" s="154">
        <v>0</v>
      </c>
    </row>
    <row r="471" spans="1:25" ht="13" customHeight="1">
      <c r="A471" s="11">
        <v>465</v>
      </c>
      <c r="B471" s="47">
        <v>204868854</v>
      </c>
      <c r="C471" s="88" t="s">
        <v>482</v>
      </c>
      <c r="D471" s="11" t="s">
        <v>483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230</v>
      </c>
      <c r="S471" s="11" t="s">
        <v>1732</v>
      </c>
      <c r="T471" s="105" t="s">
        <v>1</v>
      </c>
      <c r="U471" s="98"/>
      <c r="V471" s="51">
        <v>45691</v>
      </c>
      <c r="W471" s="49" t="s">
        <v>1560</v>
      </c>
      <c r="X471" s="154" t="s">
        <v>2</v>
      </c>
      <c r="Y471" s="154">
        <v>0</v>
      </c>
    </row>
    <row r="472" spans="1:25" ht="13" customHeight="1">
      <c r="A472" s="11">
        <v>466</v>
      </c>
      <c r="B472" s="47">
        <v>203521526</v>
      </c>
      <c r="C472" s="88" t="s">
        <v>484</v>
      </c>
      <c r="D472" s="11" t="s">
        <v>485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79</v>
      </c>
      <c r="O472" s="49" t="s">
        <v>35</v>
      </c>
      <c r="P472" s="11" t="s">
        <v>80</v>
      </c>
      <c r="Q472" s="11" t="s">
        <v>81</v>
      </c>
      <c r="R472" s="11" t="s">
        <v>224</v>
      </c>
      <c r="S472" s="11" t="s">
        <v>225</v>
      </c>
      <c r="T472" s="105" t="s">
        <v>1</v>
      </c>
      <c r="U472" s="98"/>
      <c r="V472" s="51">
        <v>45463</v>
      </c>
      <c r="W472" s="49" t="s">
        <v>1557</v>
      </c>
      <c r="X472" s="154" t="s">
        <v>2</v>
      </c>
      <c r="Y472" s="154">
        <v>0</v>
      </c>
    </row>
    <row r="473" spans="1:25" ht="13" customHeight="1">
      <c r="A473" s="11">
        <v>467</v>
      </c>
      <c r="B473" s="47">
        <v>203521132</v>
      </c>
      <c r="C473" s="88" t="s">
        <v>486</v>
      </c>
      <c r="D473" s="11" t="s">
        <v>487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224</v>
      </c>
      <c r="S473" s="11" t="s">
        <v>225</v>
      </c>
      <c r="T473" s="105" t="s">
        <v>1</v>
      </c>
      <c r="U473" s="98"/>
      <c r="V473" s="51">
        <v>45463</v>
      </c>
      <c r="W473" s="49" t="s">
        <v>1560</v>
      </c>
      <c r="X473" s="154" t="s">
        <v>2</v>
      </c>
      <c r="Y473" s="154">
        <v>0</v>
      </c>
    </row>
    <row r="474" spans="1:25" ht="13" customHeight="1">
      <c r="A474" s="11">
        <v>468</v>
      </c>
      <c r="B474" s="47">
        <v>203800381</v>
      </c>
      <c r="C474" s="88" t="s">
        <v>2539</v>
      </c>
      <c r="D474" s="11" t="s">
        <v>2540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39</v>
      </c>
      <c r="K474" s="49" t="s">
        <v>76</v>
      </c>
      <c r="L474" s="49" t="s">
        <v>78</v>
      </c>
      <c r="M474" s="49" t="s">
        <v>92</v>
      </c>
      <c r="N474" s="48" t="s">
        <v>86</v>
      </c>
      <c r="O474" s="49" t="s">
        <v>35</v>
      </c>
      <c r="P474" s="11" t="s">
        <v>80</v>
      </c>
      <c r="Q474" s="11" t="s">
        <v>90</v>
      </c>
      <c r="R474" s="11" t="s">
        <v>224</v>
      </c>
      <c r="S474" s="11" t="s">
        <v>225</v>
      </c>
      <c r="T474" s="105" t="s">
        <v>1</v>
      </c>
      <c r="U474" s="98"/>
      <c r="V474" s="51">
        <v>45516</v>
      </c>
      <c r="W474" s="49" t="s">
        <v>1561</v>
      </c>
      <c r="X474" s="154" t="s">
        <v>2</v>
      </c>
      <c r="Y474" s="154">
        <v>0</v>
      </c>
    </row>
    <row r="475" spans="1:25" ht="13" customHeight="1">
      <c r="A475" s="11">
        <v>469</v>
      </c>
      <c r="B475" s="47">
        <v>203736777</v>
      </c>
      <c r="C475" s="88" t="s">
        <v>488</v>
      </c>
      <c r="D475" s="11" t="s">
        <v>489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39</v>
      </c>
      <c r="K475" s="49" t="s">
        <v>76</v>
      </c>
      <c r="L475" s="49" t="s">
        <v>92</v>
      </c>
      <c r="M475" s="49" t="s">
        <v>84</v>
      </c>
      <c r="N475" s="48" t="s">
        <v>86</v>
      </c>
      <c r="O475" s="49" t="s">
        <v>35</v>
      </c>
      <c r="P475" s="11" t="s">
        <v>80</v>
      </c>
      <c r="Q475" s="11" t="s">
        <v>99</v>
      </c>
      <c r="R475" s="11" t="s">
        <v>223</v>
      </c>
      <c r="S475" s="11" t="s">
        <v>2655</v>
      </c>
      <c r="T475" s="105" t="s">
        <v>1</v>
      </c>
      <c r="U475" s="98"/>
      <c r="V475" s="51">
        <v>45502</v>
      </c>
      <c r="W475" s="49" t="s">
        <v>1560</v>
      </c>
      <c r="X475" s="154" t="s">
        <v>2</v>
      </c>
      <c r="Y475" s="154">
        <v>0</v>
      </c>
    </row>
    <row r="476" spans="1:25" ht="13" customHeight="1">
      <c r="A476" s="11">
        <v>470</v>
      </c>
      <c r="B476" s="11">
        <v>206953970</v>
      </c>
      <c r="C476" s="88" t="s">
        <v>2541</v>
      </c>
      <c r="D476" s="11" t="s">
        <v>2542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39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86" t="s">
        <v>35</v>
      </c>
      <c r="P476" s="11" t="s">
        <v>80</v>
      </c>
      <c r="Q476" s="82" t="s">
        <v>90</v>
      </c>
      <c r="R476" s="11" t="s">
        <v>223</v>
      </c>
      <c r="S476" s="54" t="s">
        <v>2655</v>
      </c>
      <c r="T476" s="105" t="s">
        <v>1</v>
      </c>
      <c r="U476" s="98"/>
      <c r="V476" s="51">
        <v>46051</v>
      </c>
      <c r="W476" s="2" t="s">
        <v>1560</v>
      </c>
      <c r="X476" s="154" t="s">
        <v>2</v>
      </c>
      <c r="Y476" s="154">
        <v>0</v>
      </c>
    </row>
    <row r="477" spans="1:25" ht="13" customHeight="1">
      <c r="A477" s="11">
        <v>471</v>
      </c>
      <c r="B477" s="47">
        <v>206873867</v>
      </c>
      <c r="C477" s="88" t="s">
        <v>2543</v>
      </c>
      <c r="D477" s="11" t="s">
        <v>2544</v>
      </c>
      <c r="E477" s="48" t="s">
        <v>31</v>
      </c>
      <c r="F477" s="48" t="s">
        <v>74</v>
      </c>
      <c r="G477" s="48" t="s">
        <v>64</v>
      </c>
      <c r="H477" s="48" t="s">
        <v>75</v>
      </c>
      <c r="I477" s="11">
        <v>1299</v>
      </c>
      <c r="J477" s="49" t="s">
        <v>39</v>
      </c>
      <c r="K477" s="49" t="s">
        <v>76</v>
      </c>
      <c r="L477" s="49" t="s">
        <v>77</v>
      </c>
      <c r="M477" s="49" t="s">
        <v>78</v>
      </c>
      <c r="N477" s="49" t="s">
        <v>89</v>
      </c>
      <c r="O477" s="48" t="s">
        <v>35</v>
      </c>
      <c r="P477" s="48" t="s">
        <v>80</v>
      </c>
      <c r="Q477" s="11" t="s">
        <v>90</v>
      </c>
      <c r="R477" s="11" t="s">
        <v>230</v>
      </c>
      <c r="S477" s="11" t="s">
        <v>1732</v>
      </c>
      <c r="T477" s="105" t="s">
        <v>10</v>
      </c>
      <c r="U477" s="98"/>
      <c r="V477" s="51">
        <v>46020</v>
      </c>
      <c r="W477" s="49" t="s">
        <v>1560</v>
      </c>
      <c r="X477" s="154" t="s">
        <v>2948</v>
      </c>
      <c r="Y477" s="154">
        <v>0</v>
      </c>
    </row>
    <row r="478" spans="1:25" ht="13" customHeight="1">
      <c r="A478" s="11">
        <v>472</v>
      </c>
      <c r="B478" s="47">
        <v>203468399</v>
      </c>
      <c r="C478" s="88" t="s">
        <v>490</v>
      </c>
      <c r="D478" s="11" t="s">
        <v>491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223</v>
      </c>
      <c r="S478" s="11" t="s">
        <v>2655</v>
      </c>
      <c r="T478" s="105" t="s">
        <v>1</v>
      </c>
      <c r="U478" s="98"/>
      <c r="V478" s="51">
        <v>45456</v>
      </c>
      <c r="W478" s="49" t="s">
        <v>1557</v>
      </c>
      <c r="X478" s="154" t="s">
        <v>2</v>
      </c>
      <c r="Y478" s="154">
        <v>0</v>
      </c>
    </row>
    <row r="479" spans="1:25" ht="13" customHeight="1">
      <c r="A479" s="11">
        <v>473</v>
      </c>
      <c r="B479" s="47">
        <v>203736772</v>
      </c>
      <c r="C479" s="88" t="s">
        <v>492</v>
      </c>
      <c r="D479" s="11" t="s">
        <v>493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88</v>
      </c>
      <c r="M479" s="49" t="s">
        <v>95</v>
      </c>
      <c r="N479" s="48" t="s">
        <v>86</v>
      </c>
      <c r="O479" s="49" t="s">
        <v>35</v>
      </c>
      <c r="P479" s="11" t="s">
        <v>80</v>
      </c>
      <c r="Q479" s="11" t="s">
        <v>99</v>
      </c>
      <c r="R479" s="11" t="s">
        <v>230</v>
      </c>
      <c r="S479" s="11" t="s">
        <v>1732</v>
      </c>
      <c r="T479" s="105" t="s">
        <v>1</v>
      </c>
      <c r="U479" s="98"/>
      <c r="V479" s="51">
        <v>45502</v>
      </c>
      <c r="W479" s="49" t="s">
        <v>1560</v>
      </c>
      <c r="X479" s="154" t="s">
        <v>2</v>
      </c>
      <c r="Y479" s="154">
        <v>0</v>
      </c>
    </row>
    <row r="480" spans="1:25" ht="13" customHeight="1">
      <c r="A480" s="11">
        <v>474</v>
      </c>
      <c r="B480" s="47">
        <v>204246604</v>
      </c>
      <c r="C480" s="88" t="s">
        <v>494</v>
      </c>
      <c r="D480" s="11" t="s">
        <v>495</v>
      </c>
      <c r="E480" s="48" t="s">
        <v>31</v>
      </c>
      <c r="F480" s="48" t="s">
        <v>74</v>
      </c>
      <c r="G480" s="11" t="s">
        <v>65</v>
      </c>
      <c r="H480" s="11" t="s">
        <v>75</v>
      </c>
      <c r="I480" s="11">
        <v>1299</v>
      </c>
      <c r="J480" s="49" t="s">
        <v>39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68</v>
      </c>
      <c r="P480" s="11" t="s">
        <v>80</v>
      </c>
      <c r="Q480" s="11" t="s">
        <v>87</v>
      </c>
      <c r="R480" s="11" t="s">
        <v>2660</v>
      </c>
      <c r="S480" s="11" t="s">
        <v>2661</v>
      </c>
      <c r="T480" s="105" t="s">
        <v>1</v>
      </c>
      <c r="U480" s="98"/>
      <c r="V480" s="51">
        <v>45579</v>
      </c>
      <c r="W480" s="49" t="s">
        <v>68</v>
      </c>
      <c r="X480" s="154" t="s">
        <v>2</v>
      </c>
      <c r="Y480" s="154">
        <v>0</v>
      </c>
    </row>
    <row r="481" spans="1:25" ht="13" customHeight="1">
      <c r="A481" s="11">
        <v>475</v>
      </c>
      <c r="B481" s="47">
        <v>203709595</v>
      </c>
      <c r="C481" s="88" t="s">
        <v>496</v>
      </c>
      <c r="D481" s="11" t="s">
        <v>497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230</v>
      </c>
      <c r="S481" s="11" t="s">
        <v>1732</v>
      </c>
      <c r="T481" s="105" t="s">
        <v>1</v>
      </c>
      <c r="U481" s="98"/>
      <c r="V481" s="51">
        <v>45495</v>
      </c>
      <c r="W481" s="49" t="s">
        <v>1560</v>
      </c>
      <c r="X481" s="154" t="s">
        <v>2</v>
      </c>
      <c r="Y481" s="154">
        <v>0</v>
      </c>
    </row>
    <row r="482" spans="1:25" ht="13" customHeight="1">
      <c r="A482" s="11">
        <v>476</v>
      </c>
      <c r="B482" s="47">
        <v>204882806</v>
      </c>
      <c r="C482" s="88" t="s">
        <v>2545</v>
      </c>
      <c r="D482" s="11" t="s">
        <v>2546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77</v>
      </c>
      <c r="M482" s="49" t="s">
        <v>78</v>
      </c>
      <c r="N482" s="48" t="s">
        <v>86</v>
      </c>
      <c r="O482" s="49" t="s">
        <v>35</v>
      </c>
      <c r="P482" s="11" t="s">
        <v>80</v>
      </c>
      <c r="Q482" s="11" t="s">
        <v>90</v>
      </c>
      <c r="R482" s="11" t="s">
        <v>230</v>
      </c>
      <c r="S482" s="11" t="s">
        <v>1732</v>
      </c>
      <c r="T482" s="105" t="s">
        <v>10</v>
      </c>
      <c r="U482" s="98"/>
      <c r="V482" s="51">
        <v>45691</v>
      </c>
      <c r="W482" s="49" t="s">
        <v>1560</v>
      </c>
      <c r="X482" s="154" t="s">
        <v>2948</v>
      </c>
      <c r="Y482" s="154">
        <v>0</v>
      </c>
    </row>
    <row r="483" spans="1:25" ht="13" customHeight="1">
      <c r="A483" s="11">
        <v>477</v>
      </c>
      <c r="B483" s="47">
        <v>204967150</v>
      </c>
      <c r="C483" s="88" t="s">
        <v>2547</v>
      </c>
      <c r="D483" s="11" t="s">
        <v>2548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49" t="s">
        <v>35</v>
      </c>
      <c r="P483" s="11" t="s">
        <v>80</v>
      </c>
      <c r="Q483" s="11" t="s">
        <v>90</v>
      </c>
      <c r="R483" s="11" t="s">
        <v>230</v>
      </c>
      <c r="S483" s="11" t="s">
        <v>1732</v>
      </c>
      <c r="T483" s="105" t="s">
        <v>1</v>
      </c>
      <c r="U483" s="98"/>
      <c r="V483" s="51">
        <v>45826</v>
      </c>
      <c r="W483" s="49" t="s">
        <v>1560</v>
      </c>
      <c r="X483" s="154" t="s">
        <v>2</v>
      </c>
      <c r="Y483" s="154">
        <v>0</v>
      </c>
    </row>
    <row r="484" spans="1:25" ht="13" customHeight="1">
      <c r="A484" s="11">
        <v>478</v>
      </c>
      <c r="B484" s="47">
        <v>203816300</v>
      </c>
      <c r="C484" s="88" t="s">
        <v>2549</v>
      </c>
      <c r="D484" s="11" t="s">
        <v>2550</v>
      </c>
      <c r="E484" s="48" t="s">
        <v>31</v>
      </c>
      <c r="F484" s="48" t="s">
        <v>74</v>
      </c>
      <c r="G484" s="11" t="s">
        <v>65</v>
      </c>
      <c r="H484" s="11" t="s">
        <v>1319</v>
      </c>
      <c r="I484" s="11">
        <v>1299</v>
      </c>
      <c r="J484" s="49" t="s">
        <v>39</v>
      </c>
      <c r="K484" s="49" t="s">
        <v>76</v>
      </c>
      <c r="L484" s="49" t="s">
        <v>78</v>
      </c>
      <c r="M484" s="49" t="s">
        <v>92</v>
      </c>
      <c r="N484" s="49" t="s">
        <v>89</v>
      </c>
      <c r="O484" s="49" t="s">
        <v>68</v>
      </c>
      <c r="P484" s="11" t="s">
        <v>80</v>
      </c>
      <c r="Q484" s="11" t="s">
        <v>90</v>
      </c>
      <c r="R484" s="11" t="s">
        <v>2660</v>
      </c>
      <c r="S484" s="11" t="s">
        <v>2661</v>
      </c>
      <c r="T484" s="105" t="s">
        <v>1</v>
      </c>
      <c r="U484" s="98"/>
      <c r="V484" s="51">
        <v>45524</v>
      </c>
      <c r="W484" s="49" t="s">
        <v>68</v>
      </c>
      <c r="X484" s="154" t="s">
        <v>2</v>
      </c>
      <c r="Y484" s="154">
        <v>0</v>
      </c>
    </row>
    <row r="485" spans="1:25" ht="13" customHeight="1">
      <c r="A485" s="11">
        <v>479</v>
      </c>
      <c r="B485" s="47">
        <v>203735944</v>
      </c>
      <c r="C485" s="88" t="s">
        <v>2551</v>
      </c>
      <c r="D485" s="11" t="s">
        <v>2552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95</v>
      </c>
      <c r="M485" s="49" t="s">
        <v>77</v>
      </c>
      <c r="N485" s="48" t="s">
        <v>86</v>
      </c>
      <c r="O485" s="49" t="s">
        <v>35</v>
      </c>
      <c r="P485" s="11" t="s">
        <v>80</v>
      </c>
      <c r="Q485" s="11" t="s">
        <v>90</v>
      </c>
      <c r="R485" s="11" t="s">
        <v>230</v>
      </c>
      <c r="S485" s="11" t="s">
        <v>1732</v>
      </c>
      <c r="T485" s="105" t="s">
        <v>10</v>
      </c>
      <c r="U485" s="98"/>
      <c r="V485" s="51">
        <v>45502</v>
      </c>
      <c r="W485" s="49" t="s">
        <v>1560</v>
      </c>
      <c r="X485" s="154" t="s">
        <v>2948</v>
      </c>
      <c r="Y485" s="154">
        <v>0</v>
      </c>
    </row>
    <row r="486" spans="1:25" ht="13" customHeight="1">
      <c r="A486" s="11">
        <v>480</v>
      </c>
      <c r="B486" s="47">
        <v>203736755</v>
      </c>
      <c r="C486" s="88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77</v>
      </c>
      <c r="M486" s="49" t="s">
        <v>78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230</v>
      </c>
      <c r="S486" s="11" t="s">
        <v>1732</v>
      </c>
      <c r="T486" s="105" t="s">
        <v>10</v>
      </c>
      <c r="U486" s="98"/>
      <c r="V486" s="51">
        <v>45502</v>
      </c>
      <c r="W486" s="49" t="s">
        <v>1560</v>
      </c>
      <c r="X486" s="154" t="s">
        <v>2948</v>
      </c>
      <c r="Y486" s="154">
        <v>0</v>
      </c>
    </row>
    <row r="487" spans="1:25" ht="13" customHeight="1">
      <c r="A487" s="11">
        <v>481</v>
      </c>
      <c r="B487" s="47">
        <v>206873871</v>
      </c>
      <c r="C487" s="88" t="s">
        <v>1749</v>
      </c>
      <c r="D487" s="11" t="s">
        <v>1750</v>
      </c>
      <c r="E487" s="48" t="s">
        <v>31</v>
      </c>
      <c r="F487" s="48" t="s">
        <v>74</v>
      </c>
      <c r="G487" s="48" t="s">
        <v>64</v>
      </c>
      <c r="H487" s="48" t="s">
        <v>75</v>
      </c>
      <c r="I487" s="11">
        <v>1299</v>
      </c>
      <c r="J487" s="49" t="s">
        <v>32</v>
      </c>
      <c r="K487" s="49" t="s">
        <v>76</v>
      </c>
      <c r="L487" s="49" t="s">
        <v>78</v>
      </c>
      <c r="M487" s="49" t="s">
        <v>92</v>
      </c>
      <c r="N487" s="49" t="s">
        <v>89</v>
      </c>
      <c r="O487" s="48" t="s">
        <v>35</v>
      </c>
      <c r="P487" s="48" t="s">
        <v>80</v>
      </c>
      <c r="Q487" s="11" t="s">
        <v>90</v>
      </c>
      <c r="R487" s="11" t="s">
        <v>230</v>
      </c>
      <c r="S487" s="11" t="s">
        <v>1732</v>
      </c>
      <c r="T487" s="105" t="s">
        <v>1</v>
      </c>
      <c r="U487" s="98"/>
      <c r="V487" s="51">
        <v>46020</v>
      </c>
      <c r="W487" s="49" t="s">
        <v>1560</v>
      </c>
      <c r="X487" s="154" t="s">
        <v>2</v>
      </c>
      <c r="Y487" s="154">
        <v>0</v>
      </c>
    </row>
    <row r="488" spans="1:25" ht="13" customHeight="1">
      <c r="A488" s="11">
        <v>482</v>
      </c>
      <c r="B488" s="47">
        <v>204890367</v>
      </c>
      <c r="C488" s="88" t="s">
        <v>500</v>
      </c>
      <c r="D488" s="11" t="s">
        <v>501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85</v>
      </c>
      <c r="M488" s="49" t="s">
        <v>88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230</v>
      </c>
      <c r="S488" s="11" t="s">
        <v>1732</v>
      </c>
      <c r="T488" s="105" t="s">
        <v>1</v>
      </c>
      <c r="U488" s="98"/>
      <c r="V488" s="51">
        <v>45826</v>
      </c>
      <c r="W488" s="49" t="s">
        <v>1560</v>
      </c>
      <c r="X488" s="154" t="s">
        <v>2</v>
      </c>
      <c r="Y488" s="154">
        <v>0</v>
      </c>
    </row>
    <row r="489" spans="1:25" ht="13" customHeight="1">
      <c r="A489" s="11">
        <v>483</v>
      </c>
      <c r="B489" s="47">
        <v>201633155</v>
      </c>
      <c r="C489" s="88" t="s">
        <v>502</v>
      </c>
      <c r="D489" s="11" t="s">
        <v>503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84</v>
      </c>
      <c r="M489" s="49" t="s">
        <v>85</v>
      </c>
      <c r="N489" s="48" t="s">
        <v>86</v>
      </c>
      <c r="O489" s="49" t="s">
        <v>35</v>
      </c>
      <c r="P489" s="11" t="s">
        <v>80</v>
      </c>
      <c r="Q489" s="11" t="s">
        <v>87</v>
      </c>
      <c r="R489" s="11" t="s">
        <v>224</v>
      </c>
      <c r="S489" s="11" t="s">
        <v>225</v>
      </c>
      <c r="T489" s="105" t="s">
        <v>1</v>
      </c>
      <c r="U489" s="98"/>
      <c r="V489" s="51">
        <v>45581</v>
      </c>
      <c r="W489" s="49" t="s">
        <v>1560</v>
      </c>
      <c r="X489" s="154" t="s">
        <v>2</v>
      </c>
      <c r="Y489" s="154">
        <v>0</v>
      </c>
    </row>
    <row r="490" spans="1:25" ht="13" customHeight="1">
      <c r="A490" s="11">
        <v>484</v>
      </c>
      <c r="B490" s="47">
        <v>103986189</v>
      </c>
      <c r="C490" s="88" t="s">
        <v>504</v>
      </c>
      <c r="D490" s="11" t="s">
        <v>505</v>
      </c>
      <c r="E490" s="48" t="s">
        <v>34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95</v>
      </c>
      <c r="M490" s="49" t="s">
        <v>77</v>
      </c>
      <c r="N490" s="48" t="s">
        <v>97</v>
      </c>
      <c r="O490" s="49" t="s">
        <v>35</v>
      </c>
      <c r="P490" s="11" t="s">
        <v>80</v>
      </c>
      <c r="Q490" s="11" t="s">
        <v>98</v>
      </c>
      <c r="R490" s="11" t="s">
        <v>230</v>
      </c>
      <c r="S490" s="11" t="s">
        <v>1732</v>
      </c>
      <c r="T490" s="105" t="s">
        <v>10</v>
      </c>
      <c r="U490" s="98"/>
      <c r="V490" s="51">
        <v>44782</v>
      </c>
      <c r="W490" s="49" t="s">
        <v>1557</v>
      </c>
      <c r="X490" s="154" t="s">
        <v>2948</v>
      </c>
      <c r="Y490" s="154">
        <v>0</v>
      </c>
    </row>
    <row r="491" spans="1:25" ht="13" customHeight="1">
      <c r="A491" s="11">
        <v>485</v>
      </c>
      <c r="B491" s="47">
        <v>204403653</v>
      </c>
      <c r="C491" s="88" t="s">
        <v>506</v>
      </c>
      <c r="D491" s="11" t="s">
        <v>507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77</v>
      </c>
      <c r="M491" s="49" t="s">
        <v>78</v>
      </c>
      <c r="N491" s="48" t="s">
        <v>86</v>
      </c>
      <c r="O491" s="49" t="s">
        <v>35</v>
      </c>
      <c r="P491" s="11" t="s">
        <v>80</v>
      </c>
      <c r="Q491" s="11" t="s">
        <v>99</v>
      </c>
      <c r="R491" s="11" t="s">
        <v>230</v>
      </c>
      <c r="S491" s="11" t="s">
        <v>1732</v>
      </c>
      <c r="T491" s="105" t="s">
        <v>10</v>
      </c>
      <c r="U491" s="98"/>
      <c r="V491" s="51">
        <v>45596</v>
      </c>
      <c r="W491" s="49" t="s">
        <v>1560</v>
      </c>
      <c r="X491" s="154" t="s">
        <v>2948</v>
      </c>
      <c r="Y491" s="154">
        <v>0</v>
      </c>
    </row>
    <row r="492" spans="1:25" ht="13" customHeight="1">
      <c r="A492" s="11">
        <v>486</v>
      </c>
      <c r="B492" s="47">
        <v>204967148</v>
      </c>
      <c r="C492" s="88" t="s">
        <v>2553</v>
      </c>
      <c r="D492" s="11" t="s">
        <v>2554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92</v>
      </c>
      <c r="M492" s="49" t="s">
        <v>84</v>
      </c>
      <c r="N492" s="49" t="s">
        <v>89</v>
      </c>
      <c r="O492" s="49" t="s">
        <v>35</v>
      </c>
      <c r="P492" s="11" t="s">
        <v>80</v>
      </c>
      <c r="Q492" s="11" t="s">
        <v>90</v>
      </c>
      <c r="R492" s="11" t="s">
        <v>230</v>
      </c>
      <c r="S492" s="11" t="s">
        <v>1732</v>
      </c>
      <c r="T492" s="105" t="s">
        <v>1</v>
      </c>
      <c r="U492" s="98"/>
      <c r="V492" s="51">
        <v>45826</v>
      </c>
      <c r="W492" s="49" t="s">
        <v>1560</v>
      </c>
      <c r="X492" s="154" t="s">
        <v>2</v>
      </c>
      <c r="Y492" s="154">
        <v>0</v>
      </c>
    </row>
    <row r="493" spans="1:25" ht="13" customHeight="1">
      <c r="A493" s="11">
        <v>487</v>
      </c>
      <c r="B493" s="47">
        <v>203813080</v>
      </c>
      <c r="C493" s="88" t="s">
        <v>508</v>
      </c>
      <c r="D493" s="11" t="s">
        <v>509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39</v>
      </c>
      <c r="K493" s="49" t="s">
        <v>76</v>
      </c>
      <c r="L493" s="49" t="s">
        <v>78</v>
      </c>
      <c r="M493" s="49" t="s">
        <v>92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230</v>
      </c>
      <c r="S493" s="11" t="s">
        <v>1732</v>
      </c>
      <c r="T493" s="105" t="s">
        <v>1</v>
      </c>
      <c r="U493" s="98"/>
      <c r="V493" s="51">
        <v>45517</v>
      </c>
      <c r="W493" s="49" t="s">
        <v>1560</v>
      </c>
      <c r="X493" s="154" t="s">
        <v>2</v>
      </c>
      <c r="Y493" s="154">
        <v>0</v>
      </c>
    </row>
    <row r="494" spans="1:25" ht="13" customHeight="1">
      <c r="A494" s="11">
        <v>488</v>
      </c>
      <c r="B494" s="47">
        <v>206846697</v>
      </c>
      <c r="C494" s="88" t="s">
        <v>2555</v>
      </c>
      <c r="D494" s="47" t="s">
        <v>2556</v>
      </c>
      <c r="E494" s="47" t="s">
        <v>31</v>
      </c>
      <c r="F494" s="47" t="s">
        <v>74</v>
      </c>
      <c r="G494" s="47" t="s">
        <v>64</v>
      </c>
      <c r="H494" s="47" t="s">
        <v>75</v>
      </c>
      <c r="I494" s="47">
        <v>1299</v>
      </c>
      <c r="J494" s="49" t="s">
        <v>32</v>
      </c>
      <c r="K494" s="49" t="s">
        <v>76</v>
      </c>
      <c r="L494" s="49" t="s">
        <v>78</v>
      </c>
      <c r="M494" s="49" t="s">
        <v>92</v>
      </c>
      <c r="N494" s="49" t="s">
        <v>89</v>
      </c>
      <c r="O494" s="47" t="s">
        <v>35</v>
      </c>
      <c r="P494" s="47" t="s">
        <v>80</v>
      </c>
      <c r="Q494" s="47" t="s">
        <v>90</v>
      </c>
      <c r="R494" s="11" t="s">
        <v>230</v>
      </c>
      <c r="S494" s="47" t="s">
        <v>1732</v>
      </c>
      <c r="T494" s="105" t="s">
        <v>1</v>
      </c>
      <c r="U494" s="98"/>
      <c r="V494" s="51">
        <v>46013</v>
      </c>
      <c r="W494" s="47" t="s">
        <v>1560</v>
      </c>
      <c r="X494" s="154" t="s">
        <v>2</v>
      </c>
      <c r="Y494" s="154">
        <v>0</v>
      </c>
    </row>
    <row r="495" spans="1:25" ht="13" customHeight="1">
      <c r="A495" s="11">
        <v>489</v>
      </c>
      <c r="B495" s="47">
        <v>204883234</v>
      </c>
      <c r="C495" s="88" t="s">
        <v>510</v>
      </c>
      <c r="D495" s="11" t="s">
        <v>511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78</v>
      </c>
      <c r="M495" s="49" t="s">
        <v>92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224</v>
      </c>
      <c r="S495" s="11" t="s">
        <v>225</v>
      </c>
      <c r="T495" s="105" t="s">
        <v>1</v>
      </c>
      <c r="U495" s="98"/>
      <c r="V495" s="51">
        <v>45691</v>
      </c>
      <c r="W495" s="49" t="s">
        <v>1559</v>
      </c>
      <c r="X495" s="154" t="s">
        <v>2</v>
      </c>
      <c r="Y495" s="154">
        <v>0</v>
      </c>
    </row>
    <row r="496" spans="1:25" ht="13" customHeight="1">
      <c r="A496" s="11">
        <v>490</v>
      </c>
      <c r="B496" s="47">
        <v>203851274</v>
      </c>
      <c r="C496" s="88" t="s">
        <v>512</v>
      </c>
      <c r="D496" s="11" t="s">
        <v>513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8" t="s">
        <v>514</v>
      </c>
      <c r="O496" s="49" t="s">
        <v>35</v>
      </c>
      <c r="P496" s="11" t="s">
        <v>80</v>
      </c>
      <c r="Q496" s="11" t="s">
        <v>99</v>
      </c>
      <c r="R496" s="11" t="s">
        <v>224</v>
      </c>
      <c r="S496" s="11" t="s">
        <v>225</v>
      </c>
      <c r="T496" s="105" t="s">
        <v>1</v>
      </c>
      <c r="U496" s="98"/>
      <c r="V496" s="51">
        <v>45524</v>
      </c>
      <c r="W496" s="49" t="s">
        <v>1560</v>
      </c>
      <c r="X496" s="154" t="s">
        <v>2</v>
      </c>
      <c r="Y496" s="154">
        <v>0</v>
      </c>
    </row>
    <row r="497" spans="1:25" ht="13" customHeight="1">
      <c r="A497" s="11">
        <v>491</v>
      </c>
      <c r="B497" s="47">
        <v>205495599</v>
      </c>
      <c r="C497" s="88" t="s">
        <v>515</v>
      </c>
      <c r="D497" s="11" t="s">
        <v>516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9" t="s">
        <v>89</v>
      </c>
      <c r="O497" s="49" t="s">
        <v>35</v>
      </c>
      <c r="P497" s="11" t="s">
        <v>80</v>
      </c>
      <c r="Q497" s="11" t="s">
        <v>96</v>
      </c>
      <c r="R497" s="11" t="s">
        <v>224</v>
      </c>
      <c r="S497" s="11" t="s">
        <v>225</v>
      </c>
      <c r="T497" s="105" t="s">
        <v>1</v>
      </c>
      <c r="U497" s="98"/>
      <c r="V497" s="51">
        <v>45831</v>
      </c>
      <c r="W497" s="49" t="s">
        <v>1561</v>
      </c>
      <c r="X497" s="154" t="s">
        <v>2</v>
      </c>
      <c r="Y497" s="154">
        <v>0</v>
      </c>
    </row>
    <row r="498" spans="1:25" ht="13" customHeight="1">
      <c r="A498" s="11">
        <v>492</v>
      </c>
      <c r="B498" s="47">
        <v>203737250</v>
      </c>
      <c r="C498" s="88" t="s">
        <v>2557</v>
      </c>
      <c r="D498" s="11" t="s">
        <v>2558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84</v>
      </c>
      <c r="M498" s="49" t="s">
        <v>85</v>
      </c>
      <c r="N498" s="48" t="s">
        <v>86</v>
      </c>
      <c r="O498" s="49" t="s">
        <v>35</v>
      </c>
      <c r="P498" s="11" t="s">
        <v>80</v>
      </c>
      <c r="Q498" s="11" t="s">
        <v>90</v>
      </c>
      <c r="R498" s="11" t="s">
        <v>230</v>
      </c>
      <c r="S498" s="11" t="s">
        <v>1732</v>
      </c>
      <c r="T498" s="105" t="s">
        <v>1</v>
      </c>
      <c r="U498" s="98"/>
      <c r="V498" s="51">
        <v>45502</v>
      </c>
      <c r="W498" s="49" t="s">
        <v>1560</v>
      </c>
      <c r="X498" s="154" t="s">
        <v>2</v>
      </c>
      <c r="Y498" s="154">
        <v>0</v>
      </c>
    </row>
    <row r="499" spans="1:25" ht="13" customHeight="1">
      <c r="A499" s="11">
        <v>493</v>
      </c>
      <c r="B499" s="47">
        <v>204967146</v>
      </c>
      <c r="C499" s="88" t="s">
        <v>2559</v>
      </c>
      <c r="D499" s="11" t="s">
        <v>2560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95</v>
      </c>
      <c r="M499" s="49" t="s">
        <v>77</v>
      </c>
      <c r="N499" s="49" t="s">
        <v>89</v>
      </c>
      <c r="O499" s="49" t="s">
        <v>35</v>
      </c>
      <c r="P499" s="11" t="s">
        <v>80</v>
      </c>
      <c r="Q499" s="11" t="s">
        <v>90</v>
      </c>
      <c r="R499" s="11" t="s">
        <v>230</v>
      </c>
      <c r="S499" s="11" t="s">
        <v>1732</v>
      </c>
      <c r="T499" s="105" t="s">
        <v>10</v>
      </c>
      <c r="U499" s="98"/>
      <c r="V499" s="51">
        <v>45826</v>
      </c>
      <c r="W499" s="49" t="s">
        <v>1560</v>
      </c>
      <c r="X499" s="154" t="s">
        <v>2948</v>
      </c>
      <c r="Y499" s="154">
        <v>0</v>
      </c>
    </row>
    <row r="500" spans="1:25" ht="13" customHeight="1">
      <c r="A500" s="11">
        <v>494</v>
      </c>
      <c r="B500" s="47">
        <v>206791444</v>
      </c>
      <c r="C500" s="88" t="s">
        <v>2561</v>
      </c>
      <c r="D500" s="11" t="s">
        <v>2562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9" t="s">
        <v>35</v>
      </c>
      <c r="P500" s="11" t="s">
        <v>80</v>
      </c>
      <c r="Q500" s="11" t="s">
        <v>90</v>
      </c>
      <c r="R500" s="11" t="s">
        <v>223</v>
      </c>
      <c r="S500" s="11" t="s">
        <v>2655</v>
      </c>
      <c r="T500" s="105" t="s">
        <v>1</v>
      </c>
      <c r="U500" s="98"/>
      <c r="V500" s="51">
        <v>45999</v>
      </c>
      <c r="W500" s="49" t="s">
        <v>1560</v>
      </c>
      <c r="X500" s="154" t="s">
        <v>2</v>
      </c>
      <c r="Y500" s="154">
        <v>0</v>
      </c>
    </row>
    <row r="501" spans="1:25" ht="13" customHeight="1">
      <c r="A501" s="11">
        <v>495</v>
      </c>
      <c r="B501" s="11">
        <v>206953813</v>
      </c>
      <c r="C501" s="88" t="s">
        <v>2563</v>
      </c>
      <c r="D501" s="11" t="s">
        <v>2564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39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86" t="s">
        <v>35</v>
      </c>
      <c r="P501" s="11" t="s">
        <v>80</v>
      </c>
      <c r="Q501" s="82" t="s">
        <v>90</v>
      </c>
      <c r="R501" s="11" t="s">
        <v>223</v>
      </c>
      <c r="S501" s="54" t="s">
        <v>2655</v>
      </c>
      <c r="T501" s="105" t="s">
        <v>1</v>
      </c>
      <c r="U501" s="98"/>
      <c r="V501" s="51">
        <v>46051</v>
      </c>
      <c r="W501" s="2" t="s">
        <v>1560</v>
      </c>
      <c r="X501" s="154" t="s">
        <v>2</v>
      </c>
      <c r="Y501" s="154">
        <v>0</v>
      </c>
    </row>
    <row r="502" spans="1:25" ht="13" customHeight="1">
      <c r="A502" s="11">
        <v>496</v>
      </c>
      <c r="B502" s="47">
        <v>206873780</v>
      </c>
      <c r="C502" s="88" t="s">
        <v>2565</v>
      </c>
      <c r="D502" s="11" t="s">
        <v>2566</v>
      </c>
      <c r="E502" s="48" t="s">
        <v>31</v>
      </c>
      <c r="F502" s="48" t="s">
        <v>74</v>
      </c>
      <c r="G502" s="48" t="s">
        <v>64</v>
      </c>
      <c r="H502" s="48" t="s">
        <v>75</v>
      </c>
      <c r="I502" s="11">
        <v>1299</v>
      </c>
      <c r="J502" s="49" t="s">
        <v>39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8" t="s">
        <v>35</v>
      </c>
      <c r="P502" s="48" t="s">
        <v>80</v>
      </c>
      <c r="Q502" s="11" t="s">
        <v>90</v>
      </c>
      <c r="R502" s="11" t="s">
        <v>230</v>
      </c>
      <c r="S502" s="11" t="s">
        <v>1732</v>
      </c>
      <c r="T502" s="105" t="s">
        <v>1</v>
      </c>
      <c r="U502" s="98"/>
      <c r="V502" s="51">
        <v>46020</v>
      </c>
      <c r="W502" s="49" t="s">
        <v>1560</v>
      </c>
      <c r="X502" s="154" t="s">
        <v>2</v>
      </c>
      <c r="Y502" s="154">
        <v>0</v>
      </c>
    </row>
    <row r="503" spans="1:25" ht="13" customHeight="1">
      <c r="A503" s="11">
        <v>497</v>
      </c>
      <c r="B503" s="47">
        <v>203800374</v>
      </c>
      <c r="C503" s="88" t="s">
        <v>2567</v>
      </c>
      <c r="D503" s="11" t="s">
        <v>2568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95</v>
      </c>
      <c r="M503" s="49" t="s">
        <v>77</v>
      </c>
      <c r="N503" s="49" t="s">
        <v>89</v>
      </c>
      <c r="O503" s="49" t="s">
        <v>35</v>
      </c>
      <c r="P503" s="11" t="s">
        <v>80</v>
      </c>
      <c r="Q503" s="11" t="s">
        <v>90</v>
      </c>
      <c r="R503" s="11" t="s">
        <v>230</v>
      </c>
      <c r="S503" s="11" t="s">
        <v>1732</v>
      </c>
      <c r="T503" s="105" t="s">
        <v>10</v>
      </c>
      <c r="U503" s="98"/>
      <c r="V503" s="51">
        <v>45516</v>
      </c>
      <c r="W503" s="49" t="s">
        <v>1560</v>
      </c>
      <c r="X503" s="154" t="s">
        <v>2948</v>
      </c>
      <c r="Y503" s="154">
        <v>0</v>
      </c>
    </row>
    <row r="504" spans="1:25" ht="13" customHeight="1">
      <c r="A504" s="11">
        <v>498</v>
      </c>
      <c r="B504" s="47">
        <v>204883245</v>
      </c>
      <c r="C504" s="88" t="s">
        <v>517</v>
      </c>
      <c r="D504" s="11" t="s">
        <v>518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87</v>
      </c>
      <c r="R504" s="11" t="s">
        <v>224</v>
      </c>
      <c r="S504" s="11" t="s">
        <v>225</v>
      </c>
      <c r="T504" s="105" t="s">
        <v>1</v>
      </c>
      <c r="U504" s="98"/>
      <c r="V504" s="51">
        <v>45691</v>
      </c>
      <c r="W504" s="49" t="s">
        <v>1559</v>
      </c>
      <c r="X504" s="154" t="s">
        <v>2</v>
      </c>
      <c r="Y504" s="154">
        <v>0</v>
      </c>
    </row>
    <row r="505" spans="1:25" ht="13" customHeight="1">
      <c r="A505" s="11">
        <v>499</v>
      </c>
      <c r="B505" s="47">
        <v>205506476</v>
      </c>
      <c r="C505" s="88" t="s">
        <v>2569</v>
      </c>
      <c r="D505" s="11" t="s">
        <v>2570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78</v>
      </c>
      <c r="M505" s="49" t="s">
        <v>92</v>
      </c>
      <c r="N505" s="49" t="s">
        <v>89</v>
      </c>
      <c r="O505" s="49" t="s">
        <v>35</v>
      </c>
      <c r="P505" s="11" t="s">
        <v>80</v>
      </c>
      <c r="Q505" s="11" t="s">
        <v>96</v>
      </c>
      <c r="R505" s="11" t="s">
        <v>230</v>
      </c>
      <c r="S505" s="11" t="s">
        <v>1732</v>
      </c>
      <c r="T505" s="105" t="s">
        <v>1</v>
      </c>
      <c r="U505" s="98"/>
      <c r="V505" s="51">
        <v>45831</v>
      </c>
      <c r="W505" s="49" t="s">
        <v>1560</v>
      </c>
      <c r="X505" s="154" t="s">
        <v>2</v>
      </c>
      <c r="Y505" s="154">
        <v>0</v>
      </c>
    </row>
    <row r="506" spans="1:25" ht="13" customHeight="1">
      <c r="A506" s="11">
        <v>500</v>
      </c>
      <c r="B506" s="47">
        <v>204405779</v>
      </c>
      <c r="C506" s="88" t="s">
        <v>519</v>
      </c>
      <c r="D506" s="11" t="s">
        <v>520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95</v>
      </c>
      <c r="M506" s="49" t="s">
        <v>77</v>
      </c>
      <c r="N506" s="48" t="s">
        <v>86</v>
      </c>
      <c r="O506" s="49" t="s">
        <v>35</v>
      </c>
      <c r="P506" s="11" t="s">
        <v>80</v>
      </c>
      <c r="Q506" s="11" t="s">
        <v>87</v>
      </c>
      <c r="R506" s="11" t="s">
        <v>224</v>
      </c>
      <c r="S506" s="11" t="s">
        <v>225</v>
      </c>
      <c r="T506" s="105" t="s">
        <v>10</v>
      </c>
      <c r="U506" s="98"/>
      <c r="V506" s="51">
        <v>45596</v>
      </c>
      <c r="W506" s="49" t="s">
        <v>1561</v>
      </c>
      <c r="X506" s="154" t="s">
        <v>2948</v>
      </c>
      <c r="Y506" s="154">
        <v>0</v>
      </c>
    </row>
    <row r="507" spans="1:25" ht="13" customHeight="1">
      <c r="A507" s="11">
        <v>501</v>
      </c>
      <c r="B507" s="47">
        <v>205495595</v>
      </c>
      <c r="C507" s="88" t="s">
        <v>521</v>
      </c>
      <c r="D507" s="11" t="s">
        <v>522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96</v>
      </c>
      <c r="R507" s="11" t="s">
        <v>230</v>
      </c>
      <c r="S507" s="11" t="s">
        <v>1732</v>
      </c>
      <c r="T507" s="105" t="s">
        <v>1</v>
      </c>
      <c r="U507" s="98"/>
      <c r="V507" s="51">
        <v>45831</v>
      </c>
      <c r="W507" s="49" t="s">
        <v>1560</v>
      </c>
      <c r="X507" s="154" t="s">
        <v>2</v>
      </c>
      <c r="Y507" s="154">
        <v>0</v>
      </c>
    </row>
    <row r="508" spans="1:25" ht="13" customHeight="1">
      <c r="A508" s="11">
        <v>502</v>
      </c>
      <c r="B508" s="47">
        <v>203850937</v>
      </c>
      <c r="C508" s="88" t="s">
        <v>524</v>
      </c>
      <c r="D508" s="11" t="s">
        <v>525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78</v>
      </c>
      <c r="M508" s="49" t="s">
        <v>92</v>
      </c>
      <c r="N508" s="48" t="s">
        <v>79</v>
      </c>
      <c r="O508" s="49" t="s">
        <v>35</v>
      </c>
      <c r="P508" s="11" t="s">
        <v>80</v>
      </c>
      <c r="Q508" s="11" t="s">
        <v>81</v>
      </c>
      <c r="R508" s="11" t="s">
        <v>224</v>
      </c>
      <c r="S508" s="11" t="s">
        <v>225</v>
      </c>
      <c r="T508" s="105" t="s">
        <v>7</v>
      </c>
      <c r="U508" s="98" t="s">
        <v>2941</v>
      </c>
      <c r="V508" s="51">
        <v>45524</v>
      </c>
      <c r="W508" s="49" t="s">
        <v>1559</v>
      </c>
      <c r="X508" s="154" t="s">
        <v>2948</v>
      </c>
      <c r="Y508" s="154" t="s">
        <v>2949</v>
      </c>
    </row>
    <row r="509" spans="1:25" ht="13" customHeight="1">
      <c r="A509" s="11">
        <v>503</v>
      </c>
      <c r="B509" s="47">
        <v>203736774</v>
      </c>
      <c r="C509" s="88" t="s">
        <v>526</v>
      </c>
      <c r="D509" s="11" t="s">
        <v>527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86</v>
      </c>
      <c r="O509" s="49" t="s">
        <v>35</v>
      </c>
      <c r="P509" s="11" t="s">
        <v>80</v>
      </c>
      <c r="Q509" s="11" t="s">
        <v>99</v>
      </c>
      <c r="R509" s="11" t="s">
        <v>230</v>
      </c>
      <c r="S509" s="11" t="s">
        <v>1732</v>
      </c>
      <c r="T509" s="105" t="s">
        <v>1</v>
      </c>
      <c r="U509" s="98"/>
      <c r="V509" s="51">
        <v>45502</v>
      </c>
      <c r="W509" s="49" t="s">
        <v>1560</v>
      </c>
      <c r="X509" s="154" t="s">
        <v>2</v>
      </c>
      <c r="Y509" s="154">
        <v>0</v>
      </c>
    </row>
    <row r="510" spans="1:25" ht="13" customHeight="1">
      <c r="A510" s="11">
        <v>504</v>
      </c>
      <c r="B510" s="47">
        <v>204869089</v>
      </c>
      <c r="C510" s="88" t="s">
        <v>528</v>
      </c>
      <c r="D510" s="11" t="s">
        <v>529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85</v>
      </c>
      <c r="M510" s="49" t="s">
        <v>88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230</v>
      </c>
      <c r="S510" s="11" t="s">
        <v>1732</v>
      </c>
      <c r="T510" s="105" t="s">
        <v>1</v>
      </c>
      <c r="U510" s="98"/>
      <c r="V510" s="51">
        <v>45691</v>
      </c>
      <c r="W510" s="49" t="s">
        <v>1560</v>
      </c>
      <c r="X510" s="154" t="s">
        <v>2</v>
      </c>
      <c r="Y510" s="154">
        <v>0</v>
      </c>
    </row>
    <row r="511" spans="1:25" ht="13" customHeight="1">
      <c r="A511" s="11">
        <v>505</v>
      </c>
      <c r="B511" s="47">
        <v>206873793</v>
      </c>
      <c r="C511" s="88" t="s">
        <v>2571</v>
      </c>
      <c r="D511" s="11" t="s">
        <v>2572</v>
      </c>
      <c r="E511" s="48" t="s">
        <v>31</v>
      </c>
      <c r="F511" s="48" t="s">
        <v>74</v>
      </c>
      <c r="G511" s="48" t="s">
        <v>64</v>
      </c>
      <c r="H511" s="48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8" t="s">
        <v>35</v>
      </c>
      <c r="P511" s="48" t="s">
        <v>80</v>
      </c>
      <c r="Q511" s="11" t="s">
        <v>90</v>
      </c>
      <c r="R511" s="11" t="s">
        <v>230</v>
      </c>
      <c r="S511" s="11" t="s">
        <v>1732</v>
      </c>
      <c r="T511" s="105" t="s">
        <v>1</v>
      </c>
      <c r="U511" s="98"/>
      <c r="V511" s="51">
        <v>46020</v>
      </c>
      <c r="W511" s="49" t="s">
        <v>1560</v>
      </c>
      <c r="X511" s="154" t="s">
        <v>2</v>
      </c>
      <c r="Y511" s="154">
        <v>0</v>
      </c>
    </row>
    <row r="512" spans="1:25" ht="13" customHeight="1">
      <c r="A512" s="11">
        <v>506</v>
      </c>
      <c r="B512" s="47">
        <v>204883081</v>
      </c>
      <c r="C512" s="88" t="s">
        <v>530</v>
      </c>
      <c r="D512" s="11" t="s">
        <v>531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84</v>
      </c>
      <c r="M512" s="49" t="s">
        <v>85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224</v>
      </c>
      <c r="S512" s="11" t="s">
        <v>225</v>
      </c>
      <c r="T512" s="105" t="s">
        <v>7</v>
      </c>
      <c r="U512" s="98" t="s">
        <v>2941</v>
      </c>
      <c r="V512" s="51">
        <v>45691</v>
      </c>
      <c r="W512" s="49" t="s">
        <v>1559</v>
      </c>
      <c r="X512" s="154" t="s">
        <v>2948</v>
      </c>
      <c r="Y512" s="154" t="s">
        <v>2949</v>
      </c>
    </row>
    <row r="513" spans="1:25" ht="13" customHeight="1">
      <c r="A513" s="11">
        <v>507</v>
      </c>
      <c r="B513" s="47">
        <v>102718052</v>
      </c>
      <c r="C513" s="88" t="s">
        <v>532</v>
      </c>
      <c r="D513" s="11" t="s">
        <v>533</v>
      </c>
      <c r="E513" s="48" t="s">
        <v>34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39</v>
      </c>
      <c r="K513" s="49" t="s">
        <v>76</v>
      </c>
      <c r="L513" s="49" t="s">
        <v>95</v>
      </c>
      <c r="M513" s="49" t="s">
        <v>77</v>
      </c>
      <c r="N513" s="48" t="s">
        <v>108</v>
      </c>
      <c r="O513" s="49" t="s">
        <v>35</v>
      </c>
      <c r="P513" s="11" t="s">
        <v>80</v>
      </c>
      <c r="Q513" s="11" t="s">
        <v>98</v>
      </c>
      <c r="R513" s="11" t="s">
        <v>224</v>
      </c>
      <c r="S513" s="11" t="s">
        <v>225</v>
      </c>
      <c r="T513" s="105" t="s">
        <v>10</v>
      </c>
      <c r="U513" s="98"/>
      <c r="V513" s="51">
        <v>42990</v>
      </c>
      <c r="W513" s="49" t="s">
        <v>1561</v>
      </c>
      <c r="X513" s="154" t="s">
        <v>2948</v>
      </c>
      <c r="Y513" s="154">
        <v>0</v>
      </c>
    </row>
    <row r="514" spans="1:25" ht="13" customHeight="1">
      <c r="A514" s="11">
        <v>508</v>
      </c>
      <c r="B514" s="47">
        <v>204882798</v>
      </c>
      <c r="C514" s="88" t="s">
        <v>534</v>
      </c>
      <c r="D514" s="11" t="s">
        <v>535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39</v>
      </c>
      <c r="K514" s="49" t="s">
        <v>76</v>
      </c>
      <c r="L514" s="49" t="s">
        <v>95</v>
      </c>
      <c r="M514" s="49" t="s">
        <v>77</v>
      </c>
      <c r="N514" s="48" t="s">
        <v>86</v>
      </c>
      <c r="O514" s="49" t="s">
        <v>35</v>
      </c>
      <c r="P514" s="11" t="s">
        <v>80</v>
      </c>
      <c r="Q514" s="11" t="s">
        <v>90</v>
      </c>
      <c r="R514" s="11" t="s">
        <v>230</v>
      </c>
      <c r="S514" s="11" t="s">
        <v>1732</v>
      </c>
      <c r="T514" s="105" t="s">
        <v>10</v>
      </c>
      <c r="U514" s="98"/>
      <c r="V514" s="51">
        <v>45691</v>
      </c>
      <c r="W514" s="49" t="s">
        <v>1560</v>
      </c>
      <c r="X514" s="154" t="s">
        <v>2948</v>
      </c>
      <c r="Y514" s="154" t="s">
        <v>2949</v>
      </c>
    </row>
    <row r="515" spans="1:25" ht="13" customHeight="1">
      <c r="A515" s="11">
        <v>509</v>
      </c>
      <c r="B515" s="47">
        <v>204883239</v>
      </c>
      <c r="C515" s="88" t="s">
        <v>536</v>
      </c>
      <c r="D515" s="11" t="s">
        <v>537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77</v>
      </c>
      <c r="M515" s="49" t="s">
        <v>78</v>
      </c>
      <c r="N515" s="48" t="s">
        <v>86</v>
      </c>
      <c r="O515" s="49" t="s">
        <v>35</v>
      </c>
      <c r="P515" s="11" t="s">
        <v>80</v>
      </c>
      <c r="Q515" s="11" t="s">
        <v>87</v>
      </c>
      <c r="R515" s="11" t="s">
        <v>224</v>
      </c>
      <c r="S515" s="11" t="s">
        <v>225</v>
      </c>
      <c r="T515" s="105" t="s">
        <v>10</v>
      </c>
      <c r="U515" s="98"/>
      <c r="V515" s="51">
        <v>45691</v>
      </c>
      <c r="W515" s="49" t="s">
        <v>1559</v>
      </c>
      <c r="X515" s="154" t="s">
        <v>2948</v>
      </c>
      <c r="Y515" s="154">
        <v>0</v>
      </c>
    </row>
    <row r="516" spans="1:25" ht="13" customHeight="1">
      <c r="A516" s="11">
        <v>510</v>
      </c>
      <c r="B516" s="47">
        <v>203965493</v>
      </c>
      <c r="C516" s="88" t="s">
        <v>538</v>
      </c>
      <c r="D516" s="11" t="s">
        <v>539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77</v>
      </c>
      <c r="M516" s="49" t="s">
        <v>78</v>
      </c>
      <c r="N516" s="48" t="s">
        <v>79</v>
      </c>
      <c r="O516" s="49" t="s">
        <v>35</v>
      </c>
      <c r="P516" s="11" t="s">
        <v>80</v>
      </c>
      <c r="Q516" s="11" t="s">
        <v>81</v>
      </c>
      <c r="R516" s="11" t="s">
        <v>224</v>
      </c>
      <c r="S516" s="11" t="s">
        <v>225</v>
      </c>
      <c r="T516" s="105" t="s">
        <v>10</v>
      </c>
      <c r="U516" s="98"/>
      <c r="V516" s="51">
        <v>45544</v>
      </c>
      <c r="W516" s="49" t="s">
        <v>1560</v>
      </c>
      <c r="X516" s="154" t="s">
        <v>2948</v>
      </c>
      <c r="Y516" s="154">
        <v>0</v>
      </c>
    </row>
    <row r="517" spans="1:25" ht="13" customHeight="1">
      <c r="A517" s="11">
        <v>511</v>
      </c>
      <c r="B517" s="47">
        <v>204882810</v>
      </c>
      <c r="C517" s="88" t="s">
        <v>540</v>
      </c>
      <c r="D517" s="11" t="s">
        <v>541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8" t="s">
        <v>86</v>
      </c>
      <c r="O517" s="49" t="s">
        <v>35</v>
      </c>
      <c r="P517" s="11" t="s">
        <v>80</v>
      </c>
      <c r="Q517" s="11" t="s">
        <v>90</v>
      </c>
      <c r="R517" s="11" t="s">
        <v>223</v>
      </c>
      <c r="S517" s="11" t="s">
        <v>2655</v>
      </c>
      <c r="T517" s="105" t="s">
        <v>1</v>
      </c>
      <c r="U517" s="98"/>
      <c r="V517" s="51">
        <v>45691</v>
      </c>
      <c r="W517" s="49" t="s">
        <v>1560</v>
      </c>
      <c r="X517" s="154" t="s">
        <v>2</v>
      </c>
      <c r="Y517" s="154">
        <v>0</v>
      </c>
    </row>
    <row r="518" spans="1:25" ht="13" customHeight="1">
      <c r="A518" s="11">
        <v>512</v>
      </c>
      <c r="B518" s="11">
        <v>206873650</v>
      </c>
      <c r="C518" s="88" t="s">
        <v>1759</v>
      </c>
      <c r="D518" s="11" t="s">
        <v>1760</v>
      </c>
      <c r="E518" s="48" t="s">
        <v>31</v>
      </c>
      <c r="F518" s="48" t="s">
        <v>74</v>
      </c>
      <c r="G518" s="48" t="s">
        <v>64</v>
      </c>
      <c r="H518" s="48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9" t="s">
        <v>79</v>
      </c>
      <c r="O518" s="48" t="s">
        <v>35</v>
      </c>
      <c r="P518" s="48" t="s">
        <v>80</v>
      </c>
      <c r="Q518" s="11" t="s">
        <v>81</v>
      </c>
      <c r="R518" s="11" t="s">
        <v>230</v>
      </c>
      <c r="S518" s="11" t="s">
        <v>1732</v>
      </c>
      <c r="T518" s="105" t="s">
        <v>1</v>
      </c>
      <c r="U518" s="98"/>
      <c r="V518" s="51">
        <v>46020</v>
      </c>
      <c r="W518" s="11" t="s">
        <v>1560</v>
      </c>
      <c r="X518" s="154" t="s">
        <v>2</v>
      </c>
      <c r="Y518" s="154">
        <v>0</v>
      </c>
    </row>
    <row r="519" spans="1:25" ht="13" customHeight="1">
      <c r="A519" s="11">
        <v>513</v>
      </c>
      <c r="B519" s="47">
        <v>203800486</v>
      </c>
      <c r="C519" s="88" t="s">
        <v>2573</v>
      </c>
      <c r="D519" s="11" t="s">
        <v>2574</v>
      </c>
      <c r="E519" s="48" t="s">
        <v>31</v>
      </c>
      <c r="F519" s="48" t="s">
        <v>74</v>
      </c>
      <c r="G519" s="11" t="s">
        <v>65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77</v>
      </c>
      <c r="M519" s="49" t="s">
        <v>78</v>
      </c>
      <c r="N519" s="48" t="s">
        <v>86</v>
      </c>
      <c r="O519" s="49" t="s">
        <v>68</v>
      </c>
      <c r="P519" s="11" t="s">
        <v>80</v>
      </c>
      <c r="Q519" s="11" t="s">
        <v>90</v>
      </c>
      <c r="R519" s="11" t="s">
        <v>2660</v>
      </c>
      <c r="S519" s="11" t="s">
        <v>2661</v>
      </c>
      <c r="T519" s="105" t="s">
        <v>10</v>
      </c>
      <c r="U519" s="98"/>
      <c r="V519" s="51">
        <v>45516</v>
      </c>
      <c r="W519" s="49" t="s">
        <v>68</v>
      </c>
      <c r="X519" s="154" t="s">
        <v>2948</v>
      </c>
      <c r="Y519" s="154">
        <v>0</v>
      </c>
    </row>
    <row r="520" spans="1:25" ht="13" customHeight="1">
      <c r="A520" s="11">
        <v>514</v>
      </c>
      <c r="B520" s="47">
        <v>205977126</v>
      </c>
      <c r="C520" s="88" t="s">
        <v>2575</v>
      </c>
      <c r="D520" s="11" t="s">
        <v>2576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78</v>
      </c>
      <c r="M520" s="49" t="s">
        <v>92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223</v>
      </c>
      <c r="S520" s="11" t="s">
        <v>2655</v>
      </c>
      <c r="T520" s="105" t="s">
        <v>1</v>
      </c>
      <c r="U520" s="98"/>
      <c r="V520" s="51">
        <v>45915</v>
      </c>
      <c r="W520" s="49" t="s">
        <v>1560</v>
      </c>
      <c r="X520" s="154" t="s">
        <v>2</v>
      </c>
      <c r="Y520" s="154">
        <v>0</v>
      </c>
    </row>
    <row r="521" spans="1:25" ht="13" customHeight="1">
      <c r="A521" s="11">
        <v>515</v>
      </c>
      <c r="B521" s="47">
        <v>203816295</v>
      </c>
      <c r="C521" s="88" t="s">
        <v>2577</v>
      </c>
      <c r="D521" s="11" t="s">
        <v>2578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95</v>
      </c>
      <c r="M521" s="49" t="s">
        <v>77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224</v>
      </c>
      <c r="S521" s="11" t="s">
        <v>225</v>
      </c>
      <c r="T521" s="105" t="s">
        <v>10</v>
      </c>
      <c r="U521" s="98"/>
      <c r="V521" s="51">
        <v>45524</v>
      </c>
      <c r="W521" s="49" t="s">
        <v>1559</v>
      </c>
      <c r="X521" s="154" t="s">
        <v>2948</v>
      </c>
      <c r="Y521" s="154">
        <v>0</v>
      </c>
    </row>
    <row r="522" spans="1:25" ht="13" customHeight="1">
      <c r="A522" s="11">
        <v>516</v>
      </c>
      <c r="B522" s="47">
        <v>205608627</v>
      </c>
      <c r="C522" s="88" t="s">
        <v>2579</v>
      </c>
      <c r="D522" s="11" t="s">
        <v>2580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88</v>
      </c>
      <c r="M522" s="49" t="s">
        <v>95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230</v>
      </c>
      <c r="S522" s="11" t="s">
        <v>1732</v>
      </c>
      <c r="T522" s="105" t="s">
        <v>1</v>
      </c>
      <c r="U522" s="98"/>
      <c r="V522" s="51">
        <v>45845</v>
      </c>
      <c r="W522" s="49" t="s">
        <v>1560</v>
      </c>
      <c r="X522" s="154" t="s">
        <v>2</v>
      </c>
      <c r="Y522" s="154">
        <v>0</v>
      </c>
    </row>
    <row r="523" spans="1:25" ht="13" customHeight="1">
      <c r="A523" s="11">
        <v>517</v>
      </c>
      <c r="B523" s="47">
        <v>203813082</v>
      </c>
      <c r="C523" s="88" t="s">
        <v>543</v>
      </c>
      <c r="D523" s="11" t="s">
        <v>544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39</v>
      </c>
      <c r="K523" s="49" t="s">
        <v>76</v>
      </c>
      <c r="L523" s="49" t="s">
        <v>77</v>
      </c>
      <c r="M523" s="49" t="s">
        <v>78</v>
      </c>
      <c r="N523" s="48" t="s">
        <v>86</v>
      </c>
      <c r="O523" s="49" t="s">
        <v>35</v>
      </c>
      <c r="P523" s="11" t="s">
        <v>80</v>
      </c>
      <c r="Q523" s="11" t="s">
        <v>99</v>
      </c>
      <c r="R523" s="11" t="s">
        <v>230</v>
      </c>
      <c r="S523" s="11" t="s">
        <v>1732</v>
      </c>
      <c r="T523" s="105" t="s">
        <v>10</v>
      </c>
      <c r="U523" s="98"/>
      <c r="V523" s="51">
        <v>45517</v>
      </c>
      <c r="W523" s="49" t="s">
        <v>1560</v>
      </c>
      <c r="X523" s="154" t="s">
        <v>2948</v>
      </c>
      <c r="Y523" s="154">
        <v>0</v>
      </c>
    </row>
    <row r="524" spans="1:25" ht="13" customHeight="1">
      <c r="A524" s="11">
        <v>518</v>
      </c>
      <c r="B524" s="11">
        <v>206873561</v>
      </c>
      <c r="C524" s="88" t="s">
        <v>1753</v>
      </c>
      <c r="D524" s="11" t="s">
        <v>1754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224</v>
      </c>
      <c r="S524" s="11" t="s">
        <v>225</v>
      </c>
      <c r="T524" s="105" t="s">
        <v>1</v>
      </c>
      <c r="U524" s="98"/>
      <c r="V524" s="51">
        <v>46020</v>
      </c>
      <c r="W524" s="49" t="s">
        <v>1559</v>
      </c>
      <c r="X524" s="154" t="s">
        <v>2</v>
      </c>
      <c r="Y524" s="154">
        <v>0</v>
      </c>
    </row>
    <row r="525" spans="1:25" ht="13" customHeight="1">
      <c r="A525" s="11">
        <v>519</v>
      </c>
      <c r="B525" s="47">
        <v>204246169</v>
      </c>
      <c r="C525" s="88" t="s">
        <v>545</v>
      </c>
      <c r="D525" s="11" t="s">
        <v>546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85</v>
      </c>
      <c r="M525" s="49" t="s">
        <v>88</v>
      </c>
      <c r="N525" s="48" t="s">
        <v>86</v>
      </c>
      <c r="O525" s="49" t="s">
        <v>35</v>
      </c>
      <c r="P525" s="11" t="s">
        <v>80</v>
      </c>
      <c r="Q525" s="11" t="s">
        <v>87</v>
      </c>
      <c r="R525" s="11" t="s">
        <v>230</v>
      </c>
      <c r="S525" s="11" t="s">
        <v>1732</v>
      </c>
      <c r="T525" s="105" t="s">
        <v>1</v>
      </c>
      <c r="U525" s="98"/>
      <c r="V525" s="51">
        <v>45579</v>
      </c>
      <c r="W525" s="49" t="s">
        <v>1560</v>
      </c>
      <c r="X525" s="154" t="s">
        <v>2</v>
      </c>
      <c r="Y525" s="154">
        <v>0</v>
      </c>
    </row>
    <row r="526" spans="1:25" ht="13" customHeight="1">
      <c r="A526" s="11">
        <v>520</v>
      </c>
      <c r="B526" s="47">
        <v>204967046</v>
      </c>
      <c r="C526" s="88" t="s">
        <v>547</v>
      </c>
      <c r="D526" s="11" t="s">
        <v>548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9" t="s">
        <v>89</v>
      </c>
      <c r="O526" s="49" t="s">
        <v>35</v>
      </c>
      <c r="P526" s="11" t="s">
        <v>80</v>
      </c>
      <c r="Q526" s="11" t="s">
        <v>90</v>
      </c>
      <c r="R526" s="11" t="s">
        <v>230</v>
      </c>
      <c r="S526" s="11" t="s">
        <v>1732</v>
      </c>
      <c r="T526" s="105" t="s">
        <v>1</v>
      </c>
      <c r="U526" s="98"/>
      <c r="V526" s="51">
        <v>45826</v>
      </c>
      <c r="W526" s="49" t="s">
        <v>1560</v>
      </c>
      <c r="X526" s="154" t="s">
        <v>2</v>
      </c>
      <c r="Y526" s="154">
        <v>0</v>
      </c>
    </row>
    <row r="527" spans="1:25" ht="13" customHeight="1">
      <c r="A527" s="11">
        <v>521</v>
      </c>
      <c r="B527" s="47">
        <v>204246605</v>
      </c>
      <c r="C527" s="88" t="s">
        <v>549</v>
      </c>
      <c r="D527" s="11" t="s">
        <v>550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92</v>
      </c>
      <c r="M527" s="49" t="s">
        <v>84</v>
      </c>
      <c r="N527" s="48" t="s">
        <v>86</v>
      </c>
      <c r="O527" s="49" t="s">
        <v>35</v>
      </c>
      <c r="P527" s="11" t="s">
        <v>80</v>
      </c>
      <c r="Q527" s="11" t="s">
        <v>87</v>
      </c>
      <c r="R527" s="11" t="s">
        <v>230</v>
      </c>
      <c r="S527" s="11" t="s">
        <v>1732</v>
      </c>
      <c r="T527" s="105" t="s">
        <v>1</v>
      </c>
      <c r="U527" s="98"/>
      <c r="V527" s="51">
        <v>45579</v>
      </c>
      <c r="W527" s="49" t="s">
        <v>1560</v>
      </c>
      <c r="X527" s="154" t="s">
        <v>2</v>
      </c>
      <c r="Y527" s="154">
        <v>0</v>
      </c>
    </row>
    <row r="528" spans="1:25" ht="13" customHeight="1">
      <c r="A528" s="11">
        <v>522</v>
      </c>
      <c r="B528" s="47">
        <v>203965523</v>
      </c>
      <c r="C528" s="88" t="s">
        <v>551</v>
      </c>
      <c r="D528" s="11" t="s">
        <v>552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77</v>
      </c>
      <c r="M528" s="49" t="s">
        <v>78</v>
      </c>
      <c r="N528" s="48" t="s">
        <v>79</v>
      </c>
      <c r="O528" s="49" t="s">
        <v>35</v>
      </c>
      <c r="P528" s="11" t="s">
        <v>80</v>
      </c>
      <c r="Q528" s="11" t="s">
        <v>81</v>
      </c>
      <c r="R528" s="11" t="s">
        <v>230</v>
      </c>
      <c r="S528" s="11" t="s">
        <v>1732</v>
      </c>
      <c r="T528" s="105" t="s">
        <v>10</v>
      </c>
      <c r="U528" s="98"/>
      <c r="V528" s="51">
        <v>45544</v>
      </c>
      <c r="W528" s="49" t="s">
        <v>1560</v>
      </c>
      <c r="X528" s="154" t="s">
        <v>2948</v>
      </c>
      <c r="Y528" s="154">
        <v>0</v>
      </c>
    </row>
    <row r="529" spans="1:25" ht="13" customHeight="1">
      <c r="A529" s="11">
        <v>523</v>
      </c>
      <c r="B529" s="47">
        <v>206513281</v>
      </c>
      <c r="C529" s="88" t="s">
        <v>2581</v>
      </c>
      <c r="D529" s="11" t="s">
        <v>2582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78</v>
      </c>
      <c r="M529" s="49" t="s">
        <v>92</v>
      </c>
      <c r="N529" s="49" t="s">
        <v>89</v>
      </c>
      <c r="O529" s="49" t="s">
        <v>35</v>
      </c>
      <c r="P529" s="11" t="s">
        <v>80</v>
      </c>
      <c r="Q529" s="11" t="s">
        <v>90</v>
      </c>
      <c r="R529" s="11" t="s">
        <v>230</v>
      </c>
      <c r="S529" s="11" t="s">
        <v>1732</v>
      </c>
      <c r="T529" s="105" t="s">
        <v>1</v>
      </c>
      <c r="U529" s="98"/>
      <c r="V529" s="51">
        <v>45971</v>
      </c>
      <c r="W529" s="49" t="s">
        <v>1560</v>
      </c>
      <c r="X529" s="154" t="s">
        <v>2</v>
      </c>
      <c r="Y529" s="154">
        <v>0</v>
      </c>
    </row>
    <row r="530" spans="1:25" ht="13" customHeight="1">
      <c r="A530" s="11">
        <v>524</v>
      </c>
      <c r="B530" s="47">
        <v>203796750</v>
      </c>
      <c r="C530" s="88" t="s">
        <v>553</v>
      </c>
      <c r="D530" s="11" t="s">
        <v>554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95</v>
      </c>
      <c r="M530" s="49" t="s">
        <v>77</v>
      </c>
      <c r="N530" s="48" t="s">
        <v>79</v>
      </c>
      <c r="O530" s="49" t="s">
        <v>35</v>
      </c>
      <c r="P530" s="11" t="s">
        <v>80</v>
      </c>
      <c r="Q530" s="11" t="s">
        <v>81</v>
      </c>
      <c r="R530" s="11" t="s">
        <v>230</v>
      </c>
      <c r="S530" s="11" t="s">
        <v>1732</v>
      </c>
      <c r="T530" s="105" t="s">
        <v>10</v>
      </c>
      <c r="U530" s="98"/>
      <c r="V530" s="51">
        <v>45516</v>
      </c>
      <c r="W530" s="49" t="s">
        <v>1560</v>
      </c>
      <c r="X530" s="154" t="s">
        <v>2948</v>
      </c>
      <c r="Y530" s="154">
        <v>0</v>
      </c>
    </row>
    <row r="531" spans="1:25" ht="13" customHeight="1">
      <c r="A531" s="11">
        <v>525</v>
      </c>
      <c r="B531" s="47">
        <v>206073367</v>
      </c>
      <c r="C531" s="88" t="s">
        <v>555</v>
      </c>
      <c r="D531" s="11" t="s">
        <v>556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8" t="s">
        <v>79</v>
      </c>
      <c r="O531" s="49" t="s">
        <v>35</v>
      </c>
      <c r="P531" s="11" t="s">
        <v>80</v>
      </c>
      <c r="Q531" s="11" t="s">
        <v>81</v>
      </c>
      <c r="R531" s="11" t="s">
        <v>230</v>
      </c>
      <c r="S531" s="11" t="s">
        <v>1732</v>
      </c>
      <c r="T531" s="105" t="s">
        <v>1</v>
      </c>
      <c r="U531" s="98"/>
      <c r="V531" s="51">
        <v>45922</v>
      </c>
      <c r="W531" s="49" t="s">
        <v>1560</v>
      </c>
      <c r="X531" s="154" t="s">
        <v>2</v>
      </c>
      <c r="Y531" s="154">
        <v>0</v>
      </c>
    </row>
    <row r="532" spans="1:25" ht="13" customHeight="1">
      <c r="A532" s="11">
        <v>526</v>
      </c>
      <c r="B532" s="47">
        <v>203816757</v>
      </c>
      <c r="C532" s="88" t="s">
        <v>2583</v>
      </c>
      <c r="D532" s="11" t="s">
        <v>2584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8" t="s">
        <v>86</v>
      </c>
      <c r="O532" s="49" t="s">
        <v>35</v>
      </c>
      <c r="P532" s="11" t="s">
        <v>80</v>
      </c>
      <c r="Q532" s="11" t="s">
        <v>90</v>
      </c>
      <c r="R532" s="11" t="s">
        <v>224</v>
      </c>
      <c r="S532" s="11" t="s">
        <v>225</v>
      </c>
      <c r="T532" s="105" t="s">
        <v>1</v>
      </c>
      <c r="U532" s="98"/>
      <c r="V532" s="51">
        <v>45518</v>
      </c>
      <c r="W532" s="49" t="s">
        <v>1559</v>
      </c>
      <c r="X532" s="154" t="s">
        <v>2</v>
      </c>
      <c r="Y532" s="154">
        <v>0</v>
      </c>
    </row>
    <row r="533" spans="1:25" ht="13" customHeight="1">
      <c r="A533" s="11">
        <v>527</v>
      </c>
      <c r="B533" s="47">
        <v>205496019</v>
      </c>
      <c r="C533" s="88" t="s">
        <v>557</v>
      </c>
      <c r="D533" s="11" t="s">
        <v>558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9" t="s">
        <v>89</v>
      </c>
      <c r="O533" s="49" t="s">
        <v>35</v>
      </c>
      <c r="P533" s="11" t="s">
        <v>80</v>
      </c>
      <c r="Q533" s="11" t="s">
        <v>96</v>
      </c>
      <c r="R533" s="11" t="s">
        <v>230</v>
      </c>
      <c r="S533" s="11" t="s">
        <v>1732</v>
      </c>
      <c r="T533" s="105" t="s">
        <v>1</v>
      </c>
      <c r="U533" s="98"/>
      <c r="V533" s="51">
        <v>45831</v>
      </c>
      <c r="W533" s="49" t="s">
        <v>1560</v>
      </c>
      <c r="X533" s="154" t="s">
        <v>2</v>
      </c>
      <c r="Y533" s="154">
        <v>0</v>
      </c>
    </row>
    <row r="534" spans="1:25" ht="13" customHeight="1">
      <c r="A534" s="11">
        <v>528</v>
      </c>
      <c r="B534" s="47">
        <v>206513285</v>
      </c>
      <c r="C534" s="88" t="s">
        <v>2585</v>
      </c>
      <c r="D534" s="11" t="s">
        <v>2586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39</v>
      </c>
      <c r="K534" s="49" t="s">
        <v>76</v>
      </c>
      <c r="L534" s="49" t="s">
        <v>84</v>
      </c>
      <c r="M534" s="49" t="s">
        <v>85</v>
      </c>
      <c r="N534" s="49" t="s">
        <v>89</v>
      </c>
      <c r="O534" s="49" t="s">
        <v>35</v>
      </c>
      <c r="P534" s="11" t="s">
        <v>80</v>
      </c>
      <c r="Q534" s="11" t="s">
        <v>90</v>
      </c>
      <c r="R534" s="11" t="s">
        <v>223</v>
      </c>
      <c r="S534" s="11" t="s">
        <v>2655</v>
      </c>
      <c r="T534" s="105" t="s">
        <v>1</v>
      </c>
      <c r="U534" s="98"/>
      <c r="V534" s="51">
        <v>45971</v>
      </c>
      <c r="W534" s="49" t="s">
        <v>1560</v>
      </c>
      <c r="X534" s="154" t="s">
        <v>2</v>
      </c>
      <c r="Y534" s="154">
        <v>0</v>
      </c>
    </row>
    <row r="535" spans="1:25" ht="13" customHeight="1">
      <c r="A535" s="11">
        <v>529</v>
      </c>
      <c r="B535" s="47">
        <v>206004608</v>
      </c>
      <c r="C535" s="88" t="s">
        <v>559</v>
      </c>
      <c r="D535" s="11" t="s">
        <v>560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79</v>
      </c>
      <c r="O535" s="49" t="s">
        <v>35</v>
      </c>
      <c r="P535" s="11" t="s">
        <v>80</v>
      </c>
      <c r="Q535" s="11" t="s">
        <v>81</v>
      </c>
      <c r="R535" s="11" t="s">
        <v>224</v>
      </c>
      <c r="S535" s="11" t="s">
        <v>225</v>
      </c>
      <c r="T535" s="105" t="s">
        <v>1</v>
      </c>
      <c r="U535" s="98"/>
      <c r="V535" s="51">
        <v>45915</v>
      </c>
      <c r="W535" s="49" t="s">
        <v>1561</v>
      </c>
      <c r="X535" s="154" t="s">
        <v>2</v>
      </c>
      <c r="Y535" s="154">
        <v>0</v>
      </c>
    </row>
    <row r="536" spans="1:25" ht="13" customHeight="1">
      <c r="A536" s="11">
        <v>530</v>
      </c>
      <c r="B536" s="47">
        <v>206873879</v>
      </c>
      <c r="C536" s="88" t="s">
        <v>1747</v>
      </c>
      <c r="D536" s="11" t="s">
        <v>1748</v>
      </c>
      <c r="E536" s="48" t="s">
        <v>31</v>
      </c>
      <c r="F536" s="48" t="s">
        <v>74</v>
      </c>
      <c r="G536" s="48" t="s">
        <v>64</v>
      </c>
      <c r="H536" s="48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8" t="s">
        <v>35</v>
      </c>
      <c r="P536" s="48" t="s">
        <v>80</v>
      </c>
      <c r="Q536" s="11" t="s">
        <v>90</v>
      </c>
      <c r="R536" s="11" t="s">
        <v>230</v>
      </c>
      <c r="S536" s="11" t="s">
        <v>1732</v>
      </c>
      <c r="T536" s="105" t="s">
        <v>1</v>
      </c>
      <c r="U536" s="98"/>
      <c r="V536" s="51">
        <v>46020</v>
      </c>
      <c r="W536" s="49" t="s">
        <v>1560</v>
      </c>
      <c r="X536" s="154" t="s">
        <v>2</v>
      </c>
      <c r="Y536" s="154">
        <v>0</v>
      </c>
    </row>
    <row r="537" spans="1:25" ht="13" customHeight="1">
      <c r="A537" s="11">
        <v>531</v>
      </c>
      <c r="B537" s="47">
        <v>203736258</v>
      </c>
      <c r="C537" s="88" t="s">
        <v>2587</v>
      </c>
      <c r="D537" s="11" t="s">
        <v>2588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39</v>
      </c>
      <c r="K537" s="49" t="s">
        <v>76</v>
      </c>
      <c r="L537" s="49" t="s">
        <v>77</v>
      </c>
      <c r="M537" s="49" t="s">
        <v>78</v>
      </c>
      <c r="N537" s="48" t="s">
        <v>86</v>
      </c>
      <c r="O537" s="49" t="s">
        <v>35</v>
      </c>
      <c r="P537" s="11" t="s">
        <v>80</v>
      </c>
      <c r="Q537" s="11" t="s">
        <v>90</v>
      </c>
      <c r="R537" s="11" t="s">
        <v>230</v>
      </c>
      <c r="S537" s="11" t="s">
        <v>1732</v>
      </c>
      <c r="T537" s="105" t="s">
        <v>10</v>
      </c>
      <c r="U537" s="98"/>
      <c r="V537" s="51">
        <v>45502</v>
      </c>
      <c r="W537" s="49" t="s">
        <v>1560</v>
      </c>
      <c r="X537" s="154" t="s">
        <v>2948</v>
      </c>
      <c r="Y537" s="154" t="s">
        <v>2949</v>
      </c>
    </row>
    <row r="538" spans="1:25" ht="13" customHeight="1">
      <c r="A538" s="11">
        <v>532</v>
      </c>
      <c r="B538" s="47">
        <v>203468402</v>
      </c>
      <c r="C538" s="88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88</v>
      </c>
      <c r="M538" s="49" t="s">
        <v>95</v>
      </c>
      <c r="N538" s="48" t="s">
        <v>79</v>
      </c>
      <c r="O538" s="49" t="s">
        <v>35</v>
      </c>
      <c r="P538" s="11" t="s">
        <v>80</v>
      </c>
      <c r="Q538" s="11" t="s">
        <v>81</v>
      </c>
      <c r="R538" s="11" t="s">
        <v>230</v>
      </c>
      <c r="S538" s="11" t="s">
        <v>1732</v>
      </c>
      <c r="T538" s="105" t="s">
        <v>1</v>
      </c>
      <c r="U538" s="98"/>
      <c r="V538" s="51">
        <v>45456</v>
      </c>
      <c r="W538" s="49" t="s">
        <v>1557</v>
      </c>
      <c r="X538" s="154" t="s">
        <v>2</v>
      </c>
      <c r="Y538" s="154">
        <v>0</v>
      </c>
    </row>
    <row r="539" spans="1:25" ht="13" customHeight="1">
      <c r="A539" s="11">
        <v>533</v>
      </c>
      <c r="B539" s="47">
        <v>204013737</v>
      </c>
      <c r="C539" s="88" t="s">
        <v>563</v>
      </c>
      <c r="D539" s="11" t="s">
        <v>564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8" t="s">
        <v>79</v>
      </c>
      <c r="O539" s="49" t="s">
        <v>35</v>
      </c>
      <c r="P539" s="11" t="s">
        <v>80</v>
      </c>
      <c r="Q539" s="11" t="s">
        <v>81</v>
      </c>
      <c r="R539" s="11" t="s">
        <v>224</v>
      </c>
      <c r="S539" s="11" t="s">
        <v>225</v>
      </c>
      <c r="T539" s="105" t="s">
        <v>7</v>
      </c>
      <c r="U539" s="98" t="s">
        <v>2941</v>
      </c>
      <c r="V539" s="51">
        <v>45551</v>
      </c>
      <c r="W539" s="49" t="s">
        <v>1560</v>
      </c>
      <c r="X539" s="154" t="s">
        <v>2948</v>
      </c>
      <c r="Y539" s="154" t="s">
        <v>2941</v>
      </c>
    </row>
    <row r="540" spans="1:25" ht="13" customHeight="1">
      <c r="A540" s="11">
        <v>534</v>
      </c>
      <c r="B540" s="47">
        <v>202444409</v>
      </c>
      <c r="C540" s="88" t="s">
        <v>565</v>
      </c>
      <c r="D540" s="11" t="s">
        <v>566</v>
      </c>
      <c r="E540" s="48" t="s">
        <v>31</v>
      </c>
      <c r="F540" s="48" t="s">
        <v>74</v>
      </c>
      <c r="G540" s="11" t="s">
        <v>65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78</v>
      </c>
      <c r="M540" s="49" t="s">
        <v>92</v>
      </c>
      <c r="N540" s="48" t="s">
        <v>86</v>
      </c>
      <c r="O540" s="49" t="s">
        <v>68</v>
      </c>
      <c r="P540" s="11" t="s">
        <v>80</v>
      </c>
      <c r="Q540" s="11" t="s">
        <v>87</v>
      </c>
      <c r="R540" s="11" t="s">
        <v>2660</v>
      </c>
      <c r="S540" s="11" t="s">
        <v>2661</v>
      </c>
      <c r="T540" s="105" t="s">
        <v>3</v>
      </c>
      <c r="U540" s="98"/>
      <c r="V540" s="51">
        <v>45579</v>
      </c>
      <c r="W540" s="49" t="s">
        <v>68</v>
      </c>
      <c r="X540" s="154" t="s">
        <v>2948</v>
      </c>
      <c r="Y540" s="154">
        <v>0</v>
      </c>
    </row>
    <row r="541" spans="1:25" ht="13" customHeight="1">
      <c r="A541" s="11">
        <v>535</v>
      </c>
      <c r="B541" s="47">
        <v>204246606</v>
      </c>
      <c r="C541" s="88" t="s">
        <v>567</v>
      </c>
      <c r="D541" s="11" t="s">
        <v>568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77</v>
      </c>
      <c r="M541" s="49" t="s">
        <v>78</v>
      </c>
      <c r="N541" s="48" t="s">
        <v>86</v>
      </c>
      <c r="O541" s="49" t="s">
        <v>35</v>
      </c>
      <c r="P541" s="11" t="s">
        <v>80</v>
      </c>
      <c r="Q541" s="11" t="s">
        <v>87</v>
      </c>
      <c r="R541" s="11" t="s">
        <v>230</v>
      </c>
      <c r="S541" s="11" t="s">
        <v>1732</v>
      </c>
      <c r="T541" s="105" t="s">
        <v>10</v>
      </c>
      <c r="U541" s="98"/>
      <c r="V541" s="51">
        <v>45579</v>
      </c>
      <c r="W541" s="49" t="s">
        <v>1559</v>
      </c>
      <c r="X541" s="154" t="s">
        <v>2948</v>
      </c>
      <c r="Y541" s="154">
        <v>0</v>
      </c>
    </row>
    <row r="542" spans="1:25" ht="13" customHeight="1">
      <c r="A542" s="11">
        <v>536</v>
      </c>
      <c r="B542" s="47">
        <v>203521426</v>
      </c>
      <c r="C542" s="88" t="s">
        <v>569</v>
      </c>
      <c r="D542" s="11" t="s">
        <v>570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8" t="s">
        <v>79</v>
      </c>
      <c r="O542" s="49" t="s">
        <v>35</v>
      </c>
      <c r="P542" s="11" t="s">
        <v>80</v>
      </c>
      <c r="Q542" s="11" t="s">
        <v>81</v>
      </c>
      <c r="R542" s="11" t="s">
        <v>224</v>
      </c>
      <c r="S542" s="11" t="s">
        <v>225</v>
      </c>
      <c r="T542" s="105" t="s">
        <v>1</v>
      </c>
      <c r="U542" s="98"/>
      <c r="V542" s="51">
        <v>45463</v>
      </c>
      <c r="W542" s="49" t="s">
        <v>1561</v>
      </c>
      <c r="X542" s="154" t="s">
        <v>2</v>
      </c>
      <c r="Y542" s="154">
        <v>0</v>
      </c>
    </row>
    <row r="543" spans="1:25" ht="13" customHeight="1">
      <c r="A543" s="11">
        <v>537</v>
      </c>
      <c r="B543" s="47">
        <v>203736781</v>
      </c>
      <c r="C543" s="88" t="s">
        <v>571</v>
      </c>
      <c r="D543" s="11" t="s">
        <v>572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92</v>
      </c>
      <c r="M543" s="49" t="s">
        <v>84</v>
      </c>
      <c r="N543" s="48" t="s">
        <v>86</v>
      </c>
      <c r="O543" s="49" t="s">
        <v>35</v>
      </c>
      <c r="P543" s="11" t="s">
        <v>80</v>
      </c>
      <c r="Q543" s="11" t="s">
        <v>99</v>
      </c>
      <c r="R543" s="11" t="s">
        <v>230</v>
      </c>
      <c r="S543" s="11" t="s">
        <v>1732</v>
      </c>
      <c r="T543" s="105" t="s">
        <v>1</v>
      </c>
      <c r="U543" s="98"/>
      <c r="V543" s="51">
        <v>45502</v>
      </c>
      <c r="W543" s="49" t="s">
        <v>1560</v>
      </c>
      <c r="X543" s="154" t="s">
        <v>2</v>
      </c>
      <c r="Y543" s="154">
        <v>0</v>
      </c>
    </row>
    <row r="544" spans="1:25" ht="13" customHeight="1">
      <c r="A544" s="11">
        <v>538</v>
      </c>
      <c r="B544" s="47">
        <v>203965521</v>
      </c>
      <c r="C544" s="88" t="s">
        <v>573</v>
      </c>
      <c r="D544" s="11" t="s">
        <v>574</v>
      </c>
      <c r="E544" s="48" t="s">
        <v>31</v>
      </c>
      <c r="F544" s="48" t="s">
        <v>74</v>
      </c>
      <c r="G544" s="11" t="s">
        <v>65</v>
      </c>
      <c r="H544" s="11" t="s">
        <v>75</v>
      </c>
      <c r="I544" s="11">
        <v>1299</v>
      </c>
      <c r="J544" s="49" t="s">
        <v>39</v>
      </c>
      <c r="K544" s="49" t="s">
        <v>76</v>
      </c>
      <c r="L544" s="49" t="s">
        <v>78</v>
      </c>
      <c r="M544" s="49" t="s">
        <v>92</v>
      </c>
      <c r="N544" s="48" t="s">
        <v>79</v>
      </c>
      <c r="O544" s="49" t="s">
        <v>68</v>
      </c>
      <c r="P544" s="11" t="s">
        <v>80</v>
      </c>
      <c r="Q544" s="11" t="s">
        <v>81</v>
      </c>
      <c r="R544" s="11" t="s">
        <v>2660</v>
      </c>
      <c r="S544" s="11" t="s">
        <v>2661</v>
      </c>
      <c r="T544" s="105" t="s">
        <v>1</v>
      </c>
      <c r="U544" s="98"/>
      <c r="V544" s="51">
        <v>45544</v>
      </c>
      <c r="W544" s="49" t="s">
        <v>68</v>
      </c>
      <c r="X544" s="154" t="s">
        <v>2</v>
      </c>
      <c r="Y544" s="154">
        <v>0</v>
      </c>
    </row>
    <row r="545" spans="1:25" ht="13" customHeight="1">
      <c r="A545" s="11">
        <v>539</v>
      </c>
      <c r="B545" s="47">
        <v>204864420</v>
      </c>
      <c r="C545" s="88" t="s">
        <v>2589</v>
      </c>
      <c r="D545" s="11" t="s">
        <v>2590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77</v>
      </c>
      <c r="M545" s="49" t="s">
        <v>78</v>
      </c>
      <c r="N545" s="49" t="s">
        <v>89</v>
      </c>
      <c r="O545" s="49" t="s">
        <v>35</v>
      </c>
      <c r="P545" s="11" t="s">
        <v>80</v>
      </c>
      <c r="Q545" s="11" t="s">
        <v>90</v>
      </c>
      <c r="R545" s="11" t="s">
        <v>230</v>
      </c>
      <c r="S545" s="11" t="s">
        <v>1732</v>
      </c>
      <c r="T545" s="105" t="s">
        <v>10</v>
      </c>
      <c r="U545" s="98"/>
      <c r="V545" s="51">
        <v>45684</v>
      </c>
      <c r="W545" s="49" t="s">
        <v>1560</v>
      </c>
      <c r="X545" s="154" t="s">
        <v>2948</v>
      </c>
      <c r="Y545" s="154">
        <v>0</v>
      </c>
    </row>
    <row r="546" spans="1:25" ht="13" customHeight="1">
      <c r="A546" s="11">
        <v>540</v>
      </c>
      <c r="B546" s="47">
        <v>206873658</v>
      </c>
      <c r="C546" s="88" t="s">
        <v>1743</v>
      </c>
      <c r="D546" s="11" t="s">
        <v>1744</v>
      </c>
      <c r="E546" s="48" t="s">
        <v>31</v>
      </c>
      <c r="F546" s="48" t="s">
        <v>74</v>
      </c>
      <c r="G546" s="48" t="s">
        <v>64</v>
      </c>
      <c r="H546" s="48" t="s">
        <v>75</v>
      </c>
      <c r="I546" s="11">
        <v>1299</v>
      </c>
      <c r="J546" s="49" t="s">
        <v>32</v>
      </c>
      <c r="K546" s="49" t="s">
        <v>76</v>
      </c>
      <c r="L546" s="49" t="s">
        <v>95</v>
      </c>
      <c r="M546" s="49" t="s">
        <v>77</v>
      </c>
      <c r="N546" s="49" t="s">
        <v>89</v>
      </c>
      <c r="O546" s="48" t="s">
        <v>35</v>
      </c>
      <c r="P546" s="48" t="s">
        <v>80</v>
      </c>
      <c r="Q546" s="11" t="s">
        <v>81</v>
      </c>
      <c r="R546" s="11" t="s">
        <v>230</v>
      </c>
      <c r="S546" s="11" t="s">
        <v>1732</v>
      </c>
      <c r="T546" s="105" t="s">
        <v>10</v>
      </c>
      <c r="U546" s="98"/>
      <c r="V546" s="51">
        <v>46020</v>
      </c>
      <c r="W546" s="49" t="s">
        <v>1560</v>
      </c>
      <c r="X546" s="154" t="s">
        <v>2948</v>
      </c>
      <c r="Y546" s="154">
        <v>0</v>
      </c>
    </row>
    <row r="547" spans="1:25" ht="13" customHeight="1">
      <c r="A547" s="11">
        <v>541</v>
      </c>
      <c r="B547" s="47">
        <v>203736780</v>
      </c>
      <c r="C547" s="88" t="s">
        <v>575</v>
      </c>
      <c r="D547" s="11" t="s">
        <v>576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39</v>
      </c>
      <c r="K547" s="49" t="s">
        <v>76</v>
      </c>
      <c r="L547" s="49" t="s">
        <v>85</v>
      </c>
      <c r="M547" s="49" t="s">
        <v>88</v>
      </c>
      <c r="N547" s="48" t="s">
        <v>86</v>
      </c>
      <c r="O547" s="49" t="s">
        <v>35</v>
      </c>
      <c r="P547" s="11" t="s">
        <v>80</v>
      </c>
      <c r="Q547" s="11" t="s">
        <v>99</v>
      </c>
      <c r="R547" s="11" t="s">
        <v>230</v>
      </c>
      <c r="S547" s="11" t="s">
        <v>1732</v>
      </c>
      <c r="T547" s="105" t="s">
        <v>1</v>
      </c>
      <c r="U547" s="98"/>
      <c r="V547" s="51">
        <v>45502</v>
      </c>
      <c r="W547" s="49" t="s">
        <v>1560</v>
      </c>
      <c r="X547" s="154" t="s">
        <v>2</v>
      </c>
      <c r="Y547" s="154">
        <v>0</v>
      </c>
    </row>
    <row r="548" spans="1:25" ht="13" customHeight="1">
      <c r="A548" s="11">
        <v>542</v>
      </c>
      <c r="B548" s="47">
        <v>206873654</v>
      </c>
      <c r="C548" s="88" t="s">
        <v>1735</v>
      </c>
      <c r="D548" s="11" t="s">
        <v>1736</v>
      </c>
      <c r="E548" s="48" t="s">
        <v>31</v>
      </c>
      <c r="F548" s="48" t="s">
        <v>74</v>
      </c>
      <c r="G548" s="48" t="s">
        <v>64</v>
      </c>
      <c r="H548" s="48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9" t="s">
        <v>79</v>
      </c>
      <c r="O548" s="48" t="s">
        <v>35</v>
      </c>
      <c r="P548" s="48" t="s">
        <v>80</v>
      </c>
      <c r="Q548" s="11" t="s">
        <v>81</v>
      </c>
      <c r="R548" s="11" t="s">
        <v>224</v>
      </c>
      <c r="S548" s="11" t="s">
        <v>225</v>
      </c>
      <c r="T548" s="105" t="s">
        <v>1</v>
      </c>
      <c r="U548" s="98"/>
      <c r="V548" s="51">
        <v>46020</v>
      </c>
      <c r="W548" s="49" t="s">
        <v>1559</v>
      </c>
      <c r="X548" s="154" t="s">
        <v>2</v>
      </c>
      <c r="Y548" s="154">
        <v>0</v>
      </c>
    </row>
    <row r="549" spans="1:25" ht="13" customHeight="1">
      <c r="A549" s="11">
        <v>543</v>
      </c>
      <c r="B549" s="47">
        <v>206016554</v>
      </c>
      <c r="C549" s="88" t="s">
        <v>577</v>
      </c>
      <c r="D549" s="11" t="s">
        <v>578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77</v>
      </c>
      <c r="M549" s="49" t="s">
        <v>78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224</v>
      </c>
      <c r="S549" s="11" t="s">
        <v>225</v>
      </c>
      <c r="T549" s="105" t="s">
        <v>10</v>
      </c>
      <c r="U549" s="98"/>
      <c r="V549" s="51">
        <v>45915</v>
      </c>
      <c r="W549" s="49" t="s">
        <v>1561</v>
      </c>
      <c r="X549" s="154" t="s">
        <v>2948</v>
      </c>
      <c r="Y549" s="154">
        <v>0</v>
      </c>
    </row>
    <row r="550" spans="1:25" ht="13" customHeight="1">
      <c r="A550" s="11">
        <v>544</v>
      </c>
      <c r="B550" s="47">
        <v>203709743</v>
      </c>
      <c r="C550" s="88" t="s">
        <v>579</v>
      </c>
      <c r="D550" s="11" t="s">
        <v>580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86</v>
      </c>
      <c r="O550" s="49" t="s">
        <v>35</v>
      </c>
      <c r="P550" s="11" t="s">
        <v>80</v>
      </c>
      <c r="Q550" s="11" t="s">
        <v>99</v>
      </c>
      <c r="R550" s="11" t="s">
        <v>230</v>
      </c>
      <c r="S550" s="11" t="s">
        <v>1732</v>
      </c>
      <c r="T550" s="105" t="s">
        <v>1</v>
      </c>
      <c r="U550" s="98"/>
      <c r="V550" s="51">
        <v>45495</v>
      </c>
      <c r="W550" s="49" t="s">
        <v>1560</v>
      </c>
      <c r="X550" s="154" t="s">
        <v>2</v>
      </c>
      <c r="Y550" s="154">
        <v>0</v>
      </c>
    </row>
    <row r="551" spans="1:25" ht="13" customHeight="1">
      <c r="A551" s="11">
        <v>545</v>
      </c>
      <c r="B551" s="47">
        <v>206008709</v>
      </c>
      <c r="C551" s="88" t="s">
        <v>581</v>
      </c>
      <c r="D551" s="11" t="s">
        <v>582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230</v>
      </c>
      <c r="S551" s="11" t="s">
        <v>1732</v>
      </c>
      <c r="T551" s="105" t="s">
        <v>1</v>
      </c>
      <c r="U551" s="98"/>
      <c r="V551" s="51">
        <v>45915</v>
      </c>
      <c r="W551" s="49" t="s">
        <v>1560</v>
      </c>
      <c r="X551" s="154" t="s">
        <v>2</v>
      </c>
      <c r="Y551" s="154">
        <v>0</v>
      </c>
    </row>
    <row r="552" spans="1:25" ht="13" customHeight="1">
      <c r="A552" s="11">
        <v>546</v>
      </c>
      <c r="B552" s="47">
        <v>206015636</v>
      </c>
      <c r="C552" s="88" t="s">
        <v>583</v>
      </c>
      <c r="D552" s="11" t="s">
        <v>584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8" t="s">
        <v>79</v>
      </c>
      <c r="O552" s="49" t="s">
        <v>35</v>
      </c>
      <c r="P552" s="11" t="s">
        <v>80</v>
      </c>
      <c r="Q552" s="11" t="s">
        <v>81</v>
      </c>
      <c r="R552" s="11" t="s">
        <v>223</v>
      </c>
      <c r="S552" s="11" t="s">
        <v>2655</v>
      </c>
      <c r="T552" s="105" t="s">
        <v>7</v>
      </c>
      <c r="U552" s="98" t="s">
        <v>2941</v>
      </c>
      <c r="V552" s="51">
        <v>45915</v>
      </c>
      <c r="W552" s="49" t="s">
        <v>1560</v>
      </c>
      <c r="X552" s="154" t="s">
        <v>2948</v>
      </c>
      <c r="Y552" s="154" t="s">
        <v>2941</v>
      </c>
    </row>
    <row r="553" spans="1:25" ht="13" customHeight="1">
      <c r="A553" s="11">
        <v>547</v>
      </c>
      <c r="B553" s="47">
        <v>204869087</v>
      </c>
      <c r="C553" s="88" t="s">
        <v>585</v>
      </c>
      <c r="D553" s="11" t="s">
        <v>586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86</v>
      </c>
      <c r="O553" s="49" t="s">
        <v>35</v>
      </c>
      <c r="P553" s="11" t="s">
        <v>80</v>
      </c>
      <c r="Q553" s="11" t="s">
        <v>87</v>
      </c>
      <c r="R553" s="11" t="s">
        <v>230</v>
      </c>
      <c r="S553" s="11" t="s">
        <v>1732</v>
      </c>
      <c r="T553" s="105" t="s">
        <v>1</v>
      </c>
      <c r="U553" s="98"/>
      <c r="V553" s="51">
        <v>45691</v>
      </c>
      <c r="W553" s="49" t="s">
        <v>1560</v>
      </c>
      <c r="X553" s="154" t="s">
        <v>2</v>
      </c>
      <c r="Y553" s="154">
        <v>0</v>
      </c>
    </row>
    <row r="554" spans="1:25" ht="13" customHeight="1">
      <c r="A554" s="11">
        <v>548</v>
      </c>
      <c r="B554" s="47">
        <v>204967051</v>
      </c>
      <c r="C554" s="88" t="s">
        <v>2591</v>
      </c>
      <c r="D554" s="11" t="s">
        <v>2592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39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9" t="s">
        <v>35</v>
      </c>
      <c r="P554" s="11" t="s">
        <v>80</v>
      </c>
      <c r="Q554" s="11" t="s">
        <v>90</v>
      </c>
      <c r="R554" s="11" t="s">
        <v>230</v>
      </c>
      <c r="S554" s="11" t="s">
        <v>1732</v>
      </c>
      <c r="T554" s="105" t="s">
        <v>1</v>
      </c>
      <c r="U554" s="98"/>
      <c r="V554" s="51">
        <v>45826</v>
      </c>
      <c r="W554" s="49" t="s">
        <v>1560</v>
      </c>
      <c r="X554" s="154" t="s">
        <v>2</v>
      </c>
      <c r="Y554" s="154">
        <v>0</v>
      </c>
    </row>
    <row r="555" spans="1:25" ht="13" customHeight="1">
      <c r="A555" s="11">
        <v>549</v>
      </c>
      <c r="B555" s="47">
        <v>203737252</v>
      </c>
      <c r="C555" s="88" t="s">
        <v>2593</v>
      </c>
      <c r="D555" s="11" t="s">
        <v>2594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88</v>
      </c>
      <c r="M555" s="49" t="s">
        <v>95</v>
      </c>
      <c r="N555" s="48" t="s">
        <v>86</v>
      </c>
      <c r="O555" s="49" t="s">
        <v>35</v>
      </c>
      <c r="P555" s="11" t="s">
        <v>80</v>
      </c>
      <c r="Q555" s="11" t="s">
        <v>90</v>
      </c>
      <c r="R555" s="11" t="s">
        <v>230</v>
      </c>
      <c r="S555" s="11" t="s">
        <v>1732</v>
      </c>
      <c r="T555" s="105" t="s">
        <v>1</v>
      </c>
      <c r="U555" s="98"/>
      <c r="V555" s="51">
        <v>45502</v>
      </c>
      <c r="W555" s="49" t="s">
        <v>1560</v>
      </c>
      <c r="X555" s="154" t="s">
        <v>2</v>
      </c>
      <c r="Y555" s="154" t="s">
        <v>2949</v>
      </c>
    </row>
    <row r="556" spans="1:25" ht="13" customHeight="1">
      <c r="A556" s="11">
        <v>550</v>
      </c>
      <c r="B556" s="47">
        <v>203737015</v>
      </c>
      <c r="C556" s="88" t="s">
        <v>587</v>
      </c>
      <c r="D556" s="11" t="s">
        <v>588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92</v>
      </c>
      <c r="M556" s="49" t="s">
        <v>84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230</v>
      </c>
      <c r="S556" s="11" t="s">
        <v>1732</v>
      </c>
      <c r="T556" s="105" t="s">
        <v>1</v>
      </c>
      <c r="U556" s="98"/>
      <c r="V556" s="51">
        <v>45502</v>
      </c>
      <c r="W556" s="49" t="s">
        <v>1560</v>
      </c>
      <c r="X556" s="154" t="s">
        <v>2</v>
      </c>
      <c r="Y556" s="154">
        <v>0</v>
      </c>
    </row>
    <row r="557" spans="1:25" ht="13" customHeight="1">
      <c r="A557" s="11">
        <v>551</v>
      </c>
      <c r="B557" s="47">
        <v>204883095</v>
      </c>
      <c r="C557" s="88" t="s">
        <v>2595</v>
      </c>
      <c r="D557" s="11" t="s">
        <v>2596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9" t="s">
        <v>89</v>
      </c>
      <c r="O557" s="49" t="s">
        <v>35</v>
      </c>
      <c r="P557" s="11" t="s">
        <v>80</v>
      </c>
      <c r="Q557" s="11" t="s">
        <v>90</v>
      </c>
      <c r="R557" s="11" t="s">
        <v>230</v>
      </c>
      <c r="S557" s="11" t="s">
        <v>1732</v>
      </c>
      <c r="T557" s="105" t="s">
        <v>1</v>
      </c>
      <c r="U557" s="98"/>
      <c r="V557" s="51">
        <v>45826</v>
      </c>
      <c r="W557" s="49" t="s">
        <v>1560</v>
      </c>
      <c r="X557" s="154" t="s">
        <v>2</v>
      </c>
      <c r="Y557" s="154">
        <v>0</v>
      </c>
    </row>
    <row r="558" spans="1:25" ht="13" customHeight="1">
      <c r="A558" s="11">
        <v>552</v>
      </c>
      <c r="B558" s="47">
        <v>204967558</v>
      </c>
      <c r="C558" s="88" t="s">
        <v>2597</v>
      </c>
      <c r="D558" s="11" t="s">
        <v>2598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39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90</v>
      </c>
      <c r="R558" s="11" t="s">
        <v>230</v>
      </c>
      <c r="S558" s="11" t="s">
        <v>1732</v>
      </c>
      <c r="T558" s="105" t="s">
        <v>1</v>
      </c>
      <c r="U558" s="98"/>
      <c r="V558" s="51">
        <v>45826</v>
      </c>
      <c r="W558" s="49" t="s">
        <v>1560</v>
      </c>
      <c r="X558" s="154" t="s">
        <v>2</v>
      </c>
      <c r="Y558" s="154">
        <v>0</v>
      </c>
    </row>
    <row r="559" spans="1:25" ht="13" customHeight="1">
      <c r="A559" s="11">
        <v>553</v>
      </c>
      <c r="B559" s="47">
        <v>112648320</v>
      </c>
      <c r="C559" s="88" t="s">
        <v>2148</v>
      </c>
      <c r="D559" s="11" t="s">
        <v>2301</v>
      </c>
      <c r="E559" s="48" t="s">
        <v>34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95</v>
      </c>
      <c r="M559" s="49" t="s">
        <v>77</v>
      </c>
      <c r="N559" s="48" t="s">
        <v>97</v>
      </c>
      <c r="O559" s="47" t="s">
        <v>35</v>
      </c>
      <c r="P559" s="47" t="s">
        <v>80</v>
      </c>
      <c r="Q559" s="47" t="s">
        <v>98</v>
      </c>
      <c r="R559" s="11" t="s">
        <v>224</v>
      </c>
      <c r="S559" s="11" t="s">
        <v>225</v>
      </c>
      <c r="T559" s="105" t="s">
        <v>10</v>
      </c>
      <c r="U559" s="98"/>
      <c r="V559" s="51">
        <v>46132</v>
      </c>
      <c r="W559" s="49" t="s">
        <v>1562</v>
      </c>
      <c r="X559" s="154" t="s">
        <v>2948</v>
      </c>
      <c r="Y559" s="154">
        <v>0</v>
      </c>
    </row>
    <row r="560" spans="1:25" ht="13" customHeight="1">
      <c r="A560" s="11">
        <v>554</v>
      </c>
      <c r="B560" s="47">
        <v>203813083</v>
      </c>
      <c r="C560" s="88" t="s">
        <v>589</v>
      </c>
      <c r="D560" s="11" t="s">
        <v>590</v>
      </c>
      <c r="E560" s="48" t="s">
        <v>31</v>
      </c>
      <c r="F560" s="48" t="s">
        <v>74</v>
      </c>
      <c r="G560" s="11" t="s">
        <v>65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68</v>
      </c>
      <c r="P560" s="11" t="s">
        <v>80</v>
      </c>
      <c r="Q560" s="11" t="s">
        <v>99</v>
      </c>
      <c r="R560" s="11" t="s">
        <v>2660</v>
      </c>
      <c r="S560" s="11" t="s">
        <v>2661</v>
      </c>
      <c r="T560" s="105" t="s">
        <v>1</v>
      </c>
      <c r="U560" s="98"/>
      <c r="V560" s="51">
        <v>45517</v>
      </c>
      <c r="W560" s="49" t="s">
        <v>68</v>
      </c>
      <c r="X560" s="154" t="s">
        <v>2</v>
      </c>
      <c r="Y560" s="154">
        <v>0</v>
      </c>
    </row>
    <row r="561" spans="1:25" ht="13" customHeight="1">
      <c r="A561" s="11">
        <v>555</v>
      </c>
      <c r="B561" s="47">
        <v>206791445</v>
      </c>
      <c r="C561" s="88" t="s">
        <v>2599</v>
      </c>
      <c r="D561" s="11" t="s">
        <v>2600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78</v>
      </c>
      <c r="M561" s="49" t="s">
        <v>92</v>
      </c>
      <c r="N561" s="49" t="s">
        <v>89</v>
      </c>
      <c r="O561" s="49" t="s">
        <v>35</v>
      </c>
      <c r="P561" s="11" t="s">
        <v>80</v>
      </c>
      <c r="Q561" s="11" t="s">
        <v>90</v>
      </c>
      <c r="R561" s="11" t="s">
        <v>230</v>
      </c>
      <c r="S561" s="11" t="s">
        <v>1732</v>
      </c>
      <c r="T561" s="105" t="s">
        <v>1</v>
      </c>
      <c r="U561" s="98"/>
      <c r="V561" s="51">
        <v>45999</v>
      </c>
      <c r="W561" s="49" t="s">
        <v>1560</v>
      </c>
      <c r="X561" s="154" t="s">
        <v>2</v>
      </c>
      <c r="Y561" s="154">
        <v>0</v>
      </c>
    </row>
    <row r="562" spans="1:25" ht="13" customHeight="1">
      <c r="A562" s="11">
        <v>556</v>
      </c>
      <c r="B562" s="47">
        <v>206072878</v>
      </c>
      <c r="C562" s="88" t="s">
        <v>592</v>
      </c>
      <c r="D562" s="11" t="s">
        <v>593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230</v>
      </c>
      <c r="S562" s="11" t="s">
        <v>1732</v>
      </c>
      <c r="T562" s="105" t="s">
        <v>1</v>
      </c>
      <c r="U562" s="98"/>
      <c r="V562" s="51">
        <v>45922</v>
      </c>
      <c r="W562" s="49" t="s">
        <v>1560</v>
      </c>
      <c r="X562" s="154" t="s">
        <v>2</v>
      </c>
      <c r="Y562" s="154">
        <v>0</v>
      </c>
    </row>
    <row r="563" spans="1:25" ht="13" customHeight="1">
      <c r="A563" s="11">
        <v>557</v>
      </c>
      <c r="B563" s="47">
        <v>206915156</v>
      </c>
      <c r="C563" s="88" t="s">
        <v>1861</v>
      </c>
      <c r="D563" s="11" t="s">
        <v>1867</v>
      </c>
      <c r="E563" s="48" t="s">
        <v>31</v>
      </c>
      <c r="F563" s="48" t="s">
        <v>74</v>
      </c>
      <c r="G563" s="11" t="s">
        <v>65</v>
      </c>
      <c r="H563" s="11" t="s">
        <v>1319</v>
      </c>
      <c r="I563" s="11">
        <v>1299</v>
      </c>
      <c r="J563" s="49" t="s">
        <v>39</v>
      </c>
      <c r="K563" s="49" t="s">
        <v>76</v>
      </c>
      <c r="L563" s="49" t="s">
        <v>77</v>
      </c>
      <c r="M563" s="49" t="s">
        <v>78</v>
      </c>
      <c r="N563" s="49" t="s">
        <v>89</v>
      </c>
      <c r="O563" s="49" t="s">
        <v>68</v>
      </c>
      <c r="P563" s="49" t="s">
        <v>80</v>
      </c>
      <c r="Q563" s="49" t="s">
        <v>90</v>
      </c>
      <c r="R563" s="11" t="s">
        <v>2660</v>
      </c>
      <c r="S563" s="49" t="s">
        <v>2661</v>
      </c>
      <c r="T563" s="105" t="s">
        <v>10</v>
      </c>
      <c r="U563" s="98"/>
      <c r="V563" s="51">
        <v>46034</v>
      </c>
      <c r="W563" s="49" t="s">
        <v>68</v>
      </c>
      <c r="X563" s="154" t="s">
        <v>2948</v>
      </c>
      <c r="Y563" s="154">
        <v>0</v>
      </c>
    </row>
    <row r="564" spans="1:25" ht="13" customHeight="1">
      <c r="A564" s="11">
        <v>558</v>
      </c>
      <c r="B564" s="47">
        <v>203816396</v>
      </c>
      <c r="C564" s="88" t="s">
        <v>2601</v>
      </c>
      <c r="D564" s="11" t="s">
        <v>2602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9" t="s">
        <v>89</v>
      </c>
      <c r="O564" s="49" t="s">
        <v>35</v>
      </c>
      <c r="P564" s="11" t="s">
        <v>80</v>
      </c>
      <c r="Q564" s="11" t="s">
        <v>90</v>
      </c>
      <c r="R564" s="11" t="s">
        <v>224</v>
      </c>
      <c r="S564" s="11" t="s">
        <v>225</v>
      </c>
      <c r="T564" s="105" t="s">
        <v>1</v>
      </c>
      <c r="U564" s="98"/>
      <c r="V564" s="51">
        <v>45518</v>
      </c>
      <c r="W564" s="49" t="s">
        <v>1559</v>
      </c>
      <c r="X564" s="154" t="s">
        <v>2</v>
      </c>
      <c r="Y564" s="154">
        <v>0</v>
      </c>
    </row>
    <row r="565" spans="1:25" ht="13" customHeight="1">
      <c r="A565" s="11">
        <v>559</v>
      </c>
      <c r="B565" s="47">
        <v>206873878</v>
      </c>
      <c r="C565" s="88" t="s">
        <v>2603</v>
      </c>
      <c r="D565" s="11" t="s">
        <v>2604</v>
      </c>
      <c r="E565" s="48" t="s">
        <v>31</v>
      </c>
      <c r="F565" s="48" t="s">
        <v>74</v>
      </c>
      <c r="G565" s="48" t="s">
        <v>64</v>
      </c>
      <c r="H565" s="48" t="s">
        <v>75</v>
      </c>
      <c r="I565" s="11">
        <v>1299</v>
      </c>
      <c r="J565" s="49" t="s">
        <v>32</v>
      </c>
      <c r="K565" s="49" t="s">
        <v>76</v>
      </c>
      <c r="L565" s="49" t="s">
        <v>78</v>
      </c>
      <c r="M565" s="49" t="s">
        <v>92</v>
      </c>
      <c r="N565" s="49" t="s">
        <v>89</v>
      </c>
      <c r="O565" s="48" t="s">
        <v>35</v>
      </c>
      <c r="P565" s="48" t="s">
        <v>80</v>
      </c>
      <c r="Q565" s="11" t="s">
        <v>90</v>
      </c>
      <c r="R565" s="11" t="s">
        <v>230</v>
      </c>
      <c r="S565" s="11" t="s">
        <v>1732</v>
      </c>
      <c r="T565" s="105" t="s">
        <v>1</v>
      </c>
      <c r="U565" s="98"/>
      <c r="V565" s="51">
        <v>46020</v>
      </c>
      <c r="W565" s="49" t="s">
        <v>1560</v>
      </c>
      <c r="X565" s="154" t="s">
        <v>2</v>
      </c>
      <c r="Y565" s="154">
        <v>0</v>
      </c>
    </row>
    <row r="566" spans="1:25" ht="13" customHeight="1">
      <c r="A566" s="11">
        <v>560</v>
      </c>
      <c r="B566" s="47">
        <v>203800482</v>
      </c>
      <c r="C566" s="88" t="s">
        <v>594</v>
      </c>
      <c r="D566" s="11" t="s">
        <v>595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85</v>
      </c>
      <c r="M566" s="49" t="s">
        <v>88</v>
      </c>
      <c r="N566" s="48" t="s">
        <v>86</v>
      </c>
      <c r="O566" s="49" t="s">
        <v>35</v>
      </c>
      <c r="P566" s="11" t="s">
        <v>80</v>
      </c>
      <c r="Q566" s="11" t="s">
        <v>90</v>
      </c>
      <c r="R566" s="11" t="s">
        <v>230</v>
      </c>
      <c r="S566" s="11" t="s">
        <v>1732</v>
      </c>
      <c r="T566" s="105" t="s">
        <v>1</v>
      </c>
      <c r="U566" s="98"/>
      <c r="V566" s="51">
        <v>45516</v>
      </c>
      <c r="W566" s="49" t="s">
        <v>1560</v>
      </c>
      <c r="X566" s="154" t="s">
        <v>2</v>
      </c>
      <c r="Y566" s="154">
        <v>0</v>
      </c>
    </row>
    <row r="567" spans="1:25" ht="13" customHeight="1">
      <c r="A567" s="11">
        <v>561</v>
      </c>
      <c r="B567" s="11">
        <v>206953817</v>
      </c>
      <c r="C567" s="88" t="s">
        <v>2605</v>
      </c>
      <c r="D567" s="11" t="s">
        <v>2606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86</v>
      </c>
      <c r="O567" s="86" t="s">
        <v>35</v>
      </c>
      <c r="P567" s="11" t="s">
        <v>80</v>
      </c>
      <c r="Q567" s="83" t="s">
        <v>90</v>
      </c>
      <c r="R567" s="11" t="s">
        <v>223</v>
      </c>
      <c r="S567" s="54" t="s">
        <v>2655</v>
      </c>
      <c r="T567" s="105" t="s">
        <v>1</v>
      </c>
      <c r="U567" s="98"/>
      <c r="V567" s="51">
        <v>46051</v>
      </c>
      <c r="W567" s="2" t="s">
        <v>1560</v>
      </c>
      <c r="X567" s="154" t="s">
        <v>2</v>
      </c>
      <c r="Y567" s="154">
        <v>0</v>
      </c>
    </row>
    <row r="568" spans="1:25" ht="13" customHeight="1">
      <c r="A568" s="11">
        <v>562</v>
      </c>
      <c r="B568" s="47">
        <v>106262694</v>
      </c>
      <c r="C568" s="88" t="s">
        <v>2306</v>
      </c>
      <c r="D568" s="11" t="s">
        <v>2307</v>
      </c>
      <c r="E568" s="48" t="s">
        <v>34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84</v>
      </c>
      <c r="M568" s="49" t="s">
        <v>85</v>
      </c>
      <c r="N568" s="48" t="s">
        <v>108</v>
      </c>
      <c r="O568" s="49" t="s">
        <v>35</v>
      </c>
      <c r="P568" s="11" t="s">
        <v>80</v>
      </c>
      <c r="Q568" s="11" t="s">
        <v>98</v>
      </c>
      <c r="R568" s="11" t="s">
        <v>230</v>
      </c>
      <c r="S568" s="11" t="s">
        <v>1732</v>
      </c>
      <c r="T568" s="105" t="s">
        <v>1</v>
      </c>
      <c r="U568" s="98"/>
      <c r="V568" s="51">
        <v>44757</v>
      </c>
      <c r="W568" s="49" t="s">
        <v>1557</v>
      </c>
      <c r="X568" s="154" t="s">
        <v>2</v>
      </c>
      <c r="Y568" s="154">
        <v>0</v>
      </c>
    </row>
    <row r="569" spans="1:25" ht="13" customHeight="1">
      <c r="A569" s="11">
        <v>563</v>
      </c>
      <c r="B569" s="47">
        <v>205506109</v>
      </c>
      <c r="C569" s="88" t="s">
        <v>596</v>
      </c>
      <c r="D569" s="11" t="s">
        <v>597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11" t="s">
        <v>80</v>
      </c>
      <c r="Q569" s="11" t="s">
        <v>96</v>
      </c>
      <c r="R569" s="11" t="s">
        <v>230</v>
      </c>
      <c r="S569" s="11" t="s">
        <v>1732</v>
      </c>
      <c r="T569" s="105" t="s">
        <v>10</v>
      </c>
      <c r="U569" s="98"/>
      <c r="V569" s="51">
        <v>45831</v>
      </c>
      <c r="W569" s="49" t="s">
        <v>1560</v>
      </c>
      <c r="X569" s="154" t="s">
        <v>2948</v>
      </c>
      <c r="Y569" s="154">
        <v>0</v>
      </c>
    </row>
    <row r="570" spans="1:25" ht="13" customHeight="1">
      <c r="A570" s="11">
        <v>564</v>
      </c>
      <c r="B570" s="47">
        <v>204967149</v>
      </c>
      <c r="C570" s="88" t="s">
        <v>2607</v>
      </c>
      <c r="D570" s="11" t="s">
        <v>2608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39</v>
      </c>
      <c r="K570" s="49" t="s">
        <v>76</v>
      </c>
      <c r="L570" s="49" t="s">
        <v>78</v>
      </c>
      <c r="M570" s="49" t="s">
        <v>92</v>
      </c>
      <c r="N570" s="48" t="s">
        <v>86</v>
      </c>
      <c r="O570" s="49" t="s">
        <v>35</v>
      </c>
      <c r="P570" s="11" t="s">
        <v>80</v>
      </c>
      <c r="Q570" s="11" t="s">
        <v>90</v>
      </c>
      <c r="R570" s="11" t="s">
        <v>230</v>
      </c>
      <c r="S570" s="11" t="s">
        <v>1732</v>
      </c>
      <c r="T570" s="105" t="s">
        <v>1</v>
      </c>
      <c r="U570" s="98"/>
      <c r="V570" s="51">
        <v>45826</v>
      </c>
      <c r="W570" s="49" t="s">
        <v>1560</v>
      </c>
      <c r="X570" s="154" t="s">
        <v>2</v>
      </c>
      <c r="Y570" s="154">
        <v>0</v>
      </c>
    </row>
    <row r="571" spans="1:25" ht="13" customHeight="1">
      <c r="A571" s="11">
        <v>565</v>
      </c>
      <c r="B571" s="47">
        <v>205496022</v>
      </c>
      <c r="C571" s="88" t="s">
        <v>598</v>
      </c>
      <c r="D571" s="11" t="s">
        <v>599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9" t="s">
        <v>35</v>
      </c>
      <c r="P571" s="11" t="s">
        <v>80</v>
      </c>
      <c r="Q571" s="11" t="s">
        <v>96</v>
      </c>
      <c r="R571" s="11" t="s">
        <v>230</v>
      </c>
      <c r="S571" s="11" t="s">
        <v>1732</v>
      </c>
      <c r="T571" s="105" t="s">
        <v>1</v>
      </c>
      <c r="U571" s="98"/>
      <c r="V571" s="51">
        <v>45831</v>
      </c>
      <c r="W571" s="49" t="s">
        <v>1560</v>
      </c>
      <c r="X571" s="154" t="s">
        <v>2</v>
      </c>
      <c r="Y571" s="154">
        <v>0</v>
      </c>
    </row>
    <row r="572" spans="1:25" ht="13" customHeight="1">
      <c r="A572" s="11">
        <v>566</v>
      </c>
      <c r="B572" s="47">
        <v>206504596</v>
      </c>
      <c r="C572" s="88" t="s">
        <v>2609</v>
      </c>
      <c r="D572" s="11" t="s">
        <v>2610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9" t="s">
        <v>35</v>
      </c>
      <c r="P572" s="11" t="s">
        <v>80</v>
      </c>
      <c r="Q572" s="11" t="s">
        <v>90</v>
      </c>
      <c r="R572" s="11" t="s">
        <v>230</v>
      </c>
      <c r="S572" s="11" t="s">
        <v>1732</v>
      </c>
      <c r="T572" s="105" t="s">
        <v>1</v>
      </c>
      <c r="U572" s="98"/>
      <c r="V572" s="51">
        <v>45971</v>
      </c>
      <c r="W572" s="49" t="s">
        <v>1560</v>
      </c>
      <c r="X572" s="154" t="s">
        <v>2</v>
      </c>
      <c r="Y572" s="154">
        <v>0</v>
      </c>
    </row>
    <row r="573" spans="1:25" ht="13" customHeight="1">
      <c r="A573" s="11">
        <v>567</v>
      </c>
      <c r="B573" s="47">
        <v>204246613</v>
      </c>
      <c r="C573" s="88" t="s">
        <v>600</v>
      </c>
      <c r="D573" s="11" t="s">
        <v>601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8" t="s">
        <v>86</v>
      </c>
      <c r="O573" s="49" t="s">
        <v>35</v>
      </c>
      <c r="P573" s="11" t="s">
        <v>80</v>
      </c>
      <c r="Q573" s="11" t="s">
        <v>87</v>
      </c>
      <c r="R573" s="11" t="s">
        <v>230</v>
      </c>
      <c r="S573" s="11" t="s">
        <v>1732</v>
      </c>
      <c r="T573" s="105" t="s">
        <v>4</v>
      </c>
      <c r="U573" s="98"/>
      <c r="V573" s="51">
        <v>45579</v>
      </c>
      <c r="W573" s="49" t="s">
        <v>1560</v>
      </c>
      <c r="X573" s="154" t="s">
        <v>2948</v>
      </c>
      <c r="Y573" s="154">
        <v>0</v>
      </c>
    </row>
    <row r="574" spans="1:25" ht="13" customHeight="1">
      <c r="A574" s="11">
        <v>568</v>
      </c>
      <c r="B574" s="47">
        <v>206015633</v>
      </c>
      <c r="C574" s="88" t="s">
        <v>602</v>
      </c>
      <c r="D574" s="11" t="s">
        <v>603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8" t="s">
        <v>79</v>
      </c>
      <c r="O574" s="49" t="s">
        <v>35</v>
      </c>
      <c r="P574" s="11" t="s">
        <v>80</v>
      </c>
      <c r="Q574" s="11" t="s">
        <v>81</v>
      </c>
      <c r="R574" s="11" t="s">
        <v>224</v>
      </c>
      <c r="S574" s="11" t="s">
        <v>225</v>
      </c>
      <c r="T574" s="105" t="s">
        <v>1</v>
      </c>
      <c r="U574" s="98"/>
      <c r="V574" s="51">
        <v>45915</v>
      </c>
      <c r="W574" s="49" t="s">
        <v>1561</v>
      </c>
      <c r="X574" s="154" t="s">
        <v>2</v>
      </c>
      <c r="Y574" s="154">
        <v>0</v>
      </c>
    </row>
    <row r="575" spans="1:25" ht="13" customHeight="1">
      <c r="A575" s="11">
        <v>569</v>
      </c>
      <c r="B575" s="11">
        <v>206875751</v>
      </c>
      <c r="C575" s="88" t="s">
        <v>1765</v>
      </c>
      <c r="D575" s="11" t="s">
        <v>1766</v>
      </c>
      <c r="E575" s="48" t="s">
        <v>31</v>
      </c>
      <c r="F575" s="48" t="s">
        <v>74</v>
      </c>
      <c r="G575" s="48" t="s">
        <v>64</v>
      </c>
      <c r="H575" s="48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9" t="s">
        <v>89</v>
      </c>
      <c r="O575" s="48" t="s">
        <v>35</v>
      </c>
      <c r="P575" s="48" t="s">
        <v>80</v>
      </c>
      <c r="Q575" s="11" t="s">
        <v>81</v>
      </c>
      <c r="R575" s="11" t="s">
        <v>230</v>
      </c>
      <c r="S575" s="11" t="s">
        <v>1732</v>
      </c>
      <c r="T575" s="105" t="s">
        <v>1</v>
      </c>
      <c r="U575" s="98"/>
      <c r="V575" s="51">
        <v>46020</v>
      </c>
      <c r="W575" s="11" t="s">
        <v>1560</v>
      </c>
      <c r="X575" s="154" t="s">
        <v>2</v>
      </c>
      <c r="Y575" s="154">
        <v>0</v>
      </c>
    </row>
    <row r="576" spans="1:25" ht="13" customHeight="1">
      <c r="A576" s="11">
        <v>570</v>
      </c>
      <c r="B576" s="47">
        <v>204246612</v>
      </c>
      <c r="C576" s="88" t="s">
        <v>604</v>
      </c>
      <c r="D576" s="11" t="s">
        <v>605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95</v>
      </c>
      <c r="M576" s="49" t="s">
        <v>77</v>
      </c>
      <c r="N576" s="48" t="s">
        <v>86</v>
      </c>
      <c r="O576" s="49" t="s">
        <v>35</v>
      </c>
      <c r="P576" s="11" t="s">
        <v>80</v>
      </c>
      <c r="Q576" s="11" t="s">
        <v>87</v>
      </c>
      <c r="R576" s="11" t="s">
        <v>230</v>
      </c>
      <c r="S576" s="11" t="s">
        <v>1732</v>
      </c>
      <c r="T576" s="105" t="s">
        <v>10</v>
      </c>
      <c r="U576" s="98"/>
      <c r="V576" s="51">
        <v>45579</v>
      </c>
      <c r="W576" s="49" t="s">
        <v>1560</v>
      </c>
      <c r="X576" s="154" t="s">
        <v>2948</v>
      </c>
      <c r="Y576" s="154">
        <v>0</v>
      </c>
    </row>
    <row r="577" spans="1:25" ht="13" customHeight="1">
      <c r="A577" s="11">
        <v>571</v>
      </c>
      <c r="B577" s="47">
        <v>206933423</v>
      </c>
      <c r="C577" s="88" t="s">
        <v>1975</v>
      </c>
      <c r="D577" s="11" t="s">
        <v>1955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79</v>
      </c>
      <c r="O577" s="49" t="s">
        <v>35</v>
      </c>
      <c r="P577" s="11" t="s">
        <v>80</v>
      </c>
      <c r="Q577" s="11" t="s">
        <v>96</v>
      </c>
      <c r="R577" s="11" t="s">
        <v>223</v>
      </c>
      <c r="S577" s="11" t="s">
        <v>2655</v>
      </c>
      <c r="T577" s="105" t="s">
        <v>1</v>
      </c>
      <c r="U577" s="98"/>
      <c r="V577" s="51">
        <v>46041</v>
      </c>
      <c r="W577" s="49" t="s">
        <v>1560</v>
      </c>
      <c r="X577" s="154" t="s">
        <v>2</v>
      </c>
      <c r="Y577" s="154">
        <v>0</v>
      </c>
    </row>
    <row r="578" spans="1:25" ht="13" customHeight="1">
      <c r="A578" s="11">
        <v>572</v>
      </c>
      <c r="B578" s="47">
        <v>206513292</v>
      </c>
      <c r="C578" s="88" t="s">
        <v>2611</v>
      </c>
      <c r="D578" s="11" t="s">
        <v>2612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8" t="s">
        <v>86</v>
      </c>
      <c r="O578" s="49" t="s">
        <v>35</v>
      </c>
      <c r="P578" s="11" t="s">
        <v>80</v>
      </c>
      <c r="Q578" s="11" t="s">
        <v>90</v>
      </c>
      <c r="R578" s="11" t="s">
        <v>230</v>
      </c>
      <c r="S578" s="11" t="s">
        <v>1732</v>
      </c>
      <c r="T578" s="105" t="s">
        <v>1</v>
      </c>
      <c r="U578" s="98"/>
      <c r="V578" s="51">
        <v>45971</v>
      </c>
      <c r="W578" s="49" t="s">
        <v>1560</v>
      </c>
      <c r="X578" s="154" t="s">
        <v>2</v>
      </c>
      <c r="Y578" s="154">
        <v>0</v>
      </c>
    </row>
    <row r="579" spans="1:25" ht="13" customHeight="1">
      <c r="A579" s="11">
        <v>573</v>
      </c>
      <c r="B579" s="47">
        <v>206791438</v>
      </c>
      <c r="C579" s="88" t="s">
        <v>2613</v>
      </c>
      <c r="D579" s="11" t="s">
        <v>2614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89</v>
      </c>
      <c r="O579" s="49" t="s">
        <v>35</v>
      </c>
      <c r="P579" s="11" t="s">
        <v>80</v>
      </c>
      <c r="Q579" s="11" t="s">
        <v>90</v>
      </c>
      <c r="R579" s="11" t="s">
        <v>230</v>
      </c>
      <c r="S579" s="11" t="s">
        <v>1732</v>
      </c>
      <c r="T579" s="105" t="s">
        <v>1</v>
      </c>
      <c r="U579" s="98"/>
      <c r="V579" s="51">
        <v>45999</v>
      </c>
      <c r="W579" s="49" t="s">
        <v>1560</v>
      </c>
      <c r="X579" s="154" t="s">
        <v>2</v>
      </c>
      <c r="Y579" s="154">
        <v>0</v>
      </c>
    </row>
    <row r="580" spans="1:25" ht="13" customHeight="1">
      <c r="A580" s="11">
        <v>574</v>
      </c>
      <c r="B580" s="47">
        <v>203736259</v>
      </c>
      <c r="C580" s="88" t="s">
        <v>2615</v>
      </c>
      <c r="D580" s="11" t="s">
        <v>2616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39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90</v>
      </c>
      <c r="R580" s="11" t="s">
        <v>230</v>
      </c>
      <c r="S580" s="11" t="s">
        <v>1732</v>
      </c>
      <c r="T580" s="105" t="s">
        <v>1</v>
      </c>
      <c r="U580" s="98"/>
      <c r="V580" s="51">
        <v>45502</v>
      </c>
      <c r="W580" s="49" t="s">
        <v>1560</v>
      </c>
      <c r="X580" s="154" t="s">
        <v>2</v>
      </c>
      <c r="Y580" s="154">
        <v>0</v>
      </c>
    </row>
    <row r="581" spans="1:25" ht="13" customHeight="1">
      <c r="A581" s="11">
        <v>575</v>
      </c>
      <c r="B581" s="11">
        <v>206873645</v>
      </c>
      <c r="C581" s="88" t="s">
        <v>1757</v>
      </c>
      <c r="D581" s="11" t="s">
        <v>1758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79</v>
      </c>
      <c r="O581" s="48" t="s">
        <v>35</v>
      </c>
      <c r="P581" s="48" t="s">
        <v>80</v>
      </c>
      <c r="Q581" s="11" t="s">
        <v>81</v>
      </c>
      <c r="R581" s="11" t="s">
        <v>230</v>
      </c>
      <c r="S581" s="11" t="s">
        <v>1732</v>
      </c>
      <c r="T581" s="105" t="s">
        <v>1</v>
      </c>
      <c r="U581" s="98"/>
      <c r="V581" s="51">
        <v>46020</v>
      </c>
      <c r="W581" s="11" t="s">
        <v>1560</v>
      </c>
      <c r="X581" s="154" t="s">
        <v>2</v>
      </c>
      <c r="Y581" s="154">
        <v>0</v>
      </c>
    </row>
    <row r="582" spans="1:25" ht="13" customHeight="1">
      <c r="A582" s="11">
        <v>576</v>
      </c>
      <c r="B582" s="47">
        <v>203813134</v>
      </c>
      <c r="C582" s="88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39</v>
      </c>
      <c r="K582" s="49" t="s">
        <v>76</v>
      </c>
      <c r="L582" s="49" t="s">
        <v>78</v>
      </c>
      <c r="M582" s="49" t="s">
        <v>92</v>
      </c>
      <c r="N582" s="48" t="s">
        <v>86</v>
      </c>
      <c r="O582" s="49" t="s">
        <v>35</v>
      </c>
      <c r="P582" s="11" t="s">
        <v>80</v>
      </c>
      <c r="Q582" s="11" t="s">
        <v>99</v>
      </c>
      <c r="R582" s="11" t="s">
        <v>230</v>
      </c>
      <c r="S582" s="11" t="s">
        <v>1732</v>
      </c>
      <c r="T582" s="105" t="s">
        <v>1</v>
      </c>
      <c r="U582" s="98"/>
      <c r="V582" s="51">
        <v>45517</v>
      </c>
      <c r="W582" s="49" t="s">
        <v>1560</v>
      </c>
      <c r="X582" s="154" t="s">
        <v>2</v>
      </c>
      <c r="Y582" s="154">
        <v>0</v>
      </c>
    </row>
    <row r="583" spans="1:25" ht="13" customHeight="1">
      <c r="A583" s="11">
        <v>577</v>
      </c>
      <c r="B583" s="47">
        <v>112911448</v>
      </c>
      <c r="C583" s="88" t="s">
        <v>1683</v>
      </c>
      <c r="D583" s="47" t="s">
        <v>1684</v>
      </c>
      <c r="E583" s="47" t="s">
        <v>34</v>
      </c>
      <c r="F583" s="47" t="s">
        <v>74</v>
      </c>
      <c r="G583" s="47" t="s">
        <v>64</v>
      </c>
      <c r="H583" s="47" t="s">
        <v>75</v>
      </c>
      <c r="I583" s="47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8" t="s">
        <v>97</v>
      </c>
      <c r="O583" s="47" t="s">
        <v>35</v>
      </c>
      <c r="P583" s="47" t="s">
        <v>80</v>
      </c>
      <c r="Q583" s="47" t="s">
        <v>98</v>
      </c>
      <c r="R583" s="11" t="s">
        <v>223</v>
      </c>
      <c r="S583" s="47" t="s">
        <v>2655</v>
      </c>
      <c r="T583" s="105" t="s">
        <v>1</v>
      </c>
      <c r="U583" s="98"/>
      <c r="V583" s="51">
        <v>46013</v>
      </c>
      <c r="W583" s="49" t="s">
        <v>1562</v>
      </c>
      <c r="X583" s="154" t="s">
        <v>2</v>
      </c>
      <c r="Y583" s="154">
        <v>0</v>
      </c>
    </row>
    <row r="584" spans="1:25" ht="13" customHeight="1">
      <c r="A584" s="11">
        <v>578</v>
      </c>
      <c r="B584" s="47">
        <v>104147044</v>
      </c>
      <c r="C584" s="88" t="s">
        <v>610</v>
      </c>
      <c r="D584" s="11" t="s">
        <v>611</v>
      </c>
      <c r="E584" s="48" t="s">
        <v>34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39</v>
      </c>
      <c r="K584" s="49" t="s">
        <v>76</v>
      </c>
      <c r="L584" s="49" t="s">
        <v>95</v>
      </c>
      <c r="M584" s="49" t="s">
        <v>77</v>
      </c>
      <c r="N584" s="48" t="s">
        <v>108</v>
      </c>
      <c r="O584" s="49" t="s">
        <v>35</v>
      </c>
      <c r="P584" s="11" t="s">
        <v>80</v>
      </c>
      <c r="Q584" s="11" t="s">
        <v>98</v>
      </c>
      <c r="R584" s="11" t="s">
        <v>230</v>
      </c>
      <c r="S584" s="11" t="s">
        <v>1732</v>
      </c>
      <c r="T584" s="105" t="s">
        <v>10</v>
      </c>
      <c r="U584" s="98"/>
      <c r="V584" s="51">
        <v>44861</v>
      </c>
      <c r="W584" s="49" t="s">
        <v>1560</v>
      </c>
      <c r="X584" s="154" t="s">
        <v>2948</v>
      </c>
      <c r="Y584" s="154">
        <v>0</v>
      </c>
    </row>
    <row r="585" spans="1:25" ht="13" customHeight="1">
      <c r="A585" s="11">
        <v>579</v>
      </c>
      <c r="B585" s="47">
        <v>203687852</v>
      </c>
      <c r="C585" s="88" t="s">
        <v>612</v>
      </c>
      <c r="D585" s="11" t="s">
        <v>613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84</v>
      </c>
      <c r="M585" s="49" t="s">
        <v>85</v>
      </c>
      <c r="N585" s="48" t="s">
        <v>86</v>
      </c>
      <c r="O585" s="49" t="s">
        <v>35</v>
      </c>
      <c r="P585" s="11" t="s">
        <v>80</v>
      </c>
      <c r="Q585" s="11" t="s">
        <v>99</v>
      </c>
      <c r="R585" s="11" t="s">
        <v>230</v>
      </c>
      <c r="S585" s="11" t="s">
        <v>1732</v>
      </c>
      <c r="T585" s="105" t="s">
        <v>1</v>
      </c>
      <c r="U585" s="98"/>
      <c r="V585" s="51">
        <v>45495</v>
      </c>
      <c r="W585" s="49" t="s">
        <v>1560</v>
      </c>
      <c r="X585" s="154" t="s">
        <v>2</v>
      </c>
      <c r="Y585" s="154">
        <v>0</v>
      </c>
    </row>
    <row r="586" spans="1:25" ht="13" customHeight="1">
      <c r="A586" s="11">
        <v>580</v>
      </c>
      <c r="B586" s="47">
        <v>206934652</v>
      </c>
      <c r="C586" s="88" t="s">
        <v>1976</v>
      </c>
      <c r="D586" s="11" t="s">
        <v>1956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9" t="s">
        <v>89</v>
      </c>
      <c r="O586" s="49" t="s">
        <v>35</v>
      </c>
      <c r="P586" s="11" t="s">
        <v>80</v>
      </c>
      <c r="Q586" s="11" t="s">
        <v>96</v>
      </c>
      <c r="R586" s="11" t="s">
        <v>223</v>
      </c>
      <c r="S586" s="11" t="s">
        <v>2655</v>
      </c>
      <c r="T586" s="105" t="s">
        <v>1</v>
      </c>
      <c r="U586" s="98"/>
      <c r="V586" s="51">
        <v>46041</v>
      </c>
      <c r="W586" s="49" t="s">
        <v>1560</v>
      </c>
      <c r="X586" s="154" t="s">
        <v>2</v>
      </c>
      <c r="Y586" s="154">
        <v>0</v>
      </c>
    </row>
    <row r="587" spans="1:25" ht="13" customHeight="1">
      <c r="A587" s="11">
        <v>581</v>
      </c>
      <c r="B587" s="47">
        <v>202435289</v>
      </c>
      <c r="C587" s="88" t="s">
        <v>614</v>
      </c>
      <c r="D587" s="11" t="s">
        <v>615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87</v>
      </c>
      <c r="R587" s="11" t="s">
        <v>230</v>
      </c>
      <c r="S587" s="11" t="s">
        <v>1732</v>
      </c>
      <c r="T587" s="105" t="s">
        <v>1</v>
      </c>
      <c r="U587" s="98"/>
      <c r="V587" s="51">
        <v>45581</v>
      </c>
      <c r="W587" s="49" t="s">
        <v>1560</v>
      </c>
      <c r="X587" s="154" t="s">
        <v>2</v>
      </c>
      <c r="Y587" s="154">
        <v>0</v>
      </c>
    </row>
    <row r="588" spans="1:25" ht="13" customHeight="1">
      <c r="A588" s="11">
        <v>582</v>
      </c>
      <c r="B588" s="47">
        <v>203813135</v>
      </c>
      <c r="C588" s="88" t="s">
        <v>616</v>
      </c>
      <c r="D588" s="11" t="s">
        <v>617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230</v>
      </c>
      <c r="S588" s="11" t="s">
        <v>1732</v>
      </c>
      <c r="T588" s="105" t="s">
        <v>1</v>
      </c>
      <c r="U588" s="98"/>
      <c r="V588" s="51">
        <v>45517</v>
      </c>
      <c r="W588" s="49" t="s">
        <v>1560</v>
      </c>
      <c r="X588" s="154" t="s">
        <v>2</v>
      </c>
      <c r="Y588" s="154">
        <v>0</v>
      </c>
    </row>
    <row r="589" spans="1:25" ht="13" customHeight="1">
      <c r="A589" s="11">
        <v>583</v>
      </c>
      <c r="B589" s="47">
        <v>203965526</v>
      </c>
      <c r="C589" s="88" t="s">
        <v>618</v>
      </c>
      <c r="D589" s="11" t="s">
        <v>619</v>
      </c>
      <c r="E589" s="48" t="s">
        <v>31</v>
      </c>
      <c r="F589" s="48" t="s">
        <v>74</v>
      </c>
      <c r="G589" s="11" t="s">
        <v>65</v>
      </c>
      <c r="H589" s="11" t="s">
        <v>75</v>
      </c>
      <c r="I589" s="11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79</v>
      </c>
      <c r="O589" s="49" t="s">
        <v>68</v>
      </c>
      <c r="P589" s="11" t="s">
        <v>80</v>
      </c>
      <c r="Q589" s="11" t="s">
        <v>81</v>
      </c>
      <c r="R589" s="11" t="s">
        <v>2660</v>
      </c>
      <c r="S589" s="11" t="s">
        <v>2661</v>
      </c>
      <c r="T589" s="105" t="s">
        <v>3</v>
      </c>
      <c r="U589" s="98"/>
      <c r="V589" s="51">
        <v>45544</v>
      </c>
      <c r="W589" s="49" t="s">
        <v>68</v>
      </c>
      <c r="X589" s="154" t="s">
        <v>2948</v>
      </c>
      <c r="Y589" s="154">
        <v>0</v>
      </c>
    </row>
    <row r="590" spans="1:25" ht="13" customHeight="1">
      <c r="A590" s="11">
        <v>584</v>
      </c>
      <c r="B590" s="47">
        <v>206962049</v>
      </c>
      <c r="C590" s="88" t="s">
        <v>2048</v>
      </c>
      <c r="D590" s="11" t="s">
        <v>1977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32</v>
      </c>
      <c r="K590" s="49" t="s">
        <v>76</v>
      </c>
      <c r="L590" s="49" t="s">
        <v>78</v>
      </c>
      <c r="M590" s="49" t="s">
        <v>92</v>
      </c>
      <c r="N590" s="49" t="s">
        <v>89</v>
      </c>
      <c r="O590" s="49" t="s">
        <v>35</v>
      </c>
      <c r="P590" s="11" t="s">
        <v>80</v>
      </c>
      <c r="Q590" s="11" t="s">
        <v>96</v>
      </c>
      <c r="R590" s="11" t="s">
        <v>223</v>
      </c>
      <c r="S590" s="11" t="s">
        <v>2655</v>
      </c>
      <c r="T590" s="105" t="s">
        <v>1</v>
      </c>
      <c r="U590" s="98"/>
      <c r="V590" s="51">
        <v>46048</v>
      </c>
      <c r="W590" s="49" t="s">
        <v>1560</v>
      </c>
      <c r="X590" s="154" t="s">
        <v>2</v>
      </c>
      <c r="Y590" s="154">
        <v>0</v>
      </c>
    </row>
    <row r="591" spans="1:25" ht="13" customHeight="1">
      <c r="A591" s="11">
        <v>585</v>
      </c>
      <c r="B591" s="47">
        <v>203741319</v>
      </c>
      <c r="C591" s="88" t="s">
        <v>620</v>
      </c>
      <c r="D591" s="11" t="s">
        <v>621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85</v>
      </c>
      <c r="M591" s="49" t="s">
        <v>88</v>
      </c>
      <c r="N591" s="48" t="s">
        <v>79</v>
      </c>
      <c r="O591" s="49" t="s">
        <v>35</v>
      </c>
      <c r="P591" s="11" t="s">
        <v>80</v>
      </c>
      <c r="Q591" s="11" t="s">
        <v>81</v>
      </c>
      <c r="R591" s="11" t="s">
        <v>230</v>
      </c>
      <c r="S591" s="11" t="s">
        <v>1732</v>
      </c>
      <c r="T591" s="105" t="s">
        <v>1</v>
      </c>
      <c r="U591" s="98"/>
      <c r="V591" s="51">
        <v>45502</v>
      </c>
      <c r="W591" s="49" t="s">
        <v>1560</v>
      </c>
      <c r="X591" s="154" t="s">
        <v>2</v>
      </c>
      <c r="Y591" s="154">
        <v>0</v>
      </c>
    </row>
    <row r="592" spans="1:25" ht="13" customHeight="1">
      <c r="A592" s="11">
        <v>586</v>
      </c>
      <c r="B592" s="47">
        <v>206858475</v>
      </c>
      <c r="C592" s="88" t="s">
        <v>2617</v>
      </c>
      <c r="D592" s="47" t="s">
        <v>2618</v>
      </c>
      <c r="E592" s="47" t="s">
        <v>31</v>
      </c>
      <c r="F592" s="47" t="s">
        <v>74</v>
      </c>
      <c r="G592" s="47" t="s">
        <v>64</v>
      </c>
      <c r="H592" s="47" t="s">
        <v>75</v>
      </c>
      <c r="I592" s="47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7" t="s">
        <v>35</v>
      </c>
      <c r="P592" s="47" t="s">
        <v>80</v>
      </c>
      <c r="Q592" s="47" t="s">
        <v>90</v>
      </c>
      <c r="R592" s="11" t="s">
        <v>230</v>
      </c>
      <c r="S592" s="47" t="s">
        <v>1732</v>
      </c>
      <c r="T592" s="105" t="s">
        <v>1</v>
      </c>
      <c r="U592" s="98"/>
      <c r="V592" s="51">
        <v>46013</v>
      </c>
      <c r="W592" s="47" t="s">
        <v>1560</v>
      </c>
      <c r="X592" s="154" t="s">
        <v>2</v>
      </c>
      <c r="Y592" s="154">
        <v>0</v>
      </c>
    </row>
    <row r="593" spans="1:25" ht="13" customHeight="1">
      <c r="A593" s="11">
        <v>587</v>
      </c>
      <c r="B593" s="47">
        <v>203737198</v>
      </c>
      <c r="C593" s="88" t="s">
        <v>622</v>
      </c>
      <c r="D593" s="11" t="s">
        <v>623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90</v>
      </c>
      <c r="R593" s="11" t="s">
        <v>230</v>
      </c>
      <c r="S593" s="11" t="s">
        <v>1732</v>
      </c>
      <c r="T593" s="105" t="s">
        <v>1</v>
      </c>
      <c r="U593" s="98"/>
      <c r="V593" s="51">
        <v>45502</v>
      </c>
      <c r="W593" s="49" t="s">
        <v>1560</v>
      </c>
      <c r="X593" s="154" t="s">
        <v>2</v>
      </c>
      <c r="Y593" s="154">
        <v>0</v>
      </c>
    </row>
    <row r="594" spans="1:25" ht="13" customHeight="1">
      <c r="A594" s="11">
        <v>588</v>
      </c>
      <c r="B594" s="47">
        <v>203800379</v>
      </c>
      <c r="C594" s="88" t="s">
        <v>2619</v>
      </c>
      <c r="D594" s="11" t="s">
        <v>2620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32</v>
      </c>
      <c r="K594" s="49" t="s">
        <v>76</v>
      </c>
      <c r="L594" s="49" t="s">
        <v>95</v>
      </c>
      <c r="M594" s="49" t="s">
        <v>77</v>
      </c>
      <c r="N594" s="48" t="s">
        <v>86</v>
      </c>
      <c r="O594" s="49" t="s">
        <v>35</v>
      </c>
      <c r="P594" s="11" t="s">
        <v>80</v>
      </c>
      <c r="Q594" s="11" t="s">
        <v>90</v>
      </c>
      <c r="R594" s="11" t="s">
        <v>230</v>
      </c>
      <c r="S594" s="11" t="s">
        <v>1732</v>
      </c>
      <c r="T594" s="105" t="s">
        <v>10</v>
      </c>
      <c r="U594" s="98"/>
      <c r="V594" s="51">
        <v>45516</v>
      </c>
      <c r="W594" s="49" t="s">
        <v>1560</v>
      </c>
      <c r="X594" s="154" t="s">
        <v>2948</v>
      </c>
      <c r="Y594" s="154">
        <v>0</v>
      </c>
    </row>
    <row r="595" spans="1:25" ht="13" customHeight="1">
      <c r="A595" s="11">
        <v>589</v>
      </c>
      <c r="B595" s="47">
        <v>203521128</v>
      </c>
      <c r="C595" s="88" t="s">
        <v>2395</v>
      </c>
      <c r="D595" s="11" t="s">
        <v>2396</v>
      </c>
      <c r="E595" s="48" t="s">
        <v>34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85</v>
      </c>
      <c r="M595" s="49" t="s">
        <v>88</v>
      </c>
      <c r="N595" s="48" t="s">
        <v>97</v>
      </c>
      <c r="O595" s="49" t="s">
        <v>35</v>
      </c>
      <c r="P595" s="11" t="s">
        <v>80</v>
      </c>
      <c r="Q595" s="11" t="s">
        <v>98</v>
      </c>
      <c r="R595" s="11" t="s">
        <v>230</v>
      </c>
      <c r="S595" s="11" t="s">
        <v>1732</v>
      </c>
      <c r="T595" s="105" t="s">
        <v>1</v>
      </c>
      <c r="U595" s="98"/>
      <c r="V595" s="51">
        <v>45463</v>
      </c>
      <c r="W595" s="49" t="s">
        <v>1557</v>
      </c>
      <c r="X595" s="154" t="s">
        <v>2</v>
      </c>
      <c r="Y595" s="154">
        <v>0</v>
      </c>
    </row>
    <row r="596" spans="1:25" ht="13" customHeight="1">
      <c r="A596" s="11">
        <v>590</v>
      </c>
      <c r="B596" s="47">
        <v>206137330</v>
      </c>
      <c r="C596" s="88" t="s">
        <v>626</v>
      </c>
      <c r="D596" s="11" t="s">
        <v>627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39</v>
      </c>
      <c r="K596" s="49" t="s">
        <v>76</v>
      </c>
      <c r="L596" s="49" t="s">
        <v>88</v>
      </c>
      <c r="M596" s="49" t="s">
        <v>95</v>
      </c>
      <c r="N596" s="49" t="s">
        <v>79</v>
      </c>
      <c r="O596" s="49" t="s">
        <v>37</v>
      </c>
      <c r="P596" s="11" t="s">
        <v>80</v>
      </c>
      <c r="Q596" s="11" t="s">
        <v>81</v>
      </c>
      <c r="R596" s="11" t="s">
        <v>628</v>
      </c>
      <c r="S596" s="11" t="s">
        <v>629</v>
      </c>
      <c r="T596" s="105" t="s">
        <v>1</v>
      </c>
      <c r="U596" s="98"/>
      <c r="V596" s="51">
        <v>45929</v>
      </c>
      <c r="W596" s="49" t="s">
        <v>1564</v>
      </c>
      <c r="X596" s="154" t="s">
        <v>2</v>
      </c>
      <c r="Y596" s="154">
        <v>0</v>
      </c>
    </row>
    <row r="597" spans="1:25" ht="13" customHeight="1">
      <c r="A597" s="11">
        <v>591</v>
      </c>
      <c r="B597" s="47">
        <v>205256720</v>
      </c>
      <c r="C597" s="88" t="s">
        <v>2080</v>
      </c>
      <c r="D597" s="11" t="s">
        <v>2081</v>
      </c>
      <c r="E597" s="101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2411</v>
      </c>
      <c r="K597" s="49" t="s">
        <v>76</v>
      </c>
      <c r="L597" s="49" t="s">
        <v>78</v>
      </c>
      <c r="M597" s="49" t="s">
        <v>92</v>
      </c>
      <c r="N597" s="49" t="s">
        <v>79</v>
      </c>
      <c r="O597" s="49" t="s">
        <v>37</v>
      </c>
      <c r="P597" s="49" t="s">
        <v>80</v>
      </c>
      <c r="Q597" s="49" t="s">
        <v>96</v>
      </c>
      <c r="R597" s="49" t="s">
        <v>644</v>
      </c>
      <c r="S597" s="49" t="s">
        <v>1777</v>
      </c>
      <c r="T597" s="105" t="s">
        <v>1</v>
      </c>
      <c r="U597" s="98"/>
      <c r="V597" s="51">
        <v>46048</v>
      </c>
      <c r="W597" s="49" t="s">
        <v>1564</v>
      </c>
      <c r="X597" s="154" t="s">
        <v>2</v>
      </c>
      <c r="Y597" s="154">
        <v>0</v>
      </c>
    </row>
    <row r="598" spans="1:25" ht="13" customHeight="1">
      <c r="A598" s="11">
        <v>592</v>
      </c>
      <c r="B598" s="47">
        <v>200061207</v>
      </c>
      <c r="C598" s="88" t="s">
        <v>630</v>
      </c>
      <c r="D598" s="11" t="s">
        <v>631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78</v>
      </c>
      <c r="M598" s="49" t="s">
        <v>92</v>
      </c>
      <c r="N598" s="48" t="s">
        <v>79</v>
      </c>
      <c r="O598" s="49" t="s">
        <v>37</v>
      </c>
      <c r="P598" s="11" t="s">
        <v>80</v>
      </c>
      <c r="Q598" s="11" t="s">
        <v>81</v>
      </c>
      <c r="R598" s="11" t="s">
        <v>628</v>
      </c>
      <c r="S598" s="11" t="s">
        <v>629</v>
      </c>
      <c r="T598" s="105" t="s">
        <v>1</v>
      </c>
      <c r="U598" s="98"/>
      <c r="V598" s="51">
        <v>45537</v>
      </c>
      <c r="W598" s="49" t="s">
        <v>1565</v>
      </c>
      <c r="X598" s="154" t="s">
        <v>2</v>
      </c>
      <c r="Y598" s="154">
        <v>0</v>
      </c>
    </row>
    <row r="599" spans="1:25" ht="13" customHeight="1">
      <c r="A599" s="11">
        <v>593</v>
      </c>
      <c r="B599" s="47">
        <v>204117189</v>
      </c>
      <c r="C599" s="88" t="s">
        <v>632</v>
      </c>
      <c r="D599" s="11" t="s">
        <v>633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95</v>
      </c>
      <c r="M599" s="49" t="s">
        <v>77</v>
      </c>
      <c r="N599" s="48" t="s">
        <v>86</v>
      </c>
      <c r="O599" s="49" t="s">
        <v>37</v>
      </c>
      <c r="P599" s="11" t="s">
        <v>80</v>
      </c>
      <c r="Q599" s="11" t="s">
        <v>87</v>
      </c>
      <c r="R599" s="49" t="s">
        <v>624</v>
      </c>
      <c r="S599" s="11" t="s">
        <v>625</v>
      </c>
      <c r="T599" s="105" t="s">
        <v>10</v>
      </c>
      <c r="U599" s="98"/>
      <c r="V599" s="51">
        <v>45561</v>
      </c>
      <c r="W599" s="49" t="s">
        <v>1564</v>
      </c>
      <c r="X599" s="154" t="s">
        <v>2948</v>
      </c>
      <c r="Y599" s="154" t="s">
        <v>2941</v>
      </c>
    </row>
    <row r="600" spans="1:25" ht="13" customHeight="1">
      <c r="A600" s="11">
        <v>594</v>
      </c>
      <c r="B600" s="47">
        <v>204172240</v>
      </c>
      <c r="C600" s="88" t="s">
        <v>2287</v>
      </c>
      <c r="D600" s="11" t="s">
        <v>2288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85</v>
      </c>
      <c r="M600" s="49" t="s">
        <v>88</v>
      </c>
      <c r="N600" s="48" t="s">
        <v>86</v>
      </c>
      <c r="O600" s="49" t="s">
        <v>37</v>
      </c>
      <c r="P600" s="11" t="s">
        <v>80</v>
      </c>
      <c r="Q600" s="11" t="s">
        <v>90</v>
      </c>
      <c r="R600" s="11" t="s">
        <v>1057</v>
      </c>
      <c r="S600" s="11" t="s">
        <v>2657</v>
      </c>
      <c r="T600" s="105" t="s">
        <v>1</v>
      </c>
      <c r="U600" s="98"/>
      <c r="V600" s="51">
        <v>45568</v>
      </c>
      <c r="W600" s="49" t="s">
        <v>1565</v>
      </c>
      <c r="X600" s="154" t="s">
        <v>2</v>
      </c>
      <c r="Y600" s="154">
        <v>0</v>
      </c>
    </row>
    <row r="601" spans="1:25" ht="13" customHeight="1">
      <c r="A601" s="11">
        <v>595</v>
      </c>
      <c r="B601" s="47">
        <v>206129609</v>
      </c>
      <c r="C601" s="88" t="s">
        <v>634</v>
      </c>
      <c r="D601" s="11" t="s">
        <v>635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88</v>
      </c>
      <c r="M601" s="49" t="s">
        <v>95</v>
      </c>
      <c r="N601" s="48" t="s">
        <v>79</v>
      </c>
      <c r="O601" s="49" t="s">
        <v>37</v>
      </c>
      <c r="P601" s="11" t="s">
        <v>80</v>
      </c>
      <c r="Q601" s="11" t="s">
        <v>81</v>
      </c>
      <c r="R601" s="11" t="s">
        <v>2779</v>
      </c>
      <c r="S601" s="11" t="s">
        <v>2780</v>
      </c>
      <c r="T601" s="105" t="s">
        <v>1</v>
      </c>
      <c r="U601" s="98"/>
      <c r="V601" s="51">
        <v>45929</v>
      </c>
      <c r="W601" s="49" t="s">
        <v>1564</v>
      </c>
      <c r="X601" s="154" t="s">
        <v>2</v>
      </c>
      <c r="Y601" s="154">
        <v>0</v>
      </c>
    </row>
    <row r="602" spans="1:25" ht="13" customHeight="1">
      <c r="A602" s="11">
        <v>596</v>
      </c>
      <c r="B602" s="47">
        <v>203908320</v>
      </c>
      <c r="C602" s="88" t="s">
        <v>2310</v>
      </c>
      <c r="D602" s="11" t="s">
        <v>2311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92</v>
      </c>
      <c r="M602" s="49" t="s">
        <v>84</v>
      </c>
      <c r="N602" s="48" t="s">
        <v>86</v>
      </c>
      <c r="O602" s="49" t="s">
        <v>37</v>
      </c>
      <c r="P602" s="11" t="s">
        <v>80</v>
      </c>
      <c r="Q602" s="11" t="s">
        <v>90</v>
      </c>
      <c r="R602" s="49" t="s">
        <v>644</v>
      </c>
      <c r="S602" s="11" t="s">
        <v>1777</v>
      </c>
      <c r="T602" s="105" t="s">
        <v>1</v>
      </c>
      <c r="U602" s="98"/>
      <c r="V602" s="51">
        <v>45537</v>
      </c>
      <c r="W602" s="49" t="s">
        <v>1564</v>
      </c>
      <c r="X602" s="154" t="s">
        <v>2</v>
      </c>
      <c r="Y602" s="154">
        <v>0</v>
      </c>
    </row>
    <row r="603" spans="1:25" ht="13" customHeight="1">
      <c r="A603" s="11">
        <v>597</v>
      </c>
      <c r="B603" s="47">
        <v>206137331</v>
      </c>
      <c r="C603" s="88" t="s">
        <v>637</v>
      </c>
      <c r="D603" s="11" t="s">
        <v>638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95</v>
      </c>
      <c r="M603" s="49" t="s">
        <v>77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628</v>
      </c>
      <c r="S603" s="11" t="s">
        <v>629</v>
      </c>
      <c r="T603" s="105" t="s">
        <v>10</v>
      </c>
      <c r="U603" s="98"/>
      <c r="V603" s="51">
        <v>45929</v>
      </c>
      <c r="W603" s="49" t="s">
        <v>1564</v>
      </c>
      <c r="X603" s="154" t="s">
        <v>2948</v>
      </c>
      <c r="Y603" s="154">
        <v>0</v>
      </c>
    </row>
    <row r="604" spans="1:25" ht="13" customHeight="1">
      <c r="A604" s="11">
        <v>598</v>
      </c>
      <c r="B604" s="47">
        <v>204373723</v>
      </c>
      <c r="C604" s="88" t="s">
        <v>640</v>
      </c>
      <c r="D604" s="11" t="s">
        <v>641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88</v>
      </c>
      <c r="M604" s="49" t="s">
        <v>95</v>
      </c>
      <c r="N604" s="48" t="s">
        <v>86</v>
      </c>
      <c r="O604" s="49" t="s">
        <v>37</v>
      </c>
      <c r="P604" s="11" t="s">
        <v>80</v>
      </c>
      <c r="Q604" s="11" t="s">
        <v>99</v>
      </c>
      <c r="R604" s="49" t="s">
        <v>644</v>
      </c>
      <c r="S604" s="11" t="s">
        <v>1777</v>
      </c>
      <c r="T604" s="105" t="s">
        <v>1</v>
      </c>
      <c r="U604" s="98"/>
      <c r="V604" s="51">
        <v>45593</v>
      </c>
      <c r="W604" s="49" t="s">
        <v>1564</v>
      </c>
      <c r="X604" s="154" t="s">
        <v>2</v>
      </c>
      <c r="Y604" s="154">
        <v>0</v>
      </c>
    </row>
    <row r="605" spans="1:25" ht="13" customHeight="1">
      <c r="A605" s="11">
        <v>599</v>
      </c>
      <c r="B605" s="47">
        <v>206239522</v>
      </c>
      <c r="C605" s="88" t="s">
        <v>2312</v>
      </c>
      <c r="D605" s="11" t="s">
        <v>2313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85</v>
      </c>
      <c r="M605" s="49" t="s">
        <v>88</v>
      </c>
      <c r="N605" s="49" t="s">
        <v>89</v>
      </c>
      <c r="O605" s="49" t="s">
        <v>37</v>
      </c>
      <c r="P605" s="11" t="s">
        <v>80</v>
      </c>
      <c r="Q605" s="11" t="s">
        <v>90</v>
      </c>
      <c r="R605" s="11" t="s">
        <v>628</v>
      </c>
      <c r="S605" s="11" t="s">
        <v>629</v>
      </c>
      <c r="T605" s="105" t="s">
        <v>1</v>
      </c>
      <c r="U605" s="98"/>
      <c r="V605" s="51">
        <v>45943</v>
      </c>
      <c r="W605" s="49" t="s">
        <v>1565</v>
      </c>
      <c r="X605" s="154" t="s">
        <v>2</v>
      </c>
      <c r="Y605" s="154">
        <v>0</v>
      </c>
    </row>
    <row r="606" spans="1:25" ht="13" customHeight="1">
      <c r="A606" s="11">
        <v>600</v>
      </c>
      <c r="B606" s="47">
        <v>203965455</v>
      </c>
      <c r="C606" s="88" t="s">
        <v>642</v>
      </c>
      <c r="D606" s="11" t="s">
        <v>643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88</v>
      </c>
      <c r="M606" s="49" t="s">
        <v>95</v>
      </c>
      <c r="N606" s="48" t="s">
        <v>79</v>
      </c>
      <c r="O606" s="49" t="s">
        <v>37</v>
      </c>
      <c r="P606" s="11" t="s">
        <v>80</v>
      </c>
      <c r="Q606" s="11" t="s">
        <v>81</v>
      </c>
      <c r="R606" s="11" t="s">
        <v>1057</v>
      </c>
      <c r="S606" s="11" t="s">
        <v>2657</v>
      </c>
      <c r="T606" s="105" t="s">
        <v>1</v>
      </c>
      <c r="U606" s="98"/>
      <c r="V606" s="51">
        <v>45544</v>
      </c>
      <c r="W606" s="49" t="s">
        <v>1565</v>
      </c>
      <c r="X606" s="154" t="s">
        <v>2</v>
      </c>
      <c r="Y606" s="154">
        <v>0</v>
      </c>
    </row>
    <row r="607" spans="1:25" ht="13" customHeight="1">
      <c r="A607" s="11">
        <v>601</v>
      </c>
      <c r="B607" s="47">
        <v>203468743</v>
      </c>
      <c r="C607" s="88" t="s">
        <v>645</v>
      </c>
      <c r="D607" s="11" t="s">
        <v>646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84</v>
      </c>
      <c r="M607" s="49" t="s">
        <v>85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49" t="s">
        <v>624</v>
      </c>
      <c r="S607" s="11" t="s">
        <v>625</v>
      </c>
      <c r="T607" s="105" t="s">
        <v>1</v>
      </c>
      <c r="U607" s="98"/>
      <c r="V607" s="51">
        <v>45456</v>
      </c>
      <c r="W607" s="49" t="s">
        <v>1566</v>
      </c>
      <c r="X607" s="154" t="s">
        <v>2</v>
      </c>
      <c r="Y607" s="154">
        <v>0</v>
      </c>
    </row>
    <row r="608" spans="1:25" ht="13" customHeight="1">
      <c r="A608" s="11">
        <v>602</v>
      </c>
      <c r="B608" s="47">
        <v>206897640</v>
      </c>
      <c r="C608" s="88" t="s">
        <v>2787</v>
      </c>
      <c r="D608" s="11" t="s">
        <v>2788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11" t="s">
        <v>39</v>
      </c>
      <c r="K608" s="11" t="s">
        <v>76</v>
      </c>
      <c r="L608" s="11" t="s">
        <v>78</v>
      </c>
      <c r="M608" s="11" t="s">
        <v>92</v>
      </c>
      <c r="N608" s="11" t="s">
        <v>89</v>
      </c>
      <c r="O608" s="11" t="s">
        <v>37</v>
      </c>
      <c r="P608" s="11" t="s">
        <v>80</v>
      </c>
      <c r="Q608" s="11" t="s">
        <v>81</v>
      </c>
      <c r="R608" s="11" t="s">
        <v>628</v>
      </c>
      <c r="S608" s="11" t="s">
        <v>629</v>
      </c>
      <c r="T608" s="105" t="s">
        <v>1</v>
      </c>
      <c r="U608" s="98"/>
      <c r="V608" s="51">
        <v>46238</v>
      </c>
      <c r="W608" s="11" t="s">
        <v>1566</v>
      </c>
      <c r="X608" s="154" t="s">
        <v>2</v>
      </c>
      <c r="Y608" s="154">
        <v>0</v>
      </c>
    </row>
    <row r="609" spans="1:25" ht="13" customHeight="1">
      <c r="A609" s="11">
        <v>603</v>
      </c>
      <c r="B609" s="47">
        <v>203908861</v>
      </c>
      <c r="C609" s="88" t="s">
        <v>2314</v>
      </c>
      <c r="D609" s="11" t="s">
        <v>2315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32</v>
      </c>
      <c r="K609" s="49" t="s">
        <v>76</v>
      </c>
      <c r="L609" s="49" t="s">
        <v>88</v>
      </c>
      <c r="M609" s="49" t="s">
        <v>95</v>
      </c>
      <c r="N609" s="48" t="s">
        <v>86</v>
      </c>
      <c r="O609" s="49" t="s">
        <v>37</v>
      </c>
      <c r="P609" s="11" t="s">
        <v>80</v>
      </c>
      <c r="Q609" s="11" t="s">
        <v>90</v>
      </c>
      <c r="R609" s="11" t="s">
        <v>2779</v>
      </c>
      <c r="S609" s="11" t="s">
        <v>2780</v>
      </c>
      <c r="T609" s="105" t="s">
        <v>1</v>
      </c>
      <c r="U609" s="98"/>
      <c r="V609" s="51">
        <v>45537</v>
      </c>
      <c r="W609" s="49" t="s">
        <v>1565</v>
      </c>
      <c r="X609" s="154" t="s">
        <v>2</v>
      </c>
      <c r="Y609" s="154">
        <v>0</v>
      </c>
    </row>
    <row r="610" spans="1:25" ht="13" customHeight="1">
      <c r="A610" s="11">
        <v>604</v>
      </c>
      <c r="B610" s="91">
        <v>204946685</v>
      </c>
      <c r="C610" s="47" t="s">
        <v>2675</v>
      </c>
      <c r="D610" s="88" t="s">
        <v>2676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32</v>
      </c>
      <c r="K610" s="49" t="s">
        <v>76</v>
      </c>
      <c r="L610" s="49" t="s">
        <v>92</v>
      </c>
      <c r="M610" s="49" t="s">
        <v>84</v>
      </c>
      <c r="N610" s="49" t="s">
        <v>89</v>
      </c>
      <c r="O610" s="49" t="s">
        <v>37</v>
      </c>
      <c r="P610" s="11" t="s">
        <v>80</v>
      </c>
      <c r="Q610" s="11" t="s">
        <v>90</v>
      </c>
      <c r="R610" s="11" t="s">
        <v>624</v>
      </c>
      <c r="S610" s="11" t="s">
        <v>625</v>
      </c>
      <c r="T610" s="105" t="s">
        <v>1</v>
      </c>
      <c r="U610" s="98"/>
      <c r="V610" s="51">
        <v>45719</v>
      </c>
      <c r="W610" s="49" t="s">
        <v>1566</v>
      </c>
      <c r="X610" s="154" t="s">
        <v>2</v>
      </c>
      <c r="Y610" s="154">
        <v>0</v>
      </c>
    </row>
    <row r="611" spans="1:25" ht="13" customHeight="1">
      <c r="A611" s="11">
        <v>605</v>
      </c>
      <c r="B611" s="47">
        <v>201502749</v>
      </c>
      <c r="C611" s="88" t="s">
        <v>647</v>
      </c>
      <c r="D611" s="11" t="s">
        <v>648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32</v>
      </c>
      <c r="K611" s="49" t="s">
        <v>76</v>
      </c>
      <c r="L611" s="49" t="s">
        <v>77</v>
      </c>
      <c r="M611" s="49" t="s">
        <v>78</v>
      </c>
      <c r="N611" s="48" t="s">
        <v>86</v>
      </c>
      <c r="O611" s="49" t="s">
        <v>37</v>
      </c>
      <c r="P611" s="11" t="s">
        <v>80</v>
      </c>
      <c r="Q611" s="11" t="s">
        <v>87</v>
      </c>
      <c r="R611" s="49" t="s">
        <v>2659</v>
      </c>
      <c r="S611" s="11" t="s">
        <v>639</v>
      </c>
      <c r="T611" s="105" t="s">
        <v>10</v>
      </c>
      <c r="U611" s="98"/>
      <c r="V611" s="51">
        <v>45561</v>
      </c>
      <c r="W611" s="49" t="s">
        <v>1565</v>
      </c>
      <c r="X611" s="154" t="s">
        <v>2948</v>
      </c>
      <c r="Y611" s="154" t="s">
        <v>2941</v>
      </c>
    </row>
    <row r="612" spans="1:25" ht="13" customHeight="1">
      <c r="A612" s="11">
        <v>606</v>
      </c>
      <c r="B612" s="11">
        <v>110804937</v>
      </c>
      <c r="C612" s="88" t="s">
        <v>1822</v>
      </c>
      <c r="D612" s="48" t="s">
        <v>1823</v>
      </c>
      <c r="E612" s="48" t="s">
        <v>34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85</v>
      </c>
      <c r="M612" s="49" t="s">
        <v>88</v>
      </c>
      <c r="N612" s="48" t="s">
        <v>97</v>
      </c>
      <c r="O612" s="49" t="s">
        <v>37</v>
      </c>
      <c r="P612" s="11" t="s">
        <v>80</v>
      </c>
      <c r="Q612" s="11" t="s">
        <v>98</v>
      </c>
      <c r="R612" s="11" t="s">
        <v>2778</v>
      </c>
      <c r="S612" s="11" t="s">
        <v>2656</v>
      </c>
      <c r="T612" s="105" t="s">
        <v>1</v>
      </c>
      <c r="U612" s="98"/>
      <c r="V612" s="51">
        <v>44800</v>
      </c>
      <c r="W612" s="49" t="s">
        <v>1568</v>
      </c>
      <c r="X612" s="154" t="s">
        <v>2</v>
      </c>
      <c r="Y612" s="154">
        <v>0</v>
      </c>
    </row>
    <row r="613" spans="1:25" ht="13" customHeight="1">
      <c r="A613" s="11">
        <v>607</v>
      </c>
      <c r="B613" s="91">
        <v>205236906</v>
      </c>
      <c r="C613" s="47" t="s">
        <v>2677</v>
      </c>
      <c r="D613" s="88" t="s">
        <v>2678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32</v>
      </c>
      <c r="K613" s="49" t="s">
        <v>76</v>
      </c>
      <c r="L613" s="49" t="s">
        <v>95</v>
      </c>
      <c r="M613" s="49" t="s">
        <v>77</v>
      </c>
      <c r="N613" s="48" t="s">
        <v>86</v>
      </c>
      <c r="O613" s="49" t="s">
        <v>37</v>
      </c>
      <c r="P613" s="11" t="s">
        <v>80</v>
      </c>
      <c r="Q613" s="11" t="s">
        <v>90</v>
      </c>
      <c r="R613" s="11" t="s">
        <v>644</v>
      </c>
      <c r="S613" s="11" t="s">
        <v>2679</v>
      </c>
      <c r="T613" s="105" t="s">
        <v>10</v>
      </c>
      <c r="U613" s="98"/>
      <c r="V613" s="51">
        <v>45789</v>
      </c>
      <c r="W613" s="49" t="s">
        <v>1564</v>
      </c>
      <c r="X613" s="154" t="s">
        <v>2948</v>
      </c>
      <c r="Y613" s="154">
        <v>0</v>
      </c>
    </row>
    <row r="614" spans="1:25" ht="13" customHeight="1">
      <c r="A614" s="11">
        <v>608</v>
      </c>
      <c r="B614" s="47">
        <v>204299070</v>
      </c>
      <c r="C614" s="88" t="s">
        <v>649</v>
      </c>
      <c r="D614" s="11" t="s">
        <v>650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84</v>
      </c>
      <c r="M614" s="49" t="s">
        <v>85</v>
      </c>
      <c r="N614" s="48" t="s">
        <v>86</v>
      </c>
      <c r="O614" s="49" t="s">
        <v>37</v>
      </c>
      <c r="P614" s="11" t="s">
        <v>80</v>
      </c>
      <c r="Q614" s="11" t="s">
        <v>87</v>
      </c>
      <c r="R614" s="11" t="s">
        <v>628</v>
      </c>
      <c r="S614" s="11" t="s">
        <v>629</v>
      </c>
      <c r="T614" s="105" t="s">
        <v>1</v>
      </c>
      <c r="U614" s="98"/>
      <c r="V614" s="51">
        <v>45586</v>
      </c>
      <c r="W614" s="49" t="s">
        <v>1565</v>
      </c>
      <c r="X614" s="154" t="s">
        <v>2</v>
      </c>
      <c r="Y614" s="154">
        <v>0</v>
      </c>
    </row>
    <row r="615" spans="1:25" ht="13" customHeight="1">
      <c r="A615" s="11">
        <v>609</v>
      </c>
      <c r="B615" s="47">
        <v>203522193</v>
      </c>
      <c r="C615" s="88" t="s">
        <v>651</v>
      </c>
      <c r="D615" s="11" t="s">
        <v>652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85</v>
      </c>
      <c r="M615" s="49" t="s">
        <v>88</v>
      </c>
      <c r="N615" s="48" t="s">
        <v>86</v>
      </c>
      <c r="O615" s="49" t="s">
        <v>37</v>
      </c>
      <c r="P615" s="11" t="s">
        <v>80</v>
      </c>
      <c r="Q615" s="11" t="s">
        <v>99</v>
      </c>
      <c r="R615" s="49" t="s">
        <v>624</v>
      </c>
      <c r="S615" s="11" t="s">
        <v>625</v>
      </c>
      <c r="T615" s="105" t="s">
        <v>1</v>
      </c>
      <c r="U615" s="98"/>
      <c r="V615" s="51">
        <v>45463</v>
      </c>
      <c r="W615" s="49" t="s">
        <v>1566</v>
      </c>
      <c r="X615" s="154" t="s">
        <v>2</v>
      </c>
      <c r="Y615" s="154">
        <v>0</v>
      </c>
    </row>
    <row r="616" spans="1:25" ht="13" customHeight="1">
      <c r="A616" s="11">
        <v>610</v>
      </c>
      <c r="B616" s="47">
        <v>203851103</v>
      </c>
      <c r="C616" s="88" t="s">
        <v>653</v>
      </c>
      <c r="D616" s="11" t="s">
        <v>654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84</v>
      </c>
      <c r="M616" s="49" t="s">
        <v>85</v>
      </c>
      <c r="N616" s="48" t="s">
        <v>79</v>
      </c>
      <c r="O616" s="49" t="s">
        <v>37</v>
      </c>
      <c r="P616" s="11" t="s">
        <v>80</v>
      </c>
      <c r="Q616" s="11" t="s">
        <v>81</v>
      </c>
      <c r="R616" s="49" t="s">
        <v>644</v>
      </c>
      <c r="S616" s="11" t="s">
        <v>1777</v>
      </c>
      <c r="T616" s="105" t="s">
        <v>1</v>
      </c>
      <c r="U616" s="98"/>
      <c r="V616" s="51">
        <v>45524</v>
      </c>
      <c r="W616" s="49" t="s">
        <v>1566</v>
      </c>
      <c r="X616" s="154" t="s">
        <v>2</v>
      </c>
      <c r="Y616" s="154">
        <v>0</v>
      </c>
    </row>
    <row r="617" spans="1:25" ht="13" customHeight="1">
      <c r="A617" s="11">
        <v>611</v>
      </c>
      <c r="B617" s="47">
        <v>206850851</v>
      </c>
      <c r="C617" s="88" t="s">
        <v>2316</v>
      </c>
      <c r="D617" s="47" t="s">
        <v>2317</v>
      </c>
      <c r="E617" s="47" t="s">
        <v>31</v>
      </c>
      <c r="F617" s="48" t="s">
        <v>74</v>
      </c>
      <c r="G617" s="11" t="s">
        <v>64</v>
      </c>
      <c r="H617" s="11" t="s">
        <v>75</v>
      </c>
      <c r="I617" s="47">
        <v>1299</v>
      </c>
      <c r="J617" s="49" t="s">
        <v>32</v>
      </c>
      <c r="K617" s="49" t="s">
        <v>76</v>
      </c>
      <c r="L617" s="49" t="s">
        <v>84</v>
      </c>
      <c r="M617" s="49" t="s">
        <v>85</v>
      </c>
      <c r="N617" s="49" t="s">
        <v>89</v>
      </c>
      <c r="O617" s="49" t="s">
        <v>37</v>
      </c>
      <c r="P617" s="11" t="s">
        <v>80</v>
      </c>
      <c r="Q617" s="47" t="s">
        <v>90</v>
      </c>
      <c r="R617" s="49" t="s">
        <v>644</v>
      </c>
      <c r="S617" s="47" t="s">
        <v>1777</v>
      </c>
      <c r="T617" s="105" t="s">
        <v>1</v>
      </c>
      <c r="U617" s="98"/>
      <c r="V617" s="51">
        <v>46013</v>
      </c>
      <c r="W617" s="49" t="s">
        <v>1564</v>
      </c>
      <c r="X617" s="154" t="s">
        <v>2</v>
      </c>
      <c r="Y617" s="154">
        <v>0</v>
      </c>
    </row>
    <row r="618" spans="1:25" ht="13" customHeight="1">
      <c r="A618" s="11">
        <v>612</v>
      </c>
      <c r="B618" s="47">
        <v>203965006</v>
      </c>
      <c r="C618" s="88" t="s">
        <v>655</v>
      </c>
      <c r="D618" s="11" t="s">
        <v>656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92</v>
      </c>
      <c r="M618" s="49" t="s">
        <v>84</v>
      </c>
      <c r="N618" s="48" t="s">
        <v>86</v>
      </c>
      <c r="O618" s="49" t="s">
        <v>37</v>
      </c>
      <c r="P618" s="11" t="s">
        <v>80</v>
      </c>
      <c r="Q618" s="11" t="s">
        <v>99</v>
      </c>
      <c r="R618" s="49" t="s">
        <v>624</v>
      </c>
      <c r="S618" s="11" t="s">
        <v>625</v>
      </c>
      <c r="T618" s="105" t="s">
        <v>1</v>
      </c>
      <c r="U618" s="98"/>
      <c r="V618" s="51">
        <v>45544</v>
      </c>
      <c r="W618" s="49" t="s">
        <v>1564</v>
      </c>
      <c r="X618" s="154" t="s">
        <v>2</v>
      </c>
      <c r="Y618" s="154">
        <v>0</v>
      </c>
    </row>
    <row r="619" spans="1:25" ht="13" customHeight="1">
      <c r="A619" s="11">
        <v>613</v>
      </c>
      <c r="B619" s="91">
        <v>204864796</v>
      </c>
      <c r="C619" s="47" t="s">
        <v>2680</v>
      </c>
      <c r="D619" s="88" t="s">
        <v>2681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8" t="s">
        <v>2682</v>
      </c>
      <c r="O619" s="49" t="s">
        <v>37</v>
      </c>
      <c r="P619" s="11" t="s">
        <v>80</v>
      </c>
      <c r="Q619" s="11" t="s">
        <v>90</v>
      </c>
      <c r="R619" s="11" t="s">
        <v>2779</v>
      </c>
      <c r="S619" s="11" t="s">
        <v>2780</v>
      </c>
      <c r="T619" s="105" t="s">
        <v>1</v>
      </c>
      <c r="U619" s="98"/>
      <c r="V619" s="51">
        <v>45789</v>
      </c>
      <c r="W619" s="49" t="s">
        <v>1564</v>
      </c>
      <c r="X619" s="154" t="s">
        <v>2</v>
      </c>
      <c r="Y619" s="154">
        <v>0</v>
      </c>
    </row>
    <row r="620" spans="1:25" ht="13" customHeight="1">
      <c r="A620" s="11">
        <v>614</v>
      </c>
      <c r="B620" s="47">
        <v>203477173</v>
      </c>
      <c r="C620" s="88" t="s">
        <v>657</v>
      </c>
      <c r="D620" s="11" t="s">
        <v>658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92</v>
      </c>
      <c r="M620" s="49" t="s">
        <v>84</v>
      </c>
      <c r="N620" s="48" t="s">
        <v>86</v>
      </c>
      <c r="O620" s="49" t="s">
        <v>37</v>
      </c>
      <c r="P620" s="11" t="s">
        <v>80</v>
      </c>
      <c r="Q620" s="11" t="s">
        <v>99</v>
      </c>
      <c r="R620" s="49" t="s">
        <v>624</v>
      </c>
      <c r="S620" s="11" t="s">
        <v>625</v>
      </c>
      <c r="T620" s="105" t="s">
        <v>1</v>
      </c>
      <c r="U620" s="98"/>
      <c r="V620" s="51">
        <v>45456</v>
      </c>
      <c r="W620" s="49" t="s">
        <v>1566</v>
      </c>
      <c r="X620" s="154" t="s">
        <v>2</v>
      </c>
      <c r="Y620" s="154">
        <v>0</v>
      </c>
    </row>
    <row r="621" spans="1:25" ht="13" customHeight="1">
      <c r="A621" s="11">
        <v>615</v>
      </c>
      <c r="B621" s="47">
        <v>206915466</v>
      </c>
      <c r="C621" s="88" t="s">
        <v>1864</v>
      </c>
      <c r="D621" s="11" t="s">
        <v>1870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92</v>
      </c>
      <c r="M621" s="49" t="s">
        <v>84</v>
      </c>
      <c r="N621" s="49" t="s">
        <v>89</v>
      </c>
      <c r="O621" s="49" t="s">
        <v>37</v>
      </c>
      <c r="P621" s="49" t="s">
        <v>80</v>
      </c>
      <c r="Q621" s="49" t="s">
        <v>90</v>
      </c>
      <c r="R621" s="49" t="s">
        <v>644</v>
      </c>
      <c r="S621" s="49" t="s">
        <v>1777</v>
      </c>
      <c r="T621" s="105" t="s">
        <v>1</v>
      </c>
      <c r="U621" s="98"/>
      <c r="V621" s="51">
        <v>46034</v>
      </c>
      <c r="W621" s="49" t="s">
        <v>1563</v>
      </c>
      <c r="X621" s="154" t="s">
        <v>2</v>
      </c>
      <c r="Y621" s="154">
        <v>0</v>
      </c>
    </row>
    <row r="622" spans="1:25" ht="13" customHeight="1">
      <c r="A622" s="11">
        <v>616</v>
      </c>
      <c r="B622" s="47">
        <v>203850770</v>
      </c>
      <c r="C622" s="88" t="s">
        <v>659</v>
      </c>
      <c r="D622" s="11" t="s">
        <v>660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84</v>
      </c>
      <c r="M622" s="49" t="s">
        <v>85</v>
      </c>
      <c r="N622" s="48" t="s">
        <v>86</v>
      </c>
      <c r="O622" s="49" t="s">
        <v>37</v>
      </c>
      <c r="P622" s="11" t="s">
        <v>80</v>
      </c>
      <c r="Q622" s="11" t="s">
        <v>90</v>
      </c>
      <c r="R622" s="49" t="s">
        <v>644</v>
      </c>
      <c r="S622" s="11" t="s">
        <v>1777</v>
      </c>
      <c r="T622" s="105" t="s">
        <v>1</v>
      </c>
      <c r="U622" s="98"/>
      <c r="V622" s="51">
        <v>45524</v>
      </c>
      <c r="W622" s="49" t="s">
        <v>1564</v>
      </c>
      <c r="X622" s="154" t="s">
        <v>2</v>
      </c>
      <c r="Y622" s="154">
        <v>0</v>
      </c>
    </row>
    <row r="623" spans="1:25" ht="13" customHeight="1">
      <c r="A623" s="11">
        <v>617</v>
      </c>
      <c r="B623" s="47">
        <v>204116439</v>
      </c>
      <c r="C623" s="88" t="s">
        <v>661</v>
      </c>
      <c r="D623" s="11" t="s">
        <v>662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78</v>
      </c>
      <c r="M623" s="49" t="s">
        <v>92</v>
      </c>
      <c r="N623" s="48" t="s">
        <v>86</v>
      </c>
      <c r="O623" s="49" t="s">
        <v>37</v>
      </c>
      <c r="P623" s="11" t="s">
        <v>80</v>
      </c>
      <c r="Q623" s="11" t="s">
        <v>87</v>
      </c>
      <c r="R623" s="49" t="s">
        <v>644</v>
      </c>
      <c r="S623" s="11" t="s">
        <v>1777</v>
      </c>
      <c r="T623" s="105" t="s">
        <v>3</v>
      </c>
      <c r="U623" s="98"/>
      <c r="V623" s="51">
        <v>45561</v>
      </c>
      <c r="W623" s="49" t="s">
        <v>1563</v>
      </c>
      <c r="X623" s="154" t="s">
        <v>2948</v>
      </c>
      <c r="Y623" s="154">
        <v>0</v>
      </c>
    </row>
    <row r="624" spans="1:25" ht="13" customHeight="1">
      <c r="A624" s="11">
        <v>618</v>
      </c>
      <c r="B624" s="47">
        <v>112649477</v>
      </c>
      <c r="C624" s="88" t="s">
        <v>663</v>
      </c>
      <c r="D624" s="11" t="s">
        <v>664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78</v>
      </c>
      <c r="M624" s="49" t="s">
        <v>92</v>
      </c>
      <c r="N624" s="48" t="s">
        <v>86</v>
      </c>
      <c r="O624" s="49" t="s">
        <v>37</v>
      </c>
      <c r="P624" s="11" t="s">
        <v>80</v>
      </c>
      <c r="Q624" s="11" t="s">
        <v>87</v>
      </c>
      <c r="R624" s="11" t="s">
        <v>1057</v>
      </c>
      <c r="S624" s="11" t="s">
        <v>2657</v>
      </c>
      <c r="T624" s="105" t="s">
        <v>3</v>
      </c>
      <c r="U624" s="98"/>
      <c r="V624" s="51">
        <v>45568</v>
      </c>
      <c r="W624" s="49" t="s">
        <v>1565</v>
      </c>
      <c r="X624" s="154" t="s">
        <v>2948</v>
      </c>
      <c r="Y624" s="154">
        <v>0</v>
      </c>
    </row>
    <row r="625" spans="1:25" ht="13" customHeight="1">
      <c r="A625" s="11">
        <v>619</v>
      </c>
      <c r="B625" s="47">
        <v>205846579</v>
      </c>
      <c r="C625" s="88" t="s">
        <v>665</v>
      </c>
      <c r="D625" s="11" t="s">
        <v>666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88</v>
      </c>
      <c r="M625" s="49" t="s">
        <v>95</v>
      </c>
      <c r="N625" s="49" t="s">
        <v>89</v>
      </c>
      <c r="O625" s="49" t="s">
        <v>37</v>
      </c>
      <c r="P625" s="11" t="s">
        <v>80</v>
      </c>
      <c r="Q625" s="11" t="s">
        <v>96</v>
      </c>
      <c r="R625" s="11" t="s">
        <v>628</v>
      </c>
      <c r="S625" s="11" t="s">
        <v>629</v>
      </c>
      <c r="T625" s="105" t="s">
        <v>1</v>
      </c>
      <c r="U625" s="98"/>
      <c r="V625" s="51">
        <v>45894</v>
      </c>
      <c r="W625" s="49" t="s">
        <v>1564</v>
      </c>
      <c r="X625" s="154" t="s">
        <v>2</v>
      </c>
      <c r="Y625" s="154">
        <v>0</v>
      </c>
    </row>
    <row r="626" spans="1:25" ht="13" customHeight="1">
      <c r="A626" s="11">
        <v>620</v>
      </c>
      <c r="B626" s="47">
        <v>203555843</v>
      </c>
      <c r="C626" s="88" t="s">
        <v>667</v>
      </c>
      <c r="D626" s="11" t="s">
        <v>668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32</v>
      </c>
      <c r="K626" s="49" t="s">
        <v>76</v>
      </c>
      <c r="L626" s="49" t="s">
        <v>77</v>
      </c>
      <c r="M626" s="49" t="s">
        <v>78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11" t="s">
        <v>1057</v>
      </c>
      <c r="S626" s="11" t="s">
        <v>2657</v>
      </c>
      <c r="T626" s="105" t="s">
        <v>10</v>
      </c>
      <c r="U626" s="98"/>
      <c r="V626" s="51">
        <v>45470</v>
      </c>
      <c r="W626" s="49" t="s">
        <v>1564</v>
      </c>
      <c r="X626" s="154" t="s">
        <v>2948</v>
      </c>
      <c r="Y626" s="154">
        <v>0</v>
      </c>
    </row>
    <row r="627" spans="1:25" ht="13" customHeight="1">
      <c r="A627" s="11">
        <v>621</v>
      </c>
      <c r="B627" s="47">
        <v>205852635</v>
      </c>
      <c r="C627" s="88" t="s">
        <v>2818</v>
      </c>
      <c r="D627" s="11" t="s">
        <v>2819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11" t="s">
        <v>39</v>
      </c>
      <c r="K627" s="11" t="s">
        <v>76</v>
      </c>
      <c r="L627" s="11" t="s">
        <v>85</v>
      </c>
      <c r="M627" s="11" t="s">
        <v>88</v>
      </c>
      <c r="N627" s="49" t="s">
        <v>79</v>
      </c>
      <c r="O627" s="11" t="s">
        <v>37</v>
      </c>
      <c r="P627" s="11" t="s">
        <v>80</v>
      </c>
      <c r="Q627" s="11" t="s">
        <v>96</v>
      </c>
      <c r="R627" s="11" t="s">
        <v>1057</v>
      </c>
      <c r="S627" s="11" t="s">
        <v>2657</v>
      </c>
      <c r="T627" s="105" t="s">
        <v>1</v>
      </c>
      <c r="U627" s="98"/>
      <c r="V627" s="51">
        <v>46239</v>
      </c>
      <c r="W627" s="11" t="s">
        <v>1566</v>
      </c>
      <c r="X627" s="154" t="s">
        <v>2</v>
      </c>
      <c r="Y627" s="154">
        <v>0</v>
      </c>
    </row>
    <row r="628" spans="1:25" ht="13" customHeight="1">
      <c r="A628" s="11">
        <v>622</v>
      </c>
      <c r="B628" s="47">
        <v>203992092</v>
      </c>
      <c r="C628" s="88" t="s">
        <v>669</v>
      </c>
      <c r="D628" s="11" t="s">
        <v>670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95</v>
      </c>
      <c r="M628" s="49" t="s">
        <v>77</v>
      </c>
      <c r="N628" s="48" t="s">
        <v>79</v>
      </c>
      <c r="O628" s="49" t="s">
        <v>37</v>
      </c>
      <c r="P628" s="11" t="s">
        <v>80</v>
      </c>
      <c r="Q628" s="11" t="s">
        <v>81</v>
      </c>
      <c r="R628" s="49" t="s">
        <v>624</v>
      </c>
      <c r="S628" s="11" t="s">
        <v>625</v>
      </c>
      <c r="T628" s="105" t="s">
        <v>10</v>
      </c>
      <c r="U628" s="98"/>
      <c r="V628" s="51">
        <v>45547</v>
      </c>
      <c r="W628" s="49" t="s">
        <v>1564</v>
      </c>
      <c r="X628" s="154" t="s">
        <v>2948</v>
      </c>
      <c r="Y628" s="154">
        <v>0</v>
      </c>
    </row>
    <row r="629" spans="1:25" ht="13" customHeight="1">
      <c r="A629" s="11">
        <v>623</v>
      </c>
      <c r="B629" s="47">
        <v>205839289</v>
      </c>
      <c r="C629" s="88" t="s">
        <v>671</v>
      </c>
      <c r="D629" s="11" t="s">
        <v>672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32</v>
      </c>
      <c r="K629" s="49" t="s">
        <v>76</v>
      </c>
      <c r="L629" s="49" t="s">
        <v>92</v>
      </c>
      <c r="M629" s="49" t="s">
        <v>84</v>
      </c>
      <c r="N629" s="49" t="s">
        <v>89</v>
      </c>
      <c r="O629" s="49" t="s">
        <v>37</v>
      </c>
      <c r="P629" s="11" t="s">
        <v>80</v>
      </c>
      <c r="Q629" s="11" t="s">
        <v>90</v>
      </c>
      <c r="R629" s="49" t="s">
        <v>624</v>
      </c>
      <c r="S629" s="11" t="s">
        <v>625</v>
      </c>
      <c r="T629" s="105" t="s">
        <v>1</v>
      </c>
      <c r="U629" s="98"/>
      <c r="V629" s="51">
        <v>45894</v>
      </c>
      <c r="W629" s="49" t="s">
        <v>1563</v>
      </c>
      <c r="X629" s="154" t="s">
        <v>2</v>
      </c>
      <c r="Y629" s="154">
        <v>0</v>
      </c>
    </row>
    <row r="630" spans="1:25" ht="13" customHeight="1">
      <c r="A630" s="11">
        <v>624</v>
      </c>
      <c r="B630" s="91">
        <v>203850772</v>
      </c>
      <c r="C630" s="47" t="s">
        <v>2683</v>
      </c>
      <c r="D630" s="88" t="s">
        <v>2684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85</v>
      </c>
      <c r="M630" s="49" t="s">
        <v>88</v>
      </c>
      <c r="N630" s="49" t="s">
        <v>89</v>
      </c>
      <c r="O630" s="49" t="s">
        <v>37</v>
      </c>
      <c r="P630" s="11" t="s">
        <v>80</v>
      </c>
      <c r="Q630" s="11" t="s">
        <v>90</v>
      </c>
      <c r="R630" s="11" t="s">
        <v>2779</v>
      </c>
      <c r="S630" s="11" t="s">
        <v>2780</v>
      </c>
      <c r="T630" s="105" t="s">
        <v>1</v>
      </c>
      <c r="U630" s="98"/>
      <c r="V630" s="51">
        <v>45524</v>
      </c>
      <c r="W630" s="49" t="s">
        <v>1564</v>
      </c>
      <c r="X630" s="154" t="s">
        <v>2</v>
      </c>
      <c r="Y630" s="154">
        <v>0</v>
      </c>
    </row>
    <row r="631" spans="1:25" ht="13" customHeight="1">
      <c r="A631" s="11">
        <v>625</v>
      </c>
      <c r="B631" s="91">
        <v>205977116</v>
      </c>
      <c r="C631" s="47" t="s">
        <v>2685</v>
      </c>
      <c r="D631" s="88" t="s">
        <v>2686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32</v>
      </c>
      <c r="K631" s="49" t="s">
        <v>76</v>
      </c>
      <c r="L631" s="49" t="s">
        <v>92</v>
      </c>
      <c r="M631" s="49" t="s">
        <v>84</v>
      </c>
      <c r="N631" s="48" t="s">
        <v>86</v>
      </c>
      <c r="O631" s="49" t="s">
        <v>37</v>
      </c>
      <c r="P631" s="11" t="s">
        <v>80</v>
      </c>
      <c r="Q631" s="11" t="s">
        <v>90</v>
      </c>
      <c r="R631" s="11" t="s">
        <v>624</v>
      </c>
      <c r="S631" s="11" t="s">
        <v>625</v>
      </c>
      <c r="T631" s="105" t="s">
        <v>1</v>
      </c>
      <c r="U631" s="98"/>
      <c r="V631" s="51">
        <v>45915</v>
      </c>
      <c r="W631" s="49" t="s">
        <v>1564</v>
      </c>
      <c r="X631" s="154" t="s">
        <v>2</v>
      </c>
      <c r="Y631" s="154">
        <v>0</v>
      </c>
    </row>
    <row r="632" spans="1:25" ht="13" customHeight="1">
      <c r="A632" s="11">
        <v>626</v>
      </c>
      <c r="B632" s="47">
        <v>203850778</v>
      </c>
      <c r="C632" s="88" t="s">
        <v>673</v>
      </c>
      <c r="D632" s="11" t="s">
        <v>674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85</v>
      </c>
      <c r="M632" s="49" t="s">
        <v>88</v>
      </c>
      <c r="N632" s="48" t="s">
        <v>86</v>
      </c>
      <c r="O632" s="49" t="s">
        <v>37</v>
      </c>
      <c r="P632" s="11" t="s">
        <v>80</v>
      </c>
      <c r="Q632" s="11" t="s">
        <v>90</v>
      </c>
      <c r="R632" s="49" t="s">
        <v>644</v>
      </c>
      <c r="S632" s="11" t="s">
        <v>1777</v>
      </c>
      <c r="T632" s="105" t="s">
        <v>1</v>
      </c>
      <c r="U632" s="98"/>
      <c r="V632" s="51">
        <v>45524</v>
      </c>
      <c r="W632" s="49" t="s">
        <v>1564</v>
      </c>
      <c r="X632" s="154" t="s">
        <v>2</v>
      </c>
      <c r="Y632" s="154">
        <v>0</v>
      </c>
    </row>
    <row r="633" spans="1:25" ht="13" customHeight="1">
      <c r="A633" s="11">
        <v>627</v>
      </c>
      <c r="B633" s="47">
        <v>102865830</v>
      </c>
      <c r="C633" s="88" t="s">
        <v>675</v>
      </c>
      <c r="D633" s="11" t="s">
        <v>676</v>
      </c>
      <c r="E633" s="48" t="s">
        <v>34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84</v>
      </c>
      <c r="M633" s="49" t="s">
        <v>85</v>
      </c>
      <c r="N633" s="48" t="s">
        <v>108</v>
      </c>
      <c r="O633" s="49" t="s">
        <v>37</v>
      </c>
      <c r="P633" s="11" t="s">
        <v>80</v>
      </c>
      <c r="Q633" s="11" t="s">
        <v>98</v>
      </c>
      <c r="R633" s="11" t="s">
        <v>1057</v>
      </c>
      <c r="S633" s="11" t="s">
        <v>2657</v>
      </c>
      <c r="T633" s="105" t="s">
        <v>1</v>
      </c>
      <c r="U633" s="98"/>
      <c r="V633" s="51">
        <v>43012</v>
      </c>
      <c r="W633" s="49" t="s">
        <v>1567</v>
      </c>
      <c r="X633" s="154" t="s">
        <v>2</v>
      </c>
      <c r="Y633" s="154">
        <v>0</v>
      </c>
    </row>
    <row r="634" spans="1:25" ht="13" customHeight="1">
      <c r="A634" s="11">
        <v>628</v>
      </c>
      <c r="B634" s="47">
        <v>111164491</v>
      </c>
      <c r="C634" s="88" t="s">
        <v>677</v>
      </c>
      <c r="D634" s="11" t="s">
        <v>678</v>
      </c>
      <c r="E634" s="48" t="s">
        <v>34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78</v>
      </c>
      <c r="M634" s="49" t="s">
        <v>92</v>
      </c>
      <c r="N634" s="48" t="s">
        <v>108</v>
      </c>
      <c r="O634" s="49" t="s">
        <v>37</v>
      </c>
      <c r="P634" s="11" t="s">
        <v>80</v>
      </c>
      <c r="Q634" s="11" t="s">
        <v>98</v>
      </c>
      <c r="R634" s="49" t="s">
        <v>644</v>
      </c>
      <c r="S634" s="11" t="s">
        <v>1777</v>
      </c>
      <c r="T634" s="105" t="s">
        <v>1</v>
      </c>
      <c r="U634" s="98"/>
      <c r="V634" s="51">
        <v>44797</v>
      </c>
      <c r="W634" s="49" t="s">
        <v>1564</v>
      </c>
      <c r="X634" s="154" t="s">
        <v>2</v>
      </c>
      <c r="Y634" s="154">
        <v>0</v>
      </c>
    </row>
    <row r="635" spans="1:25" ht="13" customHeight="1">
      <c r="A635" s="11">
        <v>629</v>
      </c>
      <c r="B635" s="47">
        <v>206239763</v>
      </c>
      <c r="C635" s="88" t="s">
        <v>1627</v>
      </c>
      <c r="D635" s="11" t="s">
        <v>1606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78</v>
      </c>
      <c r="M635" s="49" t="s">
        <v>92</v>
      </c>
      <c r="N635" s="48" t="s">
        <v>79</v>
      </c>
      <c r="O635" s="49" t="s">
        <v>37</v>
      </c>
      <c r="P635" s="11" t="s">
        <v>80</v>
      </c>
      <c r="Q635" s="11" t="s">
        <v>81</v>
      </c>
      <c r="R635" s="11" t="s">
        <v>1057</v>
      </c>
      <c r="S635" s="11" t="s">
        <v>2657</v>
      </c>
      <c r="T635" s="105" t="s">
        <v>4</v>
      </c>
      <c r="U635" s="98"/>
      <c r="V635" s="51">
        <v>45943</v>
      </c>
      <c r="W635" s="49" t="s">
        <v>1564</v>
      </c>
      <c r="X635" s="154" t="s">
        <v>2948</v>
      </c>
      <c r="Y635" s="154">
        <v>0</v>
      </c>
    </row>
    <row r="636" spans="1:25" ht="13" customHeight="1">
      <c r="A636" s="11">
        <v>630</v>
      </c>
      <c r="B636" s="91">
        <v>204009672</v>
      </c>
      <c r="C636" s="47" t="s">
        <v>2687</v>
      </c>
      <c r="D636" s="88" t="s">
        <v>2688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95</v>
      </c>
      <c r="M636" s="49" t="s">
        <v>77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11" t="s">
        <v>1057</v>
      </c>
      <c r="S636" s="11" t="s">
        <v>2689</v>
      </c>
      <c r="T636" s="105" t="s">
        <v>10</v>
      </c>
      <c r="U636" s="98"/>
      <c r="V636" s="51">
        <v>45551</v>
      </c>
      <c r="W636" s="49" t="s">
        <v>1564</v>
      </c>
      <c r="X636" s="154" t="s">
        <v>2948</v>
      </c>
      <c r="Y636" s="154">
        <v>0</v>
      </c>
    </row>
    <row r="637" spans="1:25" ht="13" customHeight="1">
      <c r="A637" s="11">
        <v>631</v>
      </c>
      <c r="B637" s="47">
        <v>206239523</v>
      </c>
      <c r="C637" s="88" t="s">
        <v>1622</v>
      </c>
      <c r="D637" s="11" t="s">
        <v>1617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87" t="s">
        <v>39</v>
      </c>
      <c r="K637" s="49" t="s">
        <v>76</v>
      </c>
      <c r="L637" s="49" t="s">
        <v>92</v>
      </c>
      <c r="M637" s="49" t="s">
        <v>84</v>
      </c>
      <c r="N637" s="49" t="s">
        <v>89</v>
      </c>
      <c r="O637" s="49" t="s">
        <v>37</v>
      </c>
      <c r="P637" s="11" t="s">
        <v>80</v>
      </c>
      <c r="Q637" s="11" t="s">
        <v>96</v>
      </c>
      <c r="R637" s="11" t="s">
        <v>2779</v>
      </c>
      <c r="S637" s="11" t="s">
        <v>2780</v>
      </c>
      <c r="T637" s="105" t="s">
        <v>1</v>
      </c>
      <c r="U637" s="98"/>
      <c r="V637" s="51">
        <v>45943</v>
      </c>
      <c r="W637" s="49" t="s">
        <v>1564</v>
      </c>
      <c r="X637" s="154" t="s">
        <v>2</v>
      </c>
      <c r="Y637" s="154">
        <v>0</v>
      </c>
    </row>
    <row r="638" spans="1:25" ht="13" customHeight="1">
      <c r="A638" s="11">
        <v>632</v>
      </c>
      <c r="B638" s="47">
        <v>205846573</v>
      </c>
      <c r="C638" s="88" t="s">
        <v>679</v>
      </c>
      <c r="D638" s="11" t="s">
        <v>680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85</v>
      </c>
      <c r="M638" s="49" t="s">
        <v>88</v>
      </c>
      <c r="N638" s="49" t="s">
        <v>89</v>
      </c>
      <c r="O638" s="49" t="s">
        <v>37</v>
      </c>
      <c r="P638" s="11" t="s">
        <v>80</v>
      </c>
      <c r="Q638" s="11" t="s">
        <v>96</v>
      </c>
      <c r="R638" s="11" t="s">
        <v>628</v>
      </c>
      <c r="S638" s="11" t="s">
        <v>629</v>
      </c>
      <c r="T638" s="105" t="s">
        <v>1</v>
      </c>
      <c r="U638" s="98"/>
      <c r="V638" s="51">
        <v>45894</v>
      </c>
      <c r="W638" s="49" t="s">
        <v>1564</v>
      </c>
      <c r="X638" s="154" t="s">
        <v>2</v>
      </c>
      <c r="Y638" s="154">
        <v>0</v>
      </c>
    </row>
    <row r="639" spans="1:25" ht="13" customHeight="1">
      <c r="A639" s="11">
        <v>633</v>
      </c>
      <c r="B639" s="47">
        <v>206930130</v>
      </c>
      <c r="C639" s="88" t="s">
        <v>1958</v>
      </c>
      <c r="D639" s="11" t="s">
        <v>1966</v>
      </c>
      <c r="E639" s="48" t="s">
        <v>31</v>
      </c>
      <c r="F639" s="48" t="s">
        <v>74</v>
      </c>
      <c r="G639" s="48" t="s">
        <v>64</v>
      </c>
      <c r="H639" s="48" t="s">
        <v>75</v>
      </c>
      <c r="I639" s="11">
        <v>1299</v>
      </c>
      <c r="J639" s="49" t="s">
        <v>32</v>
      </c>
      <c r="K639" s="49" t="s">
        <v>76</v>
      </c>
      <c r="L639" s="49" t="s">
        <v>77</v>
      </c>
      <c r="M639" s="49" t="s">
        <v>78</v>
      </c>
      <c r="N639" s="49" t="s">
        <v>79</v>
      </c>
      <c r="O639" s="49" t="s">
        <v>37</v>
      </c>
      <c r="P639" s="49" t="s">
        <v>80</v>
      </c>
      <c r="Q639" s="49" t="s">
        <v>96</v>
      </c>
      <c r="R639" s="49" t="s">
        <v>624</v>
      </c>
      <c r="S639" s="49" t="s">
        <v>625</v>
      </c>
      <c r="T639" s="105" t="s">
        <v>10</v>
      </c>
      <c r="U639" s="98"/>
      <c r="V639" s="51">
        <v>46037</v>
      </c>
      <c r="W639" s="49" t="s">
        <v>1564</v>
      </c>
      <c r="X639" s="154" t="s">
        <v>2948</v>
      </c>
      <c r="Y639" s="154">
        <v>0</v>
      </c>
    </row>
    <row r="640" spans="1:25" ht="13" customHeight="1">
      <c r="A640" s="11">
        <v>634</v>
      </c>
      <c r="B640" s="47">
        <v>204868506</v>
      </c>
      <c r="C640" s="88" t="s">
        <v>2318</v>
      </c>
      <c r="D640" s="11" t="s">
        <v>2319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92</v>
      </c>
      <c r="M640" s="49" t="s">
        <v>84</v>
      </c>
      <c r="N640" s="48" t="s">
        <v>86</v>
      </c>
      <c r="O640" s="49" t="s">
        <v>37</v>
      </c>
      <c r="P640" s="11" t="s">
        <v>80</v>
      </c>
      <c r="Q640" s="11" t="s">
        <v>90</v>
      </c>
      <c r="R640" s="11" t="s">
        <v>1057</v>
      </c>
      <c r="S640" s="11" t="s">
        <v>2657</v>
      </c>
      <c r="T640" s="105" t="s">
        <v>1</v>
      </c>
      <c r="U640" s="98"/>
      <c r="V640" s="51">
        <v>45789</v>
      </c>
      <c r="W640" s="49" t="s">
        <v>1564</v>
      </c>
      <c r="X640" s="154" t="s">
        <v>2</v>
      </c>
      <c r="Y640" s="154">
        <v>0</v>
      </c>
    </row>
    <row r="641" spans="1:25" ht="13" customHeight="1">
      <c r="A641" s="11">
        <v>635</v>
      </c>
      <c r="B641" s="47">
        <v>206873782</v>
      </c>
      <c r="C641" s="88" t="s">
        <v>1832</v>
      </c>
      <c r="D641" s="11" t="s">
        <v>1833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84</v>
      </c>
      <c r="M641" s="49" t="s">
        <v>85</v>
      </c>
      <c r="N641" s="49" t="s">
        <v>89</v>
      </c>
      <c r="O641" s="48" t="s">
        <v>37</v>
      </c>
      <c r="P641" s="48" t="s">
        <v>80</v>
      </c>
      <c r="Q641" s="11" t="s">
        <v>90</v>
      </c>
      <c r="R641" s="49" t="s">
        <v>644</v>
      </c>
      <c r="S641" s="11" t="s">
        <v>1777</v>
      </c>
      <c r="T641" s="105" t="s">
        <v>1</v>
      </c>
      <c r="U641" s="98"/>
      <c r="V641" s="51">
        <v>46030</v>
      </c>
      <c r="W641" s="49" t="s">
        <v>1564</v>
      </c>
      <c r="X641" s="154" t="s">
        <v>2</v>
      </c>
      <c r="Y641" s="154">
        <v>0</v>
      </c>
    </row>
    <row r="642" spans="1:25" ht="13" customHeight="1">
      <c r="A642" s="11">
        <v>636</v>
      </c>
      <c r="B642" s="47">
        <v>203341965</v>
      </c>
      <c r="C642" s="88" t="s">
        <v>681</v>
      </c>
      <c r="D642" s="11" t="s">
        <v>682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85</v>
      </c>
      <c r="M642" s="49" t="s">
        <v>88</v>
      </c>
      <c r="N642" s="48" t="s">
        <v>86</v>
      </c>
      <c r="O642" s="49" t="s">
        <v>37</v>
      </c>
      <c r="P642" s="11" t="s">
        <v>80</v>
      </c>
      <c r="Q642" s="11" t="s">
        <v>99</v>
      </c>
      <c r="R642" s="11" t="s">
        <v>1057</v>
      </c>
      <c r="S642" s="11" t="s">
        <v>2657</v>
      </c>
      <c r="T642" s="105" t="s">
        <v>1</v>
      </c>
      <c r="U642" s="98"/>
      <c r="V642" s="51">
        <v>45432</v>
      </c>
      <c r="W642" s="49" t="s">
        <v>1566</v>
      </c>
      <c r="X642" s="154" t="s">
        <v>2</v>
      </c>
      <c r="Y642" s="154">
        <v>0</v>
      </c>
    </row>
    <row r="643" spans="1:25" ht="13" customHeight="1">
      <c r="A643" s="11">
        <v>637</v>
      </c>
      <c r="B643" s="47">
        <v>205252356</v>
      </c>
      <c r="C643" s="88" t="s">
        <v>2803</v>
      </c>
      <c r="D643" s="11" t="s">
        <v>2804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11" t="s">
        <v>39</v>
      </c>
      <c r="K643" s="11" t="s">
        <v>76</v>
      </c>
      <c r="L643" s="11" t="s">
        <v>78</v>
      </c>
      <c r="M643" s="11" t="s">
        <v>92</v>
      </c>
      <c r="N643" s="11" t="s">
        <v>89</v>
      </c>
      <c r="O643" s="11" t="s">
        <v>37</v>
      </c>
      <c r="P643" s="11" t="s">
        <v>80</v>
      </c>
      <c r="Q643" s="11" t="s">
        <v>96</v>
      </c>
      <c r="R643" s="11" t="s">
        <v>1057</v>
      </c>
      <c r="S643" s="11" t="s">
        <v>2657</v>
      </c>
      <c r="T643" s="105" t="s">
        <v>1</v>
      </c>
      <c r="U643" s="98"/>
      <c r="V643" s="51">
        <v>46238</v>
      </c>
      <c r="W643" s="11" t="s">
        <v>1564</v>
      </c>
      <c r="X643" s="154" t="s">
        <v>2</v>
      </c>
      <c r="Y643" s="154">
        <v>0</v>
      </c>
    </row>
    <row r="644" spans="1:25" ht="13" customHeight="1">
      <c r="A644" s="11">
        <v>638</v>
      </c>
      <c r="B644" s="47">
        <v>109808051</v>
      </c>
      <c r="C644" s="88" t="s">
        <v>683</v>
      </c>
      <c r="D644" s="11" t="s">
        <v>684</v>
      </c>
      <c r="E644" s="48" t="s">
        <v>34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95</v>
      </c>
      <c r="M644" s="49" t="s">
        <v>77</v>
      </c>
      <c r="N644" s="48" t="s">
        <v>108</v>
      </c>
      <c r="O644" s="49" t="s">
        <v>37</v>
      </c>
      <c r="P644" s="11" t="s">
        <v>80</v>
      </c>
      <c r="Q644" s="11" t="s">
        <v>98</v>
      </c>
      <c r="R644" s="11" t="s">
        <v>636</v>
      </c>
      <c r="S644" s="11" t="s">
        <v>2658</v>
      </c>
      <c r="T644" s="105" t="s">
        <v>10</v>
      </c>
      <c r="U644" s="98"/>
      <c r="V644" s="51">
        <v>44875</v>
      </c>
      <c r="W644" s="49" t="s">
        <v>1567</v>
      </c>
      <c r="X644" s="154" t="s">
        <v>2948</v>
      </c>
      <c r="Y644" s="154">
        <v>0</v>
      </c>
    </row>
    <row r="645" spans="1:25" ht="13" customHeight="1">
      <c r="A645" s="11">
        <v>639</v>
      </c>
      <c r="B645" s="47">
        <v>203735959</v>
      </c>
      <c r="C645" s="88" t="s">
        <v>2320</v>
      </c>
      <c r="D645" s="11" t="s">
        <v>2321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39</v>
      </c>
      <c r="K645" s="49" t="s">
        <v>76</v>
      </c>
      <c r="L645" s="49" t="s">
        <v>92</v>
      </c>
      <c r="M645" s="49" t="s">
        <v>84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49" t="s">
        <v>624</v>
      </c>
      <c r="S645" s="11" t="s">
        <v>625</v>
      </c>
      <c r="T645" s="105" t="s">
        <v>1</v>
      </c>
      <c r="U645" s="98"/>
      <c r="V645" s="51">
        <v>45502</v>
      </c>
      <c r="W645" s="49" t="s">
        <v>1564</v>
      </c>
      <c r="X645" s="154" t="s">
        <v>2</v>
      </c>
      <c r="Y645" s="154">
        <v>0</v>
      </c>
    </row>
    <row r="646" spans="1:25" ht="13" customHeight="1">
      <c r="A646" s="11">
        <v>640</v>
      </c>
      <c r="B646" s="47">
        <v>203964989</v>
      </c>
      <c r="C646" s="88" t="s">
        <v>685</v>
      </c>
      <c r="D646" s="11" t="s">
        <v>686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84</v>
      </c>
      <c r="M646" s="49" t="s">
        <v>85</v>
      </c>
      <c r="N646" s="48" t="s">
        <v>86</v>
      </c>
      <c r="O646" s="49" t="s">
        <v>37</v>
      </c>
      <c r="P646" s="11" t="s">
        <v>80</v>
      </c>
      <c r="Q646" s="11" t="s">
        <v>99</v>
      </c>
      <c r="R646" s="49" t="s">
        <v>644</v>
      </c>
      <c r="S646" s="11" t="s">
        <v>1777</v>
      </c>
      <c r="T646" s="105" t="s">
        <v>1</v>
      </c>
      <c r="U646" s="98"/>
      <c r="V646" s="51">
        <v>45544</v>
      </c>
      <c r="W646" s="49" t="s">
        <v>1564</v>
      </c>
      <c r="X646" s="154" t="s">
        <v>2</v>
      </c>
      <c r="Y646" s="154">
        <v>0</v>
      </c>
    </row>
    <row r="647" spans="1:25" ht="13" customHeight="1">
      <c r="A647" s="11">
        <v>641</v>
      </c>
      <c r="B647" s="47">
        <v>203964995</v>
      </c>
      <c r="C647" s="88" t="s">
        <v>687</v>
      </c>
      <c r="D647" s="11" t="s">
        <v>688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32</v>
      </c>
      <c r="K647" s="49" t="s">
        <v>76</v>
      </c>
      <c r="L647" s="49" t="s">
        <v>78</v>
      </c>
      <c r="M647" s="49" t="s">
        <v>92</v>
      </c>
      <c r="N647" s="48" t="s">
        <v>86</v>
      </c>
      <c r="O647" s="49" t="s">
        <v>37</v>
      </c>
      <c r="P647" s="11" t="s">
        <v>80</v>
      </c>
      <c r="Q647" s="11" t="s">
        <v>99</v>
      </c>
      <c r="R647" s="11" t="s">
        <v>1057</v>
      </c>
      <c r="S647" s="11" t="s">
        <v>2657</v>
      </c>
      <c r="T647" s="105" t="s">
        <v>1</v>
      </c>
      <c r="U647" s="98"/>
      <c r="V647" s="51">
        <v>45544</v>
      </c>
      <c r="W647" s="49" t="s">
        <v>1564</v>
      </c>
      <c r="X647" s="154" t="s">
        <v>2</v>
      </c>
      <c r="Y647" s="154">
        <v>0</v>
      </c>
    </row>
    <row r="648" spans="1:25" ht="13" customHeight="1">
      <c r="A648" s="11">
        <v>642</v>
      </c>
      <c r="B648" s="47">
        <v>206850960</v>
      </c>
      <c r="C648" s="88" t="s">
        <v>1782</v>
      </c>
      <c r="D648" s="47" t="s">
        <v>1783</v>
      </c>
      <c r="E648" s="47" t="s">
        <v>31</v>
      </c>
      <c r="F648" s="48" t="s">
        <v>74</v>
      </c>
      <c r="G648" s="11" t="s">
        <v>64</v>
      </c>
      <c r="H648" s="11" t="s">
        <v>75</v>
      </c>
      <c r="I648" s="47">
        <v>1299</v>
      </c>
      <c r="J648" s="49" t="s">
        <v>32</v>
      </c>
      <c r="K648" s="49" t="s">
        <v>76</v>
      </c>
      <c r="L648" s="49" t="s">
        <v>95</v>
      </c>
      <c r="M648" s="49" t="s">
        <v>77</v>
      </c>
      <c r="N648" s="49" t="s">
        <v>89</v>
      </c>
      <c r="O648" s="49" t="s">
        <v>37</v>
      </c>
      <c r="P648" s="11" t="s">
        <v>80</v>
      </c>
      <c r="Q648" s="47" t="s">
        <v>90</v>
      </c>
      <c r="R648" s="11" t="s">
        <v>2779</v>
      </c>
      <c r="S648" s="11" t="s">
        <v>2780</v>
      </c>
      <c r="T648" s="105" t="s">
        <v>10</v>
      </c>
      <c r="U648" s="98"/>
      <c r="V648" s="51">
        <v>46013</v>
      </c>
      <c r="W648" s="49" t="s">
        <v>1564</v>
      </c>
      <c r="X648" s="154" t="s">
        <v>2948</v>
      </c>
      <c r="Y648" s="154">
        <v>0</v>
      </c>
    </row>
    <row r="649" spans="1:25" ht="13" customHeight="1">
      <c r="A649" s="11">
        <v>643</v>
      </c>
      <c r="B649" s="47">
        <v>206199915</v>
      </c>
      <c r="C649" s="88" t="s">
        <v>1580</v>
      </c>
      <c r="D649" s="11" t="s">
        <v>1574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92</v>
      </c>
      <c r="M649" s="49" t="s">
        <v>84</v>
      </c>
      <c r="N649" s="48" t="s">
        <v>79</v>
      </c>
      <c r="O649" s="49" t="s">
        <v>37</v>
      </c>
      <c r="P649" s="11" t="s">
        <v>80</v>
      </c>
      <c r="Q649" s="11" t="s">
        <v>81</v>
      </c>
      <c r="R649" s="11" t="s">
        <v>1057</v>
      </c>
      <c r="S649" s="11" t="s">
        <v>2657</v>
      </c>
      <c r="T649" s="105" t="s">
        <v>1</v>
      </c>
      <c r="U649" s="98"/>
      <c r="V649" s="51">
        <v>45936</v>
      </c>
      <c r="W649" s="49" t="s">
        <v>1564</v>
      </c>
      <c r="X649" s="154" t="s">
        <v>2</v>
      </c>
      <c r="Y649" s="154">
        <v>0</v>
      </c>
    </row>
    <row r="650" spans="1:25" ht="13" customHeight="1">
      <c r="A650" s="11">
        <v>644</v>
      </c>
      <c r="B650" s="47">
        <v>204009348</v>
      </c>
      <c r="C650" s="88" t="s">
        <v>2322</v>
      </c>
      <c r="D650" s="11" t="s">
        <v>2323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88</v>
      </c>
      <c r="M650" s="49" t="s">
        <v>95</v>
      </c>
      <c r="N650" s="48" t="s">
        <v>86</v>
      </c>
      <c r="O650" s="49" t="s">
        <v>37</v>
      </c>
      <c r="P650" s="11" t="s">
        <v>80</v>
      </c>
      <c r="Q650" s="11" t="s">
        <v>90</v>
      </c>
      <c r="R650" s="49" t="s">
        <v>624</v>
      </c>
      <c r="S650" s="11" t="s">
        <v>625</v>
      </c>
      <c r="T650" s="105" t="s">
        <v>1</v>
      </c>
      <c r="U650" s="98"/>
      <c r="V650" s="51">
        <v>45551</v>
      </c>
      <c r="W650" s="49" t="s">
        <v>1564</v>
      </c>
      <c r="X650" s="154" t="s">
        <v>2</v>
      </c>
      <c r="Y650" s="154">
        <v>0</v>
      </c>
    </row>
    <row r="651" spans="1:25" ht="13" customHeight="1">
      <c r="A651" s="11">
        <v>645</v>
      </c>
      <c r="B651" s="47">
        <v>203850997</v>
      </c>
      <c r="C651" s="88" t="s">
        <v>689</v>
      </c>
      <c r="D651" s="11" t="s">
        <v>690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88</v>
      </c>
      <c r="M651" s="49" t="s">
        <v>95</v>
      </c>
      <c r="N651" s="48" t="s">
        <v>79</v>
      </c>
      <c r="O651" s="49" t="s">
        <v>37</v>
      </c>
      <c r="P651" s="11" t="s">
        <v>80</v>
      </c>
      <c r="Q651" s="11" t="s">
        <v>81</v>
      </c>
      <c r="R651" s="11" t="s">
        <v>628</v>
      </c>
      <c r="S651" s="11" t="s">
        <v>629</v>
      </c>
      <c r="T651" s="105" t="s">
        <v>1</v>
      </c>
      <c r="U651" s="98"/>
      <c r="V651" s="51">
        <v>45524</v>
      </c>
      <c r="W651" s="49" t="s">
        <v>1565</v>
      </c>
      <c r="X651" s="154" t="s">
        <v>2</v>
      </c>
      <c r="Y651" s="154">
        <v>0</v>
      </c>
    </row>
    <row r="652" spans="1:25" ht="13" customHeight="1">
      <c r="A652" s="11">
        <v>646</v>
      </c>
      <c r="B652" s="47">
        <v>203965024</v>
      </c>
      <c r="C652" s="88" t="s">
        <v>691</v>
      </c>
      <c r="D652" s="11" t="s">
        <v>692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77</v>
      </c>
      <c r="M652" s="49" t="s">
        <v>78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644</v>
      </c>
      <c r="S652" s="11" t="s">
        <v>1777</v>
      </c>
      <c r="T652" s="105" t="s">
        <v>10</v>
      </c>
      <c r="U652" s="98"/>
      <c r="V652" s="51">
        <v>45544</v>
      </c>
      <c r="W652" s="49" t="s">
        <v>1564</v>
      </c>
      <c r="X652" s="154" t="s">
        <v>2948</v>
      </c>
      <c r="Y652" s="154">
        <v>0</v>
      </c>
    </row>
    <row r="653" spans="1:25" ht="13" customHeight="1">
      <c r="A653" s="11">
        <v>647</v>
      </c>
      <c r="B653" s="47">
        <v>203342030</v>
      </c>
      <c r="C653" s="88" t="s">
        <v>693</v>
      </c>
      <c r="D653" s="11" t="s">
        <v>694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77</v>
      </c>
      <c r="M653" s="49" t="s">
        <v>78</v>
      </c>
      <c r="N653" s="48" t="s">
        <v>86</v>
      </c>
      <c r="O653" s="49" t="s">
        <v>37</v>
      </c>
      <c r="P653" s="11" t="s">
        <v>80</v>
      </c>
      <c r="Q653" s="11" t="s">
        <v>99</v>
      </c>
      <c r="R653" s="11" t="s">
        <v>1057</v>
      </c>
      <c r="S653" s="11" t="s">
        <v>2657</v>
      </c>
      <c r="T653" s="105" t="s">
        <v>10</v>
      </c>
      <c r="U653" s="98"/>
      <c r="V653" s="51">
        <v>45432</v>
      </c>
      <c r="W653" s="49" t="s">
        <v>1565</v>
      </c>
      <c r="X653" s="154" t="s">
        <v>2948</v>
      </c>
      <c r="Y653" s="154">
        <v>0</v>
      </c>
    </row>
    <row r="654" spans="1:25" ht="13" customHeight="1">
      <c r="A654" s="11">
        <v>648</v>
      </c>
      <c r="B654" s="47">
        <v>204172225</v>
      </c>
      <c r="C654" s="88" t="s">
        <v>695</v>
      </c>
      <c r="D654" s="11" t="s">
        <v>696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85</v>
      </c>
      <c r="M654" s="49" t="s">
        <v>88</v>
      </c>
      <c r="N654" s="49" t="s">
        <v>89</v>
      </c>
      <c r="O654" s="49" t="s">
        <v>37</v>
      </c>
      <c r="P654" s="11" t="s">
        <v>80</v>
      </c>
      <c r="Q654" s="11" t="s">
        <v>90</v>
      </c>
      <c r="R654" s="49" t="s">
        <v>644</v>
      </c>
      <c r="S654" s="11" t="s">
        <v>1777</v>
      </c>
      <c r="T654" s="105" t="s">
        <v>1</v>
      </c>
      <c r="U654" s="98"/>
      <c r="V654" s="51">
        <v>45568</v>
      </c>
      <c r="W654" s="49" t="s">
        <v>1564</v>
      </c>
      <c r="X654" s="154" t="s">
        <v>2</v>
      </c>
      <c r="Y654" s="154">
        <v>0</v>
      </c>
    </row>
    <row r="655" spans="1:25" ht="13" customHeight="1">
      <c r="A655" s="11">
        <v>649</v>
      </c>
      <c r="B655" s="47">
        <v>206926474</v>
      </c>
      <c r="C655" s="88" t="s">
        <v>1963</v>
      </c>
      <c r="D655" s="11" t="s">
        <v>1970</v>
      </c>
      <c r="E655" s="48" t="s">
        <v>31</v>
      </c>
      <c r="F655" s="48" t="s">
        <v>74</v>
      </c>
      <c r="G655" s="48" t="s">
        <v>64</v>
      </c>
      <c r="H655" s="48" t="s">
        <v>1319</v>
      </c>
      <c r="I655" s="11">
        <v>1299</v>
      </c>
      <c r="J655" s="49" t="s">
        <v>32</v>
      </c>
      <c r="K655" s="49" t="s">
        <v>76</v>
      </c>
      <c r="L655" s="49" t="s">
        <v>95</v>
      </c>
      <c r="M655" s="49" t="s">
        <v>77</v>
      </c>
      <c r="N655" s="49" t="s">
        <v>89</v>
      </c>
      <c r="O655" s="49" t="s">
        <v>37</v>
      </c>
      <c r="P655" s="49" t="s">
        <v>80</v>
      </c>
      <c r="Q655" s="49" t="s">
        <v>90</v>
      </c>
      <c r="R655" s="49" t="s">
        <v>644</v>
      </c>
      <c r="S655" s="49" t="s">
        <v>1777</v>
      </c>
      <c r="T655" s="105" t="s">
        <v>10</v>
      </c>
      <c r="U655" s="98"/>
      <c r="V655" s="51">
        <v>46037</v>
      </c>
      <c r="W655" s="49" t="s">
        <v>1972</v>
      </c>
      <c r="X655" s="154" t="s">
        <v>2948</v>
      </c>
      <c r="Y655" s="154">
        <v>0</v>
      </c>
    </row>
    <row r="656" spans="1:25" ht="13" customHeight="1">
      <c r="A656" s="11">
        <v>650</v>
      </c>
      <c r="B656" s="47">
        <v>205236902</v>
      </c>
      <c r="C656" s="88" t="s">
        <v>697</v>
      </c>
      <c r="D656" s="11" t="s">
        <v>698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78</v>
      </c>
      <c r="M656" s="49" t="s">
        <v>92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11" t="s">
        <v>628</v>
      </c>
      <c r="S656" s="11" t="s">
        <v>629</v>
      </c>
      <c r="T656" s="105" t="s">
        <v>1</v>
      </c>
      <c r="U656" s="98"/>
      <c r="V656" s="51">
        <v>45789</v>
      </c>
      <c r="W656" s="49" t="s">
        <v>1564</v>
      </c>
      <c r="X656" s="154" t="s">
        <v>2</v>
      </c>
      <c r="Y656" s="154">
        <v>0</v>
      </c>
    </row>
    <row r="657" spans="1:25" ht="13" customHeight="1">
      <c r="A657" s="11">
        <v>651</v>
      </c>
      <c r="B657" s="47">
        <v>204053434</v>
      </c>
      <c r="C657" s="88" t="s">
        <v>699</v>
      </c>
      <c r="D657" s="11" t="s">
        <v>700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95</v>
      </c>
      <c r="M657" s="49" t="s">
        <v>77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11" t="s">
        <v>2779</v>
      </c>
      <c r="S657" s="11" t="s">
        <v>2780</v>
      </c>
      <c r="T657" s="105" t="s">
        <v>10</v>
      </c>
      <c r="U657" s="98"/>
      <c r="V657" s="51">
        <v>45558</v>
      </c>
      <c r="W657" s="49" t="s">
        <v>1563</v>
      </c>
      <c r="X657" s="154" t="s">
        <v>2948</v>
      </c>
      <c r="Y657" s="154">
        <v>0</v>
      </c>
    </row>
    <row r="658" spans="1:25" ht="13" customHeight="1">
      <c r="A658" s="11">
        <v>652</v>
      </c>
      <c r="B658" s="47">
        <v>205236897</v>
      </c>
      <c r="C658" s="88" t="s">
        <v>2324</v>
      </c>
      <c r="D658" s="11" t="s">
        <v>2325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88</v>
      </c>
      <c r="M658" s="49" t="s">
        <v>95</v>
      </c>
      <c r="N658" s="48" t="s">
        <v>86</v>
      </c>
      <c r="O658" s="49" t="s">
        <v>37</v>
      </c>
      <c r="P658" s="11" t="s">
        <v>80</v>
      </c>
      <c r="Q658" s="11" t="s">
        <v>90</v>
      </c>
      <c r="R658" s="11" t="s">
        <v>628</v>
      </c>
      <c r="S658" s="11" t="s">
        <v>629</v>
      </c>
      <c r="T658" s="105" t="s">
        <v>1</v>
      </c>
      <c r="U658" s="98"/>
      <c r="V658" s="51">
        <v>45789</v>
      </c>
      <c r="W658" s="49" t="s">
        <v>1564</v>
      </c>
      <c r="X658" s="154" t="s">
        <v>2</v>
      </c>
      <c r="Y658" s="154">
        <v>0</v>
      </c>
    </row>
    <row r="659" spans="1:25" ht="13" customHeight="1">
      <c r="A659" s="11">
        <v>653</v>
      </c>
      <c r="B659" s="47">
        <v>204013688</v>
      </c>
      <c r="C659" s="88" t="s">
        <v>701</v>
      </c>
      <c r="D659" s="11" t="s">
        <v>702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39</v>
      </c>
      <c r="K659" s="49" t="s">
        <v>76</v>
      </c>
      <c r="L659" s="49" t="s">
        <v>88</v>
      </c>
      <c r="M659" s="49" t="s">
        <v>95</v>
      </c>
      <c r="N659" s="48" t="s">
        <v>79</v>
      </c>
      <c r="O659" s="49" t="s">
        <v>37</v>
      </c>
      <c r="P659" s="11" t="s">
        <v>80</v>
      </c>
      <c r="Q659" s="11" t="s">
        <v>81</v>
      </c>
      <c r="R659" s="49" t="s">
        <v>624</v>
      </c>
      <c r="S659" s="11" t="s">
        <v>625</v>
      </c>
      <c r="T659" s="105" t="s">
        <v>1</v>
      </c>
      <c r="U659" s="98"/>
      <c r="V659" s="51">
        <v>45551</v>
      </c>
      <c r="W659" s="49" t="s">
        <v>1564</v>
      </c>
      <c r="X659" s="154" t="s">
        <v>2</v>
      </c>
      <c r="Y659" s="154">
        <v>0</v>
      </c>
    </row>
    <row r="660" spans="1:25" ht="13" customHeight="1">
      <c r="A660" s="11">
        <v>654</v>
      </c>
      <c r="B660" s="47">
        <v>206897553</v>
      </c>
      <c r="C660" s="88" t="s">
        <v>1854</v>
      </c>
      <c r="D660" s="11" t="s">
        <v>1855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1290</v>
      </c>
      <c r="J660" s="49" t="s">
        <v>39</v>
      </c>
      <c r="K660" s="49" t="s">
        <v>76</v>
      </c>
      <c r="L660" s="49" t="s">
        <v>77</v>
      </c>
      <c r="M660" s="49" t="s">
        <v>78</v>
      </c>
      <c r="N660" s="49" t="s">
        <v>79</v>
      </c>
      <c r="O660" s="48" t="s">
        <v>37</v>
      </c>
      <c r="P660" s="48" t="s">
        <v>80</v>
      </c>
      <c r="Q660" s="11" t="s">
        <v>81</v>
      </c>
      <c r="R660" s="11" t="s">
        <v>1057</v>
      </c>
      <c r="S660" s="11" t="s">
        <v>2657</v>
      </c>
      <c r="T660" s="105" t="s">
        <v>10</v>
      </c>
      <c r="U660" s="98"/>
      <c r="V660" s="51">
        <v>46030</v>
      </c>
      <c r="W660" s="49" t="s">
        <v>1565</v>
      </c>
      <c r="X660" s="154" t="s">
        <v>2948</v>
      </c>
      <c r="Y660" s="154">
        <v>0</v>
      </c>
    </row>
    <row r="661" spans="1:25" ht="13" customHeight="1">
      <c r="A661" s="11">
        <v>655</v>
      </c>
      <c r="B661" s="47">
        <v>205854273</v>
      </c>
      <c r="C661" s="88" t="s">
        <v>703</v>
      </c>
      <c r="D661" s="11" t="s">
        <v>704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92</v>
      </c>
      <c r="M661" s="49" t="s">
        <v>84</v>
      </c>
      <c r="N661" s="49" t="s">
        <v>79</v>
      </c>
      <c r="O661" s="49" t="s">
        <v>37</v>
      </c>
      <c r="P661" s="11" t="s">
        <v>80</v>
      </c>
      <c r="Q661" s="11" t="s">
        <v>96</v>
      </c>
      <c r="R661" s="11" t="s">
        <v>628</v>
      </c>
      <c r="S661" s="11" t="s">
        <v>629</v>
      </c>
      <c r="T661" s="105" t="s">
        <v>1</v>
      </c>
      <c r="U661" s="98"/>
      <c r="V661" s="51">
        <v>45894</v>
      </c>
      <c r="W661" s="49" t="s">
        <v>1564</v>
      </c>
      <c r="X661" s="154" t="s">
        <v>2</v>
      </c>
      <c r="Y661" s="154">
        <v>0</v>
      </c>
    </row>
    <row r="662" spans="1:25" ht="13" customHeight="1">
      <c r="A662" s="11">
        <v>656</v>
      </c>
      <c r="B662" s="47">
        <v>206926475</v>
      </c>
      <c r="C662" s="88" t="s">
        <v>1961</v>
      </c>
      <c r="D662" s="11" t="s">
        <v>1968</v>
      </c>
      <c r="E662" s="48" t="s">
        <v>31</v>
      </c>
      <c r="F662" s="48" t="s">
        <v>74</v>
      </c>
      <c r="G662" s="48" t="s">
        <v>64</v>
      </c>
      <c r="H662" s="48" t="s">
        <v>1319</v>
      </c>
      <c r="I662" s="11">
        <v>1299</v>
      </c>
      <c r="J662" s="49" t="s">
        <v>32</v>
      </c>
      <c r="K662" s="49" t="s">
        <v>76</v>
      </c>
      <c r="L662" s="49" t="s">
        <v>78</v>
      </c>
      <c r="M662" s="49" t="s">
        <v>92</v>
      </c>
      <c r="N662" s="49" t="s">
        <v>89</v>
      </c>
      <c r="O662" s="49" t="s">
        <v>37</v>
      </c>
      <c r="P662" s="49" t="s">
        <v>80</v>
      </c>
      <c r="Q662" s="49" t="s">
        <v>90</v>
      </c>
      <c r="R662" s="49" t="s">
        <v>2659</v>
      </c>
      <c r="S662" s="11" t="s">
        <v>639</v>
      </c>
      <c r="T662" s="105" t="s">
        <v>1</v>
      </c>
      <c r="U662" s="98"/>
      <c r="V662" s="51">
        <v>46037</v>
      </c>
      <c r="W662" s="49" t="s">
        <v>1972</v>
      </c>
      <c r="X662" s="154" t="s">
        <v>2</v>
      </c>
      <c r="Y662" s="154">
        <v>0</v>
      </c>
    </row>
    <row r="663" spans="1:25" ht="13" customHeight="1">
      <c r="A663" s="11">
        <v>657</v>
      </c>
      <c r="B663" s="47">
        <v>206128846</v>
      </c>
      <c r="C663" s="88" t="s">
        <v>705</v>
      </c>
      <c r="D663" s="11" t="s">
        <v>706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92</v>
      </c>
      <c r="M663" s="49" t="s">
        <v>84</v>
      </c>
      <c r="N663" s="49" t="s">
        <v>79</v>
      </c>
      <c r="O663" s="49" t="s">
        <v>37</v>
      </c>
      <c r="P663" s="11" t="s">
        <v>80</v>
      </c>
      <c r="Q663" s="11" t="s">
        <v>81</v>
      </c>
      <c r="R663" s="11" t="s">
        <v>636</v>
      </c>
      <c r="S663" s="11" t="s">
        <v>2658</v>
      </c>
      <c r="T663" s="105" t="s">
        <v>1</v>
      </c>
      <c r="U663" s="98"/>
      <c r="V663" s="51">
        <v>45929</v>
      </c>
      <c r="W663" s="49" t="s">
        <v>1564</v>
      </c>
      <c r="X663" s="154" t="s">
        <v>2</v>
      </c>
      <c r="Y663" s="154">
        <v>0</v>
      </c>
    </row>
    <row r="664" spans="1:25" ht="13" customHeight="1">
      <c r="A664" s="11">
        <v>658</v>
      </c>
      <c r="B664" s="47">
        <v>204013691</v>
      </c>
      <c r="C664" s="88" t="s">
        <v>707</v>
      </c>
      <c r="D664" s="11" t="s">
        <v>708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85</v>
      </c>
      <c r="M664" s="49" t="s">
        <v>88</v>
      </c>
      <c r="N664" s="48" t="s">
        <v>79</v>
      </c>
      <c r="O664" s="49" t="s">
        <v>37</v>
      </c>
      <c r="P664" s="11" t="s">
        <v>80</v>
      </c>
      <c r="Q664" s="11" t="s">
        <v>81</v>
      </c>
      <c r="R664" s="11" t="s">
        <v>628</v>
      </c>
      <c r="S664" s="11" t="s">
        <v>629</v>
      </c>
      <c r="T664" s="105" t="s">
        <v>1</v>
      </c>
      <c r="U664" s="98"/>
      <c r="V664" s="51">
        <v>45551</v>
      </c>
      <c r="W664" s="49" t="s">
        <v>1564</v>
      </c>
      <c r="X664" s="154" t="s">
        <v>2</v>
      </c>
      <c r="Y664" s="154">
        <v>0</v>
      </c>
    </row>
    <row r="665" spans="1:25" ht="13" customHeight="1">
      <c r="A665" s="11">
        <v>659</v>
      </c>
      <c r="B665" s="91">
        <v>205848051</v>
      </c>
      <c r="C665" s="47" t="s">
        <v>2690</v>
      </c>
      <c r="D665" s="88" t="s">
        <v>2691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92</v>
      </c>
      <c r="M665" s="49" t="s">
        <v>84</v>
      </c>
      <c r="N665" s="49" t="s">
        <v>89</v>
      </c>
      <c r="O665" s="49" t="s">
        <v>37</v>
      </c>
      <c r="P665" s="11" t="s">
        <v>80</v>
      </c>
      <c r="Q665" s="11" t="s">
        <v>96</v>
      </c>
      <c r="R665" s="11" t="s">
        <v>644</v>
      </c>
      <c r="S665" s="11" t="s">
        <v>2679</v>
      </c>
      <c r="T665" s="105" t="s">
        <v>1</v>
      </c>
      <c r="U665" s="98"/>
      <c r="V665" s="51">
        <v>45894</v>
      </c>
      <c r="W665" s="49" t="s">
        <v>1564</v>
      </c>
      <c r="X665" s="154" t="s">
        <v>2</v>
      </c>
      <c r="Y665" s="154">
        <v>0</v>
      </c>
    </row>
    <row r="666" spans="1:25" ht="13" customHeight="1">
      <c r="A666" s="11">
        <v>660</v>
      </c>
      <c r="B666" s="47">
        <v>203908868</v>
      </c>
      <c r="C666" s="88" t="s">
        <v>709</v>
      </c>
      <c r="D666" s="11" t="s">
        <v>710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92</v>
      </c>
      <c r="M666" s="49" t="s">
        <v>84</v>
      </c>
      <c r="N666" s="48" t="s">
        <v>79</v>
      </c>
      <c r="O666" s="49" t="s">
        <v>37</v>
      </c>
      <c r="P666" s="11" t="s">
        <v>80</v>
      </c>
      <c r="Q666" s="11" t="s">
        <v>81</v>
      </c>
      <c r="R666" s="11" t="s">
        <v>628</v>
      </c>
      <c r="S666" s="11" t="s">
        <v>629</v>
      </c>
      <c r="T666" s="105" t="s">
        <v>1</v>
      </c>
      <c r="U666" s="98"/>
      <c r="V666" s="51">
        <v>45537</v>
      </c>
      <c r="W666" s="49" t="s">
        <v>1564</v>
      </c>
      <c r="X666" s="154" t="s">
        <v>2</v>
      </c>
      <c r="Y666" s="154">
        <v>0</v>
      </c>
    </row>
    <row r="667" spans="1:25" ht="13" customHeight="1">
      <c r="A667" s="11">
        <v>661</v>
      </c>
      <c r="B667" s="47">
        <v>206072090</v>
      </c>
      <c r="C667" s="88" t="s">
        <v>711</v>
      </c>
      <c r="D667" s="11" t="s">
        <v>712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32</v>
      </c>
      <c r="K667" s="49" t="s">
        <v>76</v>
      </c>
      <c r="L667" s="49" t="s">
        <v>95</v>
      </c>
      <c r="M667" s="49" t="s">
        <v>77</v>
      </c>
      <c r="N667" s="48" t="s">
        <v>79</v>
      </c>
      <c r="O667" s="49" t="s">
        <v>37</v>
      </c>
      <c r="P667" s="11" t="s">
        <v>80</v>
      </c>
      <c r="Q667" s="11" t="s">
        <v>81</v>
      </c>
      <c r="R667" s="49" t="s">
        <v>644</v>
      </c>
      <c r="S667" s="11" t="s">
        <v>1777</v>
      </c>
      <c r="T667" s="105" t="s">
        <v>10</v>
      </c>
      <c r="U667" s="98"/>
      <c r="V667" s="51">
        <v>45922</v>
      </c>
      <c r="W667" s="49" t="s">
        <v>1564</v>
      </c>
      <c r="X667" s="154" t="s">
        <v>2948</v>
      </c>
      <c r="Y667" s="154">
        <v>0</v>
      </c>
    </row>
    <row r="668" spans="1:25" ht="13" customHeight="1">
      <c r="A668" s="11">
        <v>662</v>
      </c>
      <c r="B668" s="47">
        <v>203965180</v>
      </c>
      <c r="C668" s="88" t="s">
        <v>713</v>
      </c>
      <c r="D668" s="11" t="s">
        <v>714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39</v>
      </c>
      <c r="K668" s="49" t="s">
        <v>76</v>
      </c>
      <c r="L668" s="49" t="s">
        <v>85</v>
      </c>
      <c r="M668" s="49" t="s">
        <v>88</v>
      </c>
      <c r="N668" s="48" t="s">
        <v>79</v>
      </c>
      <c r="O668" s="49" t="s">
        <v>37</v>
      </c>
      <c r="P668" s="11" t="s">
        <v>80</v>
      </c>
      <c r="Q668" s="11" t="s">
        <v>81</v>
      </c>
      <c r="R668" s="11" t="s">
        <v>628</v>
      </c>
      <c r="S668" s="11" t="s">
        <v>629</v>
      </c>
      <c r="T668" s="105" t="s">
        <v>1</v>
      </c>
      <c r="U668" s="98"/>
      <c r="V668" s="51">
        <v>45544</v>
      </c>
      <c r="W668" s="49" t="s">
        <v>1564</v>
      </c>
      <c r="X668" s="154" t="s">
        <v>2</v>
      </c>
      <c r="Y668" s="154">
        <v>0</v>
      </c>
    </row>
    <row r="669" spans="1:25" ht="13" customHeight="1">
      <c r="A669" s="11">
        <v>663</v>
      </c>
      <c r="B669" s="47">
        <v>201161555</v>
      </c>
      <c r="C669" s="88" t="s">
        <v>715</v>
      </c>
      <c r="D669" s="11" t="s">
        <v>716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84</v>
      </c>
      <c r="M669" s="49" t="s">
        <v>85</v>
      </c>
      <c r="N669" s="48" t="s">
        <v>86</v>
      </c>
      <c r="O669" s="49" t="s">
        <v>37</v>
      </c>
      <c r="P669" s="11" t="s">
        <v>80</v>
      </c>
      <c r="Q669" s="11" t="s">
        <v>87</v>
      </c>
      <c r="R669" s="11" t="s">
        <v>628</v>
      </c>
      <c r="S669" s="11" t="s">
        <v>629</v>
      </c>
      <c r="T669" s="105" t="s">
        <v>1</v>
      </c>
      <c r="U669" s="98"/>
      <c r="V669" s="51">
        <v>45586</v>
      </c>
      <c r="W669" s="49" t="s">
        <v>1565</v>
      </c>
      <c r="X669" s="154" t="s">
        <v>2</v>
      </c>
      <c r="Y669" s="154">
        <v>0</v>
      </c>
    </row>
    <row r="670" spans="1:25" ht="13" customHeight="1">
      <c r="A670" s="11">
        <v>664</v>
      </c>
      <c r="B670" s="47">
        <v>204117188</v>
      </c>
      <c r="C670" s="88" t="s">
        <v>717</v>
      </c>
      <c r="D670" s="11" t="s">
        <v>718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32</v>
      </c>
      <c r="K670" s="49" t="s">
        <v>76</v>
      </c>
      <c r="L670" s="49" t="s">
        <v>85</v>
      </c>
      <c r="M670" s="49" t="s">
        <v>88</v>
      </c>
      <c r="N670" s="48" t="s">
        <v>86</v>
      </c>
      <c r="O670" s="49" t="s">
        <v>37</v>
      </c>
      <c r="P670" s="11" t="s">
        <v>80</v>
      </c>
      <c r="Q670" s="11" t="s">
        <v>87</v>
      </c>
      <c r="R670" s="49" t="s">
        <v>624</v>
      </c>
      <c r="S670" s="11" t="s">
        <v>625</v>
      </c>
      <c r="T670" s="105" t="s">
        <v>1</v>
      </c>
      <c r="U670" s="98"/>
      <c r="V670" s="51">
        <v>45561</v>
      </c>
      <c r="W670" s="49" t="s">
        <v>1563</v>
      </c>
      <c r="X670" s="154" t="s">
        <v>2</v>
      </c>
      <c r="Y670" s="154">
        <v>0</v>
      </c>
    </row>
    <row r="671" spans="1:25" ht="13" customHeight="1">
      <c r="A671" s="11">
        <v>665</v>
      </c>
      <c r="B671" s="91">
        <v>204172234</v>
      </c>
      <c r="C671" s="47" t="s">
        <v>2692</v>
      </c>
      <c r="D671" s="88" t="s">
        <v>2693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88</v>
      </c>
      <c r="M671" s="49" t="s">
        <v>95</v>
      </c>
      <c r="N671" s="49" t="s">
        <v>89</v>
      </c>
      <c r="O671" s="49" t="s">
        <v>37</v>
      </c>
      <c r="P671" s="11" t="s">
        <v>80</v>
      </c>
      <c r="Q671" s="11" t="s">
        <v>90</v>
      </c>
      <c r="R671" s="11" t="s">
        <v>644</v>
      </c>
      <c r="S671" s="11" t="s">
        <v>2679</v>
      </c>
      <c r="T671" s="105" t="s">
        <v>1</v>
      </c>
      <c r="U671" s="98"/>
      <c r="V671" s="51">
        <v>45568</v>
      </c>
      <c r="W671" s="49" t="s">
        <v>1564</v>
      </c>
      <c r="X671" s="154" t="s">
        <v>2</v>
      </c>
      <c r="Y671" s="154">
        <v>0</v>
      </c>
    </row>
    <row r="672" spans="1:25" ht="13" customHeight="1">
      <c r="A672" s="11">
        <v>666</v>
      </c>
      <c r="B672" s="91">
        <v>204009916</v>
      </c>
      <c r="C672" s="47" t="s">
        <v>2694</v>
      </c>
      <c r="D672" s="88" t="s">
        <v>2695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92</v>
      </c>
      <c r="M672" s="49" t="s">
        <v>84</v>
      </c>
      <c r="N672" s="48" t="s">
        <v>86</v>
      </c>
      <c r="O672" s="49" t="s">
        <v>37</v>
      </c>
      <c r="P672" s="11" t="s">
        <v>80</v>
      </c>
      <c r="Q672" s="11" t="s">
        <v>90</v>
      </c>
      <c r="R672" s="11" t="s">
        <v>644</v>
      </c>
      <c r="S672" s="11" t="s">
        <v>2679</v>
      </c>
      <c r="T672" s="105" t="s">
        <v>1</v>
      </c>
      <c r="U672" s="98"/>
      <c r="V672" s="51">
        <v>45551</v>
      </c>
      <c r="W672" s="49" t="s">
        <v>1564</v>
      </c>
      <c r="X672" s="154" t="s">
        <v>2</v>
      </c>
      <c r="Y672" s="154">
        <v>0</v>
      </c>
    </row>
    <row r="673" spans="1:25" ht="13" customHeight="1">
      <c r="A673" s="11">
        <v>667</v>
      </c>
      <c r="B673" s="47">
        <v>203512948</v>
      </c>
      <c r="C673" s="88" t="s">
        <v>719</v>
      </c>
      <c r="D673" s="11" t="s">
        <v>720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88</v>
      </c>
      <c r="M673" s="49" t="s">
        <v>95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11" t="s">
        <v>628</v>
      </c>
      <c r="S673" s="11" t="s">
        <v>629</v>
      </c>
      <c r="T673" s="105" t="s">
        <v>1</v>
      </c>
      <c r="U673" s="98"/>
      <c r="V673" s="51">
        <v>45463</v>
      </c>
      <c r="W673" s="49" t="s">
        <v>1564</v>
      </c>
      <c r="X673" s="154" t="s">
        <v>2</v>
      </c>
      <c r="Y673" s="154">
        <v>0</v>
      </c>
    </row>
    <row r="674" spans="1:25" ht="13" customHeight="1">
      <c r="A674" s="11">
        <v>668</v>
      </c>
      <c r="B674" s="47">
        <v>204137703</v>
      </c>
      <c r="C674" s="88" t="s">
        <v>721</v>
      </c>
      <c r="D674" s="11" t="s">
        <v>722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88</v>
      </c>
      <c r="M674" s="49" t="s">
        <v>95</v>
      </c>
      <c r="N674" s="48" t="s">
        <v>86</v>
      </c>
      <c r="O674" s="49" t="s">
        <v>37</v>
      </c>
      <c r="P674" s="11" t="s">
        <v>80</v>
      </c>
      <c r="Q674" s="11" t="s">
        <v>87</v>
      </c>
      <c r="R674" s="11" t="s">
        <v>628</v>
      </c>
      <c r="S674" s="11" t="s">
        <v>629</v>
      </c>
      <c r="T674" s="105" t="s">
        <v>1</v>
      </c>
      <c r="U674" s="98"/>
      <c r="V674" s="51">
        <v>45565</v>
      </c>
      <c r="W674" s="49" t="s">
        <v>1564</v>
      </c>
      <c r="X674" s="154" t="s">
        <v>2</v>
      </c>
      <c r="Y674" s="154">
        <v>0</v>
      </c>
    </row>
    <row r="675" spans="1:25" ht="13" customHeight="1">
      <c r="A675" s="11">
        <v>669</v>
      </c>
      <c r="B675" s="47">
        <v>204299063</v>
      </c>
      <c r="C675" s="88" t="s">
        <v>723</v>
      </c>
      <c r="D675" s="11" t="s">
        <v>724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77</v>
      </c>
      <c r="M675" s="49" t="s">
        <v>78</v>
      </c>
      <c r="N675" s="48" t="s">
        <v>86</v>
      </c>
      <c r="O675" s="49" t="s">
        <v>37</v>
      </c>
      <c r="P675" s="11" t="s">
        <v>80</v>
      </c>
      <c r="Q675" s="11" t="s">
        <v>87</v>
      </c>
      <c r="R675" s="11" t="s">
        <v>628</v>
      </c>
      <c r="S675" s="11" t="s">
        <v>629</v>
      </c>
      <c r="T675" s="105" t="s">
        <v>10</v>
      </c>
      <c r="U675" s="98"/>
      <c r="V675" s="51">
        <v>45586</v>
      </c>
      <c r="W675" s="49" t="s">
        <v>1565</v>
      </c>
      <c r="X675" s="154" t="s">
        <v>2948</v>
      </c>
      <c r="Y675" s="154">
        <v>0</v>
      </c>
    </row>
    <row r="676" spans="1:25" ht="13" customHeight="1">
      <c r="A676" s="11">
        <v>670</v>
      </c>
      <c r="B676" s="47">
        <v>206239521</v>
      </c>
      <c r="C676" s="88" t="s">
        <v>2326</v>
      </c>
      <c r="D676" s="11" t="s">
        <v>2327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84</v>
      </c>
      <c r="M676" s="49" t="s">
        <v>85</v>
      </c>
      <c r="N676" s="49" t="s">
        <v>89</v>
      </c>
      <c r="O676" s="49" t="s">
        <v>37</v>
      </c>
      <c r="P676" s="11" t="s">
        <v>80</v>
      </c>
      <c r="Q676" s="11" t="s">
        <v>90</v>
      </c>
      <c r="R676" s="11" t="s">
        <v>628</v>
      </c>
      <c r="S676" s="11" t="s">
        <v>629</v>
      </c>
      <c r="T676" s="105" t="s">
        <v>1</v>
      </c>
      <c r="U676" s="98"/>
      <c r="V676" s="51">
        <v>45943</v>
      </c>
      <c r="W676" s="49" t="s">
        <v>1565</v>
      </c>
      <c r="X676" s="154" t="s">
        <v>2</v>
      </c>
      <c r="Y676" s="154">
        <v>0</v>
      </c>
    </row>
    <row r="677" spans="1:25" ht="13" customHeight="1">
      <c r="A677" s="11">
        <v>671</v>
      </c>
      <c r="B677" s="47">
        <v>206239750</v>
      </c>
      <c r="C677" s="88" t="s">
        <v>1619</v>
      </c>
      <c r="D677" s="11" t="s">
        <v>1614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84</v>
      </c>
      <c r="M677" s="49" t="s">
        <v>85</v>
      </c>
      <c r="N677" s="49" t="s">
        <v>89</v>
      </c>
      <c r="O677" s="49" t="s">
        <v>37</v>
      </c>
      <c r="P677" s="11" t="s">
        <v>80</v>
      </c>
      <c r="Q677" s="11" t="s">
        <v>90</v>
      </c>
      <c r="R677" s="11" t="s">
        <v>628</v>
      </c>
      <c r="S677" s="11" t="s">
        <v>629</v>
      </c>
      <c r="T677" s="105" t="s">
        <v>1</v>
      </c>
      <c r="U677" s="98"/>
      <c r="V677" s="51">
        <v>45943</v>
      </c>
      <c r="W677" s="49" t="s">
        <v>1565</v>
      </c>
      <c r="X677" s="154" t="s">
        <v>2</v>
      </c>
      <c r="Y677" s="154">
        <v>0</v>
      </c>
    </row>
    <row r="678" spans="1:25" ht="13" customHeight="1">
      <c r="A678" s="11">
        <v>672</v>
      </c>
      <c r="B678" s="47">
        <v>203513810</v>
      </c>
      <c r="C678" s="88" t="s">
        <v>725</v>
      </c>
      <c r="D678" s="11" t="s">
        <v>726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85</v>
      </c>
      <c r="M678" s="49" t="s">
        <v>88</v>
      </c>
      <c r="N678" s="48" t="s">
        <v>79</v>
      </c>
      <c r="O678" s="49" t="s">
        <v>37</v>
      </c>
      <c r="P678" s="11" t="s">
        <v>80</v>
      </c>
      <c r="Q678" s="11" t="s">
        <v>81</v>
      </c>
      <c r="R678" s="49" t="s">
        <v>2659</v>
      </c>
      <c r="S678" s="11" t="s">
        <v>639</v>
      </c>
      <c r="T678" s="105" t="s">
        <v>1</v>
      </c>
      <c r="U678" s="98"/>
      <c r="V678" s="51">
        <v>45463</v>
      </c>
      <c r="W678" s="49" t="s">
        <v>1564</v>
      </c>
      <c r="X678" s="154" t="s">
        <v>2</v>
      </c>
      <c r="Y678" s="154">
        <v>0</v>
      </c>
    </row>
    <row r="679" spans="1:25" ht="13" customHeight="1">
      <c r="A679" s="11">
        <v>673</v>
      </c>
      <c r="B679" s="47">
        <v>206491327</v>
      </c>
      <c r="C679" s="88" t="s">
        <v>2084</v>
      </c>
      <c r="D679" s="11" t="s">
        <v>2085</v>
      </c>
      <c r="E679" s="101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87" t="s">
        <v>39</v>
      </c>
      <c r="K679" s="49" t="s">
        <v>76</v>
      </c>
      <c r="L679" s="49" t="s">
        <v>78</v>
      </c>
      <c r="M679" s="49" t="s">
        <v>92</v>
      </c>
      <c r="N679" s="49" t="s">
        <v>89</v>
      </c>
      <c r="O679" s="49" t="s">
        <v>37</v>
      </c>
      <c r="P679" s="49" t="s">
        <v>80</v>
      </c>
      <c r="Q679" s="49" t="s">
        <v>96</v>
      </c>
      <c r="R679" s="49" t="s">
        <v>644</v>
      </c>
      <c r="S679" s="49" t="s">
        <v>1777</v>
      </c>
      <c r="T679" s="105" t="s">
        <v>1</v>
      </c>
      <c r="U679" s="98"/>
      <c r="V679" s="51">
        <v>46048</v>
      </c>
      <c r="W679" s="49" t="s">
        <v>1564</v>
      </c>
      <c r="X679" s="154" t="s">
        <v>2</v>
      </c>
      <c r="Y679" s="154">
        <v>0</v>
      </c>
    </row>
    <row r="680" spans="1:25" ht="13" customHeight="1">
      <c r="A680" s="11">
        <v>674</v>
      </c>
      <c r="B680" s="47">
        <v>203512670</v>
      </c>
      <c r="C680" s="88" t="s">
        <v>727</v>
      </c>
      <c r="D680" s="11" t="s">
        <v>728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36</v>
      </c>
      <c r="M680" s="49" t="s">
        <v>78</v>
      </c>
      <c r="N680" s="48" t="s">
        <v>79</v>
      </c>
      <c r="O680" s="49" t="s">
        <v>37</v>
      </c>
      <c r="P680" s="11" t="s">
        <v>80</v>
      </c>
      <c r="Q680" s="11" t="s">
        <v>81</v>
      </c>
      <c r="R680" s="11" t="s">
        <v>628</v>
      </c>
      <c r="S680" s="11" t="s">
        <v>629</v>
      </c>
      <c r="T680" s="105" t="s">
        <v>1</v>
      </c>
      <c r="U680" s="98" t="s">
        <v>2944</v>
      </c>
      <c r="V680" s="51">
        <v>45463</v>
      </c>
      <c r="W680" s="49" t="s">
        <v>1566</v>
      </c>
      <c r="X680" s="154" t="s">
        <v>2</v>
      </c>
      <c r="Y680" s="154">
        <v>0</v>
      </c>
    </row>
    <row r="681" spans="1:25" ht="13" customHeight="1">
      <c r="A681" s="11">
        <v>675</v>
      </c>
      <c r="B681" s="47">
        <v>203512667</v>
      </c>
      <c r="C681" s="88" t="s">
        <v>729</v>
      </c>
      <c r="D681" s="11" t="s">
        <v>730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32</v>
      </c>
      <c r="K681" s="49" t="s">
        <v>76</v>
      </c>
      <c r="L681" s="49" t="s">
        <v>84</v>
      </c>
      <c r="M681" s="49" t="s">
        <v>85</v>
      </c>
      <c r="N681" s="48" t="s">
        <v>79</v>
      </c>
      <c r="O681" s="49" t="s">
        <v>37</v>
      </c>
      <c r="P681" s="11" t="s">
        <v>80</v>
      </c>
      <c r="Q681" s="11" t="s">
        <v>81</v>
      </c>
      <c r="R681" s="11" t="s">
        <v>628</v>
      </c>
      <c r="S681" s="11" t="s">
        <v>629</v>
      </c>
      <c r="T681" s="105" t="s">
        <v>1</v>
      </c>
      <c r="U681" s="98"/>
      <c r="V681" s="51">
        <v>45463</v>
      </c>
      <c r="W681" s="49" t="s">
        <v>1565</v>
      </c>
      <c r="X681" s="154" t="s">
        <v>2</v>
      </c>
      <c r="Y681" s="154">
        <v>0</v>
      </c>
    </row>
    <row r="682" spans="1:25" ht="13" customHeight="1">
      <c r="A682" s="11">
        <v>676</v>
      </c>
      <c r="B682" s="47">
        <v>205280684</v>
      </c>
      <c r="C682" s="88" t="s">
        <v>2082</v>
      </c>
      <c r="D682" s="11" t="s">
        <v>2083</v>
      </c>
      <c r="E682" s="101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87" t="s">
        <v>39</v>
      </c>
      <c r="K682" s="49" t="s">
        <v>76</v>
      </c>
      <c r="L682" s="49" t="s">
        <v>92</v>
      </c>
      <c r="M682" s="49" t="s">
        <v>84</v>
      </c>
      <c r="N682" s="49" t="s">
        <v>89</v>
      </c>
      <c r="O682" s="49" t="s">
        <v>37</v>
      </c>
      <c r="P682" s="49" t="s">
        <v>80</v>
      </c>
      <c r="Q682" s="49" t="s">
        <v>96</v>
      </c>
      <c r="R682" s="49" t="s">
        <v>644</v>
      </c>
      <c r="S682" s="49" t="s">
        <v>1777</v>
      </c>
      <c r="T682" s="105" t="s">
        <v>1</v>
      </c>
      <c r="U682" s="98"/>
      <c r="V682" s="51">
        <v>46048</v>
      </c>
      <c r="W682" s="49" t="s">
        <v>1564</v>
      </c>
      <c r="X682" s="154" t="s">
        <v>2</v>
      </c>
      <c r="Y682" s="154">
        <v>0</v>
      </c>
    </row>
    <row r="683" spans="1:25" ht="13" customHeight="1">
      <c r="A683" s="11">
        <v>677</v>
      </c>
      <c r="B683" s="91">
        <v>204172222</v>
      </c>
      <c r="C683" s="47" t="s">
        <v>2696</v>
      </c>
      <c r="D683" s="88" t="s">
        <v>2697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77</v>
      </c>
      <c r="M683" s="49" t="s">
        <v>78</v>
      </c>
      <c r="N683" s="48" t="s">
        <v>86</v>
      </c>
      <c r="O683" s="49" t="s">
        <v>37</v>
      </c>
      <c r="P683" s="11" t="s">
        <v>80</v>
      </c>
      <c r="Q683" s="11" t="s">
        <v>90</v>
      </c>
      <c r="R683" s="11" t="s">
        <v>2779</v>
      </c>
      <c r="S683" s="11" t="s">
        <v>2780</v>
      </c>
      <c r="T683" s="105" t="s">
        <v>10</v>
      </c>
      <c r="U683" s="98"/>
      <c r="V683" s="51">
        <v>45568</v>
      </c>
      <c r="W683" s="49" t="s">
        <v>1564</v>
      </c>
      <c r="X683" s="154" t="s">
        <v>2948</v>
      </c>
      <c r="Y683" s="154">
        <v>0</v>
      </c>
    </row>
    <row r="684" spans="1:25" ht="13" customHeight="1">
      <c r="A684" s="11">
        <v>678</v>
      </c>
      <c r="B684" s="47">
        <v>206914994</v>
      </c>
      <c r="C684" s="88" t="s">
        <v>2328</v>
      </c>
      <c r="D684" s="11" t="s">
        <v>2329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95</v>
      </c>
      <c r="M684" s="49" t="s">
        <v>77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2778</v>
      </c>
      <c r="S684" s="11" t="s">
        <v>2656</v>
      </c>
      <c r="T684" s="105" t="s">
        <v>10</v>
      </c>
      <c r="U684" s="98"/>
      <c r="V684" s="51">
        <v>46034</v>
      </c>
      <c r="W684" s="49" t="s">
        <v>1564</v>
      </c>
      <c r="X684" s="154" t="s">
        <v>2948</v>
      </c>
      <c r="Y684" s="154">
        <v>0</v>
      </c>
    </row>
    <row r="685" spans="1:25" ht="13" customHeight="1">
      <c r="A685" s="11">
        <v>679</v>
      </c>
      <c r="B685" s="47">
        <v>203342654</v>
      </c>
      <c r="C685" s="88" t="s">
        <v>731</v>
      </c>
      <c r="D685" s="11" t="s">
        <v>732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32</v>
      </c>
      <c r="K685" s="49" t="s">
        <v>76</v>
      </c>
      <c r="L685" s="49" t="s">
        <v>77</v>
      </c>
      <c r="M685" s="49" t="s">
        <v>78</v>
      </c>
      <c r="N685" s="48" t="s">
        <v>86</v>
      </c>
      <c r="O685" s="49" t="s">
        <v>37</v>
      </c>
      <c r="P685" s="11" t="s">
        <v>80</v>
      </c>
      <c r="Q685" s="11" t="s">
        <v>99</v>
      </c>
      <c r="R685" s="49" t="s">
        <v>644</v>
      </c>
      <c r="S685" s="11" t="s">
        <v>1777</v>
      </c>
      <c r="T685" s="105" t="s">
        <v>10</v>
      </c>
      <c r="U685" s="98"/>
      <c r="V685" s="51">
        <v>45432</v>
      </c>
      <c r="W685" s="49" t="s">
        <v>1565</v>
      </c>
      <c r="X685" s="154" t="s">
        <v>2948</v>
      </c>
      <c r="Y685" s="154">
        <v>0</v>
      </c>
    </row>
    <row r="686" spans="1:25" ht="13" customHeight="1">
      <c r="A686" s="11">
        <v>680</v>
      </c>
      <c r="B686" s="47">
        <v>205848042</v>
      </c>
      <c r="C686" s="88" t="s">
        <v>733</v>
      </c>
      <c r="D686" s="11" t="s">
        <v>734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77</v>
      </c>
      <c r="M686" s="49" t="s">
        <v>78</v>
      </c>
      <c r="N686" s="49" t="s">
        <v>79</v>
      </c>
      <c r="O686" s="49" t="s">
        <v>37</v>
      </c>
      <c r="P686" s="11" t="s">
        <v>80</v>
      </c>
      <c r="Q686" s="11" t="s">
        <v>96</v>
      </c>
      <c r="R686" s="49" t="s">
        <v>644</v>
      </c>
      <c r="S686" s="11" t="s">
        <v>1777</v>
      </c>
      <c r="T686" s="105" t="s">
        <v>10</v>
      </c>
      <c r="U686" s="98"/>
      <c r="V686" s="51">
        <v>45894</v>
      </c>
      <c r="W686" s="49" t="s">
        <v>1564</v>
      </c>
      <c r="X686" s="154" t="s">
        <v>2948</v>
      </c>
      <c r="Y686" s="154">
        <v>0</v>
      </c>
    </row>
    <row r="687" spans="1:25" ht="13" customHeight="1">
      <c r="A687" s="11">
        <v>681</v>
      </c>
      <c r="B687" s="47">
        <v>206239212</v>
      </c>
      <c r="C687" s="88" t="s">
        <v>1628</v>
      </c>
      <c r="D687" s="11" t="s">
        <v>1605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77</v>
      </c>
      <c r="M687" s="49" t="s">
        <v>78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11" t="s">
        <v>1057</v>
      </c>
      <c r="S687" s="11" t="s">
        <v>2657</v>
      </c>
      <c r="T687" s="105" t="s">
        <v>10</v>
      </c>
      <c r="U687" s="98"/>
      <c r="V687" s="51">
        <v>45943</v>
      </c>
      <c r="W687" s="49" t="s">
        <v>1564</v>
      </c>
      <c r="X687" s="154" t="s">
        <v>2948</v>
      </c>
      <c r="Y687" s="154">
        <v>0</v>
      </c>
    </row>
    <row r="688" spans="1:25" ht="13" customHeight="1">
      <c r="A688" s="11">
        <v>682</v>
      </c>
      <c r="B688" s="47">
        <v>108196835</v>
      </c>
      <c r="C688" s="88" t="s">
        <v>735</v>
      </c>
      <c r="D688" s="11" t="s">
        <v>736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78</v>
      </c>
      <c r="M688" s="49" t="s">
        <v>92</v>
      </c>
      <c r="N688" s="48" t="s">
        <v>86</v>
      </c>
      <c r="O688" s="49" t="s">
        <v>37</v>
      </c>
      <c r="P688" s="11" t="s">
        <v>80</v>
      </c>
      <c r="Q688" s="11" t="s">
        <v>87</v>
      </c>
      <c r="R688" s="49" t="s">
        <v>624</v>
      </c>
      <c r="S688" s="11" t="s">
        <v>625</v>
      </c>
      <c r="T688" s="105" t="s">
        <v>1</v>
      </c>
      <c r="U688" s="98"/>
      <c r="V688" s="51">
        <v>45589</v>
      </c>
      <c r="W688" s="49" t="s">
        <v>1563</v>
      </c>
      <c r="X688" s="154" t="s">
        <v>2</v>
      </c>
      <c r="Y688" s="154">
        <v>0</v>
      </c>
    </row>
    <row r="689" spans="1:25" ht="13" customHeight="1">
      <c r="A689" s="11">
        <v>683</v>
      </c>
      <c r="B689" s="47">
        <v>206136720</v>
      </c>
      <c r="C689" s="88" t="s">
        <v>737</v>
      </c>
      <c r="D689" s="11" t="s">
        <v>738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92</v>
      </c>
      <c r="M689" s="49" t="s">
        <v>84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628</v>
      </c>
      <c r="S689" s="11" t="s">
        <v>629</v>
      </c>
      <c r="T689" s="105" t="s">
        <v>1</v>
      </c>
      <c r="U689" s="98"/>
      <c r="V689" s="51">
        <v>45929</v>
      </c>
      <c r="W689" s="49" t="s">
        <v>1564</v>
      </c>
      <c r="X689" s="154" t="s">
        <v>2</v>
      </c>
      <c r="Y689" s="154">
        <v>0</v>
      </c>
    </row>
    <row r="690" spans="1:25" ht="13" customHeight="1">
      <c r="A690" s="11">
        <v>684</v>
      </c>
      <c r="B690" s="47">
        <v>203342034</v>
      </c>
      <c r="C690" s="88" t="s">
        <v>739</v>
      </c>
      <c r="D690" s="11" t="s">
        <v>740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77</v>
      </c>
      <c r="M690" s="49" t="s">
        <v>78</v>
      </c>
      <c r="N690" s="48" t="s">
        <v>86</v>
      </c>
      <c r="O690" s="49" t="s">
        <v>37</v>
      </c>
      <c r="P690" s="11" t="s">
        <v>80</v>
      </c>
      <c r="Q690" s="11" t="s">
        <v>99</v>
      </c>
      <c r="R690" s="11" t="s">
        <v>2779</v>
      </c>
      <c r="S690" s="11" t="s">
        <v>2780</v>
      </c>
      <c r="T690" s="105" t="s">
        <v>10</v>
      </c>
      <c r="U690" s="98"/>
      <c r="V690" s="51">
        <v>45432</v>
      </c>
      <c r="W690" s="49" t="s">
        <v>1564</v>
      </c>
      <c r="X690" s="154" t="s">
        <v>2948</v>
      </c>
      <c r="Y690" s="154">
        <v>0</v>
      </c>
    </row>
    <row r="691" spans="1:25" ht="13" customHeight="1">
      <c r="A691" s="11">
        <v>685</v>
      </c>
      <c r="B691" s="47">
        <v>206491325</v>
      </c>
      <c r="C691" s="88" t="s">
        <v>2092</v>
      </c>
      <c r="D691" s="11" t="s">
        <v>2093</v>
      </c>
      <c r="E691" s="101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92</v>
      </c>
      <c r="M691" s="49" t="s">
        <v>84</v>
      </c>
      <c r="N691" s="49" t="s">
        <v>89</v>
      </c>
      <c r="O691" s="49" t="s">
        <v>37</v>
      </c>
      <c r="P691" s="49" t="s">
        <v>80</v>
      </c>
      <c r="Q691" s="49" t="s">
        <v>96</v>
      </c>
      <c r="R691" s="11" t="s">
        <v>628</v>
      </c>
      <c r="S691" s="49" t="s">
        <v>629</v>
      </c>
      <c r="T691" s="105" t="s">
        <v>1</v>
      </c>
      <c r="U691" s="98"/>
      <c r="V691" s="51">
        <v>46048</v>
      </c>
      <c r="W691" s="49" t="s">
        <v>1564</v>
      </c>
      <c r="X691" s="154" t="s">
        <v>2</v>
      </c>
      <c r="Y691" s="154">
        <v>0</v>
      </c>
    </row>
    <row r="692" spans="1:25" ht="13" customHeight="1">
      <c r="A692" s="11">
        <v>686</v>
      </c>
      <c r="B692" s="47">
        <v>205848048</v>
      </c>
      <c r="C692" s="88" t="s">
        <v>741</v>
      </c>
      <c r="D692" s="11" t="s">
        <v>742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84</v>
      </c>
      <c r="M692" s="49" t="s">
        <v>85</v>
      </c>
      <c r="N692" s="49" t="s">
        <v>89</v>
      </c>
      <c r="O692" s="49" t="s">
        <v>37</v>
      </c>
      <c r="P692" s="11" t="s">
        <v>80</v>
      </c>
      <c r="Q692" s="11" t="s">
        <v>96</v>
      </c>
      <c r="R692" s="11" t="s">
        <v>1057</v>
      </c>
      <c r="S692" s="11" t="s">
        <v>2657</v>
      </c>
      <c r="T692" s="105" t="s">
        <v>1</v>
      </c>
      <c r="U692" s="98"/>
      <c r="V692" s="51">
        <v>45894</v>
      </c>
      <c r="W692" s="49" t="s">
        <v>1564</v>
      </c>
      <c r="X692" s="154" t="s">
        <v>2</v>
      </c>
      <c r="Y692" s="154">
        <v>0</v>
      </c>
    </row>
    <row r="693" spans="1:25" ht="13" customHeight="1">
      <c r="A693" s="11">
        <v>687</v>
      </c>
      <c r="B693" s="47">
        <v>203512665</v>
      </c>
      <c r="C693" s="88" t="s">
        <v>743</v>
      </c>
      <c r="D693" s="11" t="s">
        <v>744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88</v>
      </c>
      <c r="M693" s="49" t="s">
        <v>95</v>
      </c>
      <c r="N693" s="48" t="s">
        <v>79</v>
      </c>
      <c r="O693" s="49" t="s">
        <v>37</v>
      </c>
      <c r="P693" s="11" t="s">
        <v>80</v>
      </c>
      <c r="Q693" s="11" t="s">
        <v>81</v>
      </c>
      <c r="R693" s="49" t="s">
        <v>644</v>
      </c>
      <c r="S693" s="11" t="s">
        <v>1777</v>
      </c>
      <c r="T693" s="105" t="s">
        <v>1</v>
      </c>
      <c r="U693" s="98"/>
      <c r="V693" s="51">
        <v>45463</v>
      </c>
      <c r="W693" s="49" t="s">
        <v>1565</v>
      </c>
      <c r="X693" s="154" t="s">
        <v>2</v>
      </c>
      <c r="Y693" s="154">
        <v>0</v>
      </c>
    </row>
    <row r="694" spans="1:25" ht="13" customHeight="1">
      <c r="A694" s="11">
        <v>688</v>
      </c>
      <c r="B694" s="47">
        <v>203965413</v>
      </c>
      <c r="C694" s="88" t="s">
        <v>745</v>
      </c>
      <c r="D694" s="11" t="s">
        <v>746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95</v>
      </c>
      <c r="M694" s="49" t="s">
        <v>77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49" t="s">
        <v>2659</v>
      </c>
      <c r="S694" s="11" t="s">
        <v>639</v>
      </c>
      <c r="T694" s="105" t="s">
        <v>10</v>
      </c>
      <c r="U694" s="98"/>
      <c r="V694" s="51">
        <v>45544</v>
      </c>
      <c r="W694" s="49" t="s">
        <v>1564</v>
      </c>
      <c r="X694" s="154" t="s">
        <v>2948</v>
      </c>
      <c r="Y694" s="154">
        <v>0</v>
      </c>
    </row>
    <row r="695" spans="1:25" ht="13" customHeight="1">
      <c r="A695" s="11">
        <v>689</v>
      </c>
      <c r="B695" s="47">
        <v>203881660</v>
      </c>
      <c r="C695" s="88" t="s">
        <v>747</v>
      </c>
      <c r="D695" s="11" t="s">
        <v>748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95</v>
      </c>
      <c r="M695" s="49" t="s">
        <v>77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49" t="s">
        <v>624</v>
      </c>
      <c r="S695" s="11" t="s">
        <v>625</v>
      </c>
      <c r="T695" s="105" t="s">
        <v>10</v>
      </c>
      <c r="U695" s="98"/>
      <c r="V695" s="51">
        <v>45530</v>
      </c>
      <c r="W695" s="49" t="s">
        <v>1564</v>
      </c>
      <c r="X695" s="154" t="s">
        <v>2948</v>
      </c>
      <c r="Y695" s="154">
        <v>0</v>
      </c>
    </row>
    <row r="696" spans="1:25" ht="13" customHeight="1">
      <c r="A696" s="11">
        <v>690</v>
      </c>
      <c r="B696" s="47">
        <v>203512671</v>
      </c>
      <c r="C696" s="88" t="s">
        <v>749</v>
      </c>
      <c r="D696" s="11" t="s">
        <v>750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85</v>
      </c>
      <c r="M696" s="49" t="s">
        <v>88</v>
      </c>
      <c r="N696" s="48" t="s">
        <v>79</v>
      </c>
      <c r="O696" s="49" t="s">
        <v>37</v>
      </c>
      <c r="P696" s="11" t="s">
        <v>80</v>
      </c>
      <c r="Q696" s="11" t="s">
        <v>81</v>
      </c>
      <c r="R696" s="49" t="s">
        <v>2659</v>
      </c>
      <c r="S696" s="11" t="s">
        <v>639</v>
      </c>
      <c r="T696" s="105" t="s">
        <v>3</v>
      </c>
      <c r="U696" s="98"/>
      <c r="V696" s="51">
        <v>45463</v>
      </c>
      <c r="W696" s="49" t="s">
        <v>1565</v>
      </c>
      <c r="X696" s="154" t="s">
        <v>2948</v>
      </c>
      <c r="Y696" s="154">
        <v>0</v>
      </c>
    </row>
    <row r="697" spans="1:25" ht="13" customHeight="1">
      <c r="A697" s="11">
        <v>691</v>
      </c>
      <c r="B697" s="47">
        <v>203881698</v>
      </c>
      <c r="C697" s="88" t="s">
        <v>751</v>
      </c>
      <c r="D697" s="11" t="s">
        <v>752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36</v>
      </c>
      <c r="M697" s="49" t="s">
        <v>78</v>
      </c>
      <c r="N697" s="48" t="s">
        <v>79</v>
      </c>
      <c r="O697" s="49" t="s">
        <v>37</v>
      </c>
      <c r="P697" s="11" t="s">
        <v>80</v>
      </c>
      <c r="Q697" s="11" t="s">
        <v>81</v>
      </c>
      <c r="R697" s="49" t="s">
        <v>624</v>
      </c>
      <c r="S697" s="11" t="s">
        <v>625</v>
      </c>
      <c r="T697" s="105" t="s">
        <v>1</v>
      </c>
      <c r="U697" s="98" t="s">
        <v>2944</v>
      </c>
      <c r="V697" s="51">
        <v>45530</v>
      </c>
      <c r="W697" s="49" t="s">
        <v>1566</v>
      </c>
      <c r="X697" s="154" t="s">
        <v>2</v>
      </c>
      <c r="Y697" s="154">
        <v>0</v>
      </c>
    </row>
    <row r="698" spans="1:25" ht="13" customHeight="1">
      <c r="A698" s="11">
        <v>692</v>
      </c>
      <c r="B698" s="47">
        <v>204145465</v>
      </c>
      <c r="C698" s="88" t="s">
        <v>753</v>
      </c>
      <c r="D698" s="11" t="s">
        <v>754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88</v>
      </c>
      <c r="M698" s="49" t="s">
        <v>95</v>
      </c>
      <c r="N698" s="48" t="s">
        <v>86</v>
      </c>
      <c r="O698" s="49" t="s">
        <v>37</v>
      </c>
      <c r="P698" s="11" t="s">
        <v>80</v>
      </c>
      <c r="Q698" s="11" t="s">
        <v>87</v>
      </c>
      <c r="R698" s="11" t="s">
        <v>1057</v>
      </c>
      <c r="S698" s="11" t="s">
        <v>2657</v>
      </c>
      <c r="T698" s="105" t="s">
        <v>1</v>
      </c>
      <c r="U698" s="98"/>
      <c r="V698" s="51">
        <v>45568</v>
      </c>
      <c r="W698" s="49" t="s">
        <v>1565</v>
      </c>
      <c r="X698" s="154" t="s">
        <v>2</v>
      </c>
      <c r="Y698" s="154">
        <v>0</v>
      </c>
    </row>
    <row r="699" spans="1:25" ht="13" customHeight="1">
      <c r="A699" s="11">
        <v>693</v>
      </c>
      <c r="B699" s="47">
        <v>206145766</v>
      </c>
      <c r="C699" s="88" t="s">
        <v>755</v>
      </c>
      <c r="D699" s="11" t="s">
        <v>756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95</v>
      </c>
      <c r="M699" s="49" t="s">
        <v>77</v>
      </c>
      <c r="N699" s="49" t="s">
        <v>89</v>
      </c>
      <c r="O699" s="49" t="s">
        <v>37</v>
      </c>
      <c r="P699" s="11" t="s">
        <v>80</v>
      </c>
      <c r="Q699" s="11" t="s">
        <v>81</v>
      </c>
      <c r="R699" s="11" t="s">
        <v>628</v>
      </c>
      <c r="S699" s="11" t="s">
        <v>629</v>
      </c>
      <c r="T699" s="105" t="s">
        <v>10</v>
      </c>
      <c r="U699" s="98"/>
      <c r="V699" s="51">
        <v>45929</v>
      </c>
      <c r="W699" s="49" t="s">
        <v>1564</v>
      </c>
      <c r="X699" s="154" t="s">
        <v>2948</v>
      </c>
      <c r="Y699" s="154">
        <v>0</v>
      </c>
    </row>
    <row r="700" spans="1:25" ht="13" customHeight="1">
      <c r="A700" s="11">
        <v>694</v>
      </c>
      <c r="B700" s="91">
        <v>205227534</v>
      </c>
      <c r="C700" s="47" t="s">
        <v>2698</v>
      </c>
      <c r="D700" s="88" t="s">
        <v>2699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88</v>
      </c>
      <c r="M700" s="49" t="s">
        <v>95</v>
      </c>
      <c r="N700" s="48" t="s">
        <v>2682</v>
      </c>
      <c r="O700" s="49" t="s">
        <v>37</v>
      </c>
      <c r="P700" s="11" t="s">
        <v>80</v>
      </c>
      <c r="Q700" s="11" t="s">
        <v>90</v>
      </c>
      <c r="R700" s="11" t="s">
        <v>1057</v>
      </c>
      <c r="S700" s="11" t="s">
        <v>2689</v>
      </c>
      <c r="T700" s="105" t="s">
        <v>1</v>
      </c>
      <c r="U700" s="98"/>
      <c r="V700" s="51">
        <v>45789</v>
      </c>
      <c r="W700" s="49" t="s">
        <v>1564</v>
      </c>
      <c r="X700" s="154" t="s">
        <v>2</v>
      </c>
      <c r="Y700" s="154">
        <v>0</v>
      </c>
    </row>
    <row r="701" spans="1:25" ht="13" customHeight="1">
      <c r="A701" s="11">
        <v>695</v>
      </c>
      <c r="B701" s="47">
        <v>205257390</v>
      </c>
      <c r="C701" s="89" t="s">
        <v>2024</v>
      </c>
      <c r="D701" s="11" t="s">
        <v>2025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87" t="s">
        <v>39</v>
      </c>
      <c r="K701" s="49" t="s">
        <v>76</v>
      </c>
      <c r="L701" s="49" t="s">
        <v>77</v>
      </c>
      <c r="M701" s="49" t="s">
        <v>78</v>
      </c>
      <c r="N701" s="49" t="s">
        <v>89</v>
      </c>
      <c r="O701" s="49" t="s">
        <v>37</v>
      </c>
      <c r="P701" s="11" t="s">
        <v>80</v>
      </c>
      <c r="Q701" s="11" t="s">
        <v>96</v>
      </c>
      <c r="R701" s="11" t="s">
        <v>2778</v>
      </c>
      <c r="S701" s="11" t="s">
        <v>2656</v>
      </c>
      <c r="T701" s="105" t="s">
        <v>10</v>
      </c>
      <c r="U701" s="98"/>
      <c r="V701" s="51">
        <v>46048</v>
      </c>
      <c r="W701" s="49" t="s">
        <v>1564</v>
      </c>
      <c r="X701" s="154" t="s">
        <v>2948</v>
      </c>
      <c r="Y701" s="154">
        <v>0</v>
      </c>
    </row>
    <row r="702" spans="1:25" ht="13" customHeight="1">
      <c r="A702" s="11">
        <v>696</v>
      </c>
      <c r="B702" s="47">
        <v>206491331</v>
      </c>
      <c r="C702" s="88" t="s">
        <v>2086</v>
      </c>
      <c r="D702" s="11" t="s">
        <v>2087</v>
      </c>
      <c r="E702" s="101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87" t="s">
        <v>39</v>
      </c>
      <c r="K702" s="49" t="s">
        <v>76</v>
      </c>
      <c r="L702" s="49" t="s">
        <v>78</v>
      </c>
      <c r="M702" s="49" t="s">
        <v>92</v>
      </c>
      <c r="N702" s="49" t="s">
        <v>89</v>
      </c>
      <c r="O702" s="49" t="s">
        <v>37</v>
      </c>
      <c r="P702" s="49" t="s">
        <v>80</v>
      </c>
      <c r="Q702" s="49" t="s">
        <v>96</v>
      </c>
      <c r="R702" s="49" t="s">
        <v>644</v>
      </c>
      <c r="S702" s="49" t="s">
        <v>1777</v>
      </c>
      <c r="T702" s="105" t="s">
        <v>1</v>
      </c>
      <c r="U702" s="98"/>
      <c r="V702" s="51">
        <v>46048</v>
      </c>
      <c r="W702" s="49" t="s">
        <v>1564</v>
      </c>
      <c r="X702" s="154" t="s">
        <v>2</v>
      </c>
      <c r="Y702" s="154">
        <v>0</v>
      </c>
    </row>
    <row r="703" spans="1:25" ht="13" customHeight="1">
      <c r="A703" s="11">
        <v>697</v>
      </c>
      <c r="B703" s="47">
        <v>203993306</v>
      </c>
      <c r="C703" s="88" t="s">
        <v>757</v>
      </c>
      <c r="D703" s="11" t="s">
        <v>758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36</v>
      </c>
      <c r="M703" s="49" t="s">
        <v>78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11" t="s">
        <v>1057</v>
      </c>
      <c r="S703" s="11" t="s">
        <v>2657</v>
      </c>
      <c r="T703" s="105" t="s">
        <v>1</v>
      </c>
      <c r="U703" s="98" t="s">
        <v>2944</v>
      </c>
      <c r="V703" s="51">
        <v>45547</v>
      </c>
      <c r="W703" s="49" t="s">
        <v>1564</v>
      </c>
      <c r="X703" s="154" t="s">
        <v>2</v>
      </c>
      <c r="Y703" s="154">
        <v>0</v>
      </c>
    </row>
    <row r="704" spans="1:25" ht="13" customHeight="1">
      <c r="A704" s="11">
        <v>698</v>
      </c>
      <c r="B704" s="47">
        <v>204013689</v>
      </c>
      <c r="C704" s="88" t="s">
        <v>759</v>
      </c>
      <c r="D704" s="11" t="s">
        <v>760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95</v>
      </c>
      <c r="M704" s="49" t="s">
        <v>77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49" t="s">
        <v>624</v>
      </c>
      <c r="S704" s="11" t="s">
        <v>625</v>
      </c>
      <c r="T704" s="105" t="s">
        <v>10</v>
      </c>
      <c r="U704" s="98"/>
      <c r="V704" s="51">
        <v>45551</v>
      </c>
      <c r="W704" s="49" t="s">
        <v>1564</v>
      </c>
      <c r="X704" s="154" t="s">
        <v>2948</v>
      </c>
      <c r="Y704" s="154">
        <v>0</v>
      </c>
    </row>
    <row r="705" spans="1:25" ht="13" customHeight="1">
      <c r="A705" s="11">
        <v>699</v>
      </c>
      <c r="B705" s="11">
        <v>205854274</v>
      </c>
      <c r="C705" s="88" t="s">
        <v>2764</v>
      </c>
      <c r="D705" s="11" t="s">
        <v>2765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92</v>
      </c>
      <c r="M705" s="49" t="s">
        <v>84</v>
      </c>
      <c r="N705" s="11" t="s">
        <v>89</v>
      </c>
      <c r="O705" s="11" t="s">
        <v>37</v>
      </c>
      <c r="P705" s="11" t="s">
        <v>80</v>
      </c>
      <c r="Q705" s="11" t="s">
        <v>96</v>
      </c>
      <c r="R705" s="11" t="s">
        <v>628</v>
      </c>
      <c r="S705" s="11" t="s">
        <v>629</v>
      </c>
      <c r="T705" s="105" t="s">
        <v>1</v>
      </c>
      <c r="U705" s="98"/>
      <c r="V705" s="51">
        <v>46226</v>
      </c>
      <c r="W705" s="11" t="s">
        <v>1564</v>
      </c>
      <c r="X705" s="154" t="s">
        <v>2</v>
      </c>
      <c r="Y705" s="154">
        <v>0</v>
      </c>
    </row>
    <row r="706" spans="1:25" ht="13" customHeight="1">
      <c r="A706" s="11">
        <v>700</v>
      </c>
      <c r="B706" s="47">
        <v>206868005</v>
      </c>
      <c r="C706" s="88" t="str">
        <f>VLOOKUP(B706,'[1]employeeList-AUH1 (28)'!$A$1:$J$1523,2,0)</f>
        <v>vdelacyr</v>
      </c>
      <c r="D706" s="11" t="s">
        <v>2839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11" t="s">
        <v>39</v>
      </c>
      <c r="K706" s="11" t="s">
        <v>76</v>
      </c>
      <c r="L706" s="11" t="s">
        <v>88</v>
      </c>
      <c r="M706" s="11" t="s">
        <v>95</v>
      </c>
      <c r="N706" s="11" t="s">
        <v>89</v>
      </c>
      <c r="O706" s="11" t="s">
        <v>37</v>
      </c>
      <c r="P706" s="11" t="s">
        <v>80</v>
      </c>
      <c r="Q706" s="11" t="s">
        <v>81</v>
      </c>
      <c r="R706" s="11" t="s">
        <v>628</v>
      </c>
      <c r="S706" s="11" t="s">
        <v>629</v>
      </c>
      <c r="T706" s="105" t="s">
        <v>1</v>
      </c>
      <c r="U706" s="98"/>
      <c r="V706" s="51">
        <v>46239</v>
      </c>
      <c r="W706" s="11" t="s">
        <v>1566</v>
      </c>
      <c r="X706" s="154" t="s">
        <v>2</v>
      </c>
      <c r="Y706" s="154">
        <v>0</v>
      </c>
    </row>
    <row r="707" spans="1:25" ht="13" customHeight="1">
      <c r="A707" s="11">
        <v>701</v>
      </c>
      <c r="B707" s="47">
        <v>204010041</v>
      </c>
      <c r="C707" s="88" t="s">
        <v>761</v>
      </c>
      <c r="D707" s="11" t="s">
        <v>762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85</v>
      </c>
      <c r="M707" s="49" t="s">
        <v>88</v>
      </c>
      <c r="N707" s="48" t="s">
        <v>86</v>
      </c>
      <c r="O707" s="49" t="s">
        <v>37</v>
      </c>
      <c r="P707" s="11" t="s">
        <v>80</v>
      </c>
      <c r="Q707" s="11" t="s">
        <v>90</v>
      </c>
      <c r="R707" s="11" t="s">
        <v>628</v>
      </c>
      <c r="S707" s="11" t="s">
        <v>629</v>
      </c>
      <c r="T707" s="105" t="s">
        <v>1</v>
      </c>
      <c r="U707" s="98"/>
      <c r="V707" s="51">
        <v>45551</v>
      </c>
      <c r="W707" s="49" t="s">
        <v>1565</v>
      </c>
      <c r="X707" s="154" t="s">
        <v>2</v>
      </c>
      <c r="Y707" s="154">
        <v>0</v>
      </c>
    </row>
    <row r="708" spans="1:25" ht="13" customHeight="1">
      <c r="A708" s="11">
        <v>702</v>
      </c>
      <c r="B708" s="47">
        <v>205839583</v>
      </c>
      <c r="C708" s="88" t="s">
        <v>2330</v>
      </c>
      <c r="D708" s="11" t="s">
        <v>2331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85</v>
      </c>
      <c r="M708" s="49" t="s">
        <v>88</v>
      </c>
      <c r="N708" s="49" t="s">
        <v>89</v>
      </c>
      <c r="O708" s="49" t="s">
        <v>37</v>
      </c>
      <c r="P708" s="11" t="s">
        <v>80</v>
      </c>
      <c r="Q708" s="11" t="s">
        <v>90</v>
      </c>
      <c r="R708" s="49" t="s">
        <v>624</v>
      </c>
      <c r="S708" s="11" t="s">
        <v>625</v>
      </c>
      <c r="T708" s="105" t="s">
        <v>1</v>
      </c>
      <c r="U708" s="98"/>
      <c r="V708" s="51">
        <v>45894</v>
      </c>
      <c r="W708" s="49" t="s">
        <v>1563</v>
      </c>
      <c r="X708" s="154" t="s">
        <v>2</v>
      </c>
      <c r="Y708" s="154">
        <v>0</v>
      </c>
    </row>
    <row r="709" spans="1:25" ht="13" customHeight="1">
      <c r="A709" s="11">
        <v>703</v>
      </c>
      <c r="B709" s="91">
        <v>204967147</v>
      </c>
      <c r="C709" s="47" t="s">
        <v>2700</v>
      </c>
      <c r="D709" s="88" t="s">
        <v>2701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84</v>
      </c>
      <c r="M709" s="49" t="s">
        <v>85</v>
      </c>
      <c r="N709" s="48" t="s">
        <v>86</v>
      </c>
      <c r="O709" s="49" t="s">
        <v>37</v>
      </c>
      <c r="P709" s="11" t="s">
        <v>80</v>
      </c>
      <c r="Q709" s="11" t="s">
        <v>90</v>
      </c>
      <c r="R709" s="11" t="s">
        <v>644</v>
      </c>
      <c r="S709" s="11" t="s">
        <v>2679</v>
      </c>
      <c r="T709" s="105" t="s">
        <v>1</v>
      </c>
      <c r="U709" s="98"/>
      <c r="V709" s="51">
        <v>45789</v>
      </c>
      <c r="W709" s="49" t="s">
        <v>1564</v>
      </c>
      <c r="X709" s="154" t="s">
        <v>2</v>
      </c>
      <c r="Y709" s="154">
        <v>0</v>
      </c>
    </row>
    <row r="710" spans="1:25" ht="13" customHeight="1">
      <c r="A710" s="11">
        <v>704</v>
      </c>
      <c r="B710" s="47">
        <v>204138497</v>
      </c>
      <c r="C710" s="88" t="s">
        <v>763</v>
      </c>
      <c r="D710" s="11" t="s">
        <v>764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48" t="s">
        <v>79</v>
      </c>
      <c r="O710" s="49" t="s">
        <v>37</v>
      </c>
      <c r="P710" s="11" t="s">
        <v>80</v>
      </c>
      <c r="Q710" s="11" t="s">
        <v>81</v>
      </c>
      <c r="R710" s="49" t="s">
        <v>624</v>
      </c>
      <c r="S710" s="11" t="s">
        <v>625</v>
      </c>
      <c r="T710" s="105" t="s">
        <v>10</v>
      </c>
      <c r="U710" s="98"/>
      <c r="V710" s="51">
        <v>45565</v>
      </c>
      <c r="W710" s="49" t="s">
        <v>1564</v>
      </c>
      <c r="X710" s="154" t="s">
        <v>2948</v>
      </c>
      <c r="Y710" s="154">
        <v>0</v>
      </c>
    </row>
    <row r="711" spans="1:25" ht="13" customHeight="1">
      <c r="A711" s="11">
        <v>705</v>
      </c>
      <c r="B711" s="47">
        <v>206846688</v>
      </c>
      <c r="C711" s="88" t="s">
        <v>1788</v>
      </c>
      <c r="D711" s="47" t="s">
        <v>1789</v>
      </c>
      <c r="E711" s="47" t="s">
        <v>31</v>
      </c>
      <c r="F711" s="48" t="s">
        <v>74</v>
      </c>
      <c r="G711" s="11" t="s">
        <v>64</v>
      </c>
      <c r="H711" s="11" t="s">
        <v>75</v>
      </c>
      <c r="I711" s="47">
        <v>1299</v>
      </c>
      <c r="J711" s="49" t="s">
        <v>39</v>
      </c>
      <c r="K711" s="49" t="s">
        <v>76</v>
      </c>
      <c r="L711" s="49" t="s">
        <v>78</v>
      </c>
      <c r="M711" s="49" t="s">
        <v>92</v>
      </c>
      <c r="N711" s="49" t="s">
        <v>89</v>
      </c>
      <c r="O711" s="49" t="s">
        <v>37</v>
      </c>
      <c r="P711" s="11" t="s">
        <v>80</v>
      </c>
      <c r="Q711" s="47" t="s">
        <v>90</v>
      </c>
      <c r="R711" s="11" t="s">
        <v>2778</v>
      </c>
      <c r="S711" s="47" t="s">
        <v>2656</v>
      </c>
      <c r="T711" s="105" t="s">
        <v>1</v>
      </c>
      <c r="U711" s="98"/>
      <c r="V711" s="51">
        <v>46013</v>
      </c>
      <c r="W711" s="49" t="s">
        <v>1564</v>
      </c>
      <c r="X711" s="154" t="s">
        <v>2</v>
      </c>
      <c r="Y711" s="154">
        <v>0</v>
      </c>
    </row>
    <row r="712" spans="1:25" ht="13" customHeight="1">
      <c r="A712" s="11">
        <v>706</v>
      </c>
      <c r="B712" s="47">
        <v>203965177</v>
      </c>
      <c r="C712" s="88" t="s">
        <v>765</v>
      </c>
      <c r="D712" s="11" t="s">
        <v>766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85</v>
      </c>
      <c r="M712" s="49" t="s">
        <v>88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49" t="s">
        <v>2659</v>
      </c>
      <c r="S712" s="11" t="s">
        <v>639</v>
      </c>
      <c r="T712" s="105" t="s">
        <v>1</v>
      </c>
      <c r="U712" s="98"/>
      <c r="V712" s="51">
        <v>45544</v>
      </c>
      <c r="W712" s="49" t="s">
        <v>1564</v>
      </c>
      <c r="X712" s="154" t="s">
        <v>2</v>
      </c>
      <c r="Y712" s="154">
        <v>0</v>
      </c>
    </row>
    <row r="713" spans="1:25" ht="13" customHeight="1">
      <c r="A713" s="11">
        <v>707</v>
      </c>
      <c r="B713" s="47">
        <v>102434089</v>
      </c>
      <c r="C713" s="88" t="s">
        <v>767</v>
      </c>
      <c r="D713" s="11" t="s">
        <v>768</v>
      </c>
      <c r="E713" s="48" t="s">
        <v>34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32</v>
      </c>
      <c r="K713" s="49" t="s">
        <v>76</v>
      </c>
      <c r="L713" s="49" t="s">
        <v>95</v>
      </c>
      <c r="M713" s="49" t="s">
        <v>77</v>
      </c>
      <c r="N713" s="48" t="s">
        <v>97</v>
      </c>
      <c r="O713" s="49" t="s">
        <v>37</v>
      </c>
      <c r="P713" s="11" t="s">
        <v>80</v>
      </c>
      <c r="Q713" s="11" t="s">
        <v>98</v>
      </c>
      <c r="R713" s="11" t="s">
        <v>628</v>
      </c>
      <c r="S713" s="11" t="s">
        <v>629</v>
      </c>
      <c r="T713" s="105" t="s">
        <v>10</v>
      </c>
      <c r="U713" s="98"/>
      <c r="V713" s="51">
        <v>42897</v>
      </c>
      <c r="W713" s="49" t="s">
        <v>1566</v>
      </c>
      <c r="X713" s="154" t="s">
        <v>2948</v>
      </c>
      <c r="Y713" s="154">
        <v>0</v>
      </c>
    </row>
    <row r="714" spans="1:25" ht="13" customHeight="1">
      <c r="A714" s="11">
        <v>708</v>
      </c>
      <c r="B714" s="47">
        <v>206199998</v>
      </c>
      <c r="C714" s="88" t="s">
        <v>1579</v>
      </c>
      <c r="D714" s="11" t="s">
        <v>1573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78</v>
      </c>
      <c r="M714" s="49" t="s">
        <v>92</v>
      </c>
      <c r="N714" s="49" t="s">
        <v>89</v>
      </c>
      <c r="O714" s="49" t="s">
        <v>37</v>
      </c>
      <c r="P714" s="11" t="s">
        <v>80</v>
      </c>
      <c r="Q714" s="11" t="s">
        <v>81</v>
      </c>
      <c r="R714" s="11" t="s">
        <v>1057</v>
      </c>
      <c r="S714" s="11" t="s">
        <v>2657</v>
      </c>
      <c r="T714" s="105" t="s">
        <v>4</v>
      </c>
      <c r="U714" s="98"/>
      <c r="V714" s="51">
        <v>45936</v>
      </c>
      <c r="W714" s="49" t="s">
        <v>1564</v>
      </c>
      <c r="X714" s="154" t="s">
        <v>2948</v>
      </c>
      <c r="Y714" s="154">
        <v>0</v>
      </c>
    </row>
    <row r="715" spans="1:25" ht="13" customHeight="1">
      <c r="A715" s="11">
        <v>709</v>
      </c>
      <c r="B715" s="47">
        <v>205861618</v>
      </c>
      <c r="C715" s="88" t="s">
        <v>2036</v>
      </c>
      <c r="D715" s="11" t="s">
        <v>2037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88</v>
      </c>
      <c r="M715" s="49" t="s">
        <v>95</v>
      </c>
      <c r="N715" s="49" t="s">
        <v>89</v>
      </c>
      <c r="O715" s="49" t="s">
        <v>37</v>
      </c>
      <c r="P715" s="11" t="s">
        <v>80</v>
      </c>
      <c r="Q715" s="11" t="s">
        <v>96</v>
      </c>
      <c r="R715" s="49" t="s">
        <v>624</v>
      </c>
      <c r="S715" s="11" t="s">
        <v>625</v>
      </c>
      <c r="T715" s="105" t="s">
        <v>1</v>
      </c>
      <c r="U715" s="98"/>
      <c r="V715" s="51">
        <v>46048</v>
      </c>
      <c r="W715" s="49" t="s">
        <v>1564</v>
      </c>
      <c r="X715" s="154" t="s">
        <v>2</v>
      </c>
      <c r="Y715" s="154">
        <v>0</v>
      </c>
    </row>
    <row r="716" spans="1:25" ht="13" customHeight="1">
      <c r="A716" s="11">
        <v>710</v>
      </c>
      <c r="B716" s="11">
        <v>206247771</v>
      </c>
      <c r="C716" s="88" t="s">
        <v>2768</v>
      </c>
      <c r="D716" s="11" t="s">
        <v>2769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95</v>
      </c>
      <c r="M716" s="49" t="s">
        <v>77</v>
      </c>
      <c r="N716" s="11" t="s">
        <v>89</v>
      </c>
      <c r="O716" s="11" t="s">
        <v>37</v>
      </c>
      <c r="P716" s="11" t="s">
        <v>80</v>
      </c>
      <c r="Q716" s="11" t="s">
        <v>96</v>
      </c>
      <c r="R716" s="11" t="s">
        <v>624</v>
      </c>
      <c r="S716" s="11" t="s">
        <v>625</v>
      </c>
      <c r="T716" s="105" t="s">
        <v>10</v>
      </c>
      <c r="U716" s="98"/>
      <c r="V716" s="51">
        <v>46226</v>
      </c>
      <c r="W716" s="11" t="s">
        <v>1564</v>
      </c>
      <c r="X716" s="154" t="s">
        <v>2948</v>
      </c>
      <c r="Y716" s="154">
        <v>0</v>
      </c>
    </row>
    <row r="717" spans="1:25" ht="13" customHeight="1">
      <c r="A717" s="11">
        <v>711</v>
      </c>
      <c r="B717" s="47">
        <v>204319798</v>
      </c>
      <c r="C717" s="88" t="s">
        <v>769</v>
      </c>
      <c r="D717" s="11" t="s">
        <v>770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95</v>
      </c>
      <c r="M717" s="49" t="s">
        <v>77</v>
      </c>
      <c r="N717" s="48" t="s">
        <v>86</v>
      </c>
      <c r="O717" s="49" t="s">
        <v>37</v>
      </c>
      <c r="P717" s="11" t="s">
        <v>80</v>
      </c>
      <c r="Q717" s="11" t="s">
        <v>87</v>
      </c>
      <c r="R717" s="11" t="s">
        <v>2779</v>
      </c>
      <c r="S717" s="11" t="s">
        <v>2780</v>
      </c>
      <c r="T717" s="105" t="s">
        <v>10</v>
      </c>
      <c r="U717" s="98"/>
      <c r="V717" s="51">
        <v>45589</v>
      </c>
      <c r="W717" s="49" t="s">
        <v>1566</v>
      </c>
      <c r="X717" s="154" t="s">
        <v>2948</v>
      </c>
      <c r="Y717" s="154">
        <v>0</v>
      </c>
    </row>
    <row r="718" spans="1:25" ht="13" customHeight="1">
      <c r="A718" s="11">
        <v>712</v>
      </c>
      <c r="B718" s="47">
        <v>206915474</v>
      </c>
      <c r="C718" s="88" t="s">
        <v>1872</v>
      </c>
      <c r="D718" s="11" t="s">
        <v>1857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88</v>
      </c>
      <c r="M718" s="49" t="s">
        <v>95</v>
      </c>
      <c r="N718" s="49" t="s">
        <v>89</v>
      </c>
      <c r="O718" s="49" t="s">
        <v>37</v>
      </c>
      <c r="P718" s="11" t="s">
        <v>80</v>
      </c>
      <c r="Q718" s="11" t="s">
        <v>90</v>
      </c>
      <c r="R718" s="11" t="s">
        <v>628</v>
      </c>
      <c r="S718" s="11" t="s">
        <v>629</v>
      </c>
      <c r="T718" s="105" t="s">
        <v>1</v>
      </c>
      <c r="U718" s="98"/>
      <c r="V718" s="51">
        <v>46034</v>
      </c>
      <c r="W718" s="49" t="s">
        <v>1564</v>
      </c>
      <c r="X718" s="154" t="s">
        <v>2</v>
      </c>
      <c r="Y718" s="154">
        <v>0</v>
      </c>
    </row>
    <row r="719" spans="1:25" ht="13" customHeight="1">
      <c r="A719" s="11">
        <v>713</v>
      </c>
      <c r="B719" s="47">
        <v>203850766</v>
      </c>
      <c r="C719" s="88" t="s">
        <v>2332</v>
      </c>
      <c r="D719" s="11" t="s">
        <v>2333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84</v>
      </c>
      <c r="M719" s="49" t="s">
        <v>85</v>
      </c>
      <c r="N719" s="48" t="s">
        <v>86</v>
      </c>
      <c r="O719" s="49" t="s">
        <v>37</v>
      </c>
      <c r="P719" s="11" t="s">
        <v>80</v>
      </c>
      <c r="Q719" s="11" t="s">
        <v>90</v>
      </c>
      <c r="R719" s="49" t="s">
        <v>624</v>
      </c>
      <c r="S719" s="11" t="s">
        <v>625</v>
      </c>
      <c r="T719" s="105" t="s">
        <v>1</v>
      </c>
      <c r="U719" s="98"/>
      <c r="V719" s="51">
        <v>45524</v>
      </c>
      <c r="W719" s="49" t="s">
        <v>1564</v>
      </c>
      <c r="X719" s="154" t="s">
        <v>2948</v>
      </c>
      <c r="Y719" s="154">
        <v>0</v>
      </c>
    </row>
    <row r="720" spans="1:25" ht="13" customHeight="1">
      <c r="A720" s="11">
        <v>714</v>
      </c>
      <c r="B720" s="47">
        <v>203908841</v>
      </c>
      <c r="C720" s="88" t="s">
        <v>771</v>
      </c>
      <c r="D720" s="11" t="s">
        <v>772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78</v>
      </c>
      <c r="M720" s="49" t="s">
        <v>92</v>
      </c>
      <c r="N720" s="48" t="s">
        <v>79</v>
      </c>
      <c r="O720" s="49" t="s">
        <v>37</v>
      </c>
      <c r="P720" s="11" t="s">
        <v>80</v>
      </c>
      <c r="Q720" s="11" t="s">
        <v>81</v>
      </c>
      <c r="R720" s="49" t="s">
        <v>644</v>
      </c>
      <c r="S720" s="11" t="s">
        <v>1777</v>
      </c>
      <c r="T720" s="105" t="s">
        <v>1</v>
      </c>
      <c r="U720" s="98"/>
      <c r="V720" s="51">
        <v>45537</v>
      </c>
      <c r="W720" s="49" t="s">
        <v>1564</v>
      </c>
      <c r="X720" s="154" t="s">
        <v>2</v>
      </c>
      <c r="Y720" s="154">
        <v>0</v>
      </c>
    </row>
    <row r="721" spans="1:25" ht="13" customHeight="1">
      <c r="A721" s="11">
        <v>715</v>
      </c>
      <c r="B721" s="47">
        <v>206930333</v>
      </c>
      <c r="C721" s="88" t="s">
        <v>1959</v>
      </c>
      <c r="D721" s="11" t="s">
        <v>1967</v>
      </c>
      <c r="E721" s="48" t="s">
        <v>31</v>
      </c>
      <c r="F721" s="48" t="s">
        <v>74</v>
      </c>
      <c r="G721" s="48" t="s">
        <v>64</v>
      </c>
      <c r="H721" s="48" t="s">
        <v>75</v>
      </c>
      <c r="I721" s="11">
        <v>1299</v>
      </c>
      <c r="J721" s="49" t="s">
        <v>32</v>
      </c>
      <c r="K721" s="49" t="s">
        <v>76</v>
      </c>
      <c r="L721" s="49" t="s">
        <v>77</v>
      </c>
      <c r="M721" s="49" t="s">
        <v>78</v>
      </c>
      <c r="N721" s="49" t="s">
        <v>89</v>
      </c>
      <c r="O721" s="49" t="s">
        <v>37</v>
      </c>
      <c r="P721" s="49" t="s">
        <v>80</v>
      </c>
      <c r="Q721" s="49" t="s">
        <v>96</v>
      </c>
      <c r="R721" s="49" t="s">
        <v>624</v>
      </c>
      <c r="S721" s="49" t="s">
        <v>625</v>
      </c>
      <c r="T721" s="105" t="s">
        <v>10</v>
      </c>
      <c r="U721" s="98"/>
      <c r="V721" s="51">
        <v>46037</v>
      </c>
      <c r="W721" s="49" t="s">
        <v>1564</v>
      </c>
      <c r="X721" s="154" t="s">
        <v>2948</v>
      </c>
      <c r="Y721" s="154">
        <v>0</v>
      </c>
    </row>
    <row r="722" spans="1:25" ht="13" customHeight="1">
      <c r="A722" s="11">
        <v>716</v>
      </c>
      <c r="B722" s="47">
        <v>203813032</v>
      </c>
      <c r="C722" s="88" t="s">
        <v>773</v>
      </c>
      <c r="D722" s="11" t="s">
        <v>774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88</v>
      </c>
      <c r="M722" s="49" t="s">
        <v>95</v>
      </c>
      <c r="N722" s="48" t="s">
        <v>86</v>
      </c>
      <c r="O722" s="49" t="s">
        <v>37</v>
      </c>
      <c r="P722" s="11" t="s">
        <v>80</v>
      </c>
      <c r="Q722" s="11" t="s">
        <v>99</v>
      </c>
      <c r="R722" s="11" t="s">
        <v>2779</v>
      </c>
      <c r="S722" s="11" t="s">
        <v>2780</v>
      </c>
      <c r="T722" s="105" t="s">
        <v>1</v>
      </c>
      <c r="U722" s="98"/>
      <c r="V722" s="51">
        <v>45517</v>
      </c>
      <c r="W722" s="49" t="s">
        <v>1564</v>
      </c>
      <c r="X722" s="154" t="s">
        <v>2</v>
      </c>
      <c r="Y722" s="154">
        <v>0</v>
      </c>
    </row>
    <row r="723" spans="1:25" ht="13" customHeight="1">
      <c r="A723" s="11">
        <v>717</v>
      </c>
      <c r="B723" s="47">
        <v>204009619</v>
      </c>
      <c r="C723" s="88" t="s">
        <v>775</v>
      </c>
      <c r="D723" s="11" t="s">
        <v>776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39</v>
      </c>
      <c r="K723" s="49" t="s">
        <v>76</v>
      </c>
      <c r="L723" s="49" t="s">
        <v>78</v>
      </c>
      <c r="M723" s="49" t="s">
        <v>92</v>
      </c>
      <c r="N723" s="48" t="s">
        <v>86</v>
      </c>
      <c r="O723" s="49" t="s">
        <v>37</v>
      </c>
      <c r="P723" s="11" t="s">
        <v>80</v>
      </c>
      <c r="Q723" s="11" t="s">
        <v>90</v>
      </c>
      <c r="R723" s="49" t="s">
        <v>644</v>
      </c>
      <c r="S723" s="11" t="s">
        <v>1777</v>
      </c>
      <c r="T723" s="105" t="s">
        <v>1</v>
      </c>
      <c r="U723" s="98"/>
      <c r="V723" s="51">
        <v>45551</v>
      </c>
      <c r="W723" s="49" t="s">
        <v>1564</v>
      </c>
      <c r="X723" s="154" t="s">
        <v>2</v>
      </c>
      <c r="Y723" s="154">
        <v>0</v>
      </c>
    </row>
    <row r="724" spans="1:25" ht="13" customHeight="1">
      <c r="A724" s="11">
        <v>718</v>
      </c>
      <c r="B724" s="47">
        <v>204094216</v>
      </c>
      <c r="C724" s="88" t="s">
        <v>2289</v>
      </c>
      <c r="D724" s="11" t="s">
        <v>2290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85</v>
      </c>
      <c r="M724" s="49" t="s">
        <v>88</v>
      </c>
      <c r="N724" s="48" t="s">
        <v>86</v>
      </c>
      <c r="O724" s="49" t="s">
        <v>37</v>
      </c>
      <c r="P724" s="11" t="s">
        <v>80</v>
      </c>
      <c r="Q724" s="11" t="s">
        <v>87</v>
      </c>
      <c r="R724" s="11" t="s">
        <v>628</v>
      </c>
      <c r="S724" s="11" t="s">
        <v>629</v>
      </c>
      <c r="T724" s="105" t="s">
        <v>1</v>
      </c>
      <c r="U724" s="98"/>
      <c r="V724" s="51">
        <v>45561</v>
      </c>
      <c r="W724" s="49" t="s">
        <v>1563</v>
      </c>
      <c r="X724" s="154" t="s">
        <v>2</v>
      </c>
      <c r="Y724" s="154">
        <v>0</v>
      </c>
    </row>
    <row r="725" spans="1:25" ht="13" customHeight="1">
      <c r="A725" s="11">
        <v>719</v>
      </c>
      <c r="B725" s="47">
        <v>202516581</v>
      </c>
      <c r="C725" s="88" t="s">
        <v>777</v>
      </c>
      <c r="D725" s="11" t="s">
        <v>778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77</v>
      </c>
      <c r="M725" s="49" t="s">
        <v>78</v>
      </c>
      <c r="N725" s="48" t="s">
        <v>79</v>
      </c>
      <c r="O725" s="49" t="s">
        <v>37</v>
      </c>
      <c r="P725" s="11" t="s">
        <v>80</v>
      </c>
      <c r="Q725" s="11" t="s">
        <v>81</v>
      </c>
      <c r="R725" s="49" t="s">
        <v>644</v>
      </c>
      <c r="S725" s="11" t="s">
        <v>1777</v>
      </c>
      <c r="T725" s="105" t="s">
        <v>10</v>
      </c>
      <c r="U725" s="98"/>
      <c r="V725" s="51">
        <v>45530</v>
      </c>
      <c r="W725" s="49" t="s">
        <v>1564</v>
      </c>
      <c r="X725" s="154" t="s">
        <v>2948</v>
      </c>
      <c r="Y725" s="154">
        <v>0</v>
      </c>
    </row>
    <row r="726" spans="1:25" ht="13" customHeight="1">
      <c r="A726" s="11">
        <v>720</v>
      </c>
      <c r="B726" s="47">
        <v>206868288</v>
      </c>
      <c r="C726" s="88" t="str">
        <f>VLOOKUP(B726,'[1]employeeList-AUH1 (28)'!$A$1:$J$1523,2,0)</f>
        <v>margdufi</v>
      </c>
      <c r="D726" s="11" t="s">
        <v>2837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11" t="s">
        <v>39</v>
      </c>
      <c r="K726" s="11" t="s">
        <v>76</v>
      </c>
      <c r="L726" s="11" t="s">
        <v>84</v>
      </c>
      <c r="M726" s="11" t="s">
        <v>85</v>
      </c>
      <c r="N726" s="11" t="s">
        <v>89</v>
      </c>
      <c r="O726" s="11" t="s">
        <v>37</v>
      </c>
      <c r="P726" s="11" t="s">
        <v>80</v>
      </c>
      <c r="Q726" s="11" t="s">
        <v>81</v>
      </c>
      <c r="R726" s="11" t="s">
        <v>628</v>
      </c>
      <c r="S726" s="11" t="s">
        <v>629</v>
      </c>
      <c r="T726" s="105" t="s">
        <v>1</v>
      </c>
      <c r="U726" s="98"/>
      <c r="V726" s="51">
        <v>46239</v>
      </c>
      <c r="W726" s="11" t="s">
        <v>1566</v>
      </c>
      <c r="X726" s="154" t="s">
        <v>2</v>
      </c>
      <c r="Y726" s="154">
        <v>0</v>
      </c>
    </row>
    <row r="727" spans="1:25" ht="13" customHeight="1">
      <c r="A727" s="11">
        <v>721</v>
      </c>
      <c r="B727" s="47">
        <v>203908859</v>
      </c>
      <c r="C727" s="88" t="s">
        <v>779</v>
      </c>
      <c r="D727" s="11" t="s">
        <v>780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78</v>
      </c>
      <c r="M727" s="49" t="s">
        <v>92</v>
      </c>
      <c r="N727" s="48" t="s">
        <v>79</v>
      </c>
      <c r="O727" s="49" t="s">
        <v>37</v>
      </c>
      <c r="P727" s="11" t="s">
        <v>80</v>
      </c>
      <c r="Q727" s="11" t="s">
        <v>81</v>
      </c>
      <c r="R727" s="49" t="s">
        <v>644</v>
      </c>
      <c r="S727" s="11" t="s">
        <v>1777</v>
      </c>
      <c r="T727" s="105" t="s">
        <v>4</v>
      </c>
      <c r="U727" s="98"/>
      <c r="V727" s="51">
        <v>45537</v>
      </c>
      <c r="W727" s="49" t="s">
        <v>1564</v>
      </c>
      <c r="X727" s="154" t="s">
        <v>2948</v>
      </c>
      <c r="Y727" s="154">
        <v>0</v>
      </c>
    </row>
    <row r="728" spans="1:25" ht="13" customHeight="1">
      <c r="A728" s="11">
        <v>722</v>
      </c>
      <c r="B728" s="47">
        <v>206073363</v>
      </c>
      <c r="C728" s="88" t="s">
        <v>781</v>
      </c>
      <c r="D728" s="11" t="s">
        <v>782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32</v>
      </c>
      <c r="K728" s="49" t="s">
        <v>76</v>
      </c>
      <c r="L728" s="49" t="s">
        <v>77</v>
      </c>
      <c r="M728" s="49" t="s">
        <v>78</v>
      </c>
      <c r="N728" s="48" t="s">
        <v>79</v>
      </c>
      <c r="O728" s="49" t="s">
        <v>37</v>
      </c>
      <c r="P728" s="11" t="s">
        <v>80</v>
      </c>
      <c r="Q728" s="11" t="s">
        <v>81</v>
      </c>
      <c r="R728" s="49" t="s">
        <v>644</v>
      </c>
      <c r="S728" s="11" t="s">
        <v>1777</v>
      </c>
      <c r="T728" s="105" t="s">
        <v>10</v>
      </c>
      <c r="U728" s="98"/>
      <c r="V728" s="51">
        <v>45929</v>
      </c>
      <c r="W728" s="49" t="s">
        <v>1564</v>
      </c>
      <c r="X728" s="154" t="s">
        <v>2948</v>
      </c>
      <c r="Y728" s="154">
        <v>0</v>
      </c>
    </row>
    <row r="729" spans="1:25" ht="13" customHeight="1">
      <c r="A729" s="11">
        <v>723</v>
      </c>
      <c r="B729" s="47">
        <v>205839586</v>
      </c>
      <c r="C729" s="88" t="s">
        <v>783</v>
      </c>
      <c r="D729" s="11" t="s">
        <v>784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77</v>
      </c>
      <c r="M729" s="49" t="s">
        <v>78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11" t="s">
        <v>2779</v>
      </c>
      <c r="S729" s="11" t="s">
        <v>2780</v>
      </c>
      <c r="T729" s="105" t="s">
        <v>10</v>
      </c>
      <c r="U729" s="98"/>
      <c r="V729" s="51">
        <v>45894</v>
      </c>
      <c r="W729" s="49" t="s">
        <v>1564</v>
      </c>
      <c r="X729" s="154" t="s">
        <v>2948</v>
      </c>
      <c r="Y729" s="154" t="s">
        <v>2949</v>
      </c>
    </row>
    <row r="730" spans="1:25" ht="13" customHeight="1">
      <c r="A730" s="11">
        <v>724</v>
      </c>
      <c r="B730" s="47">
        <v>204172862</v>
      </c>
      <c r="C730" s="88" t="s">
        <v>785</v>
      </c>
      <c r="D730" s="11" t="s">
        <v>786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88</v>
      </c>
      <c r="M730" s="49" t="s">
        <v>95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624</v>
      </c>
      <c r="S730" s="11" t="s">
        <v>625</v>
      </c>
      <c r="T730" s="105" t="s">
        <v>1</v>
      </c>
      <c r="U730" s="98"/>
      <c r="V730" s="51">
        <v>45568</v>
      </c>
      <c r="W730" s="49" t="s">
        <v>1563</v>
      </c>
      <c r="X730" s="154" t="s">
        <v>2948</v>
      </c>
      <c r="Y730" s="154">
        <v>0</v>
      </c>
    </row>
    <row r="731" spans="1:25" ht="13" customHeight="1">
      <c r="A731" s="11">
        <v>725</v>
      </c>
      <c r="B731" s="47">
        <v>203741316</v>
      </c>
      <c r="C731" s="88" t="s">
        <v>787</v>
      </c>
      <c r="D731" s="11" t="s">
        <v>788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78</v>
      </c>
      <c r="M731" s="49" t="s">
        <v>92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644</v>
      </c>
      <c r="S731" s="11" t="s">
        <v>1777</v>
      </c>
      <c r="T731" s="105" t="s">
        <v>3</v>
      </c>
      <c r="U731" s="98"/>
      <c r="V731" s="51">
        <v>45502</v>
      </c>
      <c r="W731" s="49" t="s">
        <v>1564</v>
      </c>
      <c r="X731" s="154" t="s">
        <v>2948</v>
      </c>
      <c r="Y731" s="154">
        <v>0</v>
      </c>
    </row>
    <row r="732" spans="1:25" ht="13" customHeight="1">
      <c r="A732" s="11">
        <v>726</v>
      </c>
      <c r="B732" s="47">
        <v>204116867</v>
      </c>
      <c r="C732" s="88" t="s">
        <v>789</v>
      </c>
      <c r="D732" s="11" t="s">
        <v>790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85</v>
      </c>
      <c r="M732" s="49" t="s">
        <v>88</v>
      </c>
      <c r="N732" s="48" t="s">
        <v>86</v>
      </c>
      <c r="O732" s="49" t="s">
        <v>37</v>
      </c>
      <c r="P732" s="11" t="s">
        <v>80</v>
      </c>
      <c r="Q732" s="11" t="s">
        <v>87</v>
      </c>
      <c r="R732" s="11" t="s">
        <v>628</v>
      </c>
      <c r="S732" s="11" t="s">
        <v>629</v>
      </c>
      <c r="T732" s="105" t="s">
        <v>1</v>
      </c>
      <c r="U732" s="98"/>
      <c r="V732" s="51">
        <v>45561</v>
      </c>
      <c r="W732" s="49" t="s">
        <v>1563</v>
      </c>
      <c r="X732" s="154" t="s">
        <v>2</v>
      </c>
      <c r="Y732" s="154">
        <v>0</v>
      </c>
    </row>
    <row r="733" spans="1:25" ht="13" customHeight="1">
      <c r="A733" s="11">
        <v>727</v>
      </c>
      <c r="B733" s="47">
        <v>203800485</v>
      </c>
      <c r="C733" s="88" t="s">
        <v>2334</v>
      </c>
      <c r="D733" s="11" t="s">
        <v>2335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85</v>
      </c>
      <c r="M733" s="49" t="s">
        <v>88</v>
      </c>
      <c r="N733" s="48" t="s">
        <v>86</v>
      </c>
      <c r="O733" s="49" t="s">
        <v>37</v>
      </c>
      <c r="P733" s="11" t="s">
        <v>80</v>
      </c>
      <c r="Q733" s="11" t="s">
        <v>90</v>
      </c>
      <c r="R733" s="49" t="s">
        <v>644</v>
      </c>
      <c r="S733" s="11" t="s">
        <v>1777</v>
      </c>
      <c r="T733" s="105" t="s">
        <v>1</v>
      </c>
      <c r="U733" s="98"/>
      <c r="V733" s="51">
        <v>45516</v>
      </c>
      <c r="W733" s="49" t="s">
        <v>1564</v>
      </c>
      <c r="X733" s="154" t="s">
        <v>2</v>
      </c>
      <c r="Y733" s="154">
        <v>0</v>
      </c>
    </row>
    <row r="734" spans="1:25" ht="13" customHeight="1">
      <c r="A734" s="11">
        <v>728</v>
      </c>
      <c r="B734" s="47">
        <v>204010535</v>
      </c>
      <c r="C734" s="88" t="s">
        <v>791</v>
      </c>
      <c r="D734" s="11" t="s">
        <v>792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88</v>
      </c>
      <c r="M734" s="49" t="s">
        <v>95</v>
      </c>
      <c r="N734" s="48" t="s">
        <v>86</v>
      </c>
      <c r="O734" s="49" t="s">
        <v>37</v>
      </c>
      <c r="P734" s="11" t="s">
        <v>80</v>
      </c>
      <c r="Q734" s="11" t="s">
        <v>90</v>
      </c>
      <c r="R734" s="49" t="s">
        <v>624</v>
      </c>
      <c r="S734" s="11" t="s">
        <v>625</v>
      </c>
      <c r="T734" s="105" t="s">
        <v>1</v>
      </c>
      <c r="U734" s="98"/>
      <c r="V734" s="51">
        <v>45551</v>
      </c>
      <c r="W734" s="49" t="s">
        <v>1564</v>
      </c>
      <c r="X734" s="154" t="s">
        <v>2</v>
      </c>
      <c r="Y734" s="154">
        <v>0</v>
      </c>
    </row>
    <row r="735" spans="1:25" ht="13" customHeight="1">
      <c r="A735" s="11">
        <v>729</v>
      </c>
      <c r="B735" s="47">
        <v>203514419</v>
      </c>
      <c r="C735" s="88" t="s">
        <v>793</v>
      </c>
      <c r="D735" s="11" t="s">
        <v>794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85</v>
      </c>
      <c r="M735" s="49" t="s">
        <v>88</v>
      </c>
      <c r="N735" s="48" t="s">
        <v>79</v>
      </c>
      <c r="O735" s="49" t="s">
        <v>37</v>
      </c>
      <c r="P735" s="11" t="s">
        <v>80</v>
      </c>
      <c r="Q735" s="11" t="s">
        <v>81</v>
      </c>
      <c r="R735" s="11" t="s">
        <v>1057</v>
      </c>
      <c r="S735" s="11" t="s">
        <v>2657</v>
      </c>
      <c r="T735" s="105" t="s">
        <v>7</v>
      </c>
      <c r="U735" s="98" t="s">
        <v>2941</v>
      </c>
      <c r="V735" s="51">
        <v>45463</v>
      </c>
      <c r="W735" s="49" t="s">
        <v>1564</v>
      </c>
      <c r="X735" s="154" t="s">
        <v>2948</v>
      </c>
      <c r="Y735" s="154" t="s">
        <v>2949</v>
      </c>
    </row>
    <row r="736" spans="1:25" ht="13" customHeight="1">
      <c r="A736" s="11">
        <v>730</v>
      </c>
      <c r="B736" s="47">
        <v>203851106</v>
      </c>
      <c r="C736" s="88" t="s">
        <v>795</v>
      </c>
      <c r="D736" s="11" t="s">
        <v>796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88</v>
      </c>
      <c r="M736" s="49" t="s">
        <v>95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644</v>
      </c>
      <c r="S736" s="11" t="s">
        <v>1777</v>
      </c>
      <c r="T736" s="105" t="s">
        <v>1</v>
      </c>
      <c r="U736" s="98"/>
      <c r="V736" s="51">
        <v>45524</v>
      </c>
      <c r="W736" s="49" t="s">
        <v>1566</v>
      </c>
      <c r="X736" s="154" t="s">
        <v>2</v>
      </c>
      <c r="Y736" s="154">
        <v>0</v>
      </c>
    </row>
    <row r="737" spans="1:25" ht="13" customHeight="1">
      <c r="A737" s="11">
        <v>731</v>
      </c>
      <c r="B737" s="11">
        <v>206930332</v>
      </c>
      <c r="C737" s="88" t="s">
        <v>2762</v>
      </c>
      <c r="D737" s="11" t="s">
        <v>2763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77</v>
      </c>
      <c r="M737" s="49" t="s">
        <v>78</v>
      </c>
      <c r="N737" s="11" t="s">
        <v>89</v>
      </c>
      <c r="O737" s="11" t="s">
        <v>37</v>
      </c>
      <c r="P737" s="11" t="s">
        <v>80</v>
      </c>
      <c r="Q737" s="11" t="s">
        <v>96</v>
      </c>
      <c r="R737" s="11" t="s">
        <v>624</v>
      </c>
      <c r="S737" s="11" t="s">
        <v>625</v>
      </c>
      <c r="T737" s="105" t="s">
        <v>10</v>
      </c>
      <c r="U737" s="98"/>
      <c r="V737" s="51">
        <v>46226</v>
      </c>
      <c r="W737" s="11" t="s">
        <v>1564</v>
      </c>
      <c r="X737" s="154" t="s">
        <v>2948</v>
      </c>
      <c r="Y737" s="154">
        <v>0</v>
      </c>
    </row>
    <row r="738" spans="1:25" ht="13" customHeight="1">
      <c r="A738" s="11">
        <v>732</v>
      </c>
      <c r="B738" s="91">
        <v>203908894</v>
      </c>
      <c r="C738" s="47" t="s">
        <v>2702</v>
      </c>
      <c r="D738" s="88" t="s">
        <v>2703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85</v>
      </c>
      <c r="M738" s="49" t="s">
        <v>88</v>
      </c>
      <c r="N738" s="49" t="s">
        <v>89</v>
      </c>
      <c r="O738" s="49" t="s">
        <v>37</v>
      </c>
      <c r="P738" s="11" t="s">
        <v>80</v>
      </c>
      <c r="Q738" s="11" t="s">
        <v>90</v>
      </c>
      <c r="R738" s="11" t="s">
        <v>2779</v>
      </c>
      <c r="S738" s="11" t="s">
        <v>2780</v>
      </c>
      <c r="T738" s="105" t="s">
        <v>1</v>
      </c>
      <c r="U738" s="98"/>
      <c r="V738" s="51">
        <v>45537</v>
      </c>
      <c r="W738" s="49" t="s">
        <v>1564</v>
      </c>
      <c r="X738" s="154" t="s">
        <v>2</v>
      </c>
      <c r="Y738" s="154">
        <v>0</v>
      </c>
    </row>
    <row r="739" spans="1:25" ht="13" customHeight="1">
      <c r="A739" s="11">
        <v>733</v>
      </c>
      <c r="B739" s="47">
        <v>203468752</v>
      </c>
      <c r="C739" s="88" t="s">
        <v>797</v>
      </c>
      <c r="D739" s="11" t="s">
        <v>798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77</v>
      </c>
      <c r="M739" s="49" t="s">
        <v>78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624</v>
      </c>
      <c r="S739" s="11" t="s">
        <v>625</v>
      </c>
      <c r="T739" s="105" t="s">
        <v>10</v>
      </c>
      <c r="U739" s="98"/>
      <c r="V739" s="51">
        <v>45456</v>
      </c>
      <c r="W739" s="49" t="s">
        <v>1566</v>
      </c>
      <c r="X739" s="154" t="s">
        <v>2948</v>
      </c>
      <c r="Y739" s="154">
        <v>0</v>
      </c>
    </row>
    <row r="740" spans="1:25" ht="13" customHeight="1">
      <c r="A740" s="11">
        <v>734</v>
      </c>
      <c r="B740" s="47">
        <v>203965409</v>
      </c>
      <c r="C740" s="88" t="s">
        <v>799</v>
      </c>
      <c r="D740" s="11" t="s">
        <v>800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88</v>
      </c>
      <c r="M740" s="49" t="s">
        <v>95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644</v>
      </c>
      <c r="S740" s="11" t="s">
        <v>1777</v>
      </c>
      <c r="T740" s="105" t="s">
        <v>1</v>
      </c>
      <c r="U740" s="98"/>
      <c r="V740" s="51">
        <v>45544</v>
      </c>
      <c r="W740" s="49" t="s">
        <v>1564</v>
      </c>
      <c r="X740" s="154" t="s">
        <v>2</v>
      </c>
      <c r="Y740" s="154">
        <v>0</v>
      </c>
    </row>
    <row r="741" spans="1:25" ht="13" customHeight="1">
      <c r="A741" s="11">
        <v>735</v>
      </c>
      <c r="B741" s="47">
        <v>203965407</v>
      </c>
      <c r="C741" s="88" t="s">
        <v>801</v>
      </c>
      <c r="D741" s="11" t="s">
        <v>802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77</v>
      </c>
      <c r="M741" s="49" t="s">
        <v>78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624</v>
      </c>
      <c r="S741" s="11" t="s">
        <v>625</v>
      </c>
      <c r="T741" s="105" t="s">
        <v>10</v>
      </c>
      <c r="U741" s="98"/>
      <c r="V741" s="51">
        <v>45544</v>
      </c>
      <c r="W741" s="49" t="s">
        <v>1564</v>
      </c>
      <c r="X741" s="154" t="s">
        <v>2948</v>
      </c>
      <c r="Y741" s="154">
        <v>0</v>
      </c>
    </row>
    <row r="742" spans="1:25" ht="13" customHeight="1">
      <c r="A742" s="11">
        <v>736</v>
      </c>
      <c r="B742" s="47">
        <v>203965522</v>
      </c>
      <c r="C742" s="88" t="s">
        <v>803</v>
      </c>
      <c r="D742" s="11" t="s">
        <v>804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84</v>
      </c>
      <c r="M742" s="49" t="s">
        <v>85</v>
      </c>
      <c r="N742" s="48" t="s">
        <v>79</v>
      </c>
      <c r="O742" s="49" t="s">
        <v>37</v>
      </c>
      <c r="P742" s="11" t="s">
        <v>80</v>
      </c>
      <c r="Q742" s="11" t="s">
        <v>81</v>
      </c>
      <c r="R742" s="49" t="s">
        <v>624</v>
      </c>
      <c r="S742" s="11" t="s">
        <v>625</v>
      </c>
      <c r="T742" s="105" t="s">
        <v>1</v>
      </c>
      <c r="U742" s="98"/>
      <c r="V742" s="51">
        <v>45544</v>
      </c>
      <c r="W742" s="49" t="s">
        <v>1564</v>
      </c>
      <c r="X742" s="154" t="s">
        <v>2</v>
      </c>
      <c r="Y742" s="154">
        <v>0</v>
      </c>
    </row>
    <row r="743" spans="1:25" ht="13" customHeight="1">
      <c r="A743" s="11">
        <v>737</v>
      </c>
      <c r="B743" s="47">
        <v>204138500</v>
      </c>
      <c r="C743" s="88" t="s">
        <v>805</v>
      </c>
      <c r="D743" s="11" t="s">
        <v>806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32</v>
      </c>
      <c r="K743" s="49" t="s">
        <v>76</v>
      </c>
      <c r="L743" s="49" t="s">
        <v>84</v>
      </c>
      <c r="M743" s="49" t="s">
        <v>85</v>
      </c>
      <c r="N743" s="48" t="s">
        <v>86</v>
      </c>
      <c r="O743" s="49" t="s">
        <v>37</v>
      </c>
      <c r="P743" s="11" t="s">
        <v>80</v>
      </c>
      <c r="Q743" s="11" t="s">
        <v>87</v>
      </c>
      <c r="R743" s="11" t="s">
        <v>1057</v>
      </c>
      <c r="S743" s="11" t="s">
        <v>2657</v>
      </c>
      <c r="T743" s="105" t="s">
        <v>1</v>
      </c>
      <c r="U743" s="98"/>
      <c r="V743" s="51">
        <v>45565</v>
      </c>
      <c r="W743" s="49" t="s">
        <v>1566</v>
      </c>
      <c r="X743" s="154" t="s">
        <v>2</v>
      </c>
      <c r="Y743" s="154">
        <v>0</v>
      </c>
    </row>
    <row r="744" spans="1:25" ht="13" customHeight="1">
      <c r="A744" s="11">
        <v>738</v>
      </c>
      <c r="B744" s="47">
        <v>203468749</v>
      </c>
      <c r="C744" s="88" t="s">
        <v>807</v>
      </c>
      <c r="D744" s="11" t="s">
        <v>808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95</v>
      </c>
      <c r="M744" s="49" t="s">
        <v>77</v>
      </c>
      <c r="N744" s="48" t="s">
        <v>79</v>
      </c>
      <c r="O744" s="49" t="s">
        <v>37</v>
      </c>
      <c r="P744" s="11" t="s">
        <v>80</v>
      </c>
      <c r="Q744" s="11" t="s">
        <v>81</v>
      </c>
      <c r="R744" s="11" t="s">
        <v>628</v>
      </c>
      <c r="S744" s="11" t="s">
        <v>629</v>
      </c>
      <c r="T744" s="105" t="s">
        <v>10</v>
      </c>
      <c r="U744" s="98"/>
      <c r="V744" s="51">
        <v>45456</v>
      </c>
      <c r="W744" s="49" t="s">
        <v>1566</v>
      </c>
      <c r="X744" s="154" t="s">
        <v>2948</v>
      </c>
      <c r="Y744" s="154">
        <v>0</v>
      </c>
    </row>
    <row r="745" spans="1:25" ht="13" customHeight="1">
      <c r="A745" s="11">
        <v>739</v>
      </c>
      <c r="B745" s="47">
        <v>206129606</v>
      </c>
      <c r="C745" s="88" t="s">
        <v>809</v>
      </c>
      <c r="D745" s="11" t="s">
        <v>810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32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11" t="s">
        <v>1057</v>
      </c>
      <c r="S745" s="11" t="s">
        <v>2657</v>
      </c>
      <c r="T745" s="105" t="s">
        <v>1</v>
      </c>
      <c r="U745" s="98"/>
      <c r="V745" s="51">
        <v>45929</v>
      </c>
      <c r="W745" s="49" t="s">
        <v>1564</v>
      </c>
      <c r="X745" s="154" t="s">
        <v>2</v>
      </c>
      <c r="Y745" s="154">
        <v>0</v>
      </c>
    </row>
    <row r="746" spans="1:25" ht="13" customHeight="1">
      <c r="A746" s="11">
        <v>740</v>
      </c>
      <c r="B746" s="11">
        <v>206915012</v>
      </c>
      <c r="C746" s="88" t="s">
        <v>2776</v>
      </c>
      <c r="D746" s="11" t="s">
        <v>2777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77</v>
      </c>
      <c r="M746" s="49" t="s">
        <v>78</v>
      </c>
      <c r="N746" s="11" t="s">
        <v>89</v>
      </c>
      <c r="O746" s="11" t="s">
        <v>37</v>
      </c>
      <c r="P746" s="11" t="s">
        <v>80</v>
      </c>
      <c r="Q746" s="11" t="s">
        <v>90</v>
      </c>
      <c r="R746" s="11" t="s">
        <v>628</v>
      </c>
      <c r="S746" s="11" t="s">
        <v>629</v>
      </c>
      <c r="T746" s="105" t="s">
        <v>10</v>
      </c>
      <c r="U746" s="98"/>
      <c r="V746" s="51">
        <v>46226</v>
      </c>
      <c r="W746" s="11" t="s">
        <v>1564</v>
      </c>
      <c r="X746" s="154" t="s">
        <v>2948</v>
      </c>
      <c r="Y746" s="154">
        <v>0</v>
      </c>
    </row>
    <row r="747" spans="1:25" ht="13" customHeight="1">
      <c r="A747" s="11">
        <v>741</v>
      </c>
      <c r="B747" s="47">
        <v>204319808</v>
      </c>
      <c r="C747" s="88" t="s">
        <v>811</v>
      </c>
      <c r="D747" s="11" t="s">
        <v>812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78</v>
      </c>
      <c r="M747" s="49" t="s">
        <v>92</v>
      </c>
      <c r="N747" s="48" t="s">
        <v>86</v>
      </c>
      <c r="O747" s="49" t="s">
        <v>37</v>
      </c>
      <c r="P747" s="11" t="s">
        <v>80</v>
      </c>
      <c r="Q747" s="11" t="s">
        <v>87</v>
      </c>
      <c r="R747" s="11" t="s">
        <v>628</v>
      </c>
      <c r="S747" s="11" t="s">
        <v>629</v>
      </c>
      <c r="T747" s="105" t="s">
        <v>1</v>
      </c>
      <c r="U747" s="98"/>
      <c r="V747" s="51">
        <v>45589</v>
      </c>
      <c r="W747" s="49" t="s">
        <v>1566</v>
      </c>
      <c r="X747" s="154" t="s">
        <v>2</v>
      </c>
      <c r="Y747" s="154">
        <v>0</v>
      </c>
    </row>
    <row r="748" spans="1:25" ht="13" customHeight="1">
      <c r="A748" s="11">
        <v>742</v>
      </c>
      <c r="B748" s="47">
        <v>204009355</v>
      </c>
      <c r="C748" s="88" t="s">
        <v>2336</v>
      </c>
      <c r="D748" s="11" t="s">
        <v>2337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88</v>
      </c>
      <c r="M748" s="49" t="s">
        <v>95</v>
      </c>
      <c r="N748" s="48" t="s">
        <v>86</v>
      </c>
      <c r="O748" s="49" t="s">
        <v>37</v>
      </c>
      <c r="P748" s="11" t="s">
        <v>80</v>
      </c>
      <c r="Q748" s="11" t="s">
        <v>90</v>
      </c>
      <c r="R748" s="11" t="s">
        <v>2779</v>
      </c>
      <c r="S748" s="11" t="s">
        <v>2780</v>
      </c>
      <c r="T748" s="105" t="s">
        <v>1</v>
      </c>
      <c r="U748" s="98"/>
      <c r="V748" s="51">
        <v>45551</v>
      </c>
      <c r="W748" s="49" t="s">
        <v>1564</v>
      </c>
      <c r="X748" s="154" t="s">
        <v>2</v>
      </c>
      <c r="Y748" s="154">
        <v>0</v>
      </c>
    </row>
    <row r="749" spans="1:25" ht="13" customHeight="1">
      <c r="A749" s="11">
        <v>743</v>
      </c>
      <c r="B749" s="47">
        <v>206846111</v>
      </c>
      <c r="C749" s="88" t="s">
        <v>1792</v>
      </c>
      <c r="D749" s="47" t="s">
        <v>1793</v>
      </c>
      <c r="E749" s="47" t="s">
        <v>31</v>
      </c>
      <c r="F749" s="48" t="s">
        <v>74</v>
      </c>
      <c r="G749" s="11" t="s">
        <v>64</v>
      </c>
      <c r="H749" s="11" t="s">
        <v>75</v>
      </c>
      <c r="I749" s="47">
        <v>1299</v>
      </c>
      <c r="J749" s="49" t="s">
        <v>39</v>
      </c>
      <c r="K749" s="49" t="s">
        <v>76</v>
      </c>
      <c r="L749" s="49" t="s">
        <v>88</v>
      </c>
      <c r="M749" s="49" t="s">
        <v>95</v>
      </c>
      <c r="N749" s="49" t="s">
        <v>89</v>
      </c>
      <c r="O749" s="49" t="s">
        <v>37</v>
      </c>
      <c r="P749" s="11" t="s">
        <v>80</v>
      </c>
      <c r="Q749" s="47" t="s">
        <v>90</v>
      </c>
      <c r="R749" s="49" t="s">
        <v>2659</v>
      </c>
      <c r="S749" s="47" t="s">
        <v>639</v>
      </c>
      <c r="T749" s="105" t="s">
        <v>1</v>
      </c>
      <c r="U749" s="98"/>
      <c r="V749" s="51">
        <v>46013</v>
      </c>
      <c r="W749" s="49" t="s">
        <v>1564</v>
      </c>
      <c r="X749" s="154" t="s">
        <v>2</v>
      </c>
      <c r="Y749" s="154">
        <v>0</v>
      </c>
    </row>
    <row r="750" spans="1:25" ht="13" customHeight="1">
      <c r="A750" s="11">
        <v>744</v>
      </c>
      <c r="B750" s="47">
        <v>204946697</v>
      </c>
      <c r="C750" s="88" t="s">
        <v>813</v>
      </c>
      <c r="D750" s="11" t="s">
        <v>814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92</v>
      </c>
      <c r="M750" s="49" t="s">
        <v>84</v>
      </c>
      <c r="N750" s="48" t="s">
        <v>86</v>
      </c>
      <c r="O750" s="49" t="s">
        <v>37</v>
      </c>
      <c r="P750" s="11" t="s">
        <v>80</v>
      </c>
      <c r="Q750" s="11" t="s">
        <v>90</v>
      </c>
      <c r="R750" s="49" t="s">
        <v>644</v>
      </c>
      <c r="S750" s="11" t="s">
        <v>1777</v>
      </c>
      <c r="T750" s="105" t="s">
        <v>1</v>
      </c>
      <c r="U750" s="98"/>
      <c r="V750" s="51">
        <v>45719</v>
      </c>
      <c r="W750" s="49" t="s">
        <v>1564</v>
      </c>
      <c r="X750" s="154" t="s">
        <v>2</v>
      </c>
      <c r="Y750" s="154">
        <v>0</v>
      </c>
    </row>
    <row r="751" spans="1:25" ht="13" customHeight="1">
      <c r="A751" s="11">
        <v>745</v>
      </c>
      <c r="B751" s="47">
        <v>204967053</v>
      </c>
      <c r="C751" s="88" t="s">
        <v>815</v>
      </c>
      <c r="D751" s="11" t="s">
        <v>816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85</v>
      </c>
      <c r="M751" s="49" t="s">
        <v>88</v>
      </c>
      <c r="N751" s="48" t="s">
        <v>86</v>
      </c>
      <c r="O751" s="49" t="s">
        <v>37</v>
      </c>
      <c r="P751" s="11" t="s">
        <v>80</v>
      </c>
      <c r="Q751" s="11" t="s">
        <v>90</v>
      </c>
      <c r="R751" s="49" t="s">
        <v>644</v>
      </c>
      <c r="S751" s="11" t="s">
        <v>1777</v>
      </c>
      <c r="T751" s="105" t="s">
        <v>1</v>
      </c>
      <c r="U751" s="98"/>
      <c r="V751" s="51">
        <v>45719</v>
      </c>
      <c r="W751" s="49" t="s">
        <v>1564</v>
      </c>
      <c r="X751" s="154" t="s">
        <v>2</v>
      </c>
      <c r="Y751" s="154">
        <v>0</v>
      </c>
    </row>
    <row r="752" spans="1:25" ht="13" customHeight="1">
      <c r="A752" s="11">
        <v>746</v>
      </c>
      <c r="B752" s="47">
        <v>206137344</v>
      </c>
      <c r="C752" s="88" t="s">
        <v>1621</v>
      </c>
      <c r="D752" s="11" t="s">
        <v>1616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32</v>
      </c>
      <c r="K752" s="49" t="s">
        <v>76</v>
      </c>
      <c r="L752" s="49" t="s">
        <v>92</v>
      </c>
      <c r="M752" s="49" t="s">
        <v>84</v>
      </c>
      <c r="N752" s="49" t="s">
        <v>89</v>
      </c>
      <c r="O752" s="49" t="s">
        <v>37</v>
      </c>
      <c r="P752" s="11" t="s">
        <v>80</v>
      </c>
      <c r="Q752" s="11" t="s">
        <v>81</v>
      </c>
      <c r="R752" s="49" t="s">
        <v>624</v>
      </c>
      <c r="S752" s="11" t="s">
        <v>625</v>
      </c>
      <c r="T752" s="105" t="s">
        <v>1</v>
      </c>
      <c r="U752" s="98"/>
      <c r="V752" s="51">
        <v>45943</v>
      </c>
      <c r="W752" s="49" t="s">
        <v>1563</v>
      </c>
      <c r="X752" s="154" t="s">
        <v>2</v>
      </c>
      <c r="Y752" s="154">
        <v>0</v>
      </c>
    </row>
    <row r="753" spans="1:25" ht="13" customHeight="1">
      <c r="A753" s="11">
        <v>747</v>
      </c>
      <c r="B753" s="47">
        <v>206192264</v>
      </c>
      <c r="C753" s="88" t="s">
        <v>1595</v>
      </c>
      <c r="D753" s="11" t="s">
        <v>1591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95</v>
      </c>
      <c r="M753" s="49" t="s">
        <v>77</v>
      </c>
      <c r="N753" s="49" t="s">
        <v>89</v>
      </c>
      <c r="O753" s="49" t="s">
        <v>37</v>
      </c>
      <c r="P753" s="11" t="s">
        <v>80</v>
      </c>
      <c r="Q753" s="11" t="s">
        <v>96</v>
      </c>
      <c r="R753" s="49" t="s">
        <v>624</v>
      </c>
      <c r="S753" s="11" t="s">
        <v>625</v>
      </c>
      <c r="T753" s="105" t="s">
        <v>10</v>
      </c>
      <c r="U753" s="98"/>
      <c r="V753" s="51">
        <v>45936</v>
      </c>
      <c r="W753" s="49" t="s">
        <v>1564</v>
      </c>
      <c r="X753" s="154" t="s">
        <v>2948</v>
      </c>
      <c r="Y753" s="154">
        <v>0</v>
      </c>
    </row>
    <row r="754" spans="1:25" ht="13" customHeight="1">
      <c r="A754" s="11">
        <v>748</v>
      </c>
      <c r="B754" s="47">
        <v>203850771</v>
      </c>
      <c r="C754" s="88" t="s">
        <v>2338</v>
      </c>
      <c r="D754" s="11" t="s">
        <v>2339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84</v>
      </c>
      <c r="M754" s="49" t="s">
        <v>85</v>
      </c>
      <c r="N754" s="48" t="s">
        <v>86</v>
      </c>
      <c r="O754" s="49" t="s">
        <v>37</v>
      </c>
      <c r="P754" s="11" t="s">
        <v>80</v>
      </c>
      <c r="Q754" s="11" t="s">
        <v>90</v>
      </c>
      <c r="R754" s="49" t="s">
        <v>644</v>
      </c>
      <c r="S754" s="11" t="s">
        <v>1777</v>
      </c>
      <c r="T754" s="105" t="s">
        <v>1</v>
      </c>
      <c r="U754" s="98"/>
      <c r="V754" s="51">
        <v>45524</v>
      </c>
      <c r="W754" s="49" t="s">
        <v>1564</v>
      </c>
      <c r="X754" s="154" t="s">
        <v>2</v>
      </c>
      <c r="Y754" s="154">
        <v>0</v>
      </c>
    </row>
    <row r="755" spans="1:25" ht="13" customHeight="1">
      <c r="A755" s="11">
        <v>749</v>
      </c>
      <c r="B755" s="47">
        <v>203908324</v>
      </c>
      <c r="C755" s="88" t="s">
        <v>817</v>
      </c>
      <c r="D755" s="11" t="s">
        <v>818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95</v>
      </c>
      <c r="M755" s="49" t="s">
        <v>77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2779</v>
      </c>
      <c r="S755" s="11" t="s">
        <v>2780</v>
      </c>
      <c r="T755" s="105" t="s">
        <v>10</v>
      </c>
      <c r="U755" s="98"/>
      <c r="V755" s="51">
        <v>45537</v>
      </c>
      <c r="W755" s="49" t="s">
        <v>1564</v>
      </c>
      <c r="X755" s="154" t="s">
        <v>2948</v>
      </c>
      <c r="Y755" s="154">
        <v>0</v>
      </c>
    </row>
    <row r="756" spans="1:25" ht="13" customHeight="1">
      <c r="A756" s="11">
        <v>750</v>
      </c>
      <c r="B756" s="47">
        <v>203881658</v>
      </c>
      <c r="C756" s="88" t="s">
        <v>819</v>
      </c>
      <c r="D756" s="11" t="s">
        <v>820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32</v>
      </c>
      <c r="K756" s="49" t="s">
        <v>76</v>
      </c>
      <c r="L756" s="49" t="s">
        <v>92</v>
      </c>
      <c r="M756" s="49" t="s">
        <v>84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49" t="s">
        <v>624</v>
      </c>
      <c r="S756" s="11" t="s">
        <v>625</v>
      </c>
      <c r="T756" s="105" t="s">
        <v>1</v>
      </c>
      <c r="U756" s="98"/>
      <c r="V756" s="51">
        <v>45530</v>
      </c>
      <c r="W756" s="49" t="s">
        <v>1564</v>
      </c>
      <c r="X756" s="154" t="s">
        <v>2</v>
      </c>
      <c r="Y756" s="154">
        <v>0</v>
      </c>
    </row>
    <row r="757" spans="1:25" ht="13" customHeight="1">
      <c r="A757" s="11">
        <v>751</v>
      </c>
      <c r="B757" s="47">
        <v>205854275</v>
      </c>
      <c r="C757" s="88" t="s">
        <v>821</v>
      </c>
      <c r="D757" s="11" t="s">
        <v>822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84</v>
      </c>
      <c r="M757" s="49" t="s">
        <v>85</v>
      </c>
      <c r="N757" s="49" t="s">
        <v>79</v>
      </c>
      <c r="O757" s="49" t="s">
        <v>37</v>
      </c>
      <c r="P757" s="11" t="s">
        <v>80</v>
      </c>
      <c r="Q757" s="11" t="s">
        <v>96</v>
      </c>
      <c r="R757" s="11" t="s">
        <v>628</v>
      </c>
      <c r="S757" s="11" t="s">
        <v>629</v>
      </c>
      <c r="T757" s="105" t="s">
        <v>1</v>
      </c>
      <c r="U757" s="98"/>
      <c r="V757" s="51">
        <v>45894</v>
      </c>
      <c r="W757" s="49" t="s">
        <v>1564</v>
      </c>
      <c r="X757" s="154" t="s">
        <v>2</v>
      </c>
      <c r="Y757" s="154">
        <v>0</v>
      </c>
    </row>
    <row r="758" spans="1:25" ht="13" customHeight="1">
      <c r="A758" s="11">
        <v>752</v>
      </c>
      <c r="B758" s="47">
        <v>206192230</v>
      </c>
      <c r="C758" s="88" t="s">
        <v>1592</v>
      </c>
      <c r="D758" s="11" t="s">
        <v>1588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78</v>
      </c>
      <c r="M758" s="49" t="s">
        <v>92</v>
      </c>
      <c r="N758" s="49" t="s">
        <v>79</v>
      </c>
      <c r="O758" s="49" t="s">
        <v>37</v>
      </c>
      <c r="P758" s="11" t="s">
        <v>80</v>
      </c>
      <c r="Q758" s="11" t="s">
        <v>96</v>
      </c>
      <c r="R758" s="11" t="s">
        <v>628</v>
      </c>
      <c r="S758" s="11" t="s">
        <v>629</v>
      </c>
      <c r="T758" s="105" t="s">
        <v>1</v>
      </c>
      <c r="U758" s="98"/>
      <c r="V758" s="51">
        <v>45936</v>
      </c>
      <c r="W758" s="49" t="s">
        <v>1564</v>
      </c>
      <c r="X758" s="154" t="s">
        <v>2</v>
      </c>
      <c r="Y758" s="154">
        <v>0</v>
      </c>
    </row>
    <row r="759" spans="1:25" ht="13" customHeight="1">
      <c r="A759" s="11">
        <v>753</v>
      </c>
      <c r="B759" s="47">
        <v>203908323</v>
      </c>
      <c r="C759" s="88" t="s">
        <v>823</v>
      </c>
      <c r="D759" s="11" t="s">
        <v>824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8" t="s">
        <v>86</v>
      </c>
      <c r="O759" s="49" t="s">
        <v>37</v>
      </c>
      <c r="P759" s="11" t="s">
        <v>80</v>
      </c>
      <c r="Q759" s="11" t="s">
        <v>90</v>
      </c>
      <c r="R759" s="49" t="s">
        <v>2659</v>
      </c>
      <c r="S759" s="11" t="s">
        <v>639</v>
      </c>
      <c r="T759" s="105" t="s">
        <v>7</v>
      </c>
      <c r="U759" s="98" t="s">
        <v>2941</v>
      </c>
      <c r="V759" s="51">
        <v>45789</v>
      </c>
      <c r="W759" s="49" t="s">
        <v>1564</v>
      </c>
      <c r="X759" s="154" t="s">
        <v>2948</v>
      </c>
      <c r="Y759" s="154" t="s">
        <v>2949</v>
      </c>
    </row>
    <row r="760" spans="1:25" ht="13" customHeight="1">
      <c r="A760" s="11">
        <v>754</v>
      </c>
      <c r="B760" s="47">
        <v>105485458</v>
      </c>
      <c r="C760" s="88" t="s">
        <v>361</v>
      </c>
      <c r="D760" s="11" t="s">
        <v>362</v>
      </c>
      <c r="E760" s="48" t="s">
        <v>34</v>
      </c>
      <c r="F760" s="48" t="s">
        <v>74</v>
      </c>
      <c r="G760" s="11" t="s">
        <v>64</v>
      </c>
      <c r="H760" s="11" t="s">
        <v>75</v>
      </c>
      <c r="I760" s="11">
        <v>1182</v>
      </c>
      <c r="J760" s="49" t="s">
        <v>32</v>
      </c>
      <c r="K760" s="49" t="s">
        <v>76</v>
      </c>
      <c r="L760" s="49" t="s">
        <v>88</v>
      </c>
      <c r="M760" s="49" t="s">
        <v>95</v>
      </c>
      <c r="N760" s="48" t="s">
        <v>97</v>
      </c>
      <c r="O760" s="49" t="s">
        <v>37</v>
      </c>
      <c r="P760" s="11" t="s">
        <v>80</v>
      </c>
      <c r="Q760" s="11" t="s">
        <v>98</v>
      </c>
      <c r="R760" s="49" t="s">
        <v>2779</v>
      </c>
      <c r="S760" s="11" t="s">
        <v>2780</v>
      </c>
      <c r="T760" s="105" t="s">
        <v>1</v>
      </c>
      <c r="U760" s="98"/>
      <c r="V760" s="51">
        <v>44728</v>
      </c>
      <c r="W760" s="49" t="s">
        <v>1568</v>
      </c>
      <c r="X760" s="154" t="s">
        <v>2</v>
      </c>
      <c r="Y760" s="154">
        <v>0</v>
      </c>
    </row>
    <row r="761" spans="1:25" ht="13" customHeight="1">
      <c r="A761" s="11">
        <v>755</v>
      </c>
      <c r="B761" s="47">
        <v>205252538</v>
      </c>
      <c r="C761" s="88" t="s">
        <v>2805</v>
      </c>
      <c r="D761" s="11" t="s">
        <v>2806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11" t="s">
        <v>39</v>
      </c>
      <c r="K761" s="11" t="s">
        <v>76</v>
      </c>
      <c r="L761" s="11" t="s">
        <v>92</v>
      </c>
      <c r="M761" s="11" t="s">
        <v>84</v>
      </c>
      <c r="N761" s="11" t="s">
        <v>89</v>
      </c>
      <c r="O761" s="11" t="s">
        <v>37</v>
      </c>
      <c r="P761" s="11" t="s">
        <v>80</v>
      </c>
      <c r="Q761" s="11" t="s">
        <v>96</v>
      </c>
      <c r="R761" s="11" t="s">
        <v>1057</v>
      </c>
      <c r="S761" s="11" t="s">
        <v>2657</v>
      </c>
      <c r="T761" s="105" t="s">
        <v>1</v>
      </c>
      <c r="U761" s="98"/>
      <c r="V761" s="51">
        <v>46238</v>
      </c>
      <c r="W761" s="11" t="s">
        <v>1564</v>
      </c>
      <c r="X761" s="154" t="s">
        <v>2</v>
      </c>
      <c r="Y761" s="154">
        <v>0</v>
      </c>
    </row>
    <row r="762" spans="1:25" ht="13" customHeight="1">
      <c r="A762" s="11">
        <v>756</v>
      </c>
      <c r="B762" s="47">
        <v>204373722</v>
      </c>
      <c r="C762" s="88" t="s">
        <v>825</v>
      </c>
      <c r="D762" s="11" t="s">
        <v>826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85</v>
      </c>
      <c r="M762" s="49" t="s">
        <v>88</v>
      </c>
      <c r="N762" s="48" t="s">
        <v>86</v>
      </c>
      <c r="O762" s="49" t="s">
        <v>37</v>
      </c>
      <c r="P762" s="11" t="s">
        <v>80</v>
      </c>
      <c r="Q762" s="11" t="s">
        <v>99</v>
      </c>
      <c r="R762" s="49" t="s">
        <v>644</v>
      </c>
      <c r="S762" s="11" t="s">
        <v>1777</v>
      </c>
      <c r="T762" s="105" t="s">
        <v>7</v>
      </c>
      <c r="U762" s="98" t="s">
        <v>2941</v>
      </c>
      <c r="V762" s="51">
        <v>45593</v>
      </c>
      <c r="W762" s="49" t="s">
        <v>1564</v>
      </c>
      <c r="X762" s="154" t="s">
        <v>2948</v>
      </c>
      <c r="Y762" s="154" t="s">
        <v>2949</v>
      </c>
    </row>
    <row r="763" spans="1:25" ht="13" customHeight="1">
      <c r="A763" s="11">
        <v>757</v>
      </c>
      <c r="B763" s="47">
        <v>205839585</v>
      </c>
      <c r="C763" s="88" t="s">
        <v>2340</v>
      </c>
      <c r="D763" s="11" t="s">
        <v>2341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95</v>
      </c>
      <c r="M763" s="49" t="s">
        <v>77</v>
      </c>
      <c r="N763" s="49" t="s">
        <v>89</v>
      </c>
      <c r="O763" s="49" t="s">
        <v>37</v>
      </c>
      <c r="P763" s="11" t="s">
        <v>80</v>
      </c>
      <c r="Q763" s="11" t="s">
        <v>90</v>
      </c>
      <c r="R763" s="49" t="s">
        <v>624</v>
      </c>
      <c r="S763" s="11" t="s">
        <v>625</v>
      </c>
      <c r="T763" s="105" t="s">
        <v>10</v>
      </c>
      <c r="U763" s="98"/>
      <c r="V763" s="51">
        <v>45894</v>
      </c>
      <c r="W763" s="49" t="s">
        <v>1563</v>
      </c>
      <c r="X763" s="154" t="s">
        <v>2948</v>
      </c>
      <c r="Y763" s="154">
        <v>0</v>
      </c>
    </row>
    <row r="764" spans="1:25" ht="13" customHeight="1">
      <c r="A764" s="11">
        <v>758</v>
      </c>
      <c r="B764" s="47">
        <v>204094215</v>
      </c>
      <c r="C764" s="88" t="s">
        <v>827</v>
      </c>
      <c r="D764" s="11" t="s">
        <v>828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88</v>
      </c>
      <c r="M764" s="49" t="s">
        <v>95</v>
      </c>
      <c r="N764" s="48" t="s">
        <v>86</v>
      </c>
      <c r="O764" s="49" t="s">
        <v>37</v>
      </c>
      <c r="P764" s="11" t="s">
        <v>80</v>
      </c>
      <c r="Q764" s="11" t="s">
        <v>87</v>
      </c>
      <c r="R764" s="11" t="s">
        <v>628</v>
      </c>
      <c r="S764" s="11" t="s">
        <v>629</v>
      </c>
      <c r="T764" s="105" t="s">
        <v>1</v>
      </c>
      <c r="U764" s="98"/>
      <c r="V764" s="51">
        <v>45561</v>
      </c>
      <c r="W764" s="49" t="s">
        <v>1565</v>
      </c>
      <c r="X764" s="154" t="s">
        <v>2</v>
      </c>
      <c r="Y764" s="154">
        <v>0</v>
      </c>
    </row>
    <row r="765" spans="1:25" ht="13" customHeight="1">
      <c r="A765" s="11">
        <v>759</v>
      </c>
      <c r="B765" s="47">
        <v>206239524</v>
      </c>
      <c r="C765" s="88" t="str">
        <f>VLOOKUP(B765,'[1]employeeList-AUH1 (28)'!$A$1:$J$1523,2,0)</f>
        <v>fsarckoh</v>
      </c>
      <c r="D765" s="11" t="s">
        <v>2840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11" t="s">
        <v>39</v>
      </c>
      <c r="K765" s="11" t="s">
        <v>76</v>
      </c>
      <c r="L765" s="11" t="s">
        <v>95</v>
      </c>
      <c r="M765" s="11" t="s">
        <v>77</v>
      </c>
      <c r="N765" s="11" t="s">
        <v>89</v>
      </c>
      <c r="O765" s="11" t="s">
        <v>37</v>
      </c>
      <c r="P765" s="11" t="s">
        <v>80</v>
      </c>
      <c r="Q765" s="11" t="s">
        <v>81</v>
      </c>
      <c r="R765" s="11" t="s">
        <v>628</v>
      </c>
      <c r="S765" s="11" t="s">
        <v>629</v>
      </c>
      <c r="T765" s="105" t="s">
        <v>10</v>
      </c>
      <c r="U765" s="98"/>
      <c r="V765" s="51">
        <v>46239</v>
      </c>
      <c r="W765" s="11" t="s">
        <v>1566</v>
      </c>
      <c r="X765" s="154" t="s">
        <v>2948</v>
      </c>
      <c r="Y765" s="154">
        <v>0</v>
      </c>
    </row>
    <row r="766" spans="1:25" ht="13" customHeight="1">
      <c r="A766" s="11">
        <v>760</v>
      </c>
      <c r="B766" s="47">
        <v>102582339</v>
      </c>
      <c r="C766" s="88" t="s">
        <v>829</v>
      </c>
      <c r="D766" s="11" t="s">
        <v>830</v>
      </c>
      <c r="E766" s="48" t="s">
        <v>34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84</v>
      </c>
      <c r="M766" s="49" t="s">
        <v>85</v>
      </c>
      <c r="N766" s="48" t="s">
        <v>97</v>
      </c>
      <c r="O766" s="49" t="s">
        <v>37</v>
      </c>
      <c r="P766" s="11" t="s">
        <v>80</v>
      </c>
      <c r="Q766" s="11" t="s">
        <v>98</v>
      </c>
      <c r="R766" s="11" t="s">
        <v>1057</v>
      </c>
      <c r="S766" s="11" t="s">
        <v>2657</v>
      </c>
      <c r="T766" s="105" t="s">
        <v>1</v>
      </c>
      <c r="U766" s="98"/>
      <c r="V766" s="51">
        <v>42960</v>
      </c>
      <c r="W766" s="49" t="s">
        <v>1568</v>
      </c>
      <c r="X766" s="154" t="s">
        <v>2</v>
      </c>
      <c r="Y766" s="154">
        <v>0</v>
      </c>
    </row>
    <row r="767" spans="1:25" ht="13" customHeight="1">
      <c r="A767" s="11">
        <v>761</v>
      </c>
      <c r="B767" s="47">
        <v>206886514</v>
      </c>
      <c r="C767" s="88" t="s">
        <v>1798</v>
      </c>
      <c r="D767" s="11" t="s">
        <v>1799</v>
      </c>
      <c r="E767" s="11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88</v>
      </c>
      <c r="M767" s="49" t="s">
        <v>95</v>
      </c>
      <c r="N767" s="49" t="s">
        <v>89</v>
      </c>
      <c r="O767" s="49" t="s">
        <v>37</v>
      </c>
      <c r="P767" s="11" t="s">
        <v>80</v>
      </c>
      <c r="Q767" s="11" t="s">
        <v>96</v>
      </c>
      <c r="R767" s="11" t="s">
        <v>2779</v>
      </c>
      <c r="S767" s="11" t="s">
        <v>2780</v>
      </c>
      <c r="T767" s="105" t="s">
        <v>1</v>
      </c>
      <c r="U767" s="98"/>
      <c r="V767" s="51">
        <v>46027</v>
      </c>
      <c r="W767" s="49" t="s">
        <v>1564</v>
      </c>
      <c r="X767" s="154" t="s">
        <v>2</v>
      </c>
      <c r="Y767" s="154">
        <v>0</v>
      </c>
    </row>
    <row r="768" spans="1:25" ht="13" customHeight="1">
      <c r="A768" s="11">
        <v>762</v>
      </c>
      <c r="B768" s="47">
        <v>204138116</v>
      </c>
      <c r="C768" s="88" t="s">
        <v>831</v>
      </c>
      <c r="D768" s="11" t="s">
        <v>832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32</v>
      </c>
      <c r="K768" s="49" t="s">
        <v>76</v>
      </c>
      <c r="L768" s="49" t="s">
        <v>88</v>
      </c>
      <c r="M768" s="49" t="s">
        <v>95</v>
      </c>
      <c r="N768" s="48" t="s">
        <v>86</v>
      </c>
      <c r="O768" s="49" t="s">
        <v>37</v>
      </c>
      <c r="P768" s="11" t="s">
        <v>80</v>
      </c>
      <c r="Q768" s="11" t="s">
        <v>87</v>
      </c>
      <c r="R768" s="49" t="s">
        <v>644</v>
      </c>
      <c r="S768" s="11" t="s">
        <v>1777</v>
      </c>
      <c r="T768" s="105" t="s">
        <v>1</v>
      </c>
      <c r="U768" s="98"/>
      <c r="V768" s="51">
        <v>45565</v>
      </c>
      <c r="W768" s="49" t="s">
        <v>1564</v>
      </c>
      <c r="X768" s="154" t="s">
        <v>2</v>
      </c>
      <c r="Y768" s="154">
        <v>0</v>
      </c>
    </row>
    <row r="769" spans="1:25" ht="13" customHeight="1">
      <c r="A769" s="11">
        <v>763</v>
      </c>
      <c r="B769" s="47">
        <v>206915147</v>
      </c>
      <c r="C769" s="88" t="s">
        <v>1873</v>
      </c>
      <c r="D769" s="11" t="s">
        <v>1858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32</v>
      </c>
      <c r="K769" s="49" t="s">
        <v>76</v>
      </c>
      <c r="L769" s="49" t="s">
        <v>88</v>
      </c>
      <c r="M769" s="49" t="s">
        <v>95</v>
      </c>
      <c r="N769" s="49" t="s">
        <v>89</v>
      </c>
      <c r="O769" s="49" t="s">
        <v>37</v>
      </c>
      <c r="P769" s="11" t="s">
        <v>80</v>
      </c>
      <c r="Q769" s="11" t="s">
        <v>90</v>
      </c>
      <c r="R769" s="49" t="s">
        <v>624</v>
      </c>
      <c r="S769" s="11" t="s">
        <v>625</v>
      </c>
      <c r="T769" s="105" t="s">
        <v>1</v>
      </c>
      <c r="U769" s="98"/>
      <c r="V769" s="51">
        <v>46034</v>
      </c>
      <c r="W769" s="49" t="s">
        <v>1564</v>
      </c>
      <c r="X769" s="154" t="s">
        <v>2</v>
      </c>
      <c r="Y769" s="154">
        <v>0</v>
      </c>
    </row>
    <row r="770" spans="1:25" ht="13" customHeight="1">
      <c r="A770" s="11">
        <v>764</v>
      </c>
      <c r="B770" s="11">
        <v>206065208</v>
      </c>
      <c r="C770" s="88" t="s">
        <v>2772</v>
      </c>
      <c r="D770" s="11" t="s">
        <v>2773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88</v>
      </c>
      <c r="M770" s="49" t="s">
        <v>95</v>
      </c>
      <c r="N770" s="11" t="s">
        <v>89</v>
      </c>
      <c r="O770" s="11" t="s">
        <v>37</v>
      </c>
      <c r="P770" s="11" t="s">
        <v>80</v>
      </c>
      <c r="Q770" s="11" t="s">
        <v>81</v>
      </c>
      <c r="R770" s="11" t="s">
        <v>2659</v>
      </c>
      <c r="S770" s="11" t="s">
        <v>639</v>
      </c>
      <c r="T770" s="105" t="s">
        <v>1</v>
      </c>
      <c r="U770" s="98"/>
      <c r="V770" s="51">
        <v>46226</v>
      </c>
      <c r="W770" s="11" t="s">
        <v>1564</v>
      </c>
      <c r="X770" s="154" t="s">
        <v>2</v>
      </c>
      <c r="Y770" s="154">
        <v>0</v>
      </c>
    </row>
    <row r="771" spans="1:25" ht="13" customHeight="1">
      <c r="A771" s="11">
        <v>765</v>
      </c>
      <c r="B771" s="91">
        <v>204865035</v>
      </c>
      <c r="C771" s="47" t="s">
        <v>2704</v>
      </c>
      <c r="D771" s="88" t="s">
        <v>2705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85</v>
      </c>
      <c r="M771" s="49" t="s">
        <v>88</v>
      </c>
      <c r="N771" s="49" t="s">
        <v>89</v>
      </c>
      <c r="O771" s="49" t="s">
        <v>37</v>
      </c>
      <c r="P771" s="11" t="s">
        <v>80</v>
      </c>
      <c r="Q771" s="11" t="s">
        <v>90</v>
      </c>
      <c r="R771" s="11" t="s">
        <v>644</v>
      </c>
      <c r="S771" s="11" t="s">
        <v>2679</v>
      </c>
      <c r="T771" s="105" t="s">
        <v>1</v>
      </c>
      <c r="U771" s="98"/>
      <c r="V771" s="51">
        <v>45894</v>
      </c>
      <c r="W771" s="49" t="s">
        <v>1564</v>
      </c>
      <c r="X771" s="154" t="s">
        <v>2</v>
      </c>
      <c r="Y771" s="154">
        <v>0</v>
      </c>
    </row>
    <row r="772" spans="1:25" ht="13" customHeight="1">
      <c r="A772" s="11">
        <v>766</v>
      </c>
      <c r="B772" s="47">
        <v>203850767</v>
      </c>
      <c r="C772" s="88" t="s">
        <v>2271</v>
      </c>
      <c r="D772" s="11" t="s">
        <v>2272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78</v>
      </c>
      <c r="M772" s="49" t="s">
        <v>92</v>
      </c>
      <c r="N772" s="49" t="s">
        <v>89</v>
      </c>
      <c r="O772" s="49" t="s">
        <v>37</v>
      </c>
      <c r="P772" s="11" t="s">
        <v>80</v>
      </c>
      <c r="Q772" s="11" t="s">
        <v>90</v>
      </c>
      <c r="R772" s="49" t="s">
        <v>624</v>
      </c>
      <c r="S772" s="11" t="s">
        <v>625</v>
      </c>
      <c r="T772" s="105" t="s">
        <v>1</v>
      </c>
      <c r="U772" s="98"/>
      <c r="V772" s="51">
        <v>45524</v>
      </c>
      <c r="W772" s="49" t="s">
        <v>1564</v>
      </c>
      <c r="X772" s="154" t="s">
        <v>2</v>
      </c>
      <c r="Y772" s="154">
        <v>0</v>
      </c>
    </row>
    <row r="773" spans="1:25" ht="13" customHeight="1">
      <c r="A773" s="11">
        <v>767</v>
      </c>
      <c r="B773" s="91">
        <v>204865037</v>
      </c>
      <c r="C773" s="47" t="s">
        <v>2706</v>
      </c>
      <c r="D773" s="88" t="s">
        <v>2707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32</v>
      </c>
      <c r="K773" s="49" t="s">
        <v>76</v>
      </c>
      <c r="L773" s="49" t="s">
        <v>85</v>
      </c>
      <c r="M773" s="49" t="s">
        <v>88</v>
      </c>
      <c r="N773" s="48" t="s">
        <v>86</v>
      </c>
      <c r="O773" s="49" t="s">
        <v>37</v>
      </c>
      <c r="P773" s="11" t="s">
        <v>80</v>
      </c>
      <c r="Q773" s="11" t="s">
        <v>90</v>
      </c>
      <c r="R773" s="11" t="s">
        <v>644</v>
      </c>
      <c r="S773" s="11" t="s">
        <v>2679</v>
      </c>
      <c r="T773" s="105" t="s">
        <v>1</v>
      </c>
      <c r="U773" s="98"/>
      <c r="V773" s="51">
        <v>45894</v>
      </c>
      <c r="W773" s="49" t="s">
        <v>1564</v>
      </c>
      <c r="X773" s="154" t="s">
        <v>2</v>
      </c>
      <c r="Y773" s="154">
        <v>0</v>
      </c>
    </row>
    <row r="774" spans="1:25" ht="13" customHeight="1">
      <c r="A774" s="11">
        <v>768</v>
      </c>
      <c r="B774" s="47">
        <v>204137705</v>
      </c>
      <c r="C774" s="88" t="s">
        <v>833</v>
      </c>
      <c r="D774" s="11" t="s">
        <v>834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92</v>
      </c>
      <c r="M774" s="49" t="s">
        <v>84</v>
      </c>
      <c r="N774" s="48" t="s">
        <v>86</v>
      </c>
      <c r="O774" s="49" t="s">
        <v>37</v>
      </c>
      <c r="P774" s="11" t="s">
        <v>80</v>
      </c>
      <c r="Q774" s="11" t="s">
        <v>87</v>
      </c>
      <c r="R774" s="11" t="s">
        <v>628</v>
      </c>
      <c r="S774" s="11" t="s">
        <v>629</v>
      </c>
      <c r="T774" s="105" t="s">
        <v>1</v>
      </c>
      <c r="U774" s="98"/>
      <c r="V774" s="51">
        <v>45565</v>
      </c>
      <c r="W774" s="49" t="s">
        <v>1564</v>
      </c>
      <c r="X774" s="154" t="s">
        <v>2</v>
      </c>
      <c r="Y774" s="154">
        <v>0</v>
      </c>
    </row>
    <row r="775" spans="1:25" ht="13" customHeight="1">
      <c r="A775" s="11">
        <v>769</v>
      </c>
      <c r="B775" s="47">
        <v>203737010</v>
      </c>
      <c r="C775" s="88" t="s">
        <v>835</v>
      </c>
      <c r="D775" s="11" t="s">
        <v>836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84</v>
      </c>
      <c r="M775" s="49" t="s">
        <v>85</v>
      </c>
      <c r="N775" s="48" t="s">
        <v>79</v>
      </c>
      <c r="O775" s="49" t="s">
        <v>37</v>
      </c>
      <c r="P775" s="11" t="s">
        <v>80</v>
      </c>
      <c r="Q775" s="11" t="s">
        <v>81</v>
      </c>
      <c r="R775" s="11" t="s">
        <v>1057</v>
      </c>
      <c r="S775" s="11" t="s">
        <v>2657</v>
      </c>
      <c r="T775" s="105" t="s">
        <v>1</v>
      </c>
      <c r="U775" s="98"/>
      <c r="V775" s="51">
        <v>45502</v>
      </c>
      <c r="W775" s="49" t="s">
        <v>1564</v>
      </c>
      <c r="X775" s="154" t="s">
        <v>2</v>
      </c>
      <c r="Y775" s="154">
        <v>0</v>
      </c>
    </row>
    <row r="776" spans="1:25" ht="13" customHeight="1">
      <c r="A776" s="11">
        <v>770</v>
      </c>
      <c r="B776" s="47">
        <v>206906443</v>
      </c>
      <c r="C776" s="88" t="s">
        <v>1834</v>
      </c>
      <c r="D776" s="11" t="s">
        <v>1835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84</v>
      </c>
      <c r="M776" s="49" t="s">
        <v>85</v>
      </c>
      <c r="N776" s="49" t="s">
        <v>89</v>
      </c>
      <c r="O776" s="48" t="s">
        <v>37</v>
      </c>
      <c r="P776" s="48" t="s">
        <v>80</v>
      </c>
      <c r="Q776" s="11" t="s">
        <v>90</v>
      </c>
      <c r="R776" s="49" t="s">
        <v>644</v>
      </c>
      <c r="S776" s="11" t="s">
        <v>1777</v>
      </c>
      <c r="T776" s="105" t="s">
        <v>1</v>
      </c>
      <c r="U776" s="98"/>
      <c r="V776" s="51">
        <v>46030</v>
      </c>
      <c r="W776" s="49" t="s">
        <v>1564</v>
      </c>
      <c r="X776" s="154" t="s">
        <v>2</v>
      </c>
      <c r="Y776" s="154">
        <v>0</v>
      </c>
    </row>
    <row r="777" spans="1:25" ht="13" customHeight="1">
      <c r="A777" s="11">
        <v>771</v>
      </c>
      <c r="B777" s="91">
        <v>203993509</v>
      </c>
      <c r="C777" s="47" t="s">
        <v>2708</v>
      </c>
      <c r="D777" s="88" t="s">
        <v>2709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85</v>
      </c>
      <c r="M777" s="49" t="s">
        <v>88</v>
      </c>
      <c r="N777" s="48" t="s">
        <v>86</v>
      </c>
      <c r="O777" s="49" t="s">
        <v>37</v>
      </c>
      <c r="P777" s="11" t="s">
        <v>80</v>
      </c>
      <c r="Q777" s="11" t="s">
        <v>90</v>
      </c>
      <c r="R777" s="11" t="s">
        <v>644</v>
      </c>
      <c r="S777" s="11" t="s">
        <v>2679</v>
      </c>
      <c r="T777" s="105" t="s">
        <v>1</v>
      </c>
      <c r="U777" s="98"/>
      <c r="V777" s="51">
        <v>45894</v>
      </c>
      <c r="W777" s="49" t="s">
        <v>1564</v>
      </c>
      <c r="X777" s="154" t="s">
        <v>2</v>
      </c>
      <c r="Y777" s="154">
        <v>0</v>
      </c>
    </row>
    <row r="778" spans="1:25" ht="13" customHeight="1">
      <c r="A778" s="11">
        <v>772</v>
      </c>
      <c r="B778" s="47">
        <v>206850959</v>
      </c>
      <c r="C778" s="88" t="s">
        <v>1780</v>
      </c>
      <c r="D778" s="47" t="s">
        <v>1781</v>
      </c>
      <c r="E778" s="47" t="s">
        <v>31</v>
      </c>
      <c r="F778" s="48" t="s">
        <v>74</v>
      </c>
      <c r="G778" s="11" t="s">
        <v>64</v>
      </c>
      <c r="H778" s="11" t="s">
        <v>75</v>
      </c>
      <c r="I778" s="47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9" t="s">
        <v>89</v>
      </c>
      <c r="O778" s="49" t="s">
        <v>37</v>
      </c>
      <c r="P778" s="11" t="s">
        <v>80</v>
      </c>
      <c r="Q778" s="47" t="s">
        <v>90</v>
      </c>
      <c r="R778" s="11" t="s">
        <v>1057</v>
      </c>
      <c r="S778" s="11" t="s">
        <v>2657</v>
      </c>
      <c r="T778" s="105" t="s">
        <v>1</v>
      </c>
      <c r="U778" s="98"/>
      <c r="V778" s="51">
        <v>46013</v>
      </c>
      <c r="W778" s="49" t="s">
        <v>1564</v>
      </c>
      <c r="X778" s="154" t="s">
        <v>2</v>
      </c>
      <c r="Y778" s="154">
        <v>0</v>
      </c>
    </row>
    <row r="779" spans="1:25" ht="13" customHeight="1">
      <c r="A779" s="11">
        <v>773</v>
      </c>
      <c r="B779" s="47">
        <v>206128855</v>
      </c>
      <c r="C779" s="88" t="s">
        <v>837</v>
      </c>
      <c r="D779" s="11" t="s">
        <v>838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92</v>
      </c>
      <c r="M779" s="49" t="s">
        <v>84</v>
      </c>
      <c r="N779" s="48" t="s">
        <v>79</v>
      </c>
      <c r="O779" s="49" t="s">
        <v>37</v>
      </c>
      <c r="P779" s="11" t="s">
        <v>80</v>
      </c>
      <c r="Q779" s="11" t="s">
        <v>81</v>
      </c>
      <c r="R779" s="11" t="s">
        <v>2779</v>
      </c>
      <c r="S779" s="11" t="s">
        <v>2780</v>
      </c>
      <c r="T779" s="105" t="s">
        <v>1</v>
      </c>
      <c r="U779" s="98"/>
      <c r="V779" s="51">
        <v>45929</v>
      </c>
      <c r="W779" s="49" t="s">
        <v>1564</v>
      </c>
      <c r="X779" s="154" t="s">
        <v>2</v>
      </c>
      <c r="Y779" s="154">
        <v>0</v>
      </c>
    </row>
    <row r="780" spans="1:25" ht="13" customHeight="1">
      <c r="A780" s="11">
        <v>774</v>
      </c>
      <c r="B780" s="47">
        <v>203965176</v>
      </c>
      <c r="C780" s="88" t="s">
        <v>839</v>
      </c>
      <c r="D780" s="11" t="s">
        <v>840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77</v>
      </c>
      <c r="M780" s="49" t="s">
        <v>78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49" t="s">
        <v>644</v>
      </c>
      <c r="S780" s="11" t="s">
        <v>1777</v>
      </c>
      <c r="T780" s="105" t="s">
        <v>10</v>
      </c>
      <c r="U780" s="98"/>
      <c r="V780" s="51">
        <v>45544</v>
      </c>
      <c r="W780" s="49" t="s">
        <v>1564</v>
      </c>
      <c r="X780" s="154" t="s">
        <v>2948</v>
      </c>
      <c r="Y780" s="154">
        <v>0</v>
      </c>
    </row>
    <row r="781" spans="1:25" ht="13" customHeight="1">
      <c r="A781" s="11">
        <v>775</v>
      </c>
      <c r="B781" s="47">
        <v>205852638</v>
      </c>
      <c r="C781" s="88" t="s">
        <v>841</v>
      </c>
      <c r="D781" s="11" t="s">
        <v>842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92</v>
      </c>
      <c r="M781" s="49" t="s">
        <v>84</v>
      </c>
      <c r="N781" s="49" t="s">
        <v>89</v>
      </c>
      <c r="O781" s="49" t="s">
        <v>37</v>
      </c>
      <c r="P781" s="11" t="s">
        <v>80</v>
      </c>
      <c r="Q781" s="11" t="s">
        <v>96</v>
      </c>
      <c r="R781" s="11" t="s">
        <v>628</v>
      </c>
      <c r="S781" s="11" t="s">
        <v>629</v>
      </c>
      <c r="T781" s="105" t="s">
        <v>1</v>
      </c>
      <c r="U781" s="98"/>
      <c r="V781" s="51">
        <v>45894</v>
      </c>
      <c r="W781" s="49" t="s">
        <v>1564</v>
      </c>
      <c r="X781" s="154" t="s">
        <v>2</v>
      </c>
      <c r="Y781" s="154">
        <v>0</v>
      </c>
    </row>
    <row r="782" spans="1:25" ht="13" customHeight="1">
      <c r="A782" s="11">
        <v>776</v>
      </c>
      <c r="B782" s="47">
        <v>206192269</v>
      </c>
      <c r="C782" s="88" t="s">
        <v>1584</v>
      </c>
      <c r="D782" s="11" t="s">
        <v>1578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95</v>
      </c>
      <c r="M782" s="49" t="s">
        <v>77</v>
      </c>
      <c r="N782" s="49" t="s">
        <v>89</v>
      </c>
      <c r="O782" s="49" t="s">
        <v>37</v>
      </c>
      <c r="P782" s="11" t="s">
        <v>80</v>
      </c>
      <c r="Q782" s="11" t="s">
        <v>96</v>
      </c>
      <c r="R782" s="11" t="s">
        <v>2779</v>
      </c>
      <c r="S782" s="11" t="s">
        <v>2780</v>
      </c>
      <c r="T782" s="105" t="s">
        <v>10</v>
      </c>
      <c r="U782" s="98"/>
      <c r="V782" s="51">
        <v>45936</v>
      </c>
      <c r="W782" s="49" t="s">
        <v>1564</v>
      </c>
      <c r="X782" s="154" t="s">
        <v>2948</v>
      </c>
      <c r="Y782" s="154" t="s">
        <v>2949</v>
      </c>
    </row>
    <row r="783" spans="1:25" ht="13" customHeight="1">
      <c r="A783" s="11">
        <v>777</v>
      </c>
      <c r="B783" s="47">
        <v>204070590</v>
      </c>
      <c r="C783" s="88" t="s">
        <v>2342</v>
      </c>
      <c r="D783" s="11" t="s">
        <v>2343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32</v>
      </c>
      <c r="K783" s="49" t="s">
        <v>76</v>
      </c>
      <c r="L783" s="49" t="s">
        <v>77</v>
      </c>
      <c r="M783" s="49" t="s">
        <v>78</v>
      </c>
      <c r="N783" s="48" t="s">
        <v>86</v>
      </c>
      <c r="O783" s="49" t="s">
        <v>37</v>
      </c>
      <c r="P783" s="11" t="s">
        <v>80</v>
      </c>
      <c r="Q783" s="11" t="s">
        <v>90</v>
      </c>
      <c r="R783" s="11" t="s">
        <v>2779</v>
      </c>
      <c r="S783" s="11" t="s">
        <v>2780</v>
      </c>
      <c r="T783" s="105" t="s">
        <v>10</v>
      </c>
      <c r="U783" s="98"/>
      <c r="V783" s="51">
        <v>45558</v>
      </c>
      <c r="W783" s="49" t="s">
        <v>1564</v>
      </c>
      <c r="X783" s="154" t="s">
        <v>2948</v>
      </c>
      <c r="Y783" s="154">
        <v>0</v>
      </c>
    </row>
    <row r="784" spans="1:25" ht="13" customHeight="1">
      <c r="A784" s="11">
        <v>778</v>
      </c>
      <c r="B784" s="91">
        <v>204010424</v>
      </c>
      <c r="C784" s="47" t="s">
        <v>2710</v>
      </c>
      <c r="D784" s="88" t="s">
        <v>2711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84</v>
      </c>
      <c r="M784" s="49" t="s">
        <v>85</v>
      </c>
      <c r="N784" s="49" t="s">
        <v>89</v>
      </c>
      <c r="O784" s="49" t="s">
        <v>37</v>
      </c>
      <c r="P784" s="11" t="s">
        <v>80</v>
      </c>
      <c r="Q784" s="11" t="s">
        <v>90</v>
      </c>
      <c r="R784" s="11" t="s">
        <v>2779</v>
      </c>
      <c r="S784" s="11" t="s">
        <v>2780</v>
      </c>
      <c r="T784" s="105" t="s">
        <v>1</v>
      </c>
      <c r="U784" s="98"/>
      <c r="V784" s="51">
        <v>45551</v>
      </c>
      <c r="W784" s="49" t="s">
        <v>1564</v>
      </c>
      <c r="X784" s="154" t="s">
        <v>2</v>
      </c>
      <c r="Y784" s="154">
        <v>0</v>
      </c>
    </row>
    <row r="785" spans="1:25" ht="13" customHeight="1">
      <c r="A785" s="11">
        <v>779</v>
      </c>
      <c r="B785" s="47">
        <v>206897652</v>
      </c>
      <c r="C785" s="88" t="s">
        <v>1852</v>
      </c>
      <c r="D785" s="11" t="s">
        <v>1853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1290</v>
      </c>
      <c r="J785" s="49" t="s">
        <v>32</v>
      </c>
      <c r="K785" s="49" t="s">
        <v>76</v>
      </c>
      <c r="L785" s="49" t="s">
        <v>84</v>
      </c>
      <c r="M785" s="49" t="s">
        <v>85</v>
      </c>
      <c r="N785" s="49" t="s">
        <v>79</v>
      </c>
      <c r="O785" s="48" t="s">
        <v>37</v>
      </c>
      <c r="P785" s="48" t="s">
        <v>80</v>
      </c>
      <c r="Q785" s="11" t="s">
        <v>81</v>
      </c>
      <c r="R785" s="11" t="s">
        <v>1057</v>
      </c>
      <c r="S785" s="11" t="s">
        <v>2657</v>
      </c>
      <c r="T785" s="105" t="s">
        <v>1</v>
      </c>
      <c r="U785" s="98"/>
      <c r="V785" s="51">
        <v>46030</v>
      </c>
      <c r="W785" s="49" t="s">
        <v>1565</v>
      </c>
      <c r="X785" s="154" t="s">
        <v>2</v>
      </c>
      <c r="Y785" s="154">
        <v>0</v>
      </c>
    </row>
    <row r="786" spans="1:25" ht="13" customHeight="1">
      <c r="A786" s="11">
        <v>780</v>
      </c>
      <c r="B786" s="47">
        <v>202460493</v>
      </c>
      <c r="C786" s="88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84</v>
      </c>
      <c r="M786" s="49" t="s">
        <v>85</v>
      </c>
      <c r="N786" s="48" t="s">
        <v>86</v>
      </c>
      <c r="O786" s="49" t="s">
        <v>37</v>
      </c>
      <c r="P786" s="11" t="s">
        <v>80</v>
      </c>
      <c r="Q786" s="11" t="s">
        <v>87</v>
      </c>
      <c r="R786" s="49" t="s">
        <v>624</v>
      </c>
      <c r="S786" s="11" t="s">
        <v>625</v>
      </c>
      <c r="T786" s="105" t="s">
        <v>7</v>
      </c>
      <c r="U786" s="98" t="s">
        <v>2943</v>
      </c>
      <c r="V786" s="51">
        <v>45586</v>
      </c>
      <c r="W786" s="49" t="s">
        <v>1565</v>
      </c>
      <c r="X786" s="154" t="s">
        <v>2948</v>
      </c>
      <c r="Y786" s="154" t="s">
        <v>2943</v>
      </c>
    </row>
    <row r="787" spans="1:25" ht="13" customHeight="1">
      <c r="A787" s="11">
        <v>781</v>
      </c>
      <c r="B787" s="47">
        <v>202351580</v>
      </c>
      <c r="C787" s="88" t="s">
        <v>845</v>
      </c>
      <c r="D787" s="11" t="s">
        <v>846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77</v>
      </c>
      <c r="M787" s="49" t="s">
        <v>78</v>
      </c>
      <c r="N787" s="48" t="s">
        <v>79</v>
      </c>
      <c r="O787" s="49" t="s">
        <v>37</v>
      </c>
      <c r="P787" s="11" t="s">
        <v>80</v>
      </c>
      <c r="Q787" s="11" t="s">
        <v>81</v>
      </c>
      <c r="R787" s="11" t="s">
        <v>628</v>
      </c>
      <c r="S787" s="11" t="s">
        <v>629</v>
      </c>
      <c r="T787" s="105" t="s">
        <v>10</v>
      </c>
      <c r="U787" s="98"/>
      <c r="V787" s="51">
        <v>45544</v>
      </c>
      <c r="W787" s="49" t="s">
        <v>1565</v>
      </c>
      <c r="X787" s="154" t="s">
        <v>2948</v>
      </c>
      <c r="Y787" s="154">
        <v>0</v>
      </c>
    </row>
    <row r="788" spans="1:25" ht="13" customHeight="1">
      <c r="A788" s="11">
        <v>782</v>
      </c>
      <c r="B788" s="47">
        <v>204011443</v>
      </c>
      <c r="C788" s="88" t="s">
        <v>2273</v>
      </c>
      <c r="D788" s="11" t="s">
        <v>2274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86</v>
      </c>
      <c r="O788" s="49" t="s">
        <v>37</v>
      </c>
      <c r="P788" s="11" t="s">
        <v>80</v>
      </c>
      <c r="Q788" s="11" t="s">
        <v>90</v>
      </c>
      <c r="R788" s="49" t="s">
        <v>624</v>
      </c>
      <c r="S788" s="11" t="s">
        <v>625</v>
      </c>
      <c r="T788" s="105" t="s">
        <v>1</v>
      </c>
      <c r="U788" s="98"/>
      <c r="V788" s="51">
        <v>45551</v>
      </c>
      <c r="W788" s="49" t="s">
        <v>1565</v>
      </c>
      <c r="X788" s="154" t="s">
        <v>2</v>
      </c>
      <c r="Y788" s="154">
        <v>0</v>
      </c>
    </row>
    <row r="789" spans="1:25" ht="13" customHeight="1">
      <c r="A789" s="11">
        <v>783</v>
      </c>
      <c r="B789" s="47">
        <v>204072301</v>
      </c>
      <c r="C789" s="88" t="s">
        <v>847</v>
      </c>
      <c r="D789" s="11" t="s">
        <v>848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32</v>
      </c>
      <c r="K789" s="49" t="s">
        <v>76</v>
      </c>
      <c r="L789" s="49" t="s">
        <v>85</v>
      </c>
      <c r="M789" s="49" t="s">
        <v>88</v>
      </c>
      <c r="N789" s="48" t="s">
        <v>86</v>
      </c>
      <c r="O789" s="49" t="s">
        <v>37</v>
      </c>
      <c r="P789" s="11" t="s">
        <v>80</v>
      </c>
      <c r="Q789" s="11" t="s">
        <v>90</v>
      </c>
      <c r="R789" s="11" t="s">
        <v>2779</v>
      </c>
      <c r="S789" s="11" t="s">
        <v>2780</v>
      </c>
      <c r="T789" s="105" t="s">
        <v>1</v>
      </c>
      <c r="U789" s="98"/>
      <c r="V789" s="51">
        <v>45558</v>
      </c>
      <c r="W789" s="49" t="s">
        <v>1564</v>
      </c>
      <c r="X789" s="154" t="s">
        <v>2</v>
      </c>
      <c r="Y789" s="154">
        <v>0</v>
      </c>
    </row>
    <row r="790" spans="1:25" ht="13" customHeight="1">
      <c r="A790" s="11">
        <v>784</v>
      </c>
      <c r="B790" s="47">
        <v>206897647</v>
      </c>
      <c r="C790" s="88" t="s">
        <v>1848</v>
      </c>
      <c r="D790" s="11" t="s">
        <v>1849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1290</v>
      </c>
      <c r="J790" s="49" t="s">
        <v>39</v>
      </c>
      <c r="K790" s="49" t="s">
        <v>76</v>
      </c>
      <c r="L790" s="49" t="s">
        <v>85</v>
      </c>
      <c r="M790" s="49" t="s">
        <v>88</v>
      </c>
      <c r="N790" s="49" t="s">
        <v>79</v>
      </c>
      <c r="O790" s="48" t="s">
        <v>37</v>
      </c>
      <c r="P790" s="48" t="s">
        <v>80</v>
      </c>
      <c r="Q790" s="11" t="s">
        <v>81</v>
      </c>
      <c r="R790" s="11" t="s">
        <v>1057</v>
      </c>
      <c r="S790" s="11" t="s">
        <v>2657</v>
      </c>
      <c r="T790" s="105" t="s">
        <v>1</v>
      </c>
      <c r="U790" s="98"/>
      <c r="V790" s="51">
        <v>46030</v>
      </c>
      <c r="W790" s="49" t="s">
        <v>1565</v>
      </c>
      <c r="X790" s="154" t="s">
        <v>2</v>
      </c>
      <c r="Y790" s="154">
        <v>0</v>
      </c>
    </row>
    <row r="791" spans="1:25" ht="13" customHeight="1">
      <c r="A791" s="11">
        <v>785</v>
      </c>
      <c r="B791" s="47">
        <v>206897649</v>
      </c>
      <c r="C791" s="88" t="str">
        <f>VLOOKUP(B791,'[1]employeeList-AUH1 (28)'!$A$1:$J$1523,2,0)</f>
        <v>gideopwa</v>
      </c>
      <c r="D791" s="11" t="s">
        <v>2838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11" t="s">
        <v>39</v>
      </c>
      <c r="K791" s="11" t="s">
        <v>76</v>
      </c>
      <c r="L791" s="11" t="s">
        <v>85</v>
      </c>
      <c r="M791" s="11" t="s">
        <v>88</v>
      </c>
      <c r="N791" s="11" t="s">
        <v>89</v>
      </c>
      <c r="O791" s="11" t="s">
        <v>37</v>
      </c>
      <c r="P791" s="11" t="s">
        <v>80</v>
      </c>
      <c r="Q791" s="11" t="s">
        <v>81</v>
      </c>
      <c r="R791" s="11" t="s">
        <v>628</v>
      </c>
      <c r="S791" s="11" t="s">
        <v>629</v>
      </c>
      <c r="T791" s="105" t="s">
        <v>1</v>
      </c>
      <c r="U791" s="98"/>
      <c r="V791" s="51">
        <v>46239</v>
      </c>
      <c r="W791" s="11" t="s">
        <v>1566</v>
      </c>
      <c r="X791" s="154" t="s">
        <v>2</v>
      </c>
      <c r="Y791" s="154">
        <v>0</v>
      </c>
    </row>
    <row r="792" spans="1:25" ht="13" customHeight="1">
      <c r="A792" s="11">
        <v>786</v>
      </c>
      <c r="B792" s="11">
        <v>206136723</v>
      </c>
      <c r="C792" s="88" t="s">
        <v>2760</v>
      </c>
      <c r="D792" s="11" t="s">
        <v>2761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39</v>
      </c>
      <c r="K792" s="49" t="s">
        <v>76</v>
      </c>
      <c r="L792" s="49" t="s">
        <v>88</v>
      </c>
      <c r="M792" s="49" t="s">
        <v>95</v>
      </c>
      <c r="N792" s="11" t="s">
        <v>89</v>
      </c>
      <c r="O792" s="11" t="s">
        <v>37</v>
      </c>
      <c r="P792" s="11" t="s">
        <v>80</v>
      </c>
      <c r="Q792" s="11" t="s">
        <v>81</v>
      </c>
      <c r="R792" s="11" t="s">
        <v>2659</v>
      </c>
      <c r="S792" s="11" t="s">
        <v>639</v>
      </c>
      <c r="T792" s="105" t="s">
        <v>1</v>
      </c>
      <c r="U792" s="98"/>
      <c r="V792" s="51">
        <v>46226</v>
      </c>
      <c r="W792" s="11" t="s">
        <v>1564</v>
      </c>
      <c r="X792" s="154" t="s">
        <v>2</v>
      </c>
      <c r="Y792" s="154" t="s">
        <v>2941</v>
      </c>
    </row>
    <row r="793" spans="1:25" ht="13" customHeight="1">
      <c r="A793" s="11">
        <v>787</v>
      </c>
      <c r="B793" s="47">
        <v>206136725</v>
      </c>
      <c r="C793" s="88" t="s">
        <v>849</v>
      </c>
      <c r="D793" s="11" t="s">
        <v>850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39</v>
      </c>
      <c r="K793" s="49" t="s">
        <v>76</v>
      </c>
      <c r="L793" s="49" t="s">
        <v>78</v>
      </c>
      <c r="M793" s="49" t="s">
        <v>92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49" t="s">
        <v>2659</v>
      </c>
      <c r="S793" s="11" t="s">
        <v>639</v>
      </c>
      <c r="T793" s="105" t="s">
        <v>1</v>
      </c>
      <c r="U793" s="98"/>
      <c r="V793" s="51">
        <v>45929</v>
      </c>
      <c r="W793" s="49" t="s">
        <v>1564</v>
      </c>
      <c r="X793" s="154" t="s">
        <v>2</v>
      </c>
      <c r="Y793" s="154">
        <v>0</v>
      </c>
    </row>
    <row r="794" spans="1:25" ht="13" customHeight="1">
      <c r="A794" s="11">
        <v>788</v>
      </c>
      <c r="B794" s="47">
        <v>206239529</v>
      </c>
      <c r="C794" s="88" t="s">
        <v>1629</v>
      </c>
      <c r="D794" s="11" t="s">
        <v>1604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88</v>
      </c>
      <c r="M794" s="49" t="s">
        <v>95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11" t="s">
        <v>1057</v>
      </c>
      <c r="S794" s="11" t="s">
        <v>2657</v>
      </c>
      <c r="T794" s="105" t="s">
        <v>1</v>
      </c>
      <c r="U794" s="98"/>
      <c r="V794" s="51">
        <v>45943</v>
      </c>
      <c r="W794" s="49" t="s">
        <v>1564</v>
      </c>
      <c r="X794" s="154" t="s">
        <v>2</v>
      </c>
      <c r="Y794" s="154">
        <v>0</v>
      </c>
    </row>
    <row r="795" spans="1:25" ht="13" customHeight="1">
      <c r="A795" s="11">
        <v>789</v>
      </c>
      <c r="B795" s="47">
        <v>206074973</v>
      </c>
      <c r="C795" s="88" t="s">
        <v>851</v>
      </c>
      <c r="D795" s="11" t="s">
        <v>852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85</v>
      </c>
      <c r="M795" s="49" t="s">
        <v>88</v>
      </c>
      <c r="N795" s="48" t="s">
        <v>79</v>
      </c>
      <c r="O795" s="49" t="s">
        <v>37</v>
      </c>
      <c r="P795" s="11" t="s">
        <v>80</v>
      </c>
      <c r="Q795" s="11" t="s">
        <v>81</v>
      </c>
      <c r="R795" s="49" t="s">
        <v>644</v>
      </c>
      <c r="S795" s="11" t="s">
        <v>1777</v>
      </c>
      <c r="T795" s="105" t="s">
        <v>4</v>
      </c>
      <c r="U795" s="98"/>
      <c r="V795" s="51">
        <v>45922</v>
      </c>
      <c r="W795" s="49" t="s">
        <v>1564</v>
      </c>
      <c r="X795" s="154" t="s">
        <v>2948</v>
      </c>
      <c r="Y795" s="154" t="s">
        <v>2941</v>
      </c>
    </row>
    <row r="796" spans="1:25" ht="13" customHeight="1">
      <c r="A796" s="11">
        <v>790</v>
      </c>
      <c r="B796" s="47">
        <v>206926478</v>
      </c>
      <c r="C796" s="88" t="s">
        <v>1964</v>
      </c>
      <c r="D796" s="11" t="s">
        <v>1971</v>
      </c>
      <c r="E796" s="48" t="s">
        <v>31</v>
      </c>
      <c r="F796" s="48" t="s">
        <v>74</v>
      </c>
      <c r="G796" s="48" t="s">
        <v>64</v>
      </c>
      <c r="H796" s="48" t="s">
        <v>1319</v>
      </c>
      <c r="I796" s="11">
        <v>1299</v>
      </c>
      <c r="J796" s="49" t="s">
        <v>39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49" t="s">
        <v>80</v>
      </c>
      <c r="Q796" s="49" t="s">
        <v>90</v>
      </c>
      <c r="R796" s="49" t="s">
        <v>624</v>
      </c>
      <c r="S796" s="11" t="s">
        <v>625</v>
      </c>
      <c r="T796" s="105" t="s">
        <v>10</v>
      </c>
      <c r="U796" s="98"/>
      <c r="V796" s="51">
        <v>46037</v>
      </c>
      <c r="W796" s="49" t="s">
        <v>1972</v>
      </c>
      <c r="X796" s="154" t="s">
        <v>2948</v>
      </c>
      <c r="Y796" s="154">
        <v>0</v>
      </c>
    </row>
    <row r="797" spans="1:25" ht="13" customHeight="1">
      <c r="A797" s="11">
        <v>791</v>
      </c>
      <c r="B797" s="47">
        <v>204138503</v>
      </c>
      <c r="C797" s="88" t="s">
        <v>853</v>
      </c>
      <c r="D797" s="11" t="s">
        <v>854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78</v>
      </c>
      <c r="M797" s="49" t="s">
        <v>92</v>
      </c>
      <c r="N797" s="48" t="s">
        <v>79</v>
      </c>
      <c r="O797" s="49" t="s">
        <v>37</v>
      </c>
      <c r="P797" s="11" t="s">
        <v>80</v>
      </c>
      <c r="Q797" s="11" t="s">
        <v>81</v>
      </c>
      <c r="R797" s="11" t="s">
        <v>636</v>
      </c>
      <c r="S797" s="11" t="s">
        <v>2658</v>
      </c>
      <c r="T797" s="105" t="s">
        <v>1</v>
      </c>
      <c r="U797" s="98"/>
      <c r="V797" s="51">
        <v>45565</v>
      </c>
      <c r="W797" s="49" t="s">
        <v>1564</v>
      </c>
      <c r="X797" s="154" t="s">
        <v>2</v>
      </c>
      <c r="Y797" s="154">
        <v>0</v>
      </c>
    </row>
    <row r="798" spans="1:25" ht="13" customHeight="1">
      <c r="A798" s="11">
        <v>792</v>
      </c>
      <c r="B798" s="47">
        <v>205853573</v>
      </c>
      <c r="C798" s="88" t="s">
        <v>855</v>
      </c>
      <c r="D798" s="11" t="s">
        <v>856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92</v>
      </c>
      <c r="M798" s="49" t="s">
        <v>84</v>
      </c>
      <c r="N798" s="49" t="s">
        <v>89</v>
      </c>
      <c r="O798" s="49" t="s">
        <v>37</v>
      </c>
      <c r="P798" s="11" t="s">
        <v>80</v>
      </c>
      <c r="Q798" s="11" t="s">
        <v>96</v>
      </c>
      <c r="R798" s="11" t="s">
        <v>628</v>
      </c>
      <c r="S798" s="11" t="s">
        <v>629</v>
      </c>
      <c r="T798" s="105" t="s">
        <v>1</v>
      </c>
      <c r="U798" s="98"/>
      <c r="V798" s="51">
        <v>45894</v>
      </c>
      <c r="W798" s="49" t="s">
        <v>1564</v>
      </c>
      <c r="X798" s="154" t="s">
        <v>2</v>
      </c>
      <c r="Y798" s="154">
        <v>0</v>
      </c>
    </row>
    <row r="799" spans="1:25" ht="13" customHeight="1">
      <c r="A799" s="11">
        <v>793</v>
      </c>
      <c r="B799" s="47">
        <v>206915464</v>
      </c>
      <c r="C799" s="88" t="s">
        <v>1863</v>
      </c>
      <c r="D799" s="11" t="s">
        <v>1869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9" t="s">
        <v>89</v>
      </c>
      <c r="O799" s="49" t="s">
        <v>37</v>
      </c>
      <c r="P799" s="49" t="s">
        <v>80</v>
      </c>
      <c r="Q799" s="49" t="s">
        <v>90</v>
      </c>
      <c r="R799" s="49" t="s">
        <v>644</v>
      </c>
      <c r="S799" s="49" t="s">
        <v>1777</v>
      </c>
      <c r="T799" s="105" t="s">
        <v>1</v>
      </c>
      <c r="U799" s="98"/>
      <c r="V799" s="51">
        <v>46034</v>
      </c>
      <c r="W799" s="49" t="s">
        <v>1563</v>
      </c>
      <c r="X799" s="154" t="s">
        <v>2</v>
      </c>
      <c r="Y799" s="154">
        <v>0</v>
      </c>
    </row>
    <row r="800" spans="1:25" ht="13" customHeight="1">
      <c r="A800" s="11">
        <v>794</v>
      </c>
      <c r="B800" s="47">
        <v>203468748</v>
      </c>
      <c r="C800" s="88" t="s">
        <v>857</v>
      </c>
      <c r="D800" s="11" t="s">
        <v>858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95</v>
      </c>
      <c r="M800" s="49" t="s">
        <v>77</v>
      </c>
      <c r="N800" s="48" t="s">
        <v>79</v>
      </c>
      <c r="O800" s="49" t="s">
        <v>37</v>
      </c>
      <c r="P800" s="11" t="s">
        <v>80</v>
      </c>
      <c r="Q800" s="11" t="s">
        <v>81</v>
      </c>
      <c r="R800" s="11" t="s">
        <v>628</v>
      </c>
      <c r="S800" s="11" t="s">
        <v>629</v>
      </c>
      <c r="T800" s="105" t="s">
        <v>10</v>
      </c>
      <c r="U800" s="98"/>
      <c r="V800" s="51">
        <v>45456</v>
      </c>
      <c r="W800" s="49" t="s">
        <v>1566</v>
      </c>
      <c r="X800" s="154" t="s">
        <v>2948</v>
      </c>
      <c r="Y800" s="154">
        <v>0</v>
      </c>
    </row>
    <row r="801" spans="1:25" ht="13" customHeight="1">
      <c r="A801" s="11">
        <v>795</v>
      </c>
      <c r="B801" s="47">
        <v>205199079</v>
      </c>
      <c r="C801" s="89" t="s">
        <v>2026</v>
      </c>
      <c r="D801" s="11" t="s">
        <v>2027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87" t="s">
        <v>39</v>
      </c>
      <c r="K801" s="49" t="s">
        <v>76</v>
      </c>
      <c r="L801" s="49" t="s">
        <v>77</v>
      </c>
      <c r="M801" s="49" t="s">
        <v>78</v>
      </c>
      <c r="N801" s="49" t="s">
        <v>79</v>
      </c>
      <c r="O801" s="49" t="s">
        <v>37</v>
      </c>
      <c r="P801" s="11" t="s">
        <v>80</v>
      </c>
      <c r="Q801" s="11" t="s">
        <v>96</v>
      </c>
      <c r="R801" s="11" t="s">
        <v>2778</v>
      </c>
      <c r="S801" s="11" t="s">
        <v>2656</v>
      </c>
      <c r="T801" s="105" t="s">
        <v>10</v>
      </c>
      <c r="U801" s="98"/>
      <c r="V801" s="51">
        <v>46048</v>
      </c>
      <c r="W801" s="49" t="s">
        <v>1564</v>
      </c>
      <c r="X801" s="154" t="s">
        <v>2948</v>
      </c>
      <c r="Y801" s="154">
        <v>0</v>
      </c>
    </row>
    <row r="802" spans="1:25" ht="13" customHeight="1">
      <c r="A802" s="11">
        <v>796</v>
      </c>
      <c r="B802" s="47">
        <v>206906444</v>
      </c>
      <c r="C802" s="88" t="s">
        <v>1836</v>
      </c>
      <c r="D802" s="11" t="s">
        <v>1837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9" t="s">
        <v>89</v>
      </c>
      <c r="O802" s="48" t="s">
        <v>37</v>
      </c>
      <c r="P802" s="48" t="s">
        <v>80</v>
      </c>
      <c r="Q802" s="11" t="s">
        <v>90</v>
      </c>
      <c r="R802" s="49" t="s">
        <v>644</v>
      </c>
      <c r="S802" s="11" t="s">
        <v>1777</v>
      </c>
      <c r="T802" s="105" t="s">
        <v>1</v>
      </c>
      <c r="U802" s="98"/>
      <c r="V802" s="51">
        <v>46030</v>
      </c>
      <c r="W802" s="49" t="s">
        <v>1564</v>
      </c>
      <c r="X802" s="154" t="s">
        <v>2</v>
      </c>
      <c r="Y802" s="154">
        <v>0</v>
      </c>
    </row>
    <row r="803" spans="1:25" ht="13" customHeight="1">
      <c r="A803" s="11">
        <v>797</v>
      </c>
      <c r="B803" s="47">
        <v>204138121</v>
      </c>
      <c r="C803" s="88" t="s">
        <v>859</v>
      </c>
      <c r="D803" s="11" t="s">
        <v>860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88</v>
      </c>
      <c r="M803" s="49" t="s">
        <v>95</v>
      </c>
      <c r="N803" s="48" t="s">
        <v>86</v>
      </c>
      <c r="O803" s="49" t="s">
        <v>37</v>
      </c>
      <c r="P803" s="11" t="s">
        <v>80</v>
      </c>
      <c r="Q803" s="11" t="s">
        <v>87</v>
      </c>
      <c r="R803" s="11" t="s">
        <v>1057</v>
      </c>
      <c r="S803" s="11" t="s">
        <v>2657</v>
      </c>
      <c r="T803" s="105" t="s">
        <v>1</v>
      </c>
      <c r="U803" s="98"/>
      <c r="V803" s="51">
        <v>45565</v>
      </c>
      <c r="W803" s="49" t="s">
        <v>1566</v>
      </c>
      <c r="X803" s="154" t="s">
        <v>2</v>
      </c>
      <c r="Y803" s="154">
        <v>0</v>
      </c>
    </row>
    <row r="804" spans="1:25" ht="13" customHeight="1">
      <c r="A804" s="11">
        <v>798</v>
      </c>
      <c r="B804" s="47">
        <v>204299547</v>
      </c>
      <c r="C804" s="88" t="s">
        <v>861</v>
      </c>
      <c r="D804" s="11" t="s">
        <v>862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32</v>
      </c>
      <c r="K804" s="49" t="s">
        <v>76</v>
      </c>
      <c r="L804" s="49" t="s">
        <v>84</v>
      </c>
      <c r="M804" s="49" t="s">
        <v>85</v>
      </c>
      <c r="N804" s="48" t="s">
        <v>86</v>
      </c>
      <c r="O804" s="49" t="s">
        <v>37</v>
      </c>
      <c r="P804" s="11" t="s">
        <v>80</v>
      </c>
      <c r="Q804" s="11" t="s">
        <v>87</v>
      </c>
      <c r="R804" s="11" t="s">
        <v>628</v>
      </c>
      <c r="S804" s="11" t="s">
        <v>629</v>
      </c>
      <c r="T804" s="105" t="s">
        <v>1</v>
      </c>
      <c r="U804" s="98"/>
      <c r="V804" s="51">
        <v>45586</v>
      </c>
      <c r="W804" s="49" t="s">
        <v>1563</v>
      </c>
      <c r="X804" s="154" t="s">
        <v>2</v>
      </c>
      <c r="Y804" s="154">
        <v>0</v>
      </c>
    </row>
    <row r="805" spans="1:25" ht="13" customHeight="1">
      <c r="A805" s="11">
        <v>799</v>
      </c>
      <c r="B805" s="47">
        <v>203965458</v>
      </c>
      <c r="C805" s="88" t="s">
        <v>863</v>
      </c>
      <c r="D805" s="11" t="s">
        <v>864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92</v>
      </c>
      <c r="M805" s="49" t="s">
        <v>84</v>
      </c>
      <c r="N805" s="48" t="s">
        <v>79</v>
      </c>
      <c r="O805" s="49" t="s">
        <v>37</v>
      </c>
      <c r="P805" s="11" t="s">
        <v>80</v>
      </c>
      <c r="Q805" s="11" t="s">
        <v>81</v>
      </c>
      <c r="R805" s="49" t="s">
        <v>644</v>
      </c>
      <c r="S805" s="11" t="s">
        <v>1777</v>
      </c>
      <c r="T805" s="105" t="s">
        <v>1</v>
      </c>
      <c r="U805" s="98"/>
      <c r="V805" s="51">
        <v>45544</v>
      </c>
      <c r="W805" s="49" t="s">
        <v>1565</v>
      </c>
      <c r="X805" s="154" t="s">
        <v>2</v>
      </c>
      <c r="Y805" s="154">
        <v>0</v>
      </c>
    </row>
    <row r="806" spans="1:25" ht="13" customHeight="1">
      <c r="A806" s="11">
        <v>800</v>
      </c>
      <c r="B806" s="47">
        <v>203512949</v>
      </c>
      <c r="C806" s="88" t="s">
        <v>865</v>
      </c>
      <c r="D806" s="11" t="s">
        <v>866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88</v>
      </c>
      <c r="M806" s="49" t="s">
        <v>95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11" t="s">
        <v>628</v>
      </c>
      <c r="S806" s="11" t="s">
        <v>629</v>
      </c>
      <c r="T806" s="105" t="s">
        <v>7</v>
      </c>
      <c r="U806" s="98" t="s">
        <v>2941</v>
      </c>
      <c r="V806" s="51">
        <v>45463</v>
      </c>
      <c r="W806" s="49" t="s">
        <v>1564</v>
      </c>
      <c r="X806" s="154" t="s">
        <v>2948</v>
      </c>
      <c r="Y806" s="154" t="s">
        <v>2949</v>
      </c>
    </row>
    <row r="807" spans="1:25" ht="13" customHeight="1">
      <c r="A807" s="11">
        <v>801</v>
      </c>
      <c r="B807" s="91">
        <v>204072302</v>
      </c>
      <c r="C807" s="47" t="s">
        <v>2712</v>
      </c>
      <c r="D807" s="88" t="s">
        <v>2713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85</v>
      </c>
      <c r="M807" s="49" t="s">
        <v>88</v>
      </c>
      <c r="N807" s="48" t="s">
        <v>86</v>
      </c>
      <c r="O807" s="49" t="s">
        <v>37</v>
      </c>
      <c r="P807" s="11" t="s">
        <v>80</v>
      </c>
      <c r="Q807" s="11" t="s">
        <v>90</v>
      </c>
      <c r="R807" s="11" t="s">
        <v>644</v>
      </c>
      <c r="S807" s="11" t="s">
        <v>2679</v>
      </c>
      <c r="T807" s="105" t="s">
        <v>1</v>
      </c>
      <c r="U807" s="98"/>
      <c r="V807" s="51">
        <v>45684</v>
      </c>
      <c r="W807" s="49" t="s">
        <v>1564</v>
      </c>
      <c r="X807" s="154" t="s">
        <v>2</v>
      </c>
      <c r="Y807" s="154">
        <v>0</v>
      </c>
    </row>
    <row r="808" spans="1:25" ht="13" customHeight="1">
      <c r="A808" s="11">
        <v>802</v>
      </c>
      <c r="B808" s="47">
        <v>202249751</v>
      </c>
      <c r="C808" s="88" t="s">
        <v>867</v>
      </c>
      <c r="D808" s="11" t="s">
        <v>868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39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628</v>
      </c>
      <c r="S808" s="11" t="s">
        <v>629</v>
      </c>
      <c r="T808" s="105" t="s">
        <v>1</v>
      </c>
      <c r="U808" s="98"/>
      <c r="V808" s="51">
        <v>45561</v>
      </c>
      <c r="W808" s="49" t="s">
        <v>1563</v>
      </c>
      <c r="X808" s="154" t="s">
        <v>2</v>
      </c>
      <c r="Y808" s="154">
        <v>0</v>
      </c>
    </row>
    <row r="809" spans="1:25" ht="13" customHeight="1">
      <c r="A809" s="11">
        <v>803</v>
      </c>
      <c r="B809" s="47">
        <v>204966775</v>
      </c>
      <c r="C809" s="88" t="s">
        <v>869</v>
      </c>
      <c r="D809" s="11" t="s">
        <v>870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39</v>
      </c>
      <c r="K809" s="49" t="s">
        <v>76</v>
      </c>
      <c r="L809" s="49" t="s">
        <v>84</v>
      </c>
      <c r="M809" s="49" t="s">
        <v>85</v>
      </c>
      <c r="N809" s="48" t="s">
        <v>86</v>
      </c>
      <c r="O809" s="49" t="s">
        <v>37</v>
      </c>
      <c r="P809" s="11" t="s">
        <v>80</v>
      </c>
      <c r="Q809" s="11" t="s">
        <v>90</v>
      </c>
      <c r="R809" s="49" t="s">
        <v>644</v>
      </c>
      <c r="S809" s="11" t="s">
        <v>1777</v>
      </c>
      <c r="T809" s="105" t="s">
        <v>3</v>
      </c>
      <c r="U809" s="98"/>
      <c r="V809" s="51">
        <v>45719</v>
      </c>
      <c r="W809" s="49" t="s">
        <v>1564</v>
      </c>
      <c r="X809" s="154" t="s">
        <v>2948</v>
      </c>
      <c r="Y809" s="154">
        <v>0</v>
      </c>
    </row>
    <row r="810" spans="1:25" ht="13" customHeight="1">
      <c r="A810" s="11">
        <v>804</v>
      </c>
      <c r="B810" s="47">
        <v>206915469</v>
      </c>
      <c r="C810" s="88" t="s">
        <v>1866</v>
      </c>
      <c r="D810" s="11" t="s">
        <v>1860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92</v>
      </c>
      <c r="M810" s="49" t="s">
        <v>84</v>
      </c>
      <c r="N810" s="49" t="s">
        <v>89</v>
      </c>
      <c r="O810" s="49" t="s">
        <v>37</v>
      </c>
      <c r="P810" s="11" t="s">
        <v>80</v>
      </c>
      <c r="Q810" s="11" t="s">
        <v>90</v>
      </c>
      <c r="R810" s="11" t="s">
        <v>2778</v>
      </c>
      <c r="S810" s="11" t="s">
        <v>2656</v>
      </c>
      <c r="T810" s="105" t="s">
        <v>1</v>
      </c>
      <c r="U810" s="98"/>
      <c r="V810" s="51">
        <v>46034</v>
      </c>
      <c r="W810" s="49" t="s">
        <v>1564</v>
      </c>
      <c r="X810" s="154" t="s">
        <v>2</v>
      </c>
      <c r="Y810" s="154">
        <v>0</v>
      </c>
    </row>
    <row r="811" spans="1:25" ht="13" customHeight="1">
      <c r="A811" s="11">
        <v>805</v>
      </c>
      <c r="B811" s="47">
        <v>204116868</v>
      </c>
      <c r="C811" s="88" t="s">
        <v>871</v>
      </c>
      <c r="D811" s="11" t="s">
        <v>872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85</v>
      </c>
      <c r="M811" s="49" t="s">
        <v>88</v>
      </c>
      <c r="N811" s="48" t="s">
        <v>86</v>
      </c>
      <c r="O811" s="49" t="s">
        <v>37</v>
      </c>
      <c r="P811" s="11" t="s">
        <v>80</v>
      </c>
      <c r="Q811" s="11" t="s">
        <v>87</v>
      </c>
      <c r="R811" s="49" t="s">
        <v>624</v>
      </c>
      <c r="S811" s="11" t="s">
        <v>625</v>
      </c>
      <c r="T811" s="105" t="s">
        <v>1</v>
      </c>
      <c r="U811" s="98"/>
      <c r="V811" s="51">
        <v>45561</v>
      </c>
      <c r="W811" s="49" t="s">
        <v>1564</v>
      </c>
      <c r="X811" s="154" t="s">
        <v>2</v>
      </c>
      <c r="Y811" s="154">
        <v>0</v>
      </c>
    </row>
    <row r="812" spans="1:25" ht="13" customHeight="1">
      <c r="A812" s="11">
        <v>806</v>
      </c>
      <c r="B812" s="47">
        <v>203512668</v>
      </c>
      <c r="C812" s="88" t="s">
        <v>873</v>
      </c>
      <c r="D812" s="11" t="s">
        <v>874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32</v>
      </c>
      <c r="K812" s="49" t="s">
        <v>76</v>
      </c>
      <c r="L812" s="49" t="s">
        <v>84</v>
      </c>
      <c r="M812" s="49" t="s">
        <v>85</v>
      </c>
      <c r="N812" s="48" t="s">
        <v>79</v>
      </c>
      <c r="O812" s="49" t="s">
        <v>37</v>
      </c>
      <c r="P812" s="11" t="s">
        <v>80</v>
      </c>
      <c r="Q812" s="11" t="s">
        <v>81</v>
      </c>
      <c r="R812" s="11" t="s">
        <v>1057</v>
      </c>
      <c r="S812" s="11" t="s">
        <v>2657</v>
      </c>
      <c r="T812" s="105" t="s">
        <v>1</v>
      </c>
      <c r="U812" s="98"/>
      <c r="V812" s="51">
        <v>45463</v>
      </c>
      <c r="W812" s="49" t="s">
        <v>1565</v>
      </c>
      <c r="X812" s="154" t="s">
        <v>2</v>
      </c>
      <c r="Y812" s="154">
        <v>0</v>
      </c>
    </row>
    <row r="813" spans="1:25" ht="13" customHeight="1">
      <c r="A813" s="11">
        <v>807</v>
      </c>
      <c r="B813" s="47">
        <v>204013684</v>
      </c>
      <c r="C813" s="88" t="s">
        <v>875</v>
      </c>
      <c r="D813" s="11" t="s">
        <v>876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11" t="s">
        <v>1057</v>
      </c>
      <c r="S813" s="11" t="s">
        <v>2657</v>
      </c>
      <c r="T813" s="105" t="s">
        <v>10</v>
      </c>
      <c r="U813" s="98"/>
      <c r="V813" s="51">
        <v>45551</v>
      </c>
      <c r="W813" s="49" t="s">
        <v>1563</v>
      </c>
      <c r="X813" s="154" t="s">
        <v>2948</v>
      </c>
      <c r="Y813" s="154">
        <v>0</v>
      </c>
    </row>
    <row r="814" spans="1:25" ht="13" customHeight="1">
      <c r="A814" s="11">
        <v>808</v>
      </c>
      <c r="B814" s="47">
        <v>206926479</v>
      </c>
      <c r="C814" s="88" t="s">
        <v>1962</v>
      </c>
      <c r="D814" s="11" t="s">
        <v>1969</v>
      </c>
      <c r="E814" s="48" t="s">
        <v>31</v>
      </c>
      <c r="F814" s="48" t="s">
        <v>74</v>
      </c>
      <c r="G814" s="48" t="s">
        <v>64</v>
      </c>
      <c r="H814" s="48" t="s">
        <v>1319</v>
      </c>
      <c r="I814" s="11">
        <v>1299</v>
      </c>
      <c r="J814" s="49" t="s">
        <v>32</v>
      </c>
      <c r="K814" s="49" t="s">
        <v>76</v>
      </c>
      <c r="L814" s="49" t="s">
        <v>84</v>
      </c>
      <c r="M814" s="49" t="s">
        <v>85</v>
      </c>
      <c r="N814" s="49" t="s">
        <v>89</v>
      </c>
      <c r="O814" s="49" t="s">
        <v>37</v>
      </c>
      <c r="P814" s="49" t="s">
        <v>80</v>
      </c>
      <c r="Q814" s="49" t="s">
        <v>90</v>
      </c>
      <c r="R814" s="49" t="s">
        <v>644</v>
      </c>
      <c r="S814" s="49" t="s">
        <v>1777</v>
      </c>
      <c r="T814" s="105" t="s">
        <v>1</v>
      </c>
      <c r="U814" s="98"/>
      <c r="V814" s="51">
        <v>46037</v>
      </c>
      <c r="W814" s="49" t="s">
        <v>1972</v>
      </c>
      <c r="X814" s="154" t="s">
        <v>2</v>
      </c>
      <c r="Y814" s="154">
        <v>0</v>
      </c>
    </row>
    <row r="815" spans="1:25" ht="13" customHeight="1">
      <c r="A815" s="11">
        <v>809</v>
      </c>
      <c r="B815" s="47">
        <v>108019714</v>
      </c>
      <c r="C815" s="88" t="s">
        <v>877</v>
      </c>
      <c r="D815" s="11" t="s">
        <v>878</v>
      </c>
      <c r="E815" s="48" t="s">
        <v>34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95</v>
      </c>
      <c r="M815" s="49" t="s">
        <v>77</v>
      </c>
      <c r="N815" s="48" t="s">
        <v>97</v>
      </c>
      <c r="O815" s="49" t="s">
        <v>37</v>
      </c>
      <c r="P815" s="11" t="s">
        <v>80</v>
      </c>
      <c r="Q815" s="11" t="s">
        <v>98</v>
      </c>
      <c r="R815" s="49" t="s">
        <v>624</v>
      </c>
      <c r="S815" s="11" t="s">
        <v>625</v>
      </c>
      <c r="T815" s="105" t="s">
        <v>10</v>
      </c>
      <c r="U815" s="98"/>
      <c r="V815" s="51">
        <v>44757</v>
      </c>
      <c r="W815" s="49" t="s">
        <v>1568</v>
      </c>
      <c r="X815" s="154" t="s">
        <v>2948</v>
      </c>
      <c r="Y815" s="154">
        <v>0</v>
      </c>
    </row>
    <row r="816" spans="1:25" ht="13" customHeight="1">
      <c r="A816" s="11">
        <v>810</v>
      </c>
      <c r="B816" s="47">
        <v>203965181</v>
      </c>
      <c r="C816" s="88" t="s">
        <v>879</v>
      </c>
      <c r="D816" s="11" t="s">
        <v>880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8" t="s">
        <v>79</v>
      </c>
      <c r="O816" s="49" t="s">
        <v>37</v>
      </c>
      <c r="P816" s="11" t="s">
        <v>80</v>
      </c>
      <c r="Q816" s="11" t="s">
        <v>81</v>
      </c>
      <c r="R816" s="49" t="s">
        <v>624</v>
      </c>
      <c r="S816" s="11" t="s">
        <v>625</v>
      </c>
      <c r="T816" s="105" t="s">
        <v>1</v>
      </c>
      <c r="U816" s="98"/>
      <c r="V816" s="51">
        <v>45544</v>
      </c>
      <c r="W816" s="49" t="s">
        <v>1564</v>
      </c>
      <c r="X816" s="154" t="s">
        <v>2</v>
      </c>
      <c r="Y816" s="154">
        <v>0</v>
      </c>
    </row>
    <row r="817" spans="1:25" ht="13" customHeight="1">
      <c r="A817" s="11">
        <v>811</v>
      </c>
      <c r="B817" s="47">
        <v>203468745</v>
      </c>
      <c r="C817" s="88" t="s">
        <v>881</v>
      </c>
      <c r="D817" s="11" t="s">
        <v>882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85</v>
      </c>
      <c r="M817" s="49" t="s">
        <v>88</v>
      </c>
      <c r="N817" s="48" t="s">
        <v>79</v>
      </c>
      <c r="O817" s="49" t="s">
        <v>37</v>
      </c>
      <c r="P817" s="11" t="s">
        <v>80</v>
      </c>
      <c r="Q817" s="11" t="s">
        <v>81</v>
      </c>
      <c r="R817" s="11" t="s">
        <v>628</v>
      </c>
      <c r="S817" s="11" t="s">
        <v>629</v>
      </c>
      <c r="T817" s="105" t="s">
        <v>7</v>
      </c>
      <c r="U817" s="98" t="s">
        <v>2941</v>
      </c>
      <c r="V817" s="51">
        <v>45456</v>
      </c>
      <c r="W817" s="49" t="s">
        <v>1566</v>
      </c>
      <c r="X817" s="154" t="s">
        <v>2948</v>
      </c>
      <c r="Y817" s="154" t="s">
        <v>2949</v>
      </c>
    </row>
    <row r="818" spans="1:25" ht="13" customHeight="1">
      <c r="A818" s="11">
        <v>812</v>
      </c>
      <c r="B818" s="47">
        <v>203993450</v>
      </c>
      <c r="C818" s="88" t="s">
        <v>883</v>
      </c>
      <c r="D818" s="11" t="s">
        <v>884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36</v>
      </c>
      <c r="M818" s="49" t="s">
        <v>78</v>
      </c>
      <c r="N818" s="48" t="s">
        <v>86</v>
      </c>
      <c r="O818" s="49" t="s">
        <v>37</v>
      </c>
      <c r="P818" s="11" t="s">
        <v>80</v>
      </c>
      <c r="Q818" s="11" t="s">
        <v>90</v>
      </c>
      <c r="R818" s="49" t="s">
        <v>624</v>
      </c>
      <c r="S818" s="11" t="s">
        <v>625</v>
      </c>
      <c r="T818" s="105" t="s">
        <v>1</v>
      </c>
      <c r="U818" s="98" t="s">
        <v>2944</v>
      </c>
      <c r="V818" s="51">
        <v>45547</v>
      </c>
      <c r="W818" s="49" t="s">
        <v>1563</v>
      </c>
      <c r="X818" s="154" t="s">
        <v>2</v>
      </c>
      <c r="Y818" s="154">
        <v>0</v>
      </c>
    </row>
    <row r="819" spans="1:25" ht="13" customHeight="1">
      <c r="A819" s="11">
        <v>813</v>
      </c>
      <c r="B819" s="47">
        <v>203881657</v>
      </c>
      <c r="C819" s="88" t="s">
        <v>885</v>
      </c>
      <c r="D819" s="11" t="s">
        <v>886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95</v>
      </c>
      <c r="M819" s="49" t="s">
        <v>77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49" t="s">
        <v>624</v>
      </c>
      <c r="S819" s="11" t="s">
        <v>625</v>
      </c>
      <c r="T819" s="105" t="s">
        <v>10</v>
      </c>
      <c r="U819" s="98"/>
      <c r="V819" s="51">
        <v>45530</v>
      </c>
      <c r="W819" s="49" t="s">
        <v>1564</v>
      </c>
      <c r="X819" s="154" t="s">
        <v>2948</v>
      </c>
      <c r="Y819" s="154">
        <v>0</v>
      </c>
    </row>
    <row r="820" spans="1:25" ht="13" customHeight="1">
      <c r="A820" s="11">
        <v>814</v>
      </c>
      <c r="B820" s="78">
        <v>204976025</v>
      </c>
      <c r="C820" s="112" t="s">
        <v>2030</v>
      </c>
      <c r="D820" s="11" t="s">
        <v>2031</v>
      </c>
      <c r="E820" s="80" t="s">
        <v>31</v>
      </c>
      <c r="F820" s="48" t="s">
        <v>74</v>
      </c>
      <c r="G820" s="11" t="s">
        <v>64</v>
      </c>
      <c r="H820" s="11" t="s">
        <v>75</v>
      </c>
      <c r="I820" s="74">
        <v>1299</v>
      </c>
      <c r="J820" s="87" t="s">
        <v>39</v>
      </c>
      <c r="K820" s="49" t="s">
        <v>76</v>
      </c>
      <c r="L820" s="49" t="s">
        <v>77</v>
      </c>
      <c r="M820" s="49" t="s">
        <v>78</v>
      </c>
      <c r="N820" s="49" t="s">
        <v>89</v>
      </c>
      <c r="O820" s="49" t="s">
        <v>37</v>
      </c>
      <c r="P820" s="11" t="s">
        <v>80</v>
      </c>
      <c r="Q820" s="74" t="s">
        <v>96</v>
      </c>
      <c r="R820" s="11" t="s">
        <v>2778</v>
      </c>
      <c r="S820" s="74" t="s">
        <v>2656</v>
      </c>
      <c r="T820" s="105" t="s">
        <v>10</v>
      </c>
      <c r="U820" s="98"/>
      <c r="V820" s="51">
        <v>46048</v>
      </c>
      <c r="W820" s="49" t="s">
        <v>1564</v>
      </c>
      <c r="X820" s="154" t="s">
        <v>2948</v>
      </c>
      <c r="Y820" s="154">
        <v>0</v>
      </c>
    </row>
    <row r="821" spans="1:25" ht="13" customHeight="1">
      <c r="A821" s="11">
        <v>815</v>
      </c>
      <c r="B821" s="91">
        <v>203850785</v>
      </c>
      <c r="C821" s="47" t="s">
        <v>2714</v>
      </c>
      <c r="D821" s="88" t="s">
        <v>2715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78</v>
      </c>
      <c r="M821" s="49" t="s">
        <v>92</v>
      </c>
      <c r="N821" s="49" t="s">
        <v>89</v>
      </c>
      <c r="O821" s="49" t="s">
        <v>37</v>
      </c>
      <c r="P821" s="11" t="s">
        <v>80</v>
      </c>
      <c r="Q821" s="11" t="s">
        <v>90</v>
      </c>
      <c r="R821" s="11" t="s">
        <v>644</v>
      </c>
      <c r="S821" s="11" t="s">
        <v>2679</v>
      </c>
      <c r="T821" s="105" t="s">
        <v>1</v>
      </c>
      <c r="U821" s="98"/>
      <c r="V821" s="51">
        <v>45524</v>
      </c>
      <c r="W821" s="49" t="s">
        <v>1564</v>
      </c>
      <c r="X821" s="154" t="s">
        <v>2</v>
      </c>
      <c r="Y821" s="154">
        <v>0</v>
      </c>
    </row>
    <row r="822" spans="1:25" ht="13" customHeight="1">
      <c r="A822" s="11">
        <v>816</v>
      </c>
      <c r="B822" s="47">
        <v>105444856</v>
      </c>
      <c r="C822" s="88" t="s">
        <v>2046</v>
      </c>
      <c r="D822" s="11" t="s">
        <v>2047</v>
      </c>
      <c r="E822" s="48" t="s">
        <v>34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88</v>
      </c>
      <c r="M822" s="49" t="s">
        <v>95</v>
      </c>
      <c r="N822" s="48" t="s">
        <v>97</v>
      </c>
      <c r="O822" s="49" t="s">
        <v>37</v>
      </c>
      <c r="P822" s="11" t="s">
        <v>80</v>
      </c>
      <c r="Q822" s="11" t="s">
        <v>98</v>
      </c>
      <c r="R822" s="11" t="s">
        <v>2779</v>
      </c>
      <c r="S822" s="11" t="s">
        <v>2780</v>
      </c>
      <c r="T822" s="105" t="s">
        <v>1</v>
      </c>
      <c r="U822" s="98"/>
      <c r="V822" s="51">
        <v>46048</v>
      </c>
      <c r="W822" s="49" t="s">
        <v>1568</v>
      </c>
      <c r="X822" s="154" t="s">
        <v>2</v>
      </c>
      <c r="Y822" s="154">
        <v>0</v>
      </c>
    </row>
    <row r="823" spans="1:25" ht="13" customHeight="1">
      <c r="A823" s="11">
        <v>817</v>
      </c>
      <c r="B823" s="47">
        <v>206138254</v>
      </c>
      <c r="C823" s="88" t="s">
        <v>887</v>
      </c>
      <c r="D823" s="11" t="s">
        <v>888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77</v>
      </c>
      <c r="M823" s="49" t="s">
        <v>78</v>
      </c>
      <c r="N823" s="49" t="s">
        <v>89</v>
      </c>
      <c r="O823" s="49" t="s">
        <v>37</v>
      </c>
      <c r="P823" s="11" t="s">
        <v>80</v>
      </c>
      <c r="Q823" s="11" t="s">
        <v>81</v>
      </c>
      <c r="R823" s="11" t="s">
        <v>628</v>
      </c>
      <c r="S823" s="11" t="s">
        <v>629</v>
      </c>
      <c r="T823" s="105" t="s">
        <v>10</v>
      </c>
      <c r="U823" s="98"/>
      <c r="V823" s="51">
        <v>45929</v>
      </c>
      <c r="W823" s="49" t="s">
        <v>1564</v>
      </c>
      <c r="X823" s="154" t="s">
        <v>2948</v>
      </c>
      <c r="Y823" s="154">
        <v>0</v>
      </c>
    </row>
    <row r="824" spans="1:25" ht="13" customHeight="1">
      <c r="A824" s="11">
        <v>818</v>
      </c>
      <c r="B824" s="47">
        <v>204951503</v>
      </c>
      <c r="C824" s="88" t="s">
        <v>2344</v>
      </c>
      <c r="D824" s="11" t="s">
        <v>2345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32</v>
      </c>
      <c r="K824" s="49" t="s">
        <v>76</v>
      </c>
      <c r="L824" s="49" t="s">
        <v>85</v>
      </c>
      <c r="M824" s="49" t="s">
        <v>88</v>
      </c>
      <c r="N824" s="48" t="s">
        <v>86</v>
      </c>
      <c r="O824" s="49" t="s">
        <v>37</v>
      </c>
      <c r="P824" s="11" t="s">
        <v>80</v>
      </c>
      <c r="Q824" s="11" t="s">
        <v>90</v>
      </c>
      <c r="R824" s="49" t="s">
        <v>644</v>
      </c>
      <c r="S824" s="11" t="s">
        <v>1777</v>
      </c>
      <c r="T824" s="105" t="s">
        <v>1</v>
      </c>
      <c r="U824" s="98"/>
      <c r="V824" s="51">
        <v>45719</v>
      </c>
      <c r="W824" s="49" t="s">
        <v>1564</v>
      </c>
      <c r="X824" s="154" t="s">
        <v>2</v>
      </c>
      <c r="Y824" s="154">
        <v>0</v>
      </c>
    </row>
    <row r="825" spans="1:25" ht="13" customHeight="1">
      <c r="A825" s="11">
        <v>819</v>
      </c>
      <c r="B825" s="91">
        <v>203850807</v>
      </c>
      <c r="C825" s="47" t="s">
        <v>2716</v>
      </c>
      <c r="D825" s="88" t="s">
        <v>2717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39</v>
      </c>
      <c r="K825" s="49" t="s">
        <v>76</v>
      </c>
      <c r="L825" s="49" t="s">
        <v>78</v>
      </c>
      <c r="M825" s="49" t="s">
        <v>92</v>
      </c>
      <c r="N825" s="49" t="s">
        <v>89</v>
      </c>
      <c r="O825" s="49" t="s">
        <v>37</v>
      </c>
      <c r="P825" s="11" t="s">
        <v>80</v>
      </c>
      <c r="Q825" s="11" t="s">
        <v>90</v>
      </c>
      <c r="R825" s="11" t="s">
        <v>644</v>
      </c>
      <c r="S825" s="11" t="s">
        <v>2679</v>
      </c>
      <c r="T825" s="105" t="s">
        <v>1</v>
      </c>
      <c r="U825" s="98"/>
      <c r="V825" s="51">
        <v>45524</v>
      </c>
      <c r="W825" s="49" t="s">
        <v>1564</v>
      </c>
      <c r="X825" s="154" t="s">
        <v>2</v>
      </c>
      <c r="Y825" s="154">
        <v>0</v>
      </c>
    </row>
    <row r="826" spans="1:25" ht="13" customHeight="1">
      <c r="A826" s="11">
        <v>820</v>
      </c>
      <c r="B826" s="47">
        <v>112181816</v>
      </c>
      <c r="C826" s="88" t="s">
        <v>889</v>
      </c>
      <c r="D826" s="11" t="s">
        <v>890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85</v>
      </c>
      <c r="M826" s="49" t="s">
        <v>88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49" t="s">
        <v>644</v>
      </c>
      <c r="S826" s="11" t="s">
        <v>1777</v>
      </c>
      <c r="T826" s="105" t="s">
        <v>1</v>
      </c>
      <c r="U826" s="98"/>
      <c r="V826" s="51">
        <v>45502</v>
      </c>
      <c r="W826" s="49" t="s">
        <v>1564</v>
      </c>
      <c r="X826" s="154" t="s">
        <v>2</v>
      </c>
      <c r="Y826" s="154">
        <v>0</v>
      </c>
    </row>
    <row r="827" spans="1:25" ht="13" customHeight="1">
      <c r="A827" s="11">
        <v>821</v>
      </c>
      <c r="B827" s="47">
        <v>203993281</v>
      </c>
      <c r="C827" s="88" t="s">
        <v>891</v>
      </c>
      <c r="D827" s="11" t="s">
        <v>892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32</v>
      </c>
      <c r="K827" s="49" t="s">
        <v>76</v>
      </c>
      <c r="L827" s="49" t="s">
        <v>95</v>
      </c>
      <c r="M827" s="49" t="s">
        <v>77</v>
      </c>
      <c r="N827" s="48" t="s">
        <v>79</v>
      </c>
      <c r="O827" s="49" t="s">
        <v>37</v>
      </c>
      <c r="P827" s="11" t="s">
        <v>80</v>
      </c>
      <c r="Q827" s="11" t="s">
        <v>81</v>
      </c>
      <c r="R827" s="49" t="s">
        <v>644</v>
      </c>
      <c r="S827" s="11" t="s">
        <v>1777</v>
      </c>
      <c r="T827" s="105" t="s">
        <v>10</v>
      </c>
      <c r="U827" s="98"/>
      <c r="V827" s="51">
        <v>45547</v>
      </c>
      <c r="W827" s="49" t="s">
        <v>1564</v>
      </c>
      <c r="X827" s="154" t="s">
        <v>2948</v>
      </c>
      <c r="Y827" s="154">
        <v>0</v>
      </c>
    </row>
    <row r="828" spans="1:25" ht="13" customHeight="1">
      <c r="A828" s="11">
        <v>822</v>
      </c>
      <c r="B828" s="47">
        <v>206846308</v>
      </c>
      <c r="C828" s="88" t="s">
        <v>1786</v>
      </c>
      <c r="D828" s="47" t="s">
        <v>1787</v>
      </c>
      <c r="E828" s="47" t="s">
        <v>31</v>
      </c>
      <c r="F828" s="48" t="s">
        <v>74</v>
      </c>
      <c r="G828" s="11" t="s">
        <v>64</v>
      </c>
      <c r="H828" s="11" t="s">
        <v>75</v>
      </c>
      <c r="I828" s="47">
        <v>1299</v>
      </c>
      <c r="J828" s="49" t="s">
        <v>39</v>
      </c>
      <c r="K828" s="49" t="s">
        <v>76</v>
      </c>
      <c r="L828" s="49" t="s">
        <v>78</v>
      </c>
      <c r="M828" s="49" t="s">
        <v>92</v>
      </c>
      <c r="N828" s="49" t="s">
        <v>89</v>
      </c>
      <c r="O828" s="49" t="s">
        <v>37</v>
      </c>
      <c r="P828" s="11" t="s">
        <v>80</v>
      </c>
      <c r="Q828" s="47" t="s">
        <v>90</v>
      </c>
      <c r="R828" s="11" t="s">
        <v>2778</v>
      </c>
      <c r="S828" s="47" t="s">
        <v>2656</v>
      </c>
      <c r="T828" s="105" t="s">
        <v>1</v>
      </c>
      <c r="U828" s="98"/>
      <c r="V828" s="51">
        <v>46013</v>
      </c>
      <c r="W828" s="49" t="s">
        <v>1564</v>
      </c>
      <c r="X828" s="154" t="s">
        <v>2</v>
      </c>
      <c r="Y828" s="154">
        <v>0</v>
      </c>
    </row>
    <row r="829" spans="1:25" ht="13" customHeight="1">
      <c r="A829" s="11">
        <v>823</v>
      </c>
      <c r="B829" s="47">
        <v>203736752</v>
      </c>
      <c r="C829" s="88" t="s">
        <v>893</v>
      </c>
      <c r="D829" s="11" t="s">
        <v>894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95</v>
      </c>
      <c r="M829" s="49" t="s">
        <v>77</v>
      </c>
      <c r="N829" s="48" t="s">
        <v>86</v>
      </c>
      <c r="O829" s="49" t="s">
        <v>37</v>
      </c>
      <c r="P829" s="11" t="s">
        <v>80</v>
      </c>
      <c r="Q829" s="11" t="s">
        <v>99</v>
      </c>
      <c r="R829" s="11" t="s">
        <v>636</v>
      </c>
      <c r="S829" s="11" t="s">
        <v>2658</v>
      </c>
      <c r="T829" s="105" t="s">
        <v>10</v>
      </c>
      <c r="U829" s="98"/>
      <c r="V829" s="51">
        <v>45502</v>
      </c>
      <c r="W829" s="49" t="s">
        <v>1564</v>
      </c>
      <c r="X829" s="154" t="s">
        <v>2948</v>
      </c>
      <c r="Y829" s="154">
        <v>0</v>
      </c>
    </row>
    <row r="830" spans="1:25" ht="13" customHeight="1">
      <c r="A830" s="11">
        <v>824</v>
      </c>
      <c r="B830" s="47">
        <v>204886570</v>
      </c>
      <c r="C830" s="88" t="s">
        <v>895</v>
      </c>
      <c r="D830" s="11" t="s">
        <v>896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85</v>
      </c>
      <c r="M830" s="49" t="s">
        <v>88</v>
      </c>
      <c r="N830" s="48" t="s">
        <v>86</v>
      </c>
      <c r="O830" s="49" t="s">
        <v>37</v>
      </c>
      <c r="P830" s="11" t="s">
        <v>80</v>
      </c>
      <c r="Q830" s="11" t="s">
        <v>90</v>
      </c>
      <c r="R830" s="49" t="s">
        <v>644</v>
      </c>
      <c r="S830" s="11" t="s">
        <v>1777</v>
      </c>
      <c r="T830" s="105" t="s">
        <v>1</v>
      </c>
      <c r="U830" s="98"/>
      <c r="V830" s="51">
        <v>45719</v>
      </c>
      <c r="W830" s="49" t="s">
        <v>1564</v>
      </c>
      <c r="X830" s="154" t="s">
        <v>2</v>
      </c>
      <c r="Y830" s="154">
        <v>0</v>
      </c>
    </row>
    <row r="831" spans="1:25" ht="13" customHeight="1">
      <c r="A831" s="11">
        <v>825</v>
      </c>
      <c r="B831" s="47">
        <v>204060922</v>
      </c>
      <c r="C831" s="88" t="s">
        <v>897</v>
      </c>
      <c r="D831" s="11" t="s">
        <v>898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32</v>
      </c>
      <c r="K831" s="49" t="s">
        <v>76</v>
      </c>
      <c r="L831" s="49" t="s">
        <v>84</v>
      </c>
      <c r="M831" s="49" t="s">
        <v>85</v>
      </c>
      <c r="N831" s="48" t="s">
        <v>86</v>
      </c>
      <c r="O831" s="49" t="s">
        <v>37</v>
      </c>
      <c r="P831" s="11" t="s">
        <v>80</v>
      </c>
      <c r="Q831" s="11" t="s">
        <v>90</v>
      </c>
      <c r="R831" s="11" t="s">
        <v>2779</v>
      </c>
      <c r="S831" s="11" t="s">
        <v>2780</v>
      </c>
      <c r="T831" s="105" t="s">
        <v>1</v>
      </c>
      <c r="U831" s="98"/>
      <c r="V831" s="51">
        <v>45558</v>
      </c>
      <c r="W831" s="49" t="s">
        <v>1564</v>
      </c>
      <c r="X831" s="154" t="s">
        <v>2</v>
      </c>
      <c r="Y831" s="154">
        <v>0</v>
      </c>
    </row>
    <row r="832" spans="1:25" ht="13" customHeight="1">
      <c r="A832" s="11">
        <v>826</v>
      </c>
      <c r="B832" s="47">
        <v>206846309</v>
      </c>
      <c r="C832" s="88" t="s">
        <v>1796</v>
      </c>
      <c r="D832" s="47" t="s">
        <v>1797</v>
      </c>
      <c r="E832" s="47" t="s">
        <v>31</v>
      </c>
      <c r="F832" s="48" t="s">
        <v>74</v>
      </c>
      <c r="G832" s="11" t="s">
        <v>64</v>
      </c>
      <c r="H832" s="11" t="s">
        <v>75</v>
      </c>
      <c r="I832" s="47">
        <v>1299</v>
      </c>
      <c r="J832" s="49" t="s">
        <v>39</v>
      </c>
      <c r="K832" s="49" t="s">
        <v>76</v>
      </c>
      <c r="L832" s="49" t="s">
        <v>84</v>
      </c>
      <c r="M832" s="49" t="s">
        <v>85</v>
      </c>
      <c r="N832" s="49" t="s">
        <v>89</v>
      </c>
      <c r="O832" s="49" t="s">
        <v>37</v>
      </c>
      <c r="P832" s="11" t="s">
        <v>80</v>
      </c>
      <c r="Q832" s="47" t="s">
        <v>90</v>
      </c>
      <c r="R832" s="49" t="s">
        <v>2659</v>
      </c>
      <c r="S832" s="47" t="s">
        <v>639</v>
      </c>
      <c r="T832" s="105" t="s">
        <v>1</v>
      </c>
      <c r="U832" s="98"/>
      <c r="V832" s="51">
        <v>46013</v>
      </c>
      <c r="W832" s="49" t="s">
        <v>1564</v>
      </c>
      <c r="X832" s="154" t="s">
        <v>2</v>
      </c>
      <c r="Y832" s="154">
        <v>0</v>
      </c>
    </row>
    <row r="833" spans="1:25" ht="13" customHeight="1">
      <c r="A833" s="11">
        <v>827</v>
      </c>
      <c r="B833" s="47">
        <v>203993118</v>
      </c>
      <c r="C833" s="88" t="s">
        <v>899</v>
      </c>
      <c r="D833" s="11" t="s">
        <v>900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78</v>
      </c>
      <c r="M833" s="49" t="s">
        <v>92</v>
      </c>
      <c r="N833" s="49" t="s">
        <v>89</v>
      </c>
      <c r="O833" s="49" t="s">
        <v>37</v>
      </c>
      <c r="P833" s="11" t="s">
        <v>80</v>
      </c>
      <c r="Q833" s="11" t="s">
        <v>90</v>
      </c>
      <c r="R833" s="11" t="s">
        <v>628</v>
      </c>
      <c r="S833" s="11" t="s">
        <v>629</v>
      </c>
      <c r="T833" s="105" t="s">
        <v>1</v>
      </c>
      <c r="U833" s="98"/>
      <c r="V833" s="51">
        <v>45547</v>
      </c>
      <c r="W833" s="49" t="s">
        <v>1564</v>
      </c>
      <c r="X833" s="154" t="s">
        <v>2</v>
      </c>
      <c r="Y833" s="154">
        <v>0</v>
      </c>
    </row>
    <row r="834" spans="1:25" ht="13" customHeight="1">
      <c r="A834" s="11">
        <v>828</v>
      </c>
      <c r="B834" s="47">
        <v>205199352</v>
      </c>
      <c r="C834" s="89" t="s">
        <v>2016</v>
      </c>
      <c r="D834" s="11" t="s">
        <v>2017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87" t="s">
        <v>39</v>
      </c>
      <c r="K834" s="49" t="s">
        <v>76</v>
      </c>
      <c r="L834" s="49" t="s">
        <v>95</v>
      </c>
      <c r="M834" s="49" t="s">
        <v>77</v>
      </c>
      <c r="N834" s="49" t="s">
        <v>79</v>
      </c>
      <c r="O834" s="49" t="s">
        <v>37</v>
      </c>
      <c r="P834" s="11" t="s">
        <v>80</v>
      </c>
      <c r="Q834" s="11" t="s">
        <v>96</v>
      </c>
      <c r="R834" s="11" t="s">
        <v>2779</v>
      </c>
      <c r="S834" s="11" t="s">
        <v>2780</v>
      </c>
      <c r="T834" s="105" t="s">
        <v>10</v>
      </c>
      <c r="U834" s="98"/>
      <c r="V834" s="51">
        <v>46048</v>
      </c>
      <c r="W834" s="49" t="s">
        <v>1564</v>
      </c>
      <c r="X834" s="154" t="s">
        <v>2948</v>
      </c>
      <c r="Y834" s="154">
        <v>0</v>
      </c>
    </row>
    <row r="835" spans="1:25" ht="13" customHeight="1">
      <c r="A835" s="11">
        <v>829</v>
      </c>
      <c r="B835" s="47">
        <v>204010090</v>
      </c>
      <c r="C835" s="88" t="s">
        <v>2275</v>
      </c>
      <c r="D835" s="11" t="s">
        <v>2276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32</v>
      </c>
      <c r="K835" s="49" t="s">
        <v>76</v>
      </c>
      <c r="L835" s="49" t="s">
        <v>78</v>
      </c>
      <c r="M835" s="49" t="s">
        <v>92</v>
      </c>
      <c r="N835" s="48" t="s">
        <v>86</v>
      </c>
      <c r="O835" s="49" t="s">
        <v>37</v>
      </c>
      <c r="P835" s="11" t="s">
        <v>80</v>
      </c>
      <c r="Q835" s="11" t="s">
        <v>90</v>
      </c>
      <c r="R835" s="11" t="s">
        <v>636</v>
      </c>
      <c r="S835" s="11" t="s">
        <v>2658</v>
      </c>
      <c r="T835" s="105" t="s">
        <v>1</v>
      </c>
      <c r="U835" s="98"/>
      <c r="V835" s="51">
        <v>45551</v>
      </c>
      <c r="W835" s="49" t="s">
        <v>1565</v>
      </c>
      <c r="X835" s="154" t="s">
        <v>2</v>
      </c>
      <c r="Y835" s="154">
        <v>0</v>
      </c>
    </row>
    <row r="836" spans="1:25" ht="13" customHeight="1">
      <c r="A836" s="11">
        <v>830</v>
      </c>
      <c r="B836" s="47">
        <v>206850966</v>
      </c>
      <c r="C836" s="88" t="s">
        <v>1824</v>
      </c>
      <c r="D836" s="11" t="s">
        <v>1825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88</v>
      </c>
      <c r="M836" s="49" t="s">
        <v>95</v>
      </c>
      <c r="N836" s="49" t="s">
        <v>89</v>
      </c>
      <c r="O836" s="48" t="s">
        <v>37</v>
      </c>
      <c r="P836" s="48" t="s">
        <v>80</v>
      </c>
      <c r="Q836" s="11" t="s">
        <v>90</v>
      </c>
      <c r="R836" s="49" t="s">
        <v>644</v>
      </c>
      <c r="S836" s="11" t="s">
        <v>1777</v>
      </c>
      <c r="T836" s="105" t="s">
        <v>1</v>
      </c>
      <c r="U836" s="98"/>
      <c r="V836" s="51">
        <v>46030</v>
      </c>
      <c r="W836" s="49" t="s">
        <v>1564</v>
      </c>
      <c r="X836" s="154" t="s">
        <v>2</v>
      </c>
      <c r="Y836" s="154">
        <v>0</v>
      </c>
    </row>
    <row r="837" spans="1:25" ht="13" customHeight="1">
      <c r="A837" s="11">
        <v>831</v>
      </c>
      <c r="B837" s="47">
        <v>203850808</v>
      </c>
      <c r="C837" s="88" t="s">
        <v>2346</v>
      </c>
      <c r="D837" s="11" t="s">
        <v>2347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88</v>
      </c>
      <c r="M837" s="49" t="s">
        <v>95</v>
      </c>
      <c r="N837" s="48" t="s">
        <v>86</v>
      </c>
      <c r="O837" s="49" t="s">
        <v>37</v>
      </c>
      <c r="P837" s="11" t="s">
        <v>80</v>
      </c>
      <c r="Q837" s="11" t="s">
        <v>90</v>
      </c>
      <c r="R837" s="49" t="s">
        <v>644</v>
      </c>
      <c r="S837" s="11" t="s">
        <v>1777</v>
      </c>
      <c r="T837" s="105" t="s">
        <v>1</v>
      </c>
      <c r="U837" s="98"/>
      <c r="V837" s="51">
        <v>45524</v>
      </c>
      <c r="W837" s="49" t="s">
        <v>1564</v>
      </c>
      <c r="X837" s="154" t="s">
        <v>2</v>
      </c>
      <c r="Y837" s="154">
        <v>0</v>
      </c>
    </row>
    <row r="838" spans="1:25" ht="13" customHeight="1">
      <c r="A838" s="11">
        <v>832</v>
      </c>
      <c r="B838" s="47">
        <v>206890217</v>
      </c>
      <c r="C838" s="88" t="s">
        <v>1800</v>
      </c>
      <c r="D838" s="11" t="s">
        <v>1801</v>
      </c>
      <c r="E838" s="11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32</v>
      </c>
      <c r="K838" s="49" t="s">
        <v>76</v>
      </c>
      <c r="L838" s="49" t="s">
        <v>88</v>
      </c>
      <c r="M838" s="49" t="s">
        <v>95</v>
      </c>
      <c r="N838" s="49" t="s">
        <v>89</v>
      </c>
      <c r="O838" s="49" t="s">
        <v>37</v>
      </c>
      <c r="P838" s="11" t="s">
        <v>80</v>
      </c>
      <c r="Q838" s="11" t="s">
        <v>96</v>
      </c>
      <c r="R838" s="11" t="s">
        <v>2779</v>
      </c>
      <c r="S838" s="11" t="s">
        <v>2780</v>
      </c>
      <c r="T838" s="105" t="s">
        <v>1</v>
      </c>
      <c r="U838" s="98"/>
      <c r="V838" s="51">
        <v>46027</v>
      </c>
      <c r="W838" s="49" t="s">
        <v>1564</v>
      </c>
      <c r="X838" s="154" t="s">
        <v>2</v>
      </c>
      <c r="Y838" s="154">
        <v>0</v>
      </c>
    </row>
    <row r="839" spans="1:25" ht="13" customHeight="1">
      <c r="A839" s="11">
        <v>833</v>
      </c>
      <c r="B839" s="47">
        <v>203355686</v>
      </c>
      <c r="C839" s="88" t="s">
        <v>901</v>
      </c>
      <c r="D839" s="11" t="s">
        <v>902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95</v>
      </c>
      <c r="M839" s="49" t="s">
        <v>77</v>
      </c>
      <c r="N839" s="48" t="s">
        <v>86</v>
      </c>
      <c r="O839" s="49" t="s">
        <v>37</v>
      </c>
      <c r="P839" s="11" t="s">
        <v>80</v>
      </c>
      <c r="Q839" s="11" t="s">
        <v>99</v>
      </c>
      <c r="R839" s="11" t="s">
        <v>1057</v>
      </c>
      <c r="S839" s="11" t="s">
        <v>2657</v>
      </c>
      <c r="T839" s="105" t="s">
        <v>10</v>
      </c>
      <c r="U839" s="98"/>
      <c r="V839" s="51">
        <v>45432</v>
      </c>
      <c r="W839" s="49" t="s">
        <v>1564</v>
      </c>
      <c r="X839" s="154" t="s">
        <v>2948</v>
      </c>
      <c r="Y839" s="154">
        <v>0</v>
      </c>
    </row>
    <row r="840" spans="1:25" ht="13" customHeight="1">
      <c r="A840" s="11">
        <v>834</v>
      </c>
      <c r="B840" s="47">
        <v>203911255</v>
      </c>
      <c r="C840" s="88" t="s">
        <v>903</v>
      </c>
      <c r="D840" s="11" t="s">
        <v>904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77</v>
      </c>
      <c r="M840" s="49" t="s">
        <v>78</v>
      </c>
      <c r="N840" s="48" t="s">
        <v>86</v>
      </c>
      <c r="O840" s="49" t="s">
        <v>37</v>
      </c>
      <c r="P840" s="11" t="s">
        <v>80</v>
      </c>
      <c r="Q840" s="11" t="s">
        <v>99</v>
      </c>
      <c r="R840" s="49" t="s">
        <v>624</v>
      </c>
      <c r="S840" s="11" t="s">
        <v>625</v>
      </c>
      <c r="T840" s="105" t="s">
        <v>10</v>
      </c>
      <c r="U840" s="98"/>
      <c r="V840" s="51">
        <v>45537</v>
      </c>
      <c r="W840" s="49" t="s">
        <v>1564</v>
      </c>
      <c r="X840" s="154" t="s">
        <v>2948</v>
      </c>
      <c r="Y840" s="154">
        <v>0</v>
      </c>
    </row>
    <row r="841" spans="1:25" ht="13" customHeight="1">
      <c r="A841" s="11">
        <v>835</v>
      </c>
      <c r="B841" s="47">
        <v>206136731</v>
      </c>
      <c r="C841" s="88" t="s">
        <v>905</v>
      </c>
      <c r="D841" s="11" t="s">
        <v>906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95</v>
      </c>
      <c r="M841" s="49" t="s">
        <v>77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2659</v>
      </c>
      <c r="S841" s="11" t="s">
        <v>639</v>
      </c>
      <c r="T841" s="105" t="s">
        <v>10</v>
      </c>
      <c r="U841" s="98"/>
      <c r="V841" s="51">
        <v>45929</v>
      </c>
      <c r="W841" s="49" t="s">
        <v>1564</v>
      </c>
      <c r="X841" s="154" t="s">
        <v>2948</v>
      </c>
      <c r="Y841" s="154">
        <v>0</v>
      </c>
    </row>
    <row r="842" spans="1:25" ht="13" customHeight="1">
      <c r="A842" s="11">
        <v>836</v>
      </c>
      <c r="B842" s="47">
        <v>203521137</v>
      </c>
      <c r="C842" s="88" t="s">
        <v>907</v>
      </c>
      <c r="D842" s="11" t="s">
        <v>908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85</v>
      </c>
      <c r="M842" s="49" t="s">
        <v>88</v>
      </c>
      <c r="N842" s="48" t="s">
        <v>79</v>
      </c>
      <c r="O842" s="49" t="s">
        <v>37</v>
      </c>
      <c r="P842" s="11" t="s">
        <v>80</v>
      </c>
      <c r="Q842" s="11" t="s">
        <v>81</v>
      </c>
      <c r="R842" s="11" t="s">
        <v>1057</v>
      </c>
      <c r="S842" s="11" t="s">
        <v>2657</v>
      </c>
      <c r="T842" s="105" t="s">
        <v>1</v>
      </c>
      <c r="U842" s="98"/>
      <c r="V842" s="51">
        <v>45463</v>
      </c>
      <c r="W842" s="49" t="s">
        <v>1564</v>
      </c>
      <c r="X842" s="154" t="s">
        <v>2</v>
      </c>
      <c r="Y842" s="154">
        <v>0</v>
      </c>
    </row>
    <row r="843" spans="1:25" ht="13" customHeight="1">
      <c r="A843" s="11">
        <v>837</v>
      </c>
      <c r="B843" s="47">
        <v>104277448</v>
      </c>
      <c r="C843" s="88" t="s">
        <v>909</v>
      </c>
      <c r="D843" s="11" t="s">
        <v>910</v>
      </c>
      <c r="E843" s="48" t="s">
        <v>34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78</v>
      </c>
      <c r="M843" s="49" t="s">
        <v>92</v>
      </c>
      <c r="N843" s="48" t="s">
        <v>97</v>
      </c>
      <c r="O843" s="49" t="s">
        <v>37</v>
      </c>
      <c r="P843" s="11" t="s">
        <v>80</v>
      </c>
      <c r="Q843" s="11" t="s">
        <v>98</v>
      </c>
      <c r="R843" s="49" t="s">
        <v>624</v>
      </c>
      <c r="S843" s="47" t="s">
        <v>625</v>
      </c>
      <c r="T843" s="105" t="s">
        <v>1</v>
      </c>
      <c r="U843" s="98"/>
      <c r="V843" s="51">
        <v>44067</v>
      </c>
      <c r="W843" s="49" t="s">
        <v>1568</v>
      </c>
      <c r="X843" s="154" t="s">
        <v>2</v>
      </c>
      <c r="Y843" s="154">
        <v>0</v>
      </c>
    </row>
    <row r="844" spans="1:25" ht="13" customHeight="1">
      <c r="A844" s="11">
        <v>838</v>
      </c>
      <c r="B844" s="47">
        <v>206886730</v>
      </c>
      <c r="C844" s="88" t="s">
        <v>1802</v>
      </c>
      <c r="D844" s="11" t="s">
        <v>1803</v>
      </c>
      <c r="E844" s="11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32</v>
      </c>
      <c r="K844" s="49" t="s">
        <v>76</v>
      </c>
      <c r="L844" s="49" t="s">
        <v>88</v>
      </c>
      <c r="M844" s="49" t="s">
        <v>95</v>
      </c>
      <c r="N844" s="49" t="s">
        <v>89</v>
      </c>
      <c r="O844" s="49" t="s">
        <v>37</v>
      </c>
      <c r="P844" s="11" t="s">
        <v>80</v>
      </c>
      <c r="Q844" s="11" t="s">
        <v>96</v>
      </c>
      <c r="R844" s="11" t="s">
        <v>2779</v>
      </c>
      <c r="S844" s="11" t="s">
        <v>2780</v>
      </c>
      <c r="T844" s="105" t="s">
        <v>1</v>
      </c>
      <c r="U844" s="98"/>
      <c r="V844" s="51">
        <v>46027</v>
      </c>
      <c r="W844" s="49" t="s">
        <v>1564</v>
      </c>
      <c r="X844" s="154" t="s">
        <v>2</v>
      </c>
      <c r="Y844" s="154">
        <v>0</v>
      </c>
    </row>
    <row r="845" spans="1:25" ht="13" customHeight="1">
      <c r="A845" s="11">
        <v>839</v>
      </c>
      <c r="B845" s="47">
        <v>203965183</v>
      </c>
      <c r="C845" s="88" t="s">
        <v>911</v>
      </c>
      <c r="D845" s="11" t="s">
        <v>912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8" t="s">
        <v>79</v>
      </c>
      <c r="O845" s="49" t="s">
        <v>37</v>
      </c>
      <c r="P845" s="11" t="s">
        <v>80</v>
      </c>
      <c r="Q845" s="11" t="s">
        <v>81</v>
      </c>
      <c r="R845" s="49" t="s">
        <v>624</v>
      </c>
      <c r="S845" s="11" t="s">
        <v>625</v>
      </c>
      <c r="T845" s="105" t="s">
        <v>4</v>
      </c>
      <c r="U845" s="98"/>
      <c r="V845" s="51">
        <v>45544</v>
      </c>
      <c r="W845" s="49" t="s">
        <v>1564</v>
      </c>
      <c r="X845" s="154" t="s">
        <v>2948</v>
      </c>
      <c r="Y845" s="154">
        <v>0</v>
      </c>
    </row>
    <row r="846" spans="1:25" ht="13" customHeight="1">
      <c r="A846" s="11">
        <v>840</v>
      </c>
      <c r="B846" s="47">
        <v>206230579</v>
      </c>
      <c r="C846" s="88" t="s">
        <v>2809</v>
      </c>
      <c r="D846" s="11" t="s">
        <v>2810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11" t="s">
        <v>39</v>
      </c>
      <c r="K846" s="11" t="s">
        <v>76</v>
      </c>
      <c r="L846" s="11" t="s">
        <v>85</v>
      </c>
      <c r="M846" s="11" t="s">
        <v>88</v>
      </c>
      <c r="N846" s="11" t="s">
        <v>89</v>
      </c>
      <c r="O846" s="11" t="s">
        <v>37</v>
      </c>
      <c r="P846" s="11" t="s">
        <v>80</v>
      </c>
      <c r="Q846" s="11" t="s">
        <v>96</v>
      </c>
      <c r="R846" s="11" t="s">
        <v>1057</v>
      </c>
      <c r="S846" s="11" t="s">
        <v>2657</v>
      </c>
      <c r="T846" s="105" t="s">
        <v>1</v>
      </c>
      <c r="U846" s="98"/>
      <c r="V846" s="51">
        <v>46238</v>
      </c>
      <c r="W846" s="11" t="s">
        <v>1564</v>
      </c>
      <c r="X846" s="154" t="s">
        <v>2</v>
      </c>
      <c r="Y846" s="154">
        <v>0</v>
      </c>
    </row>
    <row r="847" spans="1:25" ht="13" customHeight="1">
      <c r="A847" s="11">
        <v>841</v>
      </c>
      <c r="B847" s="47">
        <v>206930336</v>
      </c>
      <c r="C847" s="88" t="s">
        <v>1960</v>
      </c>
      <c r="D847" s="11" t="s">
        <v>2135</v>
      </c>
      <c r="E847" s="48" t="s">
        <v>31</v>
      </c>
      <c r="F847" s="48" t="s">
        <v>74</v>
      </c>
      <c r="G847" s="48" t="s">
        <v>64</v>
      </c>
      <c r="H847" s="48" t="s">
        <v>1319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9" t="s">
        <v>89</v>
      </c>
      <c r="O847" s="49" t="s">
        <v>37</v>
      </c>
      <c r="P847" s="49" t="s">
        <v>80</v>
      </c>
      <c r="Q847" s="49" t="s">
        <v>96</v>
      </c>
      <c r="R847" s="49" t="s">
        <v>624</v>
      </c>
      <c r="S847" s="49" t="s">
        <v>625</v>
      </c>
      <c r="T847" s="105" t="s">
        <v>1</v>
      </c>
      <c r="U847" s="98"/>
      <c r="V847" s="51">
        <v>46037</v>
      </c>
      <c r="W847" s="49" t="s">
        <v>1972</v>
      </c>
      <c r="X847" s="154" t="s">
        <v>2</v>
      </c>
      <c r="Y847" s="154">
        <v>0</v>
      </c>
    </row>
    <row r="848" spans="1:25" ht="13" customHeight="1">
      <c r="A848" s="11">
        <v>842</v>
      </c>
      <c r="B848" s="47">
        <v>204009951</v>
      </c>
      <c r="C848" s="88" t="s">
        <v>913</v>
      </c>
      <c r="D848" s="11" t="s">
        <v>914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77</v>
      </c>
      <c r="M848" s="49" t="s">
        <v>78</v>
      </c>
      <c r="N848" s="48" t="s">
        <v>86</v>
      </c>
      <c r="O848" s="49" t="s">
        <v>37</v>
      </c>
      <c r="P848" s="11" t="s">
        <v>80</v>
      </c>
      <c r="Q848" s="11" t="s">
        <v>90</v>
      </c>
      <c r="R848" s="49" t="s">
        <v>644</v>
      </c>
      <c r="S848" s="11" t="s">
        <v>1777</v>
      </c>
      <c r="T848" s="105" t="s">
        <v>10</v>
      </c>
      <c r="U848" s="98"/>
      <c r="V848" s="51">
        <v>45551</v>
      </c>
      <c r="W848" s="49" t="s">
        <v>1564</v>
      </c>
      <c r="X848" s="154" t="s">
        <v>2948</v>
      </c>
      <c r="Y848" s="154" t="s">
        <v>2949</v>
      </c>
    </row>
    <row r="849" spans="1:25" ht="13" customHeight="1">
      <c r="A849" s="11">
        <v>843</v>
      </c>
      <c r="B849" s="47">
        <v>203850806</v>
      </c>
      <c r="C849" s="88" t="s">
        <v>915</v>
      </c>
      <c r="D849" s="11" t="s">
        <v>916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92</v>
      </c>
      <c r="M849" s="49" t="s">
        <v>84</v>
      </c>
      <c r="N849" s="48" t="s">
        <v>86</v>
      </c>
      <c r="O849" s="49" t="s">
        <v>37</v>
      </c>
      <c r="P849" s="11" t="s">
        <v>80</v>
      </c>
      <c r="Q849" s="11" t="s">
        <v>90</v>
      </c>
      <c r="R849" s="49" t="s">
        <v>644</v>
      </c>
      <c r="S849" s="11" t="s">
        <v>1777</v>
      </c>
      <c r="T849" s="105" t="s">
        <v>1</v>
      </c>
      <c r="U849" s="98"/>
      <c r="V849" s="51">
        <v>45524</v>
      </c>
      <c r="W849" s="49" t="s">
        <v>1564</v>
      </c>
      <c r="X849" s="154" t="s">
        <v>2</v>
      </c>
      <c r="Y849" s="154">
        <v>0</v>
      </c>
    </row>
    <row r="850" spans="1:25" ht="13" customHeight="1">
      <c r="A850" s="11">
        <v>844</v>
      </c>
      <c r="B850" s="47">
        <v>205231290</v>
      </c>
      <c r="C850" s="88" t="s">
        <v>2791</v>
      </c>
      <c r="D850" s="11" t="s">
        <v>2792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11" t="s">
        <v>39</v>
      </c>
      <c r="K850" s="11" t="s">
        <v>76</v>
      </c>
      <c r="L850" s="11" t="s">
        <v>88</v>
      </c>
      <c r="M850" s="11" t="s">
        <v>95</v>
      </c>
      <c r="N850" s="11" t="s">
        <v>89</v>
      </c>
      <c r="O850" s="11" t="s">
        <v>37</v>
      </c>
      <c r="P850" s="11" t="s">
        <v>80</v>
      </c>
      <c r="Q850" s="11" t="s">
        <v>96</v>
      </c>
      <c r="R850" s="11" t="s">
        <v>1057</v>
      </c>
      <c r="S850" s="11" t="s">
        <v>2657</v>
      </c>
      <c r="T850" s="105" t="s">
        <v>1</v>
      </c>
      <c r="U850" s="98"/>
      <c r="V850" s="51">
        <v>46238</v>
      </c>
      <c r="W850" s="11" t="s">
        <v>1565</v>
      </c>
      <c r="X850" s="154" t="s">
        <v>2</v>
      </c>
      <c r="Y850" s="154" t="s">
        <v>2941</v>
      </c>
    </row>
    <row r="851" spans="1:25" ht="13" customHeight="1">
      <c r="A851" s="11">
        <v>845</v>
      </c>
      <c r="B851" s="47">
        <v>203965411</v>
      </c>
      <c r="C851" s="88" t="s">
        <v>917</v>
      </c>
      <c r="D851" s="11" t="s">
        <v>918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92</v>
      </c>
      <c r="M851" s="49" t="s">
        <v>84</v>
      </c>
      <c r="N851" s="48" t="s">
        <v>79</v>
      </c>
      <c r="O851" s="49" t="s">
        <v>37</v>
      </c>
      <c r="P851" s="11" t="s">
        <v>80</v>
      </c>
      <c r="Q851" s="11" t="s">
        <v>81</v>
      </c>
      <c r="R851" s="49" t="s">
        <v>644</v>
      </c>
      <c r="S851" s="11" t="s">
        <v>1777</v>
      </c>
      <c r="T851" s="105" t="s">
        <v>1</v>
      </c>
      <c r="U851" s="98"/>
      <c r="V851" s="51">
        <v>45544</v>
      </c>
      <c r="W851" s="49" t="s">
        <v>1564</v>
      </c>
      <c r="X851" s="154" t="s">
        <v>2</v>
      </c>
      <c r="Y851" s="154">
        <v>0</v>
      </c>
    </row>
    <row r="852" spans="1:25" ht="13" customHeight="1">
      <c r="A852" s="11">
        <v>846</v>
      </c>
      <c r="B852" s="11">
        <v>205923172</v>
      </c>
      <c r="C852" s="88" t="s">
        <v>2136</v>
      </c>
      <c r="D852" s="11" t="s">
        <v>2137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87" t="s">
        <v>39</v>
      </c>
      <c r="K852" s="49" t="s">
        <v>76</v>
      </c>
      <c r="L852" s="49" t="s">
        <v>78</v>
      </c>
      <c r="M852" s="49" t="s">
        <v>92</v>
      </c>
      <c r="N852" s="49" t="s">
        <v>79</v>
      </c>
      <c r="O852" s="49" t="s">
        <v>37</v>
      </c>
      <c r="P852" s="11" t="s">
        <v>80</v>
      </c>
      <c r="Q852" s="2" t="s">
        <v>96</v>
      </c>
      <c r="R852" s="11" t="s">
        <v>1057</v>
      </c>
      <c r="S852" s="54" t="s">
        <v>2657</v>
      </c>
      <c r="T852" s="105" t="s">
        <v>1</v>
      </c>
      <c r="U852" s="98"/>
      <c r="V852" s="51">
        <v>46051</v>
      </c>
      <c r="W852" s="49" t="s">
        <v>1564</v>
      </c>
      <c r="X852" s="154" t="s">
        <v>2</v>
      </c>
      <c r="Y852" s="154">
        <v>0</v>
      </c>
    </row>
    <row r="853" spans="1:25" ht="13" customHeight="1">
      <c r="A853" s="11">
        <v>847</v>
      </c>
      <c r="B853" s="91">
        <v>203850804</v>
      </c>
      <c r="C853" s="47" t="s">
        <v>2718</v>
      </c>
      <c r="D853" s="88" t="s">
        <v>2719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32</v>
      </c>
      <c r="K853" s="49" t="s">
        <v>76</v>
      </c>
      <c r="L853" s="49" t="s">
        <v>88</v>
      </c>
      <c r="M853" s="49" t="s">
        <v>95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11" t="s">
        <v>2779</v>
      </c>
      <c r="S853" s="11" t="s">
        <v>2780</v>
      </c>
      <c r="T853" s="105" t="s">
        <v>1</v>
      </c>
      <c r="U853" s="98"/>
      <c r="V853" s="51">
        <v>45524</v>
      </c>
      <c r="W853" s="49" t="s">
        <v>1564</v>
      </c>
      <c r="X853" s="154" t="s">
        <v>2</v>
      </c>
      <c r="Y853" s="154">
        <v>0</v>
      </c>
    </row>
    <row r="854" spans="1:25" ht="13" customHeight="1">
      <c r="A854" s="11">
        <v>848</v>
      </c>
      <c r="B854" s="47">
        <v>204072306</v>
      </c>
      <c r="C854" s="88" t="s">
        <v>919</v>
      </c>
      <c r="D854" s="11" t="s">
        <v>920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32</v>
      </c>
      <c r="K854" s="49" t="s">
        <v>76</v>
      </c>
      <c r="L854" s="49" t="s">
        <v>85</v>
      </c>
      <c r="M854" s="49" t="s">
        <v>88</v>
      </c>
      <c r="N854" s="48" t="s">
        <v>86</v>
      </c>
      <c r="O854" s="49" t="s">
        <v>37</v>
      </c>
      <c r="P854" s="11" t="s">
        <v>80</v>
      </c>
      <c r="Q854" s="11" t="s">
        <v>90</v>
      </c>
      <c r="R854" s="11" t="s">
        <v>2779</v>
      </c>
      <c r="S854" s="11" t="s">
        <v>2780</v>
      </c>
      <c r="T854" s="105" t="s">
        <v>1</v>
      </c>
      <c r="U854" s="98"/>
      <c r="V854" s="51">
        <v>45558</v>
      </c>
      <c r="W854" s="49" t="s">
        <v>1564</v>
      </c>
      <c r="X854" s="154" t="s">
        <v>2</v>
      </c>
      <c r="Y854" s="154">
        <v>0</v>
      </c>
    </row>
    <row r="855" spans="1:25" ht="13" customHeight="1">
      <c r="A855" s="11">
        <v>849</v>
      </c>
      <c r="B855" s="91">
        <v>203850884</v>
      </c>
      <c r="C855" s="47" t="s">
        <v>2720</v>
      </c>
      <c r="D855" s="88" t="s">
        <v>2721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32</v>
      </c>
      <c r="K855" s="49" t="s">
        <v>76</v>
      </c>
      <c r="L855" s="49" t="s">
        <v>85</v>
      </c>
      <c r="M855" s="49" t="s">
        <v>88</v>
      </c>
      <c r="N855" s="48" t="s">
        <v>86</v>
      </c>
      <c r="O855" s="49" t="s">
        <v>37</v>
      </c>
      <c r="P855" s="11" t="s">
        <v>80</v>
      </c>
      <c r="Q855" s="11" t="s">
        <v>90</v>
      </c>
      <c r="R855" s="11" t="s">
        <v>624</v>
      </c>
      <c r="S855" s="11" t="s">
        <v>625</v>
      </c>
      <c r="T855" s="105" t="s">
        <v>1</v>
      </c>
      <c r="U855" s="98"/>
      <c r="V855" s="51">
        <v>45524</v>
      </c>
      <c r="W855" s="49" t="s">
        <v>1564</v>
      </c>
      <c r="X855" s="154" t="s">
        <v>2</v>
      </c>
      <c r="Y855" s="154">
        <v>0</v>
      </c>
    </row>
    <row r="856" spans="1:25" ht="13" customHeight="1">
      <c r="A856" s="11">
        <v>850</v>
      </c>
      <c r="B856" s="47">
        <v>203813081</v>
      </c>
      <c r="C856" s="88" t="s">
        <v>921</v>
      </c>
      <c r="D856" s="11" t="s">
        <v>922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78</v>
      </c>
      <c r="M856" s="49" t="s">
        <v>92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11" t="s">
        <v>636</v>
      </c>
      <c r="S856" s="11" t="s">
        <v>2658</v>
      </c>
      <c r="T856" s="105" t="s">
        <v>1</v>
      </c>
      <c r="U856" s="98"/>
      <c r="V856" s="51">
        <v>45517</v>
      </c>
      <c r="W856" s="49" t="s">
        <v>1564</v>
      </c>
      <c r="X856" s="154" t="s">
        <v>2</v>
      </c>
      <c r="Y856" s="154">
        <v>0</v>
      </c>
    </row>
    <row r="857" spans="1:25" ht="13" customHeight="1">
      <c r="A857" s="11">
        <v>851</v>
      </c>
      <c r="B857" s="47">
        <v>206015628</v>
      </c>
      <c r="C857" s="88" t="s">
        <v>923</v>
      </c>
      <c r="D857" s="11" t="s">
        <v>924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32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644</v>
      </c>
      <c r="S857" s="11" t="s">
        <v>1777</v>
      </c>
      <c r="T857" s="105" t="s">
        <v>10</v>
      </c>
      <c r="U857" s="98"/>
      <c r="V857" s="51">
        <v>45922</v>
      </c>
      <c r="W857" s="49" t="s">
        <v>1564</v>
      </c>
      <c r="X857" s="154" t="s">
        <v>2948</v>
      </c>
      <c r="Y857" s="154">
        <v>0</v>
      </c>
    </row>
    <row r="858" spans="1:25" ht="13" customHeight="1">
      <c r="A858" s="11">
        <v>852</v>
      </c>
      <c r="B858" s="91">
        <v>204011579</v>
      </c>
      <c r="C858" s="47" t="s">
        <v>2722</v>
      </c>
      <c r="D858" s="88" t="s">
        <v>2723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85</v>
      </c>
      <c r="M858" s="49" t="s">
        <v>88</v>
      </c>
      <c r="N858" s="48" t="s">
        <v>86</v>
      </c>
      <c r="O858" s="49" t="s">
        <v>37</v>
      </c>
      <c r="P858" s="11" t="s">
        <v>80</v>
      </c>
      <c r="Q858" s="11" t="s">
        <v>90</v>
      </c>
      <c r="R858" s="11" t="s">
        <v>1057</v>
      </c>
      <c r="S858" s="11" t="s">
        <v>2689</v>
      </c>
      <c r="T858" s="105" t="s">
        <v>1</v>
      </c>
      <c r="U858" s="98"/>
      <c r="V858" s="51">
        <v>45551</v>
      </c>
      <c r="W858" s="49" t="s">
        <v>1564</v>
      </c>
      <c r="X858" s="154" t="s">
        <v>2</v>
      </c>
      <c r="Y858" s="154">
        <v>0</v>
      </c>
    </row>
    <row r="859" spans="1:25" ht="13" customHeight="1">
      <c r="A859" s="11">
        <v>853</v>
      </c>
      <c r="B859" s="47">
        <v>206607036</v>
      </c>
      <c r="C859" s="88" t="s">
        <v>2040</v>
      </c>
      <c r="D859" s="11" t="s">
        <v>2041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87" t="s">
        <v>39</v>
      </c>
      <c r="K859" s="49" t="s">
        <v>76</v>
      </c>
      <c r="L859" s="49" t="s">
        <v>84</v>
      </c>
      <c r="M859" s="49" t="s">
        <v>85</v>
      </c>
      <c r="N859" s="49" t="s">
        <v>89</v>
      </c>
      <c r="O859" s="49" t="s">
        <v>37</v>
      </c>
      <c r="P859" s="11" t="s">
        <v>80</v>
      </c>
      <c r="Q859" s="11" t="s">
        <v>96</v>
      </c>
      <c r="R859" s="49" t="s">
        <v>624</v>
      </c>
      <c r="S859" s="11" t="s">
        <v>625</v>
      </c>
      <c r="T859" s="105" t="s">
        <v>1</v>
      </c>
      <c r="U859" s="98"/>
      <c r="V859" s="51">
        <v>46048</v>
      </c>
      <c r="W859" s="49" t="s">
        <v>1564</v>
      </c>
      <c r="X859" s="154" t="s">
        <v>2</v>
      </c>
      <c r="Y859" s="154">
        <v>0</v>
      </c>
    </row>
    <row r="860" spans="1:25" ht="13" customHeight="1">
      <c r="A860" s="11">
        <v>854</v>
      </c>
      <c r="B860" s="47">
        <v>205853575</v>
      </c>
      <c r="C860" s="88" t="s">
        <v>925</v>
      </c>
      <c r="D860" s="11" t="s">
        <v>926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92</v>
      </c>
      <c r="M860" s="49" t="s">
        <v>84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628</v>
      </c>
      <c r="S860" s="11" t="s">
        <v>629</v>
      </c>
      <c r="T860" s="105" t="s">
        <v>1</v>
      </c>
      <c r="U860" s="98"/>
      <c r="V860" s="51">
        <v>45894</v>
      </c>
      <c r="W860" s="49" t="s">
        <v>1564</v>
      </c>
      <c r="X860" s="154" t="s">
        <v>2</v>
      </c>
      <c r="Y860" s="154">
        <v>0</v>
      </c>
    </row>
    <row r="861" spans="1:25" ht="13" customHeight="1">
      <c r="A861" s="11">
        <v>855</v>
      </c>
      <c r="B861" s="47">
        <v>203285820</v>
      </c>
      <c r="C861" s="88" t="s">
        <v>927</v>
      </c>
      <c r="D861" s="11" t="s">
        <v>928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84</v>
      </c>
      <c r="M861" s="49" t="s">
        <v>85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11" t="s">
        <v>628</v>
      </c>
      <c r="S861" s="11" t="s">
        <v>629</v>
      </c>
      <c r="T861" s="105" t="s">
        <v>1</v>
      </c>
      <c r="U861" s="98"/>
      <c r="V861" s="51">
        <v>45561</v>
      </c>
      <c r="W861" s="49" t="s">
        <v>1563</v>
      </c>
      <c r="X861" s="154" t="s">
        <v>2</v>
      </c>
      <c r="Y861" s="154">
        <v>0</v>
      </c>
    </row>
    <row r="862" spans="1:25" ht="13" customHeight="1">
      <c r="A862" s="11">
        <v>856</v>
      </c>
      <c r="B862" s="47">
        <v>205853580</v>
      </c>
      <c r="C862" s="88" t="s">
        <v>929</v>
      </c>
      <c r="D862" s="11" t="s">
        <v>930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78</v>
      </c>
      <c r="M862" s="49" t="s">
        <v>92</v>
      </c>
      <c r="N862" s="49" t="s">
        <v>79</v>
      </c>
      <c r="O862" s="49" t="s">
        <v>37</v>
      </c>
      <c r="P862" s="11" t="s">
        <v>80</v>
      </c>
      <c r="Q862" s="11" t="s">
        <v>96</v>
      </c>
      <c r="R862" s="11" t="s">
        <v>1057</v>
      </c>
      <c r="S862" s="11" t="s">
        <v>2657</v>
      </c>
      <c r="T862" s="105" t="s">
        <v>1</v>
      </c>
      <c r="U862" s="98"/>
      <c r="V862" s="51">
        <v>45894</v>
      </c>
      <c r="W862" s="49" t="s">
        <v>1564</v>
      </c>
      <c r="X862" s="154" t="s">
        <v>2</v>
      </c>
      <c r="Y862" s="154">
        <v>0</v>
      </c>
    </row>
    <row r="863" spans="1:25" ht="13" customHeight="1">
      <c r="A863" s="11">
        <v>857</v>
      </c>
      <c r="B863" s="47">
        <v>206902845</v>
      </c>
      <c r="C863" s="88" t="s">
        <v>1840</v>
      </c>
      <c r="D863" s="11" t="s">
        <v>1841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1290</v>
      </c>
      <c r="J863" s="49" t="s">
        <v>39</v>
      </c>
      <c r="K863" s="49" t="s">
        <v>76</v>
      </c>
      <c r="L863" s="49" t="s">
        <v>92</v>
      </c>
      <c r="M863" s="49" t="s">
        <v>84</v>
      </c>
      <c r="N863" s="49" t="s">
        <v>89</v>
      </c>
      <c r="O863" s="48" t="s">
        <v>37</v>
      </c>
      <c r="P863" s="48" t="s">
        <v>80</v>
      </c>
      <c r="Q863" s="11" t="s">
        <v>90</v>
      </c>
      <c r="R863" s="49" t="s">
        <v>644</v>
      </c>
      <c r="S863" s="11" t="s">
        <v>1777</v>
      </c>
      <c r="T863" s="105" t="s">
        <v>1</v>
      </c>
      <c r="U863" s="98"/>
      <c r="V863" s="51">
        <v>46030</v>
      </c>
      <c r="W863" s="49" t="s">
        <v>1564</v>
      </c>
      <c r="X863" s="154" t="s">
        <v>2</v>
      </c>
      <c r="Y863" s="154">
        <v>0</v>
      </c>
    </row>
    <row r="864" spans="1:25" ht="13" customHeight="1">
      <c r="A864" s="11">
        <v>858</v>
      </c>
      <c r="B864" s="47">
        <v>204967041</v>
      </c>
      <c r="C864" s="88" t="s">
        <v>931</v>
      </c>
      <c r="D864" s="11" t="s">
        <v>932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32</v>
      </c>
      <c r="K864" s="49" t="s">
        <v>76</v>
      </c>
      <c r="L864" s="49" t="s">
        <v>77</v>
      </c>
      <c r="M864" s="49" t="s">
        <v>78</v>
      </c>
      <c r="N864" s="48" t="s">
        <v>86</v>
      </c>
      <c r="O864" s="49" t="s">
        <v>37</v>
      </c>
      <c r="P864" s="11" t="s">
        <v>80</v>
      </c>
      <c r="Q864" s="11" t="s">
        <v>90</v>
      </c>
      <c r="R864" s="49" t="s">
        <v>644</v>
      </c>
      <c r="S864" s="11" t="s">
        <v>1777</v>
      </c>
      <c r="T864" s="105" t="s">
        <v>10</v>
      </c>
      <c r="U864" s="98"/>
      <c r="V864" s="51">
        <v>45719</v>
      </c>
      <c r="W864" s="49" t="s">
        <v>1564</v>
      </c>
      <c r="X864" s="154" t="s">
        <v>2948</v>
      </c>
      <c r="Y864" s="154">
        <v>0</v>
      </c>
    </row>
    <row r="865" spans="1:25" ht="13" customHeight="1">
      <c r="A865" s="11">
        <v>859</v>
      </c>
      <c r="B865" s="47">
        <v>203512666</v>
      </c>
      <c r="C865" s="88" t="s">
        <v>933</v>
      </c>
      <c r="D865" s="11" t="s">
        <v>934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32</v>
      </c>
      <c r="K865" s="49" t="s">
        <v>76</v>
      </c>
      <c r="L865" s="49" t="s">
        <v>88</v>
      </c>
      <c r="M865" s="49" t="s">
        <v>95</v>
      </c>
      <c r="N865" s="48" t="s">
        <v>79</v>
      </c>
      <c r="O865" s="49" t="s">
        <v>37</v>
      </c>
      <c r="P865" s="11" t="s">
        <v>80</v>
      </c>
      <c r="Q865" s="11" t="s">
        <v>81</v>
      </c>
      <c r="R865" s="49" t="s">
        <v>644</v>
      </c>
      <c r="S865" s="11" t="s">
        <v>1777</v>
      </c>
      <c r="T865" s="105" t="s">
        <v>1</v>
      </c>
      <c r="U865" s="98"/>
      <c r="V865" s="51">
        <v>45463</v>
      </c>
      <c r="W865" s="49" t="s">
        <v>1566</v>
      </c>
      <c r="X865" s="154" t="s">
        <v>2</v>
      </c>
      <c r="Y865" s="154">
        <v>0</v>
      </c>
    </row>
    <row r="866" spans="1:25" ht="13" customHeight="1">
      <c r="A866" s="11">
        <v>860</v>
      </c>
      <c r="B866" s="91">
        <v>204009978</v>
      </c>
      <c r="C866" s="47" t="s">
        <v>2724</v>
      </c>
      <c r="D866" s="88" t="s">
        <v>2725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95</v>
      </c>
      <c r="M866" s="49" t="s">
        <v>77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11" t="s">
        <v>644</v>
      </c>
      <c r="S866" s="11" t="s">
        <v>2679</v>
      </c>
      <c r="T866" s="105" t="s">
        <v>10</v>
      </c>
      <c r="U866" s="98"/>
      <c r="V866" s="51">
        <v>45551</v>
      </c>
      <c r="W866" s="49" t="s">
        <v>1564</v>
      </c>
      <c r="X866" s="154" t="s">
        <v>2948</v>
      </c>
      <c r="Y866" s="154" t="s">
        <v>2949</v>
      </c>
    </row>
    <row r="867" spans="1:25" ht="13" customHeight="1">
      <c r="A867" s="11">
        <v>861</v>
      </c>
      <c r="B867" s="47">
        <v>203850879</v>
      </c>
      <c r="C867" s="88" t="s">
        <v>2291</v>
      </c>
      <c r="D867" s="11" t="s">
        <v>2292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32</v>
      </c>
      <c r="K867" s="49" t="s">
        <v>76</v>
      </c>
      <c r="L867" s="49" t="s">
        <v>95</v>
      </c>
      <c r="M867" s="49" t="s">
        <v>77</v>
      </c>
      <c r="N867" s="48" t="s">
        <v>86</v>
      </c>
      <c r="O867" s="49" t="s">
        <v>37</v>
      </c>
      <c r="P867" s="11" t="s">
        <v>80</v>
      </c>
      <c r="Q867" s="11" t="s">
        <v>90</v>
      </c>
      <c r="R867" s="11" t="s">
        <v>2779</v>
      </c>
      <c r="S867" s="11" t="s">
        <v>2780</v>
      </c>
      <c r="T867" s="105" t="s">
        <v>10</v>
      </c>
      <c r="U867" s="98"/>
      <c r="V867" s="51">
        <v>45524</v>
      </c>
      <c r="W867" s="49" t="s">
        <v>1564</v>
      </c>
      <c r="X867" s="154" t="s">
        <v>2948</v>
      </c>
      <c r="Y867" s="154">
        <v>0</v>
      </c>
    </row>
    <row r="868" spans="1:25" ht="13" customHeight="1">
      <c r="A868" s="11">
        <v>862</v>
      </c>
      <c r="B868" s="91">
        <v>203993431</v>
      </c>
      <c r="C868" s="47" t="s">
        <v>2726</v>
      </c>
      <c r="D868" s="88" t="s">
        <v>2727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36</v>
      </c>
      <c r="M868" s="49" t="s">
        <v>78</v>
      </c>
      <c r="N868" s="49" t="s">
        <v>89</v>
      </c>
      <c r="O868" s="49" t="s">
        <v>37</v>
      </c>
      <c r="P868" s="11" t="s">
        <v>80</v>
      </c>
      <c r="Q868" s="11" t="s">
        <v>90</v>
      </c>
      <c r="R868" s="11" t="s">
        <v>2779</v>
      </c>
      <c r="S868" s="11" t="s">
        <v>2780</v>
      </c>
      <c r="T868" s="105" t="s">
        <v>1</v>
      </c>
      <c r="U868" s="98" t="s">
        <v>2944</v>
      </c>
      <c r="V868" s="51">
        <v>45547</v>
      </c>
      <c r="W868" s="49" t="s">
        <v>1564</v>
      </c>
      <c r="X868" s="154" t="s">
        <v>2</v>
      </c>
      <c r="Y868" s="154">
        <v>0</v>
      </c>
    </row>
    <row r="869" spans="1:25" ht="13" customHeight="1">
      <c r="A869" s="11">
        <v>863</v>
      </c>
      <c r="B869" s="47">
        <v>205854083</v>
      </c>
      <c r="C869" s="88" t="s">
        <v>935</v>
      </c>
      <c r="D869" s="11" t="s">
        <v>936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92</v>
      </c>
      <c r="M869" s="49" t="s">
        <v>84</v>
      </c>
      <c r="N869" s="49" t="s">
        <v>89</v>
      </c>
      <c r="O869" s="49" t="s">
        <v>37</v>
      </c>
      <c r="P869" s="11" t="s">
        <v>80</v>
      </c>
      <c r="Q869" s="11" t="s">
        <v>96</v>
      </c>
      <c r="R869" s="49" t="s">
        <v>624</v>
      </c>
      <c r="S869" s="11" t="s">
        <v>625</v>
      </c>
      <c r="T869" s="105" t="s">
        <v>1</v>
      </c>
      <c r="U869" s="98"/>
      <c r="V869" s="51">
        <v>45894</v>
      </c>
      <c r="W869" s="49" t="s">
        <v>1564</v>
      </c>
      <c r="X869" s="154" t="s">
        <v>2</v>
      </c>
      <c r="Y869" s="154">
        <v>0</v>
      </c>
    </row>
    <row r="870" spans="1:25" ht="13" customHeight="1">
      <c r="A870" s="11">
        <v>864</v>
      </c>
      <c r="B870" s="47">
        <v>206250876</v>
      </c>
      <c r="C870" s="88" t="s">
        <v>1630</v>
      </c>
      <c r="D870" s="11" t="s">
        <v>1607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92</v>
      </c>
      <c r="M870" s="49" t="s">
        <v>84</v>
      </c>
      <c r="N870" s="48" t="s">
        <v>79</v>
      </c>
      <c r="O870" s="49" t="s">
        <v>37</v>
      </c>
      <c r="P870" s="11" t="s">
        <v>80</v>
      </c>
      <c r="Q870" s="11" t="s">
        <v>81</v>
      </c>
      <c r="R870" s="11" t="s">
        <v>1057</v>
      </c>
      <c r="S870" s="11" t="s">
        <v>2657</v>
      </c>
      <c r="T870" s="105" t="s">
        <v>1</v>
      </c>
      <c r="U870" s="98"/>
      <c r="V870" s="51">
        <v>45943</v>
      </c>
      <c r="W870" s="49" t="s">
        <v>1564</v>
      </c>
      <c r="X870" s="154" t="s">
        <v>2</v>
      </c>
      <c r="Y870" s="154">
        <v>0</v>
      </c>
    </row>
    <row r="871" spans="1:25" ht="13" customHeight="1">
      <c r="A871" s="11">
        <v>865</v>
      </c>
      <c r="B871" s="47">
        <v>202198840</v>
      </c>
      <c r="C871" s="88" t="s">
        <v>937</v>
      </c>
      <c r="D871" s="11" t="s">
        <v>938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84</v>
      </c>
      <c r="M871" s="49" t="s">
        <v>85</v>
      </c>
      <c r="N871" s="48" t="s">
        <v>86</v>
      </c>
      <c r="O871" s="49" t="s">
        <v>37</v>
      </c>
      <c r="P871" s="11" t="s">
        <v>80</v>
      </c>
      <c r="Q871" s="11" t="s">
        <v>87</v>
      </c>
      <c r="R871" s="49" t="s">
        <v>624</v>
      </c>
      <c r="S871" s="11" t="s">
        <v>625</v>
      </c>
      <c r="T871" s="105" t="s">
        <v>1</v>
      </c>
      <c r="U871" s="98"/>
      <c r="V871" s="51">
        <v>45586</v>
      </c>
      <c r="W871" s="49" t="s">
        <v>1563</v>
      </c>
      <c r="X871" s="154" t="s">
        <v>2</v>
      </c>
      <c r="Y871" s="154">
        <v>0</v>
      </c>
    </row>
    <row r="872" spans="1:25" ht="13" customHeight="1">
      <c r="A872" s="11">
        <v>866</v>
      </c>
      <c r="B872" s="47">
        <v>203512669</v>
      </c>
      <c r="C872" s="88" t="s">
        <v>939</v>
      </c>
      <c r="D872" s="11" t="s">
        <v>940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84</v>
      </c>
      <c r="M872" s="49" t="s">
        <v>85</v>
      </c>
      <c r="N872" s="48" t="s">
        <v>79</v>
      </c>
      <c r="O872" s="49" t="s">
        <v>37</v>
      </c>
      <c r="P872" s="11" t="s">
        <v>80</v>
      </c>
      <c r="Q872" s="11" t="s">
        <v>81</v>
      </c>
      <c r="R872" s="11" t="s">
        <v>1057</v>
      </c>
      <c r="S872" s="11" t="s">
        <v>2657</v>
      </c>
      <c r="T872" s="105" t="s">
        <v>1</v>
      </c>
      <c r="U872" s="98"/>
      <c r="V872" s="51">
        <v>45463</v>
      </c>
      <c r="W872" s="49" t="s">
        <v>1566</v>
      </c>
      <c r="X872" s="154" t="s">
        <v>2</v>
      </c>
      <c r="Y872" s="154">
        <v>0</v>
      </c>
    </row>
    <row r="873" spans="1:25" ht="13" customHeight="1">
      <c r="A873" s="11">
        <v>867</v>
      </c>
      <c r="B873" s="47">
        <v>204319796</v>
      </c>
      <c r="C873" s="88" t="s">
        <v>941</v>
      </c>
      <c r="D873" s="11" t="s">
        <v>942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84</v>
      </c>
      <c r="M873" s="49" t="s">
        <v>85</v>
      </c>
      <c r="N873" s="48" t="s">
        <v>86</v>
      </c>
      <c r="O873" s="49" t="s">
        <v>37</v>
      </c>
      <c r="P873" s="11" t="s">
        <v>80</v>
      </c>
      <c r="Q873" s="11" t="s">
        <v>87</v>
      </c>
      <c r="R873" s="11" t="s">
        <v>1057</v>
      </c>
      <c r="S873" s="11" t="s">
        <v>2657</v>
      </c>
      <c r="T873" s="105" t="s">
        <v>1</v>
      </c>
      <c r="U873" s="98"/>
      <c r="V873" s="51">
        <v>45589</v>
      </c>
      <c r="W873" s="49" t="s">
        <v>1566</v>
      </c>
      <c r="X873" s="154" t="s">
        <v>2</v>
      </c>
      <c r="Y873" s="154">
        <v>0</v>
      </c>
    </row>
    <row r="874" spans="1:25" ht="13" customHeight="1">
      <c r="A874" s="11">
        <v>868</v>
      </c>
      <c r="B874" s="91">
        <v>204882473</v>
      </c>
      <c r="C874" s="47" t="s">
        <v>2728</v>
      </c>
      <c r="D874" s="88" t="s">
        <v>2729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11" t="s">
        <v>644</v>
      </c>
      <c r="S874" s="11" t="s">
        <v>2679</v>
      </c>
      <c r="T874" s="105" t="s">
        <v>1</v>
      </c>
      <c r="U874" s="98"/>
      <c r="V874" s="51">
        <v>45789</v>
      </c>
      <c r="W874" s="49" t="s">
        <v>1564</v>
      </c>
      <c r="X874" s="154" t="s">
        <v>2</v>
      </c>
      <c r="Y874" s="154">
        <v>0</v>
      </c>
    </row>
    <row r="875" spans="1:25" ht="13" customHeight="1">
      <c r="A875" s="11">
        <v>869</v>
      </c>
      <c r="B875" s="47">
        <v>106268190</v>
      </c>
      <c r="C875" s="88" t="s">
        <v>943</v>
      </c>
      <c r="D875" s="11" t="s">
        <v>944</v>
      </c>
      <c r="E875" s="48" t="s">
        <v>34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78</v>
      </c>
      <c r="M875" s="49" t="s">
        <v>92</v>
      </c>
      <c r="N875" s="48" t="s">
        <v>108</v>
      </c>
      <c r="O875" s="49" t="s">
        <v>37</v>
      </c>
      <c r="P875" s="11" t="s">
        <v>80</v>
      </c>
      <c r="Q875" s="11" t="s">
        <v>98</v>
      </c>
      <c r="R875" s="49" t="s">
        <v>624</v>
      </c>
      <c r="S875" s="11" t="s">
        <v>625</v>
      </c>
      <c r="T875" s="105" t="s">
        <v>1</v>
      </c>
      <c r="U875" s="98"/>
      <c r="V875" s="51">
        <v>44757</v>
      </c>
      <c r="W875" s="49" t="s">
        <v>1566</v>
      </c>
      <c r="X875" s="154" t="s">
        <v>2</v>
      </c>
      <c r="Y875" s="154">
        <v>0</v>
      </c>
    </row>
    <row r="876" spans="1:25" ht="13" customHeight="1">
      <c r="A876" s="11">
        <v>870</v>
      </c>
      <c r="B876" s="47">
        <v>203908351</v>
      </c>
      <c r="C876" s="88" t="s">
        <v>945</v>
      </c>
      <c r="D876" s="11" t="s">
        <v>946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32</v>
      </c>
      <c r="K876" s="49" t="s">
        <v>76</v>
      </c>
      <c r="L876" s="49" t="s">
        <v>95</v>
      </c>
      <c r="M876" s="49" t="s">
        <v>77</v>
      </c>
      <c r="N876" s="48" t="s">
        <v>79</v>
      </c>
      <c r="O876" s="49" t="s">
        <v>37</v>
      </c>
      <c r="P876" s="11" t="s">
        <v>80</v>
      </c>
      <c r="Q876" s="11" t="s">
        <v>81</v>
      </c>
      <c r="R876" s="49" t="s">
        <v>2659</v>
      </c>
      <c r="S876" s="11" t="s">
        <v>639</v>
      </c>
      <c r="T876" s="105" t="s">
        <v>10</v>
      </c>
      <c r="U876" s="98"/>
      <c r="V876" s="51">
        <v>45537</v>
      </c>
      <c r="W876" s="49" t="s">
        <v>1564</v>
      </c>
      <c r="X876" s="154" t="s">
        <v>2948</v>
      </c>
      <c r="Y876" s="154">
        <v>0</v>
      </c>
    </row>
    <row r="877" spans="1:25" ht="13" customHeight="1">
      <c r="A877" s="11">
        <v>871</v>
      </c>
      <c r="B877" s="91">
        <v>205236898</v>
      </c>
      <c r="C877" s="47" t="s">
        <v>2730</v>
      </c>
      <c r="D877" s="88" t="s">
        <v>2731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95</v>
      </c>
      <c r="M877" s="49" t="s">
        <v>77</v>
      </c>
      <c r="N877" s="48" t="s">
        <v>86</v>
      </c>
      <c r="O877" s="49" t="s">
        <v>37</v>
      </c>
      <c r="P877" s="11" t="s">
        <v>80</v>
      </c>
      <c r="Q877" s="11" t="s">
        <v>90</v>
      </c>
      <c r="R877" s="11" t="s">
        <v>1057</v>
      </c>
      <c r="S877" s="11" t="s">
        <v>2689</v>
      </c>
      <c r="T877" s="105" t="s">
        <v>10</v>
      </c>
      <c r="U877" s="98"/>
      <c r="V877" s="51">
        <v>45789</v>
      </c>
      <c r="W877" s="49" t="s">
        <v>1564</v>
      </c>
      <c r="X877" s="154" t="s">
        <v>2948</v>
      </c>
      <c r="Y877" s="154">
        <v>0</v>
      </c>
    </row>
    <row r="878" spans="1:25" ht="13" customHeight="1">
      <c r="A878" s="11">
        <v>872</v>
      </c>
      <c r="B878" s="47">
        <v>203850878</v>
      </c>
      <c r="C878" s="88" t="s">
        <v>947</v>
      </c>
      <c r="D878" s="11" t="s">
        <v>948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88</v>
      </c>
      <c r="M878" s="49" t="s">
        <v>95</v>
      </c>
      <c r="N878" s="48" t="s">
        <v>86</v>
      </c>
      <c r="O878" s="49" t="s">
        <v>37</v>
      </c>
      <c r="P878" s="11" t="s">
        <v>80</v>
      </c>
      <c r="Q878" s="11" t="s">
        <v>90</v>
      </c>
      <c r="R878" s="49" t="s">
        <v>644</v>
      </c>
      <c r="S878" s="11" t="s">
        <v>1777</v>
      </c>
      <c r="T878" s="105" t="s">
        <v>3</v>
      </c>
      <c r="U878" s="98"/>
      <c r="V878" s="51">
        <v>45524</v>
      </c>
      <c r="W878" s="49" t="s">
        <v>1564</v>
      </c>
      <c r="X878" s="154" t="s">
        <v>2948</v>
      </c>
      <c r="Y878" s="154">
        <v>0</v>
      </c>
    </row>
    <row r="879" spans="1:25" ht="13" customHeight="1">
      <c r="A879" s="11">
        <v>873</v>
      </c>
      <c r="B879" s="47">
        <v>203850881</v>
      </c>
      <c r="C879" s="88" t="s">
        <v>949</v>
      </c>
      <c r="D879" s="11" t="s">
        <v>950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95</v>
      </c>
      <c r="M879" s="49" t="s">
        <v>77</v>
      </c>
      <c r="N879" s="49" t="s">
        <v>89</v>
      </c>
      <c r="O879" s="49" t="s">
        <v>37</v>
      </c>
      <c r="P879" s="11" t="s">
        <v>80</v>
      </c>
      <c r="Q879" s="11" t="s">
        <v>90</v>
      </c>
      <c r="R879" s="49" t="s">
        <v>644</v>
      </c>
      <c r="S879" s="11" t="s">
        <v>1777</v>
      </c>
      <c r="T879" s="105" t="s">
        <v>10</v>
      </c>
      <c r="U879" s="98"/>
      <c r="V879" s="51">
        <v>45524</v>
      </c>
      <c r="W879" s="49" t="s">
        <v>1564</v>
      </c>
      <c r="X879" s="154" t="s">
        <v>2948</v>
      </c>
      <c r="Y879" s="154">
        <v>0</v>
      </c>
    </row>
    <row r="880" spans="1:25" ht="13" customHeight="1">
      <c r="A880" s="11">
        <v>874</v>
      </c>
      <c r="B880" s="47">
        <v>203331877</v>
      </c>
      <c r="C880" s="88" t="s">
        <v>951</v>
      </c>
      <c r="D880" s="11" t="s">
        <v>952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78</v>
      </c>
      <c r="M880" s="49" t="s">
        <v>92</v>
      </c>
      <c r="N880" s="48" t="s">
        <v>79</v>
      </c>
      <c r="O880" s="49" t="s">
        <v>37</v>
      </c>
      <c r="P880" s="11" t="s">
        <v>80</v>
      </c>
      <c r="Q880" s="11" t="s">
        <v>81</v>
      </c>
      <c r="R880" s="11" t="s">
        <v>628</v>
      </c>
      <c r="S880" s="11" t="s">
        <v>629</v>
      </c>
      <c r="T880" s="105" t="s">
        <v>1</v>
      </c>
      <c r="U880" s="98"/>
      <c r="V880" s="51">
        <v>45537</v>
      </c>
      <c r="W880" s="49" t="s">
        <v>1565</v>
      </c>
      <c r="X880" s="154" t="s">
        <v>2</v>
      </c>
      <c r="Y880" s="154">
        <v>0</v>
      </c>
    </row>
    <row r="881" spans="1:25" ht="13" customHeight="1">
      <c r="A881" s="11">
        <v>875</v>
      </c>
      <c r="B881" s="47">
        <v>205257125</v>
      </c>
      <c r="C881" s="88" t="s">
        <v>2034</v>
      </c>
      <c r="D881" s="11" t="s">
        <v>2035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87" t="s">
        <v>39</v>
      </c>
      <c r="K881" s="49" t="s">
        <v>76</v>
      </c>
      <c r="L881" s="49" t="s">
        <v>78</v>
      </c>
      <c r="M881" s="49" t="s">
        <v>92</v>
      </c>
      <c r="N881" s="49" t="s">
        <v>89</v>
      </c>
      <c r="O881" s="49" t="s">
        <v>37</v>
      </c>
      <c r="P881" s="11" t="s">
        <v>80</v>
      </c>
      <c r="Q881" s="11" t="s">
        <v>96</v>
      </c>
      <c r="R881" s="11" t="s">
        <v>628</v>
      </c>
      <c r="S881" s="11" t="s">
        <v>629</v>
      </c>
      <c r="T881" s="105" t="s">
        <v>1</v>
      </c>
      <c r="U881" s="98"/>
      <c r="V881" s="51">
        <v>46048</v>
      </c>
      <c r="W881" s="49" t="s">
        <v>1564</v>
      </c>
      <c r="X881" s="154" t="s">
        <v>2</v>
      </c>
      <c r="Y881" s="154">
        <v>0</v>
      </c>
    </row>
    <row r="882" spans="1:25" ht="13" customHeight="1">
      <c r="A882" s="11">
        <v>876</v>
      </c>
      <c r="B882" s="47">
        <v>204228019</v>
      </c>
      <c r="C882" s="88" t="s">
        <v>953</v>
      </c>
      <c r="D882" s="11" t="s">
        <v>954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84</v>
      </c>
      <c r="M882" s="49" t="s">
        <v>85</v>
      </c>
      <c r="N882" s="48" t="s">
        <v>86</v>
      </c>
      <c r="O882" s="49" t="s">
        <v>37</v>
      </c>
      <c r="P882" s="11" t="s">
        <v>80</v>
      </c>
      <c r="Q882" s="11" t="s">
        <v>90</v>
      </c>
      <c r="R882" s="49" t="s">
        <v>644</v>
      </c>
      <c r="S882" s="11" t="s">
        <v>1777</v>
      </c>
      <c r="T882" s="105" t="s">
        <v>1</v>
      </c>
      <c r="U882" s="98"/>
      <c r="V882" s="51">
        <v>45684</v>
      </c>
      <c r="W882" s="49" t="s">
        <v>1564</v>
      </c>
      <c r="X882" s="154" t="s">
        <v>2</v>
      </c>
      <c r="Y882" s="154">
        <v>0</v>
      </c>
    </row>
    <row r="883" spans="1:25" ht="13" customHeight="1">
      <c r="A883" s="11">
        <v>877</v>
      </c>
      <c r="B883" s="47">
        <v>204117681</v>
      </c>
      <c r="C883" s="88" t="s">
        <v>955</v>
      </c>
      <c r="D883" s="11" t="s">
        <v>956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77</v>
      </c>
      <c r="M883" s="49" t="s">
        <v>78</v>
      </c>
      <c r="N883" s="48" t="s">
        <v>86</v>
      </c>
      <c r="O883" s="49" t="s">
        <v>37</v>
      </c>
      <c r="P883" s="11" t="s">
        <v>80</v>
      </c>
      <c r="Q883" s="11" t="s">
        <v>87</v>
      </c>
      <c r="R883" s="49" t="s">
        <v>624</v>
      </c>
      <c r="S883" s="11" t="s">
        <v>625</v>
      </c>
      <c r="T883" s="105" t="s">
        <v>10</v>
      </c>
      <c r="U883" s="98"/>
      <c r="V883" s="51">
        <v>45561</v>
      </c>
      <c r="W883" s="49" t="s">
        <v>1564</v>
      </c>
      <c r="X883" s="154" t="s">
        <v>2948</v>
      </c>
      <c r="Y883" s="154">
        <v>0</v>
      </c>
    </row>
    <row r="884" spans="1:25" ht="13" customHeight="1">
      <c r="A884" s="11">
        <v>878</v>
      </c>
      <c r="B884" s="91">
        <v>203850880</v>
      </c>
      <c r="C884" s="47" t="s">
        <v>2732</v>
      </c>
      <c r="D884" s="88" t="s">
        <v>2733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92</v>
      </c>
      <c r="M884" s="49" t="s">
        <v>84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1057</v>
      </c>
      <c r="S884" s="11" t="s">
        <v>2689</v>
      </c>
      <c r="T884" s="105" t="s">
        <v>1</v>
      </c>
      <c r="U884" s="98"/>
      <c r="V884" s="51">
        <v>45524</v>
      </c>
      <c r="W884" s="49" t="s">
        <v>1564</v>
      </c>
      <c r="X884" s="154" t="s">
        <v>2</v>
      </c>
      <c r="Y884" s="154">
        <v>0</v>
      </c>
    </row>
    <row r="885" spans="1:25" ht="13" customHeight="1">
      <c r="A885" s="11">
        <v>879</v>
      </c>
      <c r="B885" s="91">
        <v>204072308</v>
      </c>
      <c r="C885" s="47" t="s">
        <v>2734</v>
      </c>
      <c r="D885" s="88" t="s">
        <v>2735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95</v>
      </c>
      <c r="M885" s="49" t="s">
        <v>77</v>
      </c>
      <c r="N885" s="48" t="s">
        <v>86</v>
      </c>
      <c r="O885" s="49" t="s">
        <v>37</v>
      </c>
      <c r="P885" s="11" t="s">
        <v>80</v>
      </c>
      <c r="Q885" s="11" t="s">
        <v>90</v>
      </c>
      <c r="R885" s="11" t="s">
        <v>2779</v>
      </c>
      <c r="S885" s="11" t="s">
        <v>2780</v>
      </c>
      <c r="T885" s="105" t="s">
        <v>10</v>
      </c>
      <c r="U885" s="98"/>
      <c r="V885" s="51">
        <v>45558</v>
      </c>
      <c r="W885" s="49" t="s">
        <v>1564</v>
      </c>
      <c r="X885" s="154" t="s">
        <v>2948</v>
      </c>
      <c r="Y885" s="154">
        <v>0</v>
      </c>
    </row>
    <row r="886" spans="1:25" ht="13" customHeight="1">
      <c r="A886" s="11">
        <v>880</v>
      </c>
      <c r="B886" s="47">
        <v>204095806</v>
      </c>
      <c r="C886" s="88" t="s">
        <v>957</v>
      </c>
      <c r="D886" s="11" t="s">
        <v>958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87</v>
      </c>
      <c r="R886" s="49" t="s">
        <v>644</v>
      </c>
      <c r="S886" s="11" t="s">
        <v>1777</v>
      </c>
      <c r="T886" s="105" t="s">
        <v>10</v>
      </c>
      <c r="U886" s="98"/>
      <c r="V886" s="51">
        <v>45561</v>
      </c>
      <c r="W886" s="49" t="s">
        <v>1564</v>
      </c>
      <c r="X886" s="154" t="s">
        <v>2948</v>
      </c>
      <c r="Y886" s="154">
        <v>0</v>
      </c>
    </row>
    <row r="887" spans="1:25" ht="13" customHeight="1">
      <c r="A887" s="11">
        <v>881</v>
      </c>
      <c r="B887" s="47">
        <v>206137340</v>
      </c>
      <c r="C887" s="88" t="s">
        <v>959</v>
      </c>
      <c r="D887" s="11" t="s">
        <v>960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92</v>
      </c>
      <c r="M887" s="49" t="s">
        <v>84</v>
      </c>
      <c r="N887" s="48" t="s">
        <v>79</v>
      </c>
      <c r="O887" s="49" t="s">
        <v>37</v>
      </c>
      <c r="P887" s="11" t="s">
        <v>80</v>
      </c>
      <c r="Q887" s="11" t="s">
        <v>81</v>
      </c>
      <c r="R887" s="49" t="s">
        <v>624</v>
      </c>
      <c r="S887" s="11" t="s">
        <v>625</v>
      </c>
      <c r="T887" s="105" t="s">
        <v>1</v>
      </c>
      <c r="U887" s="98"/>
      <c r="V887" s="51">
        <v>45929</v>
      </c>
      <c r="W887" s="49" t="s">
        <v>1564</v>
      </c>
      <c r="X887" s="154" t="s">
        <v>2</v>
      </c>
      <c r="Y887" s="154">
        <v>0</v>
      </c>
    </row>
    <row r="888" spans="1:25" ht="13" customHeight="1">
      <c r="A888" s="11">
        <v>882</v>
      </c>
      <c r="B888" s="47">
        <v>204010440</v>
      </c>
      <c r="C888" s="88" t="s">
        <v>961</v>
      </c>
      <c r="D888" s="11" t="s">
        <v>962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95</v>
      </c>
      <c r="M888" s="49" t="s">
        <v>77</v>
      </c>
      <c r="N888" s="49" t="s">
        <v>89</v>
      </c>
      <c r="O888" s="49" t="s">
        <v>37</v>
      </c>
      <c r="P888" s="11" t="s">
        <v>80</v>
      </c>
      <c r="Q888" s="11" t="s">
        <v>90</v>
      </c>
      <c r="R888" s="49" t="s">
        <v>644</v>
      </c>
      <c r="S888" s="11" t="s">
        <v>1777</v>
      </c>
      <c r="T888" s="105" t="s">
        <v>10</v>
      </c>
      <c r="U888" s="98"/>
      <c r="V888" s="51">
        <v>45894</v>
      </c>
      <c r="W888" s="49" t="s">
        <v>1564</v>
      </c>
      <c r="X888" s="154" t="s">
        <v>2948</v>
      </c>
      <c r="Y888" s="154">
        <v>0</v>
      </c>
    </row>
    <row r="889" spans="1:25" ht="13" customHeight="1">
      <c r="A889" s="11">
        <v>883</v>
      </c>
      <c r="B889" s="47">
        <v>206930331</v>
      </c>
      <c r="C889" s="88" t="s">
        <v>2815</v>
      </c>
      <c r="D889" s="11" t="s">
        <v>2816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11" t="s">
        <v>39</v>
      </c>
      <c r="K889" s="11" t="s">
        <v>76</v>
      </c>
      <c r="L889" s="11" t="s">
        <v>78</v>
      </c>
      <c r="M889" s="11" t="s">
        <v>92</v>
      </c>
      <c r="N889" s="11" t="s">
        <v>89</v>
      </c>
      <c r="O889" s="11" t="s">
        <v>37</v>
      </c>
      <c r="P889" s="11" t="s">
        <v>80</v>
      </c>
      <c r="Q889" s="11" t="s">
        <v>96</v>
      </c>
      <c r="R889" s="11" t="s">
        <v>1057</v>
      </c>
      <c r="S889" s="11" t="s">
        <v>2657</v>
      </c>
      <c r="T889" s="105" t="s">
        <v>1</v>
      </c>
      <c r="U889" s="98"/>
      <c r="V889" s="51">
        <v>46238</v>
      </c>
      <c r="W889" s="11" t="s">
        <v>1564</v>
      </c>
      <c r="X889" s="154" t="s">
        <v>2</v>
      </c>
      <c r="Y889" s="154">
        <v>0</v>
      </c>
    </row>
    <row r="890" spans="1:25" ht="13" customHeight="1">
      <c r="A890" s="11">
        <v>884</v>
      </c>
      <c r="B890" s="47">
        <v>206846698</v>
      </c>
      <c r="C890" s="88" t="s">
        <v>1794</v>
      </c>
      <c r="D890" s="47" t="s">
        <v>1795</v>
      </c>
      <c r="E890" s="47" t="s">
        <v>31</v>
      </c>
      <c r="F890" s="48" t="s">
        <v>74</v>
      </c>
      <c r="G890" s="11" t="s">
        <v>64</v>
      </c>
      <c r="H890" s="11" t="s">
        <v>75</v>
      </c>
      <c r="I890" s="47">
        <v>1299</v>
      </c>
      <c r="J890" s="49" t="s">
        <v>39</v>
      </c>
      <c r="K890" s="49" t="s">
        <v>76</v>
      </c>
      <c r="L890" s="49" t="s">
        <v>88</v>
      </c>
      <c r="M890" s="49" t="s">
        <v>95</v>
      </c>
      <c r="N890" s="49" t="s">
        <v>89</v>
      </c>
      <c r="O890" s="49" t="s">
        <v>37</v>
      </c>
      <c r="P890" s="11" t="s">
        <v>80</v>
      </c>
      <c r="Q890" s="47" t="s">
        <v>90</v>
      </c>
      <c r="R890" s="49" t="s">
        <v>2659</v>
      </c>
      <c r="S890" s="47" t="s">
        <v>639</v>
      </c>
      <c r="T890" s="105" t="s">
        <v>1</v>
      </c>
      <c r="U890" s="98"/>
      <c r="V890" s="51">
        <v>46013</v>
      </c>
      <c r="W890" s="49" t="s">
        <v>1564</v>
      </c>
      <c r="X890" s="154" t="s">
        <v>2</v>
      </c>
      <c r="Y890" s="154">
        <v>0</v>
      </c>
    </row>
    <row r="891" spans="1:25" ht="13" customHeight="1">
      <c r="A891" s="11">
        <v>885</v>
      </c>
      <c r="B891" s="47">
        <v>202436104</v>
      </c>
      <c r="C891" s="88" t="s">
        <v>963</v>
      </c>
      <c r="D891" s="11" t="s">
        <v>964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32</v>
      </c>
      <c r="K891" s="49" t="s">
        <v>76</v>
      </c>
      <c r="L891" s="49" t="s">
        <v>92</v>
      </c>
      <c r="M891" s="49" t="s">
        <v>84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49" t="s">
        <v>624</v>
      </c>
      <c r="S891" s="11" t="s">
        <v>625</v>
      </c>
      <c r="T891" s="105" t="s">
        <v>1</v>
      </c>
      <c r="U891" s="98"/>
      <c r="V891" s="51">
        <v>45586</v>
      </c>
      <c r="W891" s="49" t="s">
        <v>1565</v>
      </c>
      <c r="X891" s="154" t="s">
        <v>2</v>
      </c>
      <c r="Y891" s="154">
        <v>0</v>
      </c>
    </row>
    <row r="892" spans="1:25" ht="13" customHeight="1">
      <c r="A892" s="11">
        <v>886</v>
      </c>
      <c r="B892" s="47">
        <v>203965179</v>
      </c>
      <c r="C892" s="88" t="s">
        <v>965</v>
      </c>
      <c r="D892" s="11" t="s">
        <v>966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95</v>
      </c>
      <c r="M892" s="49" t="s">
        <v>77</v>
      </c>
      <c r="N892" s="48" t="s">
        <v>79</v>
      </c>
      <c r="O892" s="49" t="s">
        <v>37</v>
      </c>
      <c r="P892" s="11" t="s">
        <v>80</v>
      </c>
      <c r="Q892" s="11" t="s">
        <v>96</v>
      </c>
      <c r="R892" s="49" t="s">
        <v>644</v>
      </c>
      <c r="S892" s="11" t="s">
        <v>1777</v>
      </c>
      <c r="T892" s="105" t="s">
        <v>10</v>
      </c>
      <c r="U892" s="98"/>
      <c r="V892" s="51">
        <v>45544</v>
      </c>
      <c r="W892" s="49" t="s">
        <v>1564</v>
      </c>
      <c r="X892" s="154" t="s">
        <v>2948</v>
      </c>
      <c r="Y892" s="154">
        <v>0</v>
      </c>
    </row>
    <row r="893" spans="1:25" ht="13" customHeight="1">
      <c r="A893" s="11">
        <v>887</v>
      </c>
      <c r="B893" s="47">
        <v>206136718</v>
      </c>
      <c r="C893" s="88" t="str">
        <f>VLOOKUP(B893,'[1]employeeList-AUH1 (28)'!$A$1:$J$1523,2,0)</f>
        <v>tckinuth</v>
      </c>
      <c r="D893" s="11" t="s">
        <v>2841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11" t="s">
        <v>39</v>
      </c>
      <c r="K893" s="11" t="s">
        <v>76</v>
      </c>
      <c r="L893" s="11" t="s">
        <v>84</v>
      </c>
      <c r="M893" s="11" t="s">
        <v>85</v>
      </c>
      <c r="N893" s="11" t="s">
        <v>89</v>
      </c>
      <c r="O893" s="11" t="s">
        <v>37</v>
      </c>
      <c r="P893" s="11" t="s">
        <v>80</v>
      </c>
      <c r="Q893" s="11" t="s">
        <v>96</v>
      </c>
      <c r="R893" s="11" t="s">
        <v>1057</v>
      </c>
      <c r="S893" s="11" t="s">
        <v>2657</v>
      </c>
      <c r="T893" s="105" t="s">
        <v>1</v>
      </c>
      <c r="U893" s="98"/>
      <c r="V893" s="51">
        <v>46239</v>
      </c>
      <c r="W893" s="11" t="s">
        <v>1566</v>
      </c>
      <c r="X893" s="154" t="s">
        <v>2</v>
      </c>
      <c r="Y893" s="154">
        <v>0</v>
      </c>
    </row>
    <row r="894" spans="1:25" ht="13" customHeight="1">
      <c r="A894" s="11">
        <v>888</v>
      </c>
      <c r="B894" s="11">
        <v>206200811</v>
      </c>
      <c r="C894" s="88" t="s">
        <v>2774</v>
      </c>
      <c r="D894" s="11" t="s">
        <v>2775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85</v>
      </c>
      <c r="M894" s="49" t="s">
        <v>88</v>
      </c>
      <c r="N894" s="11" t="s">
        <v>89</v>
      </c>
      <c r="O894" s="11" t="s">
        <v>37</v>
      </c>
      <c r="P894" s="11" t="s">
        <v>80</v>
      </c>
      <c r="Q894" s="11" t="s">
        <v>81</v>
      </c>
      <c r="R894" s="11" t="s">
        <v>2659</v>
      </c>
      <c r="S894" s="11" t="s">
        <v>639</v>
      </c>
      <c r="T894" s="105" t="s">
        <v>1</v>
      </c>
      <c r="U894" s="98"/>
      <c r="V894" s="51">
        <v>46226</v>
      </c>
      <c r="W894" s="11" t="s">
        <v>1564</v>
      </c>
      <c r="X894" s="154" t="s">
        <v>2</v>
      </c>
      <c r="Y894" s="154">
        <v>0</v>
      </c>
    </row>
    <row r="895" spans="1:25" ht="13" customHeight="1">
      <c r="A895" s="11">
        <v>889</v>
      </c>
      <c r="B895" s="47">
        <v>204890369</v>
      </c>
      <c r="C895" s="88" t="s">
        <v>967</v>
      </c>
      <c r="D895" s="11" t="s">
        <v>968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1290</v>
      </c>
      <c r="J895" s="49" t="s">
        <v>39</v>
      </c>
      <c r="K895" s="49" t="s">
        <v>76</v>
      </c>
      <c r="L895" s="49" t="s">
        <v>78</v>
      </c>
      <c r="M895" s="49" t="s">
        <v>92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49" t="s">
        <v>644</v>
      </c>
      <c r="S895" s="11" t="s">
        <v>1777</v>
      </c>
      <c r="T895" s="105" t="s">
        <v>1</v>
      </c>
      <c r="U895" s="98"/>
      <c r="V895" s="51">
        <v>45691</v>
      </c>
      <c r="W895" s="49" t="s">
        <v>1564</v>
      </c>
      <c r="X895" s="154" t="s">
        <v>2</v>
      </c>
      <c r="Y895" s="154">
        <v>0</v>
      </c>
    </row>
    <row r="896" spans="1:25" ht="13" customHeight="1">
      <c r="A896" s="11">
        <v>890</v>
      </c>
      <c r="B896" s="47">
        <v>203522217</v>
      </c>
      <c r="C896" s="88" t="s">
        <v>969</v>
      </c>
      <c r="D896" s="11" t="s">
        <v>970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39</v>
      </c>
      <c r="K896" s="49" t="s">
        <v>76</v>
      </c>
      <c r="L896" s="49" t="s">
        <v>92</v>
      </c>
      <c r="M896" s="49" t="s">
        <v>84</v>
      </c>
      <c r="N896" s="48" t="s">
        <v>86</v>
      </c>
      <c r="O896" s="49" t="s">
        <v>37</v>
      </c>
      <c r="P896" s="11" t="s">
        <v>80</v>
      </c>
      <c r="Q896" s="11" t="s">
        <v>99</v>
      </c>
      <c r="R896" s="49" t="s">
        <v>624</v>
      </c>
      <c r="S896" s="11" t="s">
        <v>625</v>
      </c>
      <c r="T896" s="105" t="s">
        <v>1</v>
      </c>
      <c r="U896" s="98"/>
      <c r="V896" s="51">
        <v>45463</v>
      </c>
      <c r="W896" s="49" t="s">
        <v>1566</v>
      </c>
      <c r="X896" s="154" t="s">
        <v>2</v>
      </c>
      <c r="Y896" s="154">
        <v>0</v>
      </c>
    </row>
    <row r="897" spans="1:25" ht="13" customHeight="1">
      <c r="A897" s="11">
        <v>891</v>
      </c>
      <c r="B897" s="47">
        <v>104033275</v>
      </c>
      <c r="C897" s="88" t="s">
        <v>971</v>
      </c>
      <c r="D897" s="11" t="s">
        <v>972</v>
      </c>
      <c r="E897" s="48" t="s">
        <v>34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78</v>
      </c>
      <c r="M897" s="49" t="s">
        <v>92</v>
      </c>
      <c r="N897" s="48" t="s">
        <v>108</v>
      </c>
      <c r="O897" s="49" t="s">
        <v>37</v>
      </c>
      <c r="P897" s="11" t="s">
        <v>80</v>
      </c>
      <c r="Q897" s="11" t="s">
        <v>98</v>
      </c>
      <c r="R897" s="49" t="s">
        <v>644</v>
      </c>
      <c r="S897" s="11" t="s">
        <v>1777</v>
      </c>
      <c r="T897" s="105" t="s">
        <v>1</v>
      </c>
      <c r="U897" s="98"/>
      <c r="V897" s="51">
        <v>44067</v>
      </c>
      <c r="W897" s="49" t="s">
        <v>1566</v>
      </c>
      <c r="X897" s="154" t="s">
        <v>2</v>
      </c>
      <c r="Y897" s="154">
        <v>0</v>
      </c>
    </row>
    <row r="898" spans="1:25" ht="13" customHeight="1">
      <c r="A898" s="11">
        <v>892</v>
      </c>
      <c r="B898" s="47">
        <v>204864410</v>
      </c>
      <c r="C898" s="88" t="s">
        <v>2348</v>
      </c>
      <c r="D898" s="11" t="s">
        <v>2349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78</v>
      </c>
      <c r="M898" s="49" t="s">
        <v>92</v>
      </c>
      <c r="N898" s="48" t="s">
        <v>86</v>
      </c>
      <c r="O898" s="49" t="s">
        <v>37</v>
      </c>
      <c r="P898" s="11" t="s">
        <v>80</v>
      </c>
      <c r="Q898" s="11" t="s">
        <v>90</v>
      </c>
      <c r="R898" s="49" t="s">
        <v>644</v>
      </c>
      <c r="S898" s="11" t="s">
        <v>1777</v>
      </c>
      <c r="T898" s="105" t="s">
        <v>1</v>
      </c>
      <c r="U898" s="98"/>
      <c r="V898" s="51">
        <v>45685</v>
      </c>
      <c r="W898" s="49" t="s">
        <v>1564</v>
      </c>
      <c r="X898" s="154" t="s">
        <v>2</v>
      </c>
      <c r="Y898" s="154">
        <v>0</v>
      </c>
    </row>
    <row r="899" spans="1:25" ht="13" customHeight="1">
      <c r="A899" s="11">
        <v>893</v>
      </c>
      <c r="B899" s="91">
        <v>203908896</v>
      </c>
      <c r="C899" s="47" t="s">
        <v>2736</v>
      </c>
      <c r="D899" s="88" t="s">
        <v>2737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95</v>
      </c>
      <c r="M899" s="49" t="s">
        <v>77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11" t="s">
        <v>1057</v>
      </c>
      <c r="S899" s="11" t="s">
        <v>2689</v>
      </c>
      <c r="T899" s="105" t="s">
        <v>10</v>
      </c>
      <c r="U899" s="98"/>
      <c r="V899" s="51">
        <v>45789</v>
      </c>
      <c r="W899" s="49" t="s">
        <v>1564</v>
      </c>
      <c r="X899" s="154" t="s">
        <v>2948</v>
      </c>
      <c r="Y899" s="154">
        <v>0</v>
      </c>
    </row>
    <row r="900" spans="1:25" ht="13" customHeight="1">
      <c r="A900" s="11">
        <v>894</v>
      </c>
      <c r="B900" s="47">
        <v>103900839</v>
      </c>
      <c r="C900" s="88" t="s">
        <v>973</v>
      </c>
      <c r="D900" s="11" t="s">
        <v>974</v>
      </c>
      <c r="E900" s="48" t="s">
        <v>34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84</v>
      </c>
      <c r="M900" s="49" t="s">
        <v>85</v>
      </c>
      <c r="N900" s="48" t="s">
        <v>108</v>
      </c>
      <c r="O900" s="49" t="s">
        <v>37</v>
      </c>
      <c r="P900" s="11" t="s">
        <v>80</v>
      </c>
      <c r="Q900" s="11" t="s">
        <v>98</v>
      </c>
      <c r="R900" s="49" t="s">
        <v>2659</v>
      </c>
      <c r="S900" s="11" t="s">
        <v>639</v>
      </c>
      <c r="T900" s="105" t="s">
        <v>1</v>
      </c>
      <c r="U900" s="98"/>
      <c r="V900" s="51">
        <v>44831</v>
      </c>
      <c r="W900" s="49" t="s">
        <v>1564</v>
      </c>
      <c r="X900" s="154" t="s">
        <v>2</v>
      </c>
      <c r="Y900" s="154">
        <v>0</v>
      </c>
    </row>
    <row r="901" spans="1:25" ht="13" customHeight="1">
      <c r="A901" s="11">
        <v>895</v>
      </c>
      <c r="B901" s="47">
        <v>204882814</v>
      </c>
      <c r="C901" s="88" t="s">
        <v>2350</v>
      </c>
      <c r="D901" s="11" t="s">
        <v>2351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84</v>
      </c>
      <c r="M901" s="49" t="s">
        <v>85</v>
      </c>
      <c r="N901" s="48" t="s">
        <v>86</v>
      </c>
      <c r="O901" s="49" t="s">
        <v>37</v>
      </c>
      <c r="P901" s="11" t="s">
        <v>80</v>
      </c>
      <c r="Q901" s="11" t="s">
        <v>90</v>
      </c>
      <c r="R901" s="49" t="s">
        <v>624</v>
      </c>
      <c r="S901" s="11" t="s">
        <v>625</v>
      </c>
      <c r="T901" s="105" t="s">
        <v>3</v>
      </c>
      <c r="U901" s="98"/>
      <c r="V901" s="51">
        <v>45691</v>
      </c>
      <c r="W901" s="49" t="s">
        <v>1564</v>
      </c>
      <c r="X901" s="154" t="s">
        <v>2948</v>
      </c>
      <c r="Y901" s="154">
        <v>0</v>
      </c>
    </row>
    <row r="902" spans="1:25" ht="13" customHeight="1">
      <c r="A902" s="11">
        <v>896</v>
      </c>
      <c r="B902" s="47">
        <v>203737012</v>
      </c>
      <c r="C902" s="88" t="s">
        <v>975</v>
      </c>
      <c r="D902" s="11" t="s">
        <v>976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32</v>
      </c>
      <c r="K902" s="49" t="s">
        <v>76</v>
      </c>
      <c r="L902" s="49" t="s">
        <v>84</v>
      </c>
      <c r="M902" s="49" t="s">
        <v>85</v>
      </c>
      <c r="N902" s="48" t="s">
        <v>79</v>
      </c>
      <c r="O902" s="49" t="s">
        <v>37</v>
      </c>
      <c r="P902" s="11" t="s">
        <v>80</v>
      </c>
      <c r="Q902" s="11" t="s">
        <v>81</v>
      </c>
      <c r="R902" s="49" t="s">
        <v>644</v>
      </c>
      <c r="S902" s="11" t="s">
        <v>1777</v>
      </c>
      <c r="T902" s="105" t="s">
        <v>1</v>
      </c>
      <c r="U902" s="98"/>
      <c r="V902" s="51">
        <v>45502</v>
      </c>
      <c r="W902" s="49" t="s">
        <v>1564</v>
      </c>
      <c r="X902" s="154" t="s">
        <v>2</v>
      </c>
      <c r="Y902" s="154">
        <v>0</v>
      </c>
    </row>
    <row r="903" spans="1:25" ht="13" customHeight="1">
      <c r="A903" s="11">
        <v>897</v>
      </c>
      <c r="B903" s="47">
        <v>106301305</v>
      </c>
      <c r="C903" s="88" t="s">
        <v>977</v>
      </c>
      <c r="D903" s="11" t="s">
        <v>978</v>
      </c>
      <c r="E903" s="48" t="s">
        <v>34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95</v>
      </c>
      <c r="M903" s="49" t="s">
        <v>77</v>
      </c>
      <c r="N903" s="48" t="s">
        <v>108</v>
      </c>
      <c r="O903" s="49" t="s">
        <v>37</v>
      </c>
      <c r="P903" s="11" t="s">
        <v>80</v>
      </c>
      <c r="Q903" s="11" t="s">
        <v>98</v>
      </c>
      <c r="R903" s="49" t="s">
        <v>644</v>
      </c>
      <c r="S903" s="11" t="s">
        <v>1777</v>
      </c>
      <c r="T903" s="105" t="s">
        <v>10</v>
      </c>
      <c r="U903" s="98"/>
      <c r="V903" s="51">
        <v>44839</v>
      </c>
      <c r="W903" s="49" t="s">
        <v>1564</v>
      </c>
      <c r="X903" s="154" t="s">
        <v>2948</v>
      </c>
      <c r="Y903" s="154">
        <v>0</v>
      </c>
    </row>
    <row r="904" spans="1:25" ht="13" customHeight="1">
      <c r="A904" s="11">
        <v>898</v>
      </c>
      <c r="B904" s="47">
        <v>203993521</v>
      </c>
      <c r="C904" s="88" t="s">
        <v>2352</v>
      </c>
      <c r="D904" s="11" t="s">
        <v>2353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77</v>
      </c>
      <c r="M904" s="49" t="s">
        <v>78</v>
      </c>
      <c r="N904" s="48" t="s">
        <v>86</v>
      </c>
      <c r="O904" s="49" t="s">
        <v>37</v>
      </c>
      <c r="P904" s="11" t="s">
        <v>80</v>
      </c>
      <c r="Q904" s="11" t="s">
        <v>90</v>
      </c>
      <c r="R904" s="49" t="s">
        <v>624</v>
      </c>
      <c r="S904" s="11" t="s">
        <v>625</v>
      </c>
      <c r="T904" s="105" t="s">
        <v>10</v>
      </c>
      <c r="U904" s="98"/>
      <c r="V904" s="51">
        <v>45547</v>
      </c>
      <c r="W904" s="49" t="s">
        <v>1564</v>
      </c>
      <c r="X904" s="154" t="s">
        <v>2948</v>
      </c>
      <c r="Y904" s="154">
        <v>0</v>
      </c>
    </row>
    <row r="905" spans="1:25" ht="13" customHeight="1">
      <c r="A905" s="11">
        <v>899</v>
      </c>
      <c r="B905" s="47">
        <v>206239216</v>
      </c>
      <c r="C905" s="88" t="s">
        <v>1631</v>
      </c>
      <c r="D905" s="11" t="s">
        <v>1601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88</v>
      </c>
      <c r="M905" s="49" t="s">
        <v>95</v>
      </c>
      <c r="N905" s="48" t="s">
        <v>79</v>
      </c>
      <c r="O905" s="49" t="s">
        <v>37</v>
      </c>
      <c r="P905" s="11" t="s">
        <v>80</v>
      </c>
      <c r="Q905" s="11" t="s">
        <v>81</v>
      </c>
      <c r="R905" s="49" t="s">
        <v>2659</v>
      </c>
      <c r="S905" s="11" t="s">
        <v>639</v>
      </c>
      <c r="T905" s="105" t="s">
        <v>1</v>
      </c>
      <c r="U905" s="98"/>
      <c r="V905" s="51">
        <v>45943</v>
      </c>
      <c r="W905" s="49" t="s">
        <v>1563</v>
      </c>
      <c r="X905" s="154" t="s">
        <v>2</v>
      </c>
      <c r="Y905" s="154">
        <v>0</v>
      </c>
    </row>
    <row r="906" spans="1:25" ht="13" customHeight="1">
      <c r="A906" s="11">
        <v>900</v>
      </c>
      <c r="B906" s="47">
        <v>206074988</v>
      </c>
      <c r="C906" s="88" t="s">
        <v>979</v>
      </c>
      <c r="D906" s="11" t="s">
        <v>980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77</v>
      </c>
      <c r="M906" s="49" t="s">
        <v>78</v>
      </c>
      <c r="N906" s="48" t="s">
        <v>79</v>
      </c>
      <c r="O906" s="49" t="s">
        <v>37</v>
      </c>
      <c r="P906" s="11" t="s">
        <v>80</v>
      </c>
      <c r="Q906" s="11" t="s">
        <v>81</v>
      </c>
      <c r="R906" s="11" t="s">
        <v>628</v>
      </c>
      <c r="S906" s="11" t="s">
        <v>629</v>
      </c>
      <c r="T906" s="105" t="s">
        <v>10</v>
      </c>
      <c r="U906" s="98"/>
      <c r="V906" s="51">
        <v>45922</v>
      </c>
      <c r="W906" s="49" t="s">
        <v>1564</v>
      </c>
      <c r="X906" s="154" t="s">
        <v>2948</v>
      </c>
      <c r="Y906" s="154">
        <v>0</v>
      </c>
    </row>
    <row r="907" spans="1:25" ht="13" customHeight="1">
      <c r="A907" s="11">
        <v>901</v>
      </c>
      <c r="B907" s="47">
        <v>205275634</v>
      </c>
      <c r="C907" s="89" t="s">
        <v>2014</v>
      </c>
      <c r="D907" s="11" t="s">
        <v>2015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95</v>
      </c>
      <c r="M907" s="49" t="s">
        <v>77</v>
      </c>
      <c r="N907" s="49" t="s">
        <v>89</v>
      </c>
      <c r="O907" s="49" t="s">
        <v>37</v>
      </c>
      <c r="P907" s="11" t="s">
        <v>80</v>
      </c>
      <c r="Q907" s="11" t="s">
        <v>96</v>
      </c>
      <c r="R907" s="11" t="s">
        <v>2779</v>
      </c>
      <c r="S907" s="11" t="s">
        <v>2780</v>
      </c>
      <c r="T907" s="105" t="s">
        <v>10</v>
      </c>
      <c r="U907" s="98"/>
      <c r="V907" s="51">
        <v>46048</v>
      </c>
      <c r="W907" s="49" t="s">
        <v>1564</v>
      </c>
      <c r="X907" s="154" t="s">
        <v>2948</v>
      </c>
      <c r="Y907" s="154">
        <v>0</v>
      </c>
    </row>
    <row r="908" spans="1:25" ht="13" customHeight="1">
      <c r="A908" s="11">
        <v>902</v>
      </c>
      <c r="B908" s="47">
        <v>203342033</v>
      </c>
      <c r="C908" s="88" t="s">
        <v>981</v>
      </c>
      <c r="D908" s="11" t="s">
        <v>982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78</v>
      </c>
      <c r="M908" s="49" t="s">
        <v>92</v>
      </c>
      <c r="N908" s="48" t="s">
        <v>86</v>
      </c>
      <c r="O908" s="49" t="s">
        <v>37</v>
      </c>
      <c r="P908" s="11" t="s">
        <v>80</v>
      </c>
      <c r="Q908" s="11" t="s">
        <v>99</v>
      </c>
      <c r="R908" s="49" t="s">
        <v>644</v>
      </c>
      <c r="S908" s="11" t="s">
        <v>1777</v>
      </c>
      <c r="T908" s="105" t="s">
        <v>1</v>
      </c>
      <c r="U908" s="98"/>
      <c r="V908" s="51">
        <v>45432</v>
      </c>
      <c r="W908" s="49" t="s">
        <v>1566</v>
      </c>
      <c r="X908" s="154" t="s">
        <v>2</v>
      </c>
      <c r="Y908" s="154">
        <v>0</v>
      </c>
    </row>
    <row r="909" spans="1:25" ht="13" customHeight="1">
      <c r="A909" s="11">
        <v>903</v>
      </c>
      <c r="B909" s="47">
        <v>206897646</v>
      </c>
      <c r="C909" s="88" t="s">
        <v>1846</v>
      </c>
      <c r="D909" s="11" t="s">
        <v>1847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1290</v>
      </c>
      <c r="J909" s="49" t="s">
        <v>39</v>
      </c>
      <c r="K909" s="49" t="s">
        <v>76</v>
      </c>
      <c r="L909" s="49" t="s">
        <v>77</v>
      </c>
      <c r="M909" s="49" t="s">
        <v>78</v>
      </c>
      <c r="N909" s="49" t="s">
        <v>79</v>
      </c>
      <c r="O909" s="48" t="s">
        <v>37</v>
      </c>
      <c r="P909" s="48" t="s">
        <v>80</v>
      </c>
      <c r="Q909" s="11" t="s">
        <v>81</v>
      </c>
      <c r="R909" s="11" t="s">
        <v>1057</v>
      </c>
      <c r="S909" s="11" t="s">
        <v>2657</v>
      </c>
      <c r="T909" s="105" t="s">
        <v>10</v>
      </c>
      <c r="U909" s="98"/>
      <c r="V909" s="51">
        <v>46030</v>
      </c>
      <c r="W909" s="49" t="s">
        <v>1564</v>
      </c>
      <c r="X909" s="154" t="s">
        <v>2948</v>
      </c>
      <c r="Y909" s="154">
        <v>0</v>
      </c>
    </row>
    <row r="910" spans="1:25" ht="13" customHeight="1">
      <c r="A910" s="11">
        <v>904</v>
      </c>
      <c r="B910" s="47">
        <v>203468750</v>
      </c>
      <c r="C910" s="88" t="s">
        <v>983</v>
      </c>
      <c r="D910" s="11" t="s">
        <v>984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32</v>
      </c>
      <c r="K910" s="49" t="s">
        <v>76</v>
      </c>
      <c r="L910" s="49" t="s">
        <v>85</v>
      </c>
      <c r="M910" s="49" t="s">
        <v>88</v>
      </c>
      <c r="N910" s="48" t="s">
        <v>79</v>
      </c>
      <c r="O910" s="49" t="s">
        <v>37</v>
      </c>
      <c r="P910" s="11" t="s">
        <v>80</v>
      </c>
      <c r="Q910" s="11" t="s">
        <v>81</v>
      </c>
      <c r="R910" s="49" t="s">
        <v>644</v>
      </c>
      <c r="S910" s="11" t="s">
        <v>1777</v>
      </c>
      <c r="T910" s="105" t="s">
        <v>1</v>
      </c>
      <c r="U910" s="98"/>
      <c r="V910" s="51">
        <v>45456</v>
      </c>
      <c r="W910" s="49" t="s">
        <v>1566</v>
      </c>
      <c r="X910" s="154" t="s">
        <v>2</v>
      </c>
      <c r="Y910" s="154">
        <v>0</v>
      </c>
    </row>
    <row r="911" spans="1:25" ht="13" customHeight="1">
      <c r="A911" s="11">
        <v>905</v>
      </c>
      <c r="B911" s="77">
        <v>204138118</v>
      </c>
      <c r="C911" s="90" t="s">
        <v>985</v>
      </c>
      <c r="D911" s="75" t="s">
        <v>986</v>
      </c>
      <c r="E911" s="76" t="s">
        <v>31</v>
      </c>
      <c r="F911" s="76" t="s">
        <v>74</v>
      </c>
      <c r="G911" s="75" t="s">
        <v>64</v>
      </c>
      <c r="H911" s="11" t="s">
        <v>75</v>
      </c>
      <c r="I911" s="75">
        <v>1299</v>
      </c>
      <c r="J911" s="49" t="s">
        <v>32</v>
      </c>
      <c r="K911" s="49" t="s">
        <v>76</v>
      </c>
      <c r="L911" s="49" t="s">
        <v>85</v>
      </c>
      <c r="M911" s="49" t="s">
        <v>88</v>
      </c>
      <c r="N911" s="48" t="s">
        <v>86</v>
      </c>
      <c r="O911" s="73" t="s">
        <v>37</v>
      </c>
      <c r="P911" s="75" t="s">
        <v>80</v>
      </c>
      <c r="Q911" s="75" t="s">
        <v>87</v>
      </c>
      <c r="R911" s="49" t="s">
        <v>644</v>
      </c>
      <c r="S911" s="75" t="s">
        <v>1777</v>
      </c>
      <c r="T911" s="105" t="s">
        <v>1</v>
      </c>
      <c r="U911" s="98"/>
      <c r="V911" s="51">
        <v>45565</v>
      </c>
      <c r="W911" s="49" t="s">
        <v>1566</v>
      </c>
      <c r="X911" s="154" t="s">
        <v>2</v>
      </c>
      <c r="Y911" s="154">
        <v>0</v>
      </c>
    </row>
    <row r="912" spans="1:25" ht="13" customHeight="1">
      <c r="A912" s="11">
        <v>906</v>
      </c>
      <c r="B912" s="47">
        <v>205861620</v>
      </c>
      <c r="C912" s="88" t="s">
        <v>2038</v>
      </c>
      <c r="D912" s="11" t="s">
        <v>2039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32</v>
      </c>
      <c r="K912" s="49" t="s">
        <v>76</v>
      </c>
      <c r="L912" s="49" t="s">
        <v>88</v>
      </c>
      <c r="M912" s="49" t="s">
        <v>95</v>
      </c>
      <c r="N912" s="49" t="s">
        <v>89</v>
      </c>
      <c r="O912" s="49" t="s">
        <v>37</v>
      </c>
      <c r="P912" s="11" t="s">
        <v>80</v>
      </c>
      <c r="Q912" s="11" t="s">
        <v>96</v>
      </c>
      <c r="R912" s="49" t="s">
        <v>624</v>
      </c>
      <c r="S912" s="11" t="s">
        <v>625</v>
      </c>
      <c r="T912" s="105" t="s">
        <v>7</v>
      </c>
      <c r="U912" s="98" t="s">
        <v>2941</v>
      </c>
      <c r="V912" s="51">
        <v>46048</v>
      </c>
      <c r="W912" s="49" t="s">
        <v>1564</v>
      </c>
      <c r="X912" s="154" t="s">
        <v>2948</v>
      </c>
      <c r="Y912" s="154" t="s">
        <v>2941</v>
      </c>
    </row>
    <row r="913" spans="1:25" ht="13" customHeight="1">
      <c r="A913" s="11">
        <v>907</v>
      </c>
      <c r="B913" s="47">
        <v>203468753</v>
      </c>
      <c r="C913" s="88" t="s">
        <v>987</v>
      </c>
      <c r="D913" s="11" t="s">
        <v>988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32</v>
      </c>
      <c r="K913" s="49" t="s">
        <v>76</v>
      </c>
      <c r="L913" s="49" t="s">
        <v>95</v>
      </c>
      <c r="M913" s="49" t="s">
        <v>77</v>
      </c>
      <c r="N913" s="48" t="s">
        <v>79</v>
      </c>
      <c r="O913" s="49" t="s">
        <v>37</v>
      </c>
      <c r="P913" s="11" t="s">
        <v>80</v>
      </c>
      <c r="Q913" s="11" t="s">
        <v>81</v>
      </c>
      <c r="R913" s="11" t="s">
        <v>1057</v>
      </c>
      <c r="S913" s="11" t="s">
        <v>2657</v>
      </c>
      <c r="T913" s="105" t="s">
        <v>10</v>
      </c>
      <c r="U913" s="98"/>
      <c r="V913" s="51">
        <v>45456</v>
      </c>
      <c r="W913" s="49" t="s">
        <v>1566</v>
      </c>
      <c r="X913" s="154" t="s">
        <v>2948</v>
      </c>
      <c r="Y913" s="154">
        <v>0</v>
      </c>
    </row>
    <row r="914" spans="1:25" ht="13" customHeight="1">
      <c r="A914" s="11">
        <v>908</v>
      </c>
      <c r="B914" s="47">
        <v>203851105</v>
      </c>
      <c r="C914" s="88" t="s">
        <v>989</v>
      </c>
      <c r="D914" s="11" t="s">
        <v>990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95</v>
      </c>
      <c r="M914" s="49" t="s">
        <v>77</v>
      </c>
      <c r="N914" s="48" t="s">
        <v>79</v>
      </c>
      <c r="O914" s="49" t="s">
        <v>37</v>
      </c>
      <c r="P914" s="11" t="s">
        <v>80</v>
      </c>
      <c r="Q914" s="11" t="s">
        <v>81</v>
      </c>
      <c r="R914" s="11" t="s">
        <v>628</v>
      </c>
      <c r="S914" s="11" t="s">
        <v>629</v>
      </c>
      <c r="T914" s="105" t="s">
        <v>10</v>
      </c>
      <c r="U914" s="98"/>
      <c r="V914" s="51">
        <v>45524</v>
      </c>
      <c r="W914" s="49" t="s">
        <v>1566</v>
      </c>
      <c r="X914" s="154" t="s">
        <v>2948</v>
      </c>
      <c r="Y914" s="154">
        <v>0</v>
      </c>
    </row>
    <row r="915" spans="1:25" ht="13" customHeight="1">
      <c r="A915" s="11">
        <v>909</v>
      </c>
      <c r="B915" s="47">
        <v>204072311</v>
      </c>
      <c r="C915" s="88" t="s">
        <v>991</v>
      </c>
      <c r="D915" s="11" t="s">
        <v>992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90</v>
      </c>
      <c r="R915" s="11" t="s">
        <v>628</v>
      </c>
      <c r="S915" s="11" t="s">
        <v>629</v>
      </c>
      <c r="T915" s="105" t="s">
        <v>1</v>
      </c>
      <c r="U915" s="98"/>
      <c r="V915" s="51">
        <v>45558</v>
      </c>
      <c r="W915" s="49" t="s">
        <v>1564</v>
      </c>
      <c r="X915" s="154" t="s">
        <v>2</v>
      </c>
      <c r="Y915" s="154">
        <v>0</v>
      </c>
    </row>
    <row r="916" spans="1:25" ht="13" customHeight="1">
      <c r="A916" s="11">
        <v>910</v>
      </c>
      <c r="B916" s="47">
        <v>205853578</v>
      </c>
      <c r="C916" s="88" t="s">
        <v>993</v>
      </c>
      <c r="D916" s="11" t="s">
        <v>994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85</v>
      </c>
      <c r="M916" s="49" t="s">
        <v>88</v>
      </c>
      <c r="N916" s="49" t="s">
        <v>89</v>
      </c>
      <c r="O916" s="49" t="s">
        <v>37</v>
      </c>
      <c r="P916" s="11" t="s">
        <v>80</v>
      </c>
      <c r="Q916" s="11" t="s">
        <v>96</v>
      </c>
      <c r="R916" s="11" t="s">
        <v>1057</v>
      </c>
      <c r="S916" s="11" t="s">
        <v>2657</v>
      </c>
      <c r="T916" s="105" t="s">
        <v>1</v>
      </c>
      <c r="U916" s="98"/>
      <c r="V916" s="51">
        <v>45894</v>
      </c>
      <c r="W916" s="49" t="s">
        <v>1564</v>
      </c>
      <c r="X916" s="154" t="s">
        <v>2</v>
      </c>
      <c r="Y916" s="154">
        <v>0</v>
      </c>
    </row>
    <row r="917" spans="1:25" ht="13" customHeight="1">
      <c r="A917" s="11">
        <v>911</v>
      </c>
      <c r="B917" s="47">
        <v>204117684</v>
      </c>
      <c r="C917" s="88" t="s">
        <v>995</v>
      </c>
      <c r="D917" s="11" t="s">
        <v>996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84</v>
      </c>
      <c r="M917" s="49" t="s">
        <v>85</v>
      </c>
      <c r="N917" s="48" t="s">
        <v>86</v>
      </c>
      <c r="O917" s="49" t="s">
        <v>37</v>
      </c>
      <c r="P917" s="11" t="s">
        <v>80</v>
      </c>
      <c r="Q917" s="11" t="s">
        <v>87</v>
      </c>
      <c r="R917" s="49" t="s">
        <v>624</v>
      </c>
      <c r="S917" s="11" t="s">
        <v>625</v>
      </c>
      <c r="T917" s="105" t="s">
        <v>1</v>
      </c>
      <c r="U917" s="98"/>
      <c r="V917" s="51">
        <v>45561</v>
      </c>
      <c r="W917" s="49" t="s">
        <v>1564</v>
      </c>
      <c r="X917" s="154" t="s">
        <v>2</v>
      </c>
      <c r="Y917" s="154">
        <v>0</v>
      </c>
    </row>
    <row r="918" spans="1:25" ht="13" customHeight="1">
      <c r="A918" s="11">
        <v>912</v>
      </c>
      <c r="B918" s="47">
        <v>203881696</v>
      </c>
      <c r="C918" s="88" t="s">
        <v>997</v>
      </c>
      <c r="D918" s="11" t="s">
        <v>998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92</v>
      </c>
      <c r="M918" s="49" t="s">
        <v>84</v>
      </c>
      <c r="N918" s="48" t="s">
        <v>79</v>
      </c>
      <c r="O918" s="49" t="s">
        <v>37</v>
      </c>
      <c r="P918" s="11" t="s">
        <v>80</v>
      </c>
      <c r="Q918" s="11" t="s">
        <v>81</v>
      </c>
      <c r="R918" s="49" t="s">
        <v>644</v>
      </c>
      <c r="S918" s="11" t="s">
        <v>1777</v>
      </c>
      <c r="T918" s="105" t="s">
        <v>1</v>
      </c>
      <c r="U918" s="98"/>
      <c r="V918" s="51">
        <v>45530</v>
      </c>
      <c r="W918" s="49" t="s">
        <v>1566</v>
      </c>
      <c r="X918" s="154" t="s">
        <v>2</v>
      </c>
      <c r="Y918" s="154">
        <v>0</v>
      </c>
    </row>
    <row r="919" spans="1:25" ht="13" customHeight="1">
      <c r="A919" s="11">
        <v>913</v>
      </c>
      <c r="B919" s="47">
        <v>206200000</v>
      </c>
      <c r="C919" s="88" t="s">
        <v>1581</v>
      </c>
      <c r="D919" s="11" t="s">
        <v>1575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32</v>
      </c>
      <c r="K919" s="49" t="s">
        <v>76</v>
      </c>
      <c r="L919" s="49" t="s">
        <v>85</v>
      </c>
      <c r="M919" s="49" t="s">
        <v>88</v>
      </c>
      <c r="N919" s="49" t="s">
        <v>79</v>
      </c>
      <c r="O919" s="49" t="s">
        <v>37</v>
      </c>
      <c r="P919" s="11" t="s">
        <v>80</v>
      </c>
      <c r="Q919" s="11" t="s">
        <v>81</v>
      </c>
      <c r="R919" s="49" t="s">
        <v>2659</v>
      </c>
      <c r="S919" s="11" t="s">
        <v>639</v>
      </c>
      <c r="T919" s="105" t="s">
        <v>1</v>
      </c>
      <c r="U919" s="98"/>
      <c r="V919" s="51">
        <v>45936</v>
      </c>
      <c r="W919" s="49" t="s">
        <v>1564</v>
      </c>
      <c r="X919" s="154" t="s">
        <v>2</v>
      </c>
      <c r="Y919" s="154">
        <v>0</v>
      </c>
    </row>
    <row r="920" spans="1:25" ht="13" customHeight="1">
      <c r="A920" s="11">
        <v>914</v>
      </c>
      <c r="B920" s="47">
        <v>204138115</v>
      </c>
      <c r="C920" s="88" t="s">
        <v>999</v>
      </c>
      <c r="D920" s="11" t="s">
        <v>1000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32</v>
      </c>
      <c r="K920" s="49" t="s">
        <v>76</v>
      </c>
      <c r="L920" s="49" t="s">
        <v>78</v>
      </c>
      <c r="M920" s="49" t="s">
        <v>92</v>
      </c>
      <c r="N920" s="48" t="s">
        <v>86</v>
      </c>
      <c r="O920" s="49" t="s">
        <v>37</v>
      </c>
      <c r="P920" s="11" t="s">
        <v>80</v>
      </c>
      <c r="Q920" s="11" t="s">
        <v>87</v>
      </c>
      <c r="R920" s="11" t="s">
        <v>2779</v>
      </c>
      <c r="S920" s="11" t="s">
        <v>2780</v>
      </c>
      <c r="T920" s="105" t="s">
        <v>1</v>
      </c>
      <c r="U920" s="98"/>
      <c r="V920" s="51">
        <v>45565</v>
      </c>
      <c r="W920" s="49" t="s">
        <v>1564</v>
      </c>
      <c r="X920" s="154" t="s">
        <v>2</v>
      </c>
      <c r="Y920" s="154">
        <v>0</v>
      </c>
    </row>
    <row r="921" spans="1:25" ht="13" customHeight="1">
      <c r="A921" s="11">
        <v>915</v>
      </c>
      <c r="B921" s="47">
        <v>204967052</v>
      </c>
      <c r="C921" s="88" t="s">
        <v>1001</v>
      </c>
      <c r="D921" s="11" t="s">
        <v>1002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39</v>
      </c>
      <c r="K921" s="49" t="s">
        <v>76</v>
      </c>
      <c r="L921" s="49" t="s">
        <v>84</v>
      </c>
      <c r="M921" s="49" t="s">
        <v>85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49" t="s">
        <v>644</v>
      </c>
      <c r="S921" s="11" t="s">
        <v>1777</v>
      </c>
      <c r="T921" s="105" t="s">
        <v>1</v>
      </c>
      <c r="U921" s="98"/>
      <c r="V921" s="51">
        <v>45719</v>
      </c>
      <c r="W921" s="49" t="s">
        <v>1564</v>
      </c>
      <c r="X921" s="154" t="s">
        <v>2</v>
      </c>
      <c r="Y921" s="154">
        <v>0</v>
      </c>
    </row>
    <row r="922" spans="1:25" ht="13" customHeight="1">
      <c r="A922" s="11">
        <v>916</v>
      </c>
      <c r="B922" s="47">
        <v>103020246</v>
      </c>
      <c r="C922" s="88" t="s">
        <v>1003</v>
      </c>
      <c r="D922" s="11" t="s">
        <v>1004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11" t="s">
        <v>628</v>
      </c>
      <c r="S922" s="11" t="s">
        <v>629</v>
      </c>
      <c r="T922" s="105" t="s">
        <v>1</v>
      </c>
      <c r="U922" s="98"/>
      <c r="V922" s="51">
        <v>43058</v>
      </c>
      <c r="W922" s="49" t="s">
        <v>1566</v>
      </c>
      <c r="X922" s="154" t="s">
        <v>2</v>
      </c>
      <c r="Y922" s="154">
        <v>0</v>
      </c>
    </row>
    <row r="923" spans="1:25" ht="13" customHeight="1">
      <c r="A923" s="11">
        <v>917</v>
      </c>
      <c r="B923" s="47">
        <v>110492547</v>
      </c>
      <c r="C923" s="88" t="s">
        <v>1005</v>
      </c>
      <c r="D923" s="11" t="s">
        <v>1006</v>
      </c>
      <c r="E923" s="48" t="s">
        <v>34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92</v>
      </c>
      <c r="M923" s="49" t="s">
        <v>84</v>
      </c>
      <c r="N923" s="48" t="s">
        <v>108</v>
      </c>
      <c r="O923" s="49" t="s">
        <v>37</v>
      </c>
      <c r="P923" s="11" t="s">
        <v>80</v>
      </c>
      <c r="Q923" s="11" t="s">
        <v>98</v>
      </c>
      <c r="R923" s="49" t="s">
        <v>644</v>
      </c>
      <c r="S923" s="11" t="s">
        <v>1777</v>
      </c>
      <c r="T923" s="105" t="s">
        <v>3</v>
      </c>
      <c r="U923" s="98"/>
      <c r="V923" s="51">
        <v>44757</v>
      </c>
      <c r="W923" s="49" t="s">
        <v>1564</v>
      </c>
      <c r="X923" s="154" t="s">
        <v>2948</v>
      </c>
      <c r="Y923" s="154">
        <v>0</v>
      </c>
    </row>
    <row r="924" spans="1:25" ht="13" customHeight="1">
      <c r="A924" s="11">
        <v>918</v>
      </c>
      <c r="B924" s="47">
        <v>203512951</v>
      </c>
      <c r="C924" s="88" t="s">
        <v>1007</v>
      </c>
      <c r="D924" s="11" t="s">
        <v>1008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77</v>
      </c>
      <c r="M924" s="49" t="s">
        <v>78</v>
      </c>
      <c r="N924" s="48" t="s">
        <v>79</v>
      </c>
      <c r="O924" s="49" t="s">
        <v>37</v>
      </c>
      <c r="P924" s="11" t="s">
        <v>80</v>
      </c>
      <c r="Q924" s="11" t="s">
        <v>81</v>
      </c>
      <c r="R924" s="11" t="s">
        <v>2779</v>
      </c>
      <c r="S924" s="11" t="s">
        <v>2780</v>
      </c>
      <c r="T924" s="105" t="s">
        <v>10</v>
      </c>
      <c r="U924" s="98"/>
      <c r="V924" s="51">
        <v>45463</v>
      </c>
      <c r="W924" s="49" t="s">
        <v>1564</v>
      </c>
      <c r="X924" s="154" t="s">
        <v>2948</v>
      </c>
      <c r="Y924" s="154">
        <v>0</v>
      </c>
    </row>
    <row r="925" spans="1:25" ht="13" customHeight="1">
      <c r="A925" s="11">
        <v>919</v>
      </c>
      <c r="B925" s="47">
        <v>113167122</v>
      </c>
      <c r="C925" s="88" t="s">
        <v>1009</v>
      </c>
      <c r="D925" s="11" t="s">
        <v>1010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84</v>
      </c>
      <c r="M925" s="49" t="s">
        <v>85</v>
      </c>
      <c r="N925" s="48" t="s">
        <v>86</v>
      </c>
      <c r="O925" s="49" t="s">
        <v>37</v>
      </c>
      <c r="P925" s="11" t="s">
        <v>80</v>
      </c>
      <c r="Q925" s="11" t="s">
        <v>87</v>
      </c>
      <c r="R925" s="11" t="s">
        <v>1057</v>
      </c>
      <c r="S925" s="11" t="s">
        <v>2657</v>
      </c>
      <c r="T925" s="105" t="s">
        <v>1</v>
      </c>
      <c r="U925" s="98"/>
      <c r="V925" s="51">
        <v>45586</v>
      </c>
      <c r="W925" s="49" t="s">
        <v>1563</v>
      </c>
      <c r="X925" s="154" t="s">
        <v>2</v>
      </c>
      <c r="Y925" s="154">
        <v>0</v>
      </c>
    </row>
    <row r="926" spans="1:25" ht="13" customHeight="1">
      <c r="A926" s="11">
        <v>920</v>
      </c>
      <c r="B926" s="47">
        <v>203908895</v>
      </c>
      <c r="C926" s="88" t="s">
        <v>1011</v>
      </c>
      <c r="D926" s="11" t="s">
        <v>1012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85</v>
      </c>
      <c r="M926" s="49" t="s">
        <v>88</v>
      </c>
      <c r="N926" s="49" t="s">
        <v>89</v>
      </c>
      <c r="O926" s="49" t="s">
        <v>37</v>
      </c>
      <c r="P926" s="11" t="s">
        <v>80</v>
      </c>
      <c r="Q926" s="11" t="s">
        <v>90</v>
      </c>
      <c r="R926" s="11" t="s">
        <v>628</v>
      </c>
      <c r="S926" s="11" t="s">
        <v>629</v>
      </c>
      <c r="T926" s="105" t="s">
        <v>1</v>
      </c>
      <c r="U926" s="98"/>
      <c r="V926" s="51">
        <v>45537</v>
      </c>
      <c r="W926" s="49" t="s">
        <v>1564</v>
      </c>
      <c r="X926" s="154" t="s">
        <v>2</v>
      </c>
      <c r="Y926" s="154">
        <v>0</v>
      </c>
    </row>
    <row r="927" spans="1:25" ht="13" customHeight="1">
      <c r="A927" s="11">
        <v>921</v>
      </c>
      <c r="B927" s="47">
        <v>206250609</v>
      </c>
      <c r="C927" s="88" t="s">
        <v>1632</v>
      </c>
      <c r="D927" s="11" t="s">
        <v>1602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77</v>
      </c>
      <c r="M927" s="49" t="s">
        <v>78</v>
      </c>
      <c r="N927" s="48" t="s">
        <v>79</v>
      </c>
      <c r="O927" s="49" t="s">
        <v>37</v>
      </c>
      <c r="P927" s="11" t="s">
        <v>80</v>
      </c>
      <c r="Q927" s="11" t="s">
        <v>81</v>
      </c>
      <c r="R927" s="49" t="s">
        <v>2659</v>
      </c>
      <c r="S927" s="11" t="s">
        <v>639</v>
      </c>
      <c r="T927" s="105" t="s">
        <v>10</v>
      </c>
      <c r="U927" s="98"/>
      <c r="V927" s="51">
        <v>45943</v>
      </c>
      <c r="W927" s="49" t="s">
        <v>1563</v>
      </c>
      <c r="X927" s="154" t="s">
        <v>2948</v>
      </c>
      <c r="Y927" s="154">
        <v>0</v>
      </c>
    </row>
    <row r="928" spans="1:25" ht="13" customHeight="1">
      <c r="A928" s="11">
        <v>922</v>
      </c>
      <c r="B928" s="47">
        <v>203851001</v>
      </c>
      <c r="C928" s="88" t="s">
        <v>1013</v>
      </c>
      <c r="D928" s="11" t="s">
        <v>1014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32</v>
      </c>
      <c r="K928" s="49" t="s">
        <v>76</v>
      </c>
      <c r="L928" s="49" t="s">
        <v>77</v>
      </c>
      <c r="M928" s="49" t="s">
        <v>78</v>
      </c>
      <c r="N928" s="48" t="s">
        <v>79</v>
      </c>
      <c r="O928" s="49" t="s">
        <v>37</v>
      </c>
      <c r="P928" s="11" t="s">
        <v>80</v>
      </c>
      <c r="Q928" s="11" t="s">
        <v>81</v>
      </c>
      <c r="R928" s="11" t="s">
        <v>2779</v>
      </c>
      <c r="S928" s="11" t="s">
        <v>2780</v>
      </c>
      <c r="T928" s="105" t="s">
        <v>10</v>
      </c>
      <c r="U928" s="98"/>
      <c r="V928" s="51">
        <v>45544</v>
      </c>
      <c r="W928" s="49" t="s">
        <v>1564</v>
      </c>
      <c r="X928" s="154" t="s">
        <v>2948</v>
      </c>
      <c r="Y928" s="154">
        <v>0</v>
      </c>
    </row>
    <row r="929" spans="1:25" ht="13" customHeight="1">
      <c r="A929" s="11">
        <v>923</v>
      </c>
      <c r="B929" s="47">
        <v>206604501</v>
      </c>
      <c r="C929" s="88" t="s">
        <v>2022</v>
      </c>
      <c r="D929" s="11" t="s">
        <v>2023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39</v>
      </c>
      <c r="K929" s="49" t="s">
        <v>76</v>
      </c>
      <c r="L929" s="49" t="s">
        <v>92</v>
      </c>
      <c r="M929" s="49" t="s">
        <v>84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49" t="s">
        <v>2659</v>
      </c>
      <c r="S929" s="49" t="s">
        <v>639</v>
      </c>
      <c r="T929" s="105" t="s">
        <v>1</v>
      </c>
      <c r="U929" s="98"/>
      <c r="V929" s="51">
        <v>46048</v>
      </c>
      <c r="W929" s="49" t="s">
        <v>1564</v>
      </c>
      <c r="X929" s="154" t="s">
        <v>2</v>
      </c>
      <c r="Y929" s="154">
        <v>0</v>
      </c>
    </row>
    <row r="930" spans="1:25" ht="13" customHeight="1">
      <c r="A930" s="11">
        <v>924</v>
      </c>
      <c r="B930" s="47">
        <v>205853581</v>
      </c>
      <c r="C930" s="88" t="s">
        <v>1015</v>
      </c>
      <c r="D930" s="11" t="s">
        <v>1016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85</v>
      </c>
      <c r="M930" s="49" t="s">
        <v>88</v>
      </c>
      <c r="N930" s="49" t="s">
        <v>79</v>
      </c>
      <c r="O930" s="49" t="s">
        <v>37</v>
      </c>
      <c r="P930" s="11" t="s">
        <v>80</v>
      </c>
      <c r="Q930" s="11" t="s">
        <v>96</v>
      </c>
      <c r="R930" s="11" t="s">
        <v>1057</v>
      </c>
      <c r="S930" s="11" t="s">
        <v>2657</v>
      </c>
      <c r="T930" s="105" t="s">
        <v>1</v>
      </c>
      <c r="U930" s="98"/>
      <c r="V930" s="51">
        <v>45894</v>
      </c>
      <c r="W930" s="49" t="s">
        <v>1564</v>
      </c>
      <c r="X930" s="154" t="s">
        <v>2</v>
      </c>
      <c r="Y930" s="154">
        <v>0</v>
      </c>
    </row>
    <row r="931" spans="1:25" ht="13" customHeight="1">
      <c r="A931" s="11">
        <v>925</v>
      </c>
      <c r="B931" s="47">
        <v>206889907</v>
      </c>
      <c r="C931" s="88" t="s">
        <v>1804</v>
      </c>
      <c r="D931" s="11" t="s">
        <v>1805</v>
      </c>
      <c r="E931" s="11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77</v>
      </c>
      <c r="M931" s="49" t="s">
        <v>78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49" t="s">
        <v>624</v>
      </c>
      <c r="S931" s="11" t="s">
        <v>625</v>
      </c>
      <c r="T931" s="105" t="s">
        <v>10</v>
      </c>
      <c r="U931" s="98"/>
      <c r="V931" s="51">
        <v>46027</v>
      </c>
      <c r="W931" s="49" t="s">
        <v>1564</v>
      </c>
      <c r="X931" s="154" t="s">
        <v>2948</v>
      </c>
      <c r="Y931" s="154">
        <v>0</v>
      </c>
    </row>
    <row r="932" spans="1:25" ht="13" customHeight="1">
      <c r="A932" s="11">
        <v>926</v>
      </c>
      <c r="B932" s="47">
        <v>204138496</v>
      </c>
      <c r="C932" s="88" t="s">
        <v>1017</v>
      </c>
      <c r="D932" s="11" t="s">
        <v>1018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95</v>
      </c>
      <c r="M932" s="49" t="s">
        <v>77</v>
      </c>
      <c r="N932" s="48" t="s">
        <v>79</v>
      </c>
      <c r="O932" s="49" t="s">
        <v>37</v>
      </c>
      <c r="P932" s="11" t="s">
        <v>80</v>
      </c>
      <c r="Q932" s="11" t="s">
        <v>81</v>
      </c>
      <c r="R932" s="49" t="s">
        <v>624</v>
      </c>
      <c r="S932" s="11" t="s">
        <v>625</v>
      </c>
      <c r="T932" s="105" t="s">
        <v>10</v>
      </c>
      <c r="U932" s="98"/>
      <c r="V932" s="51">
        <v>45565</v>
      </c>
      <c r="W932" s="49" t="s">
        <v>1564</v>
      </c>
      <c r="X932" s="154" t="s">
        <v>2948</v>
      </c>
      <c r="Y932" s="154">
        <v>0</v>
      </c>
    </row>
    <row r="933" spans="1:25" ht="13" customHeight="1">
      <c r="A933" s="11">
        <v>927</v>
      </c>
      <c r="B933" s="47">
        <v>205133783</v>
      </c>
      <c r="C933" s="88" t="s">
        <v>2044</v>
      </c>
      <c r="D933" s="11" t="s">
        <v>2045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92</v>
      </c>
      <c r="M933" s="49" t="s">
        <v>84</v>
      </c>
      <c r="N933" s="49" t="s">
        <v>89</v>
      </c>
      <c r="O933" s="49" t="s">
        <v>37</v>
      </c>
      <c r="P933" s="11" t="s">
        <v>80</v>
      </c>
      <c r="Q933" s="11" t="s">
        <v>96</v>
      </c>
      <c r="R933" s="49" t="s">
        <v>2659</v>
      </c>
      <c r="S933" s="49" t="s">
        <v>639</v>
      </c>
      <c r="T933" s="105" t="s">
        <v>1</v>
      </c>
      <c r="U933" s="98"/>
      <c r="V933" s="51">
        <v>46048</v>
      </c>
      <c r="W933" s="49" t="s">
        <v>1564</v>
      </c>
      <c r="X933" s="154" t="s">
        <v>2</v>
      </c>
      <c r="Y933" s="154">
        <v>0</v>
      </c>
    </row>
    <row r="934" spans="1:25" ht="13" customHeight="1">
      <c r="A934" s="11">
        <v>928</v>
      </c>
      <c r="B934" s="47">
        <v>203879776</v>
      </c>
      <c r="C934" s="88" t="s">
        <v>1019</v>
      </c>
      <c r="D934" s="11" t="s">
        <v>1020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77</v>
      </c>
      <c r="M934" s="49" t="s">
        <v>78</v>
      </c>
      <c r="N934" s="48" t="s">
        <v>86</v>
      </c>
      <c r="O934" s="49" t="s">
        <v>37</v>
      </c>
      <c r="P934" s="11" t="s">
        <v>80</v>
      </c>
      <c r="Q934" s="11" t="s">
        <v>99</v>
      </c>
      <c r="R934" s="49" t="s">
        <v>644</v>
      </c>
      <c r="S934" s="11" t="s">
        <v>1777</v>
      </c>
      <c r="T934" s="105" t="s">
        <v>10</v>
      </c>
      <c r="U934" s="98"/>
      <c r="V934" s="51">
        <v>45558</v>
      </c>
      <c r="W934" s="49" t="s">
        <v>1563</v>
      </c>
      <c r="X934" s="154" t="s">
        <v>2948</v>
      </c>
      <c r="Y934" s="154">
        <v>0</v>
      </c>
    </row>
    <row r="935" spans="1:25" ht="13" customHeight="1">
      <c r="A935" s="11">
        <v>929</v>
      </c>
      <c r="B935" s="47">
        <v>204975662</v>
      </c>
      <c r="C935" s="89" t="s">
        <v>2028</v>
      </c>
      <c r="D935" s="11" t="s">
        <v>2029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32</v>
      </c>
      <c r="K935" s="49" t="s">
        <v>76</v>
      </c>
      <c r="L935" s="49" t="s">
        <v>95</v>
      </c>
      <c r="M935" s="49" t="s">
        <v>77</v>
      </c>
      <c r="N935" s="49" t="s">
        <v>89</v>
      </c>
      <c r="O935" s="49" t="s">
        <v>37</v>
      </c>
      <c r="P935" s="11" t="s">
        <v>80</v>
      </c>
      <c r="Q935" s="11" t="s">
        <v>96</v>
      </c>
      <c r="R935" s="11" t="s">
        <v>2778</v>
      </c>
      <c r="S935" s="11" t="s">
        <v>2656</v>
      </c>
      <c r="T935" s="105" t="s">
        <v>10</v>
      </c>
      <c r="U935" s="98"/>
      <c r="V935" s="51">
        <v>46048</v>
      </c>
      <c r="W935" s="49" t="s">
        <v>1564</v>
      </c>
      <c r="X935" s="154" t="s">
        <v>2948</v>
      </c>
      <c r="Y935" s="154">
        <v>0</v>
      </c>
    </row>
    <row r="936" spans="1:25" ht="13" customHeight="1">
      <c r="A936" s="11">
        <v>930</v>
      </c>
      <c r="B936" s="47">
        <v>206192541</v>
      </c>
      <c r="C936" s="88" t="s">
        <v>1594</v>
      </c>
      <c r="D936" s="11" t="s">
        <v>1590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95</v>
      </c>
      <c r="M936" s="49" t="s">
        <v>77</v>
      </c>
      <c r="N936" s="49" t="s">
        <v>89</v>
      </c>
      <c r="O936" s="49" t="s">
        <v>37</v>
      </c>
      <c r="P936" s="11" t="s">
        <v>80</v>
      </c>
      <c r="Q936" s="11" t="s">
        <v>96</v>
      </c>
      <c r="R936" s="49" t="s">
        <v>624</v>
      </c>
      <c r="S936" s="11" t="s">
        <v>625</v>
      </c>
      <c r="T936" s="105" t="s">
        <v>10</v>
      </c>
      <c r="U936" s="98"/>
      <c r="V936" s="51">
        <v>45936</v>
      </c>
      <c r="W936" s="49" t="s">
        <v>1564</v>
      </c>
      <c r="X936" s="154" t="s">
        <v>2948</v>
      </c>
      <c r="Y936" s="154">
        <v>0</v>
      </c>
    </row>
    <row r="937" spans="1:25" ht="13" customHeight="1">
      <c r="A937" s="11">
        <v>931</v>
      </c>
      <c r="B937" s="47">
        <v>206886636</v>
      </c>
      <c r="C937" s="88" t="s">
        <v>1806</v>
      </c>
      <c r="D937" s="11" t="s">
        <v>1807</v>
      </c>
      <c r="E937" s="11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78</v>
      </c>
      <c r="M937" s="49" t="s">
        <v>92</v>
      </c>
      <c r="N937" s="49" t="s">
        <v>89</v>
      </c>
      <c r="O937" s="49" t="s">
        <v>37</v>
      </c>
      <c r="P937" s="11" t="s">
        <v>80</v>
      </c>
      <c r="Q937" s="11" t="s">
        <v>96</v>
      </c>
      <c r="R937" s="11" t="s">
        <v>1057</v>
      </c>
      <c r="S937" s="11" t="s">
        <v>2657</v>
      </c>
      <c r="T937" s="105" t="s">
        <v>1</v>
      </c>
      <c r="U937" s="98"/>
      <c r="V937" s="51">
        <v>46027</v>
      </c>
      <c r="W937" s="49" t="s">
        <v>1564</v>
      </c>
      <c r="X937" s="154" t="s">
        <v>2</v>
      </c>
      <c r="Y937" s="154">
        <v>0</v>
      </c>
    </row>
    <row r="938" spans="1:25" ht="13" customHeight="1">
      <c r="A938" s="11">
        <v>932</v>
      </c>
      <c r="B938" s="47">
        <v>201857481</v>
      </c>
      <c r="C938" s="88" t="s">
        <v>1021</v>
      </c>
      <c r="D938" s="11" t="s">
        <v>1022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85</v>
      </c>
      <c r="M938" s="49" t="s">
        <v>88</v>
      </c>
      <c r="N938" s="48" t="s">
        <v>86</v>
      </c>
      <c r="O938" s="49" t="s">
        <v>37</v>
      </c>
      <c r="P938" s="11" t="s">
        <v>80</v>
      </c>
      <c r="Q938" s="11" t="s">
        <v>87</v>
      </c>
      <c r="R938" s="49" t="s">
        <v>624</v>
      </c>
      <c r="S938" s="11" t="s">
        <v>625</v>
      </c>
      <c r="T938" s="105" t="s">
        <v>1</v>
      </c>
      <c r="U938" s="98"/>
      <c r="V938" s="51">
        <v>45586</v>
      </c>
      <c r="W938" s="49" t="s">
        <v>1563</v>
      </c>
      <c r="X938" s="154" t="s">
        <v>2</v>
      </c>
      <c r="Y938" s="154">
        <v>0</v>
      </c>
    </row>
    <row r="939" spans="1:25" ht="13" customHeight="1">
      <c r="A939" s="11">
        <v>933</v>
      </c>
      <c r="B939" s="47">
        <v>204011575</v>
      </c>
      <c r="C939" s="88" t="s">
        <v>2354</v>
      </c>
      <c r="D939" s="11" t="s">
        <v>2355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32</v>
      </c>
      <c r="K939" s="49" t="s">
        <v>76</v>
      </c>
      <c r="L939" s="49" t="s">
        <v>92</v>
      </c>
      <c r="M939" s="49" t="s">
        <v>84</v>
      </c>
      <c r="N939" s="49" t="s">
        <v>89</v>
      </c>
      <c r="O939" s="49" t="s">
        <v>37</v>
      </c>
      <c r="P939" s="11" t="s">
        <v>80</v>
      </c>
      <c r="Q939" s="11" t="s">
        <v>90</v>
      </c>
      <c r="R939" s="11" t="s">
        <v>636</v>
      </c>
      <c r="S939" s="11" t="s">
        <v>2658</v>
      </c>
      <c r="T939" s="105" t="s">
        <v>1</v>
      </c>
      <c r="U939" s="98"/>
      <c r="V939" s="51">
        <v>45551</v>
      </c>
      <c r="W939" s="49" t="s">
        <v>1565</v>
      </c>
      <c r="X939" s="154" t="s">
        <v>2</v>
      </c>
      <c r="Y939" s="154">
        <v>0</v>
      </c>
    </row>
    <row r="940" spans="1:25" ht="13" customHeight="1">
      <c r="A940" s="11">
        <v>934</v>
      </c>
      <c r="B940" s="47">
        <v>112851838</v>
      </c>
      <c r="C940" s="88" t="s">
        <v>2153</v>
      </c>
      <c r="D940" s="11" t="s">
        <v>2154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95</v>
      </c>
      <c r="M940" s="49" t="s">
        <v>77</v>
      </c>
      <c r="N940" s="48" t="s">
        <v>86</v>
      </c>
      <c r="O940" s="49" t="s">
        <v>37</v>
      </c>
      <c r="P940" s="11" t="s">
        <v>80</v>
      </c>
      <c r="Q940" s="11" t="s">
        <v>87</v>
      </c>
      <c r="R940" s="49" t="s">
        <v>624</v>
      </c>
      <c r="S940" s="11" t="s">
        <v>625</v>
      </c>
      <c r="T940" s="105" t="s">
        <v>10</v>
      </c>
      <c r="U940" s="98"/>
      <c r="V940" s="51">
        <v>45586</v>
      </c>
      <c r="W940" s="49" t="s">
        <v>1563</v>
      </c>
      <c r="X940" s="154" t="s">
        <v>2948</v>
      </c>
      <c r="Y940" s="154">
        <v>0</v>
      </c>
    </row>
    <row r="941" spans="1:25" ht="13" customHeight="1">
      <c r="A941" s="11">
        <v>935</v>
      </c>
      <c r="B941" s="47">
        <v>204116441</v>
      </c>
      <c r="C941" s="88" t="s">
        <v>1023</v>
      </c>
      <c r="D941" s="11" t="s">
        <v>1024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85</v>
      </c>
      <c r="M941" s="49" t="s">
        <v>88</v>
      </c>
      <c r="N941" s="48" t="s">
        <v>86</v>
      </c>
      <c r="O941" s="49" t="s">
        <v>37</v>
      </c>
      <c r="P941" s="11" t="s">
        <v>80</v>
      </c>
      <c r="Q941" s="11" t="s">
        <v>87</v>
      </c>
      <c r="R941" s="11" t="s">
        <v>1057</v>
      </c>
      <c r="S941" s="11" t="s">
        <v>2657</v>
      </c>
      <c r="T941" s="105" t="s">
        <v>1</v>
      </c>
      <c r="U941" s="98"/>
      <c r="V941" s="51">
        <v>45561</v>
      </c>
      <c r="W941" s="49" t="s">
        <v>1563</v>
      </c>
      <c r="X941" s="154" t="s">
        <v>2</v>
      </c>
      <c r="Y941" s="154">
        <v>0</v>
      </c>
    </row>
    <row r="942" spans="1:25" ht="13" customHeight="1">
      <c r="A942" s="11">
        <v>936</v>
      </c>
      <c r="B942" s="47">
        <v>206136721</v>
      </c>
      <c r="C942" s="88" t="s">
        <v>1025</v>
      </c>
      <c r="D942" s="11" t="s">
        <v>1026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77</v>
      </c>
      <c r="M942" s="49" t="s">
        <v>78</v>
      </c>
      <c r="N942" s="49" t="s">
        <v>89</v>
      </c>
      <c r="O942" s="49" t="s">
        <v>37</v>
      </c>
      <c r="P942" s="11" t="s">
        <v>80</v>
      </c>
      <c r="Q942" s="11" t="s">
        <v>81</v>
      </c>
      <c r="R942" s="11" t="s">
        <v>628</v>
      </c>
      <c r="S942" s="11" t="s">
        <v>629</v>
      </c>
      <c r="T942" s="105" t="s">
        <v>10</v>
      </c>
      <c r="U942" s="98"/>
      <c r="V942" s="51">
        <v>45929</v>
      </c>
      <c r="W942" s="49" t="s">
        <v>1564</v>
      </c>
      <c r="X942" s="154" t="s">
        <v>2948</v>
      </c>
      <c r="Y942" s="154">
        <v>0</v>
      </c>
    </row>
    <row r="943" spans="1:25" ht="13" customHeight="1">
      <c r="A943" s="11">
        <v>937</v>
      </c>
      <c r="B943" s="91">
        <v>204072300</v>
      </c>
      <c r="C943" s="47" t="s">
        <v>2738</v>
      </c>
      <c r="D943" s="88" t="s">
        <v>2739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84</v>
      </c>
      <c r="M943" s="49" t="s">
        <v>85</v>
      </c>
      <c r="N943" s="48" t="s">
        <v>86</v>
      </c>
      <c r="O943" s="49" t="s">
        <v>37</v>
      </c>
      <c r="P943" s="11" t="s">
        <v>80</v>
      </c>
      <c r="Q943" s="11" t="s">
        <v>90</v>
      </c>
      <c r="R943" s="11" t="s">
        <v>2779</v>
      </c>
      <c r="S943" s="11" t="s">
        <v>2780</v>
      </c>
      <c r="T943" s="105" t="s">
        <v>1</v>
      </c>
      <c r="U943" s="98"/>
      <c r="V943" s="51">
        <v>45558</v>
      </c>
      <c r="W943" s="49" t="s">
        <v>1564</v>
      </c>
      <c r="X943" s="154" t="s">
        <v>2</v>
      </c>
      <c r="Y943" s="154">
        <v>0</v>
      </c>
    </row>
    <row r="944" spans="1:25" ht="13" customHeight="1">
      <c r="A944" s="11">
        <v>938</v>
      </c>
      <c r="B944" s="47">
        <v>206886737</v>
      </c>
      <c r="C944" s="88" t="s">
        <v>1808</v>
      </c>
      <c r="D944" s="11" t="s">
        <v>1809</v>
      </c>
      <c r="E944" s="11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78</v>
      </c>
      <c r="M944" s="49" t="s">
        <v>92</v>
      </c>
      <c r="N944" s="49" t="s">
        <v>89</v>
      </c>
      <c r="O944" s="49" t="s">
        <v>37</v>
      </c>
      <c r="P944" s="11" t="s">
        <v>80</v>
      </c>
      <c r="Q944" s="11" t="s">
        <v>96</v>
      </c>
      <c r="R944" s="11" t="s">
        <v>1057</v>
      </c>
      <c r="S944" s="11" t="s">
        <v>2657</v>
      </c>
      <c r="T944" s="105" t="s">
        <v>1</v>
      </c>
      <c r="U944" s="98"/>
      <c r="V944" s="51">
        <v>46027</v>
      </c>
      <c r="W944" s="49" t="s">
        <v>1564</v>
      </c>
      <c r="X944" s="154" t="s">
        <v>2</v>
      </c>
      <c r="Y944" s="154">
        <v>0</v>
      </c>
    </row>
    <row r="945" spans="1:25" ht="13" customHeight="1">
      <c r="A945" s="11">
        <v>939</v>
      </c>
      <c r="B945" s="47">
        <v>203965605</v>
      </c>
      <c r="C945" s="88" t="s">
        <v>1027</v>
      </c>
      <c r="D945" s="11" t="s">
        <v>1028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86</v>
      </c>
      <c r="O945" s="49" t="s">
        <v>37</v>
      </c>
      <c r="P945" s="11" t="s">
        <v>80</v>
      </c>
      <c r="Q945" s="11" t="s">
        <v>99</v>
      </c>
      <c r="R945" s="11" t="s">
        <v>636</v>
      </c>
      <c r="S945" s="11" t="s">
        <v>2658</v>
      </c>
      <c r="T945" s="105" t="s">
        <v>1</v>
      </c>
      <c r="U945" s="98"/>
      <c r="V945" s="51">
        <v>45544</v>
      </c>
      <c r="W945" s="49" t="s">
        <v>1564</v>
      </c>
      <c r="X945" s="154" t="s">
        <v>2</v>
      </c>
      <c r="Y945" s="154">
        <v>0</v>
      </c>
    </row>
    <row r="946" spans="1:25" ht="13" customHeight="1">
      <c r="A946" s="11">
        <v>940</v>
      </c>
      <c r="B946" s="47">
        <v>203965410</v>
      </c>
      <c r="C946" s="88" t="s">
        <v>1029</v>
      </c>
      <c r="D946" s="11" t="s">
        <v>1030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95</v>
      </c>
      <c r="M946" s="49" t="s">
        <v>77</v>
      </c>
      <c r="N946" s="48" t="s">
        <v>79</v>
      </c>
      <c r="O946" s="49" t="s">
        <v>37</v>
      </c>
      <c r="P946" s="11" t="s">
        <v>80</v>
      </c>
      <c r="Q946" s="11" t="s">
        <v>81</v>
      </c>
      <c r="R946" s="49" t="s">
        <v>644</v>
      </c>
      <c r="S946" s="11" t="s">
        <v>1777</v>
      </c>
      <c r="T946" s="105" t="s">
        <v>10</v>
      </c>
      <c r="U946" s="98"/>
      <c r="V946" s="51">
        <v>45544</v>
      </c>
      <c r="W946" s="49" t="s">
        <v>1564</v>
      </c>
      <c r="X946" s="154" t="s">
        <v>2948</v>
      </c>
      <c r="Y946" s="154">
        <v>0</v>
      </c>
    </row>
    <row r="947" spans="1:25" ht="13" customHeight="1">
      <c r="A947" s="11">
        <v>941</v>
      </c>
      <c r="B947" s="47">
        <v>202419640</v>
      </c>
      <c r="C947" s="88" t="s">
        <v>1031</v>
      </c>
      <c r="D947" s="11" t="s">
        <v>1032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78</v>
      </c>
      <c r="M947" s="49" t="s">
        <v>92</v>
      </c>
      <c r="N947" s="48" t="s">
        <v>86</v>
      </c>
      <c r="O947" s="49" t="s">
        <v>37</v>
      </c>
      <c r="P947" s="11" t="s">
        <v>80</v>
      </c>
      <c r="Q947" s="11" t="s">
        <v>87</v>
      </c>
      <c r="R947" s="11" t="s">
        <v>628</v>
      </c>
      <c r="S947" s="11" t="s">
        <v>629</v>
      </c>
      <c r="T947" s="105" t="s">
        <v>1</v>
      </c>
      <c r="U947" s="98"/>
      <c r="V947" s="51">
        <v>45561</v>
      </c>
      <c r="W947" s="49" t="s">
        <v>1565</v>
      </c>
      <c r="X947" s="154" t="s">
        <v>2</v>
      </c>
      <c r="Y947" s="154">
        <v>0</v>
      </c>
    </row>
    <row r="948" spans="1:25" ht="13" customHeight="1">
      <c r="A948" s="11">
        <v>942</v>
      </c>
      <c r="B948" s="47">
        <v>204138114</v>
      </c>
      <c r="C948" s="88" t="s">
        <v>1033</v>
      </c>
      <c r="D948" s="11" t="s">
        <v>1034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32</v>
      </c>
      <c r="K948" s="49" t="s">
        <v>76</v>
      </c>
      <c r="L948" s="49" t="s">
        <v>95</v>
      </c>
      <c r="M948" s="49" t="s">
        <v>77</v>
      </c>
      <c r="N948" s="48" t="s">
        <v>86</v>
      </c>
      <c r="O948" s="49" t="s">
        <v>37</v>
      </c>
      <c r="P948" s="11" t="s">
        <v>80</v>
      </c>
      <c r="Q948" s="11" t="s">
        <v>87</v>
      </c>
      <c r="R948" s="11" t="s">
        <v>628</v>
      </c>
      <c r="S948" s="11" t="s">
        <v>629</v>
      </c>
      <c r="T948" s="105" t="s">
        <v>10</v>
      </c>
      <c r="U948" s="98"/>
      <c r="V948" s="51">
        <v>45565</v>
      </c>
      <c r="W948" s="49" t="s">
        <v>1564</v>
      </c>
      <c r="X948" s="154" t="s">
        <v>2948</v>
      </c>
      <c r="Y948" s="154">
        <v>0</v>
      </c>
    </row>
    <row r="949" spans="1:25" ht="13" customHeight="1">
      <c r="A949" s="11">
        <v>943</v>
      </c>
      <c r="B949" s="47">
        <v>203965009</v>
      </c>
      <c r="C949" s="88" t="s">
        <v>1035</v>
      </c>
      <c r="D949" s="11" t="s">
        <v>1036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32</v>
      </c>
      <c r="K949" s="49" t="s">
        <v>76</v>
      </c>
      <c r="L949" s="49" t="s">
        <v>88</v>
      </c>
      <c r="M949" s="49" t="s">
        <v>95</v>
      </c>
      <c r="N949" s="48" t="s">
        <v>86</v>
      </c>
      <c r="O949" s="49" t="s">
        <v>37</v>
      </c>
      <c r="P949" s="11" t="s">
        <v>80</v>
      </c>
      <c r="Q949" s="11" t="s">
        <v>99</v>
      </c>
      <c r="R949" s="49" t="s">
        <v>624</v>
      </c>
      <c r="S949" s="11" t="s">
        <v>625</v>
      </c>
      <c r="T949" s="105" t="s">
        <v>1</v>
      </c>
      <c r="U949" s="98"/>
      <c r="V949" s="51">
        <v>45544</v>
      </c>
      <c r="W949" s="49" t="s">
        <v>1564</v>
      </c>
      <c r="X949" s="154" t="s">
        <v>2</v>
      </c>
      <c r="Y949" s="154">
        <v>0</v>
      </c>
    </row>
    <row r="950" spans="1:25" ht="13" customHeight="1">
      <c r="A950" s="11">
        <v>944</v>
      </c>
      <c r="B950" s="91">
        <v>205280538</v>
      </c>
      <c r="C950" s="47" t="s">
        <v>2740</v>
      </c>
      <c r="D950" s="95" t="s">
        <v>2741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77</v>
      </c>
      <c r="M950" s="49" t="s">
        <v>78</v>
      </c>
      <c r="N950" s="49" t="s">
        <v>89</v>
      </c>
      <c r="O950" s="49" t="s">
        <v>37</v>
      </c>
      <c r="P950" s="11" t="s">
        <v>80</v>
      </c>
      <c r="Q950" s="74" t="s">
        <v>96</v>
      </c>
      <c r="R950" s="99" t="s">
        <v>624</v>
      </c>
      <c r="S950" s="11" t="s">
        <v>625</v>
      </c>
      <c r="T950" s="105" t="s">
        <v>10</v>
      </c>
      <c r="U950" s="98"/>
      <c r="V950" s="51">
        <v>46048</v>
      </c>
      <c r="W950" s="49" t="s">
        <v>1563</v>
      </c>
      <c r="X950" s="154" t="s">
        <v>2948</v>
      </c>
      <c r="Y950" s="154">
        <v>0</v>
      </c>
    </row>
    <row r="951" spans="1:25" ht="13" customHeight="1">
      <c r="A951" s="11">
        <v>945</v>
      </c>
      <c r="B951" s="47">
        <v>204053439</v>
      </c>
      <c r="C951" s="88" t="s">
        <v>1037</v>
      </c>
      <c r="D951" s="79" t="s">
        <v>1038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95</v>
      </c>
      <c r="M951" s="49" t="s">
        <v>77</v>
      </c>
      <c r="N951" s="48" t="s">
        <v>86</v>
      </c>
      <c r="O951" s="49" t="s">
        <v>37</v>
      </c>
      <c r="P951" s="11" t="s">
        <v>80</v>
      </c>
      <c r="Q951" s="11" t="s">
        <v>99</v>
      </c>
      <c r="R951" s="49" t="s">
        <v>644</v>
      </c>
      <c r="S951" s="11" t="s">
        <v>1777</v>
      </c>
      <c r="T951" s="105" t="s">
        <v>10</v>
      </c>
      <c r="U951" s="98"/>
      <c r="V951" s="51">
        <v>45558</v>
      </c>
      <c r="W951" s="49" t="s">
        <v>1563</v>
      </c>
      <c r="X951" s="154" t="s">
        <v>2948</v>
      </c>
      <c r="Y951" s="154">
        <v>0</v>
      </c>
    </row>
    <row r="952" spans="1:25" ht="13" customHeight="1">
      <c r="A952" s="11">
        <v>946</v>
      </c>
      <c r="B952" s="47">
        <v>203800778</v>
      </c>
      <c r="C952" s="88" t="s">
        <v>1039</v>
      </c>
      <c r="D952" s="79" t="s">
        <v>1040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78</v>
      </c>
      <c r="M952" s="49" t="s">
        <v>92</v>
      </c>
      <c r="N952" s="48" t="s">
        <v>86</v>
      </c>
      <c r="O952" s="49" t="s">
        <v>37</v>
      </c>
      <c r="P952" s="11" t="s">
        <v>80</v>
      </c>
      <c r="Q952" s="11" t="s">
        <v>90</v>
      </c>
      <c r="R952" s="49" t="s">
        <v>624</v>
      </c>
      <c r="S952" s="11" t="s">
        <v>625</v>
      </c>
      <c r="T952" s="105" t="s">
        <v>1</v>
      </c>
      <c r="U952" s="98"/>
      <c r="V952" s="51">
        <v>45684</v>
      </c>
      <c r="W952" s="49" t="s">
        <v>1563</v>
      </c>
      <c r="X952" s="154" t="s">
        <v>2</v>
      </c>
      <c r="Y952" s="154">
        <v>0</v>
      </c>
    </row>
    <row r="953" spans="1:25" ht="13" customHeight="1">
      <c r="A953" s="11">
        <v>947</v>
      </c>
      <c r="B953" s="47">
        <v>203965008</v>
      </c>
      <c r="C953" s="88" t="s">
        <v>1041</v>
      </c>
      <c r="D953" s="79" t="s">
        <v>1042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95</v>
      </c>
      <c r="M953" s="49" t="s">
        <v>77</v>
      </c>
      <c r="N953" s="48" t="s">
        <v>86</v>
      </c>
      <c r="O953" s="49" t="s">
        <v>37</v>
      </c>
      <c r="P953" s="11" t="s">
        <v>80</v>
      </c>
      <c r="Q953" s="11" t="s">
        <v>99</v>
      </c>
      <c r="R953" s="49" t="s">
        <v>644</v>
      </c>
      <c r="S953" s="11" t="s">
        <v>1777</v>
      </c>
      <c r="T953" s="105" t="s">
        <v>10</v>
      </c>
      <c r="U953" s="98"/>
      <c r="V953" s="51">
        <v>45544</v>
      </c>
      <c r="W953" s="49" t="s">
        <v>1564</v>
      </c>
      <c r="X953" s="154" t="s">
        <v>2948</v>
      </c>
      <c r="Y953" s="154">
        <v>0</v>
      </c>
    </row>
    <row r="954" spans="1:25" ht="13" customHeight="1">
      <c r="A954" s="11">
        <v>948</v>
      </c>
      <c r="B954" s="47">
        <v>203880400</v>
      </c>
      <c r="C954" s="88" t="s">
        <v>1043</v>
      </c>
      <c r="D954" s="79" t="s">
        <v>1044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92</v>
      </c>
      <c r="M954" s="49" t="s">
        <v>84</v>
      </c>
      <c r="N954" s="48" t="s">
        <v>79</v>
      </c>
      <c r="O954" s="49" t="s">
        <v>37</v>
      </c>
      <c r="P954" s="11" t="s">
        <v>80</v>
      </c>
      <c r="Q954" s="74" t="s">
        <v>81</v>
      </c>
      <c r="R954" s="49" t="s">
        <v>644</v>
      </c>
      <c r="S954" s="11" t="s">
        <v>1777</v>
      </c>
      <c r="T954" s="105" t="s">
        <v>1</v>
      </c>
      <c r="U954" s="98"/>
      <c r="V954" s="51">
        <v>45530</v>
      </c>
      <c r="W954" s="49" t="s">
        <v>1564</v>
      </c>
      <c r="X954" s="154" t="s">
        <v>2</v>
      </c>
      <c r="Y954" s="154">
        <v>0</v>
      </c>
    </row>
    <row r="955" spans="1:25" ht="13" customHeight="1">
      <c r="A955" s="11">
        <v>949</v>
      </c>
      <c r="B955" s="47">
        <v>206886735</v>
      </c>
      <c r="C955" s="88" t="s">
        <v>1810</v>
      </c>
      <c r="D955" s="79" t="s">
        <v>1811</v>
      </c>
      <c r="E955" s="11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85</v>
      </c>
      <c r="M955" s="49" t="s">
        <v>88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11" t="s">
        <v>1057</v>
      </c>
      <c r="S955" s="11" t="s">
        <v>2657</v>
      </c>
      <c r="T955" s="105" t="s">
        <v>1</v>
      </c>
      <c r="U955" s="98"/>
      <c r="V955" s="51">
        <v>46027</v>
      </c>
      <c r="W955" s="49" t="s">
        <v>1564</v>
      </c>
      <c r="X955" s="154" t="s">
        <v>2</v>
      </c>
      <c r="Y955" s="154">
        <v>0</v>
      </c>
    </row>
    <row r="956" spans="1:25" ht="13" customHeight="1">
      <c r="A956" s="11">
        <v>950</v>
      </c>
      <c r="B956" s="47">
        <v>205997633</v>
      </c>
      <c r="C956" s="88" t="s">
        <v>1045</v>
      </c>
      <c r="D956" s="79" t="s">
        <v>1046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88</v>
      </c>
      <c r="M956" s="49" t="s">
        <v>95</v>
      </c>
      <c r="N956" s="48" t="s">
        <v>79</v>
      </c>
      <c r="O956" s="49" t="s">
        <v>37</v>
      </c>
      <c r="P956" s="11" t="s">
        <v>80</v>
      </c>
      <c r="Q956" s="11" t="s">
        <v>81</v>
      </c>
      <c r="R956" s="49" t="s">
        <v>644</v>
      </c>
      <c r="S956" s="11" t="s">
        <v>1777</v>
      </c>
      <c r="T956" s="105" t="s">
        <v>1</v>
      </c>
      <c r="U956" s="98"/>
      <c r="V956" s="51">
        <v>45915</v>
      </c>
      <c r="W956" s="49" t="s">
        <v>1564</v>
      </c>
      <c r="X956" s="154" t="s">
        <v>2</v>
      </c>
      <c r="Y956" s="154">
        <v>0</v>
      </c>
    </row>
    <row r="957" spans="1:25" ht="13" customHeight="1">
      <c r="A957" s="11">
        <v>951</v>
      </c>
      <c r="B957" s="47">
        <v>113433097</v>
      </c>
      <c r="C957" s="88" t="s">
        <v>1047</v>
      </c>
      <c r="D957" s="79" t="s">
        <v>1048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84</v>
      </c>
      <c r="M957" s="49" t="s">
        <v>85</v>
      </c>
      <c r="N957" s="48" t="s">
        <v>86</v>
      </c>
      <c r="O957" s="49" t="s">
        <v>37</v>
      </c>
      <c r="P957" s="11" t="s">
        <v>80</v>
      </c>
      <c r="Q957" s="11" t="s">
        <v>99</v>
      </c>
      <c r="R957" s="11" t="s">
        <v>1057</v>
      </c>
      <c r="S957" s="11" t="s">
        <v>2657</v>
      </c>
      <c r="T957" s="105" t="s">
        <v>1</v>
      </c>
      <c r="U957" s="98"/>
      <c r="V957" s="51">
        <v>45537</v>
      </c>
      <c r="W957" s="49" t="s">
        <v>1564</v>
      </c>
      <c r="X957" s="154" t="s">
        <v>2</v>
      </c>
      <c r="Y957" s="154">
        <v>0</v>
      </c>
    </row>
    <row r="958" spans="1:25" ht="13" customHeight="1">
      <c r="A958" s="11">
        <v>952</v>
      </c>
      <c r="B958" s="47">
        <v>205845295</v>
      </c>
      <c r="C958" s="88" t="s">
        <v>1049</v>
      </c>
      <c r="D958" s="79" t="s">
        <v>1050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84</v>
      </c>
      <c r="M958" s="49" t="s">
        <v>85</v>
      </c>
      <c r="N958" s="49" t="s">
        <v>89</v>
      </c>
      <c r="O958" s="49" t="s">
        <v>37</v>
      </c>
      <c r="P958" s="11" t="s">
        <v>80</v>
      </c>
      <c r="Q958" s="11" t="s">
        <v>90</v>
      </c>
      <c r="R958" s="49" t="s">
        <v>624</v>
      </c>
      <c r="S958" s="11" t="s">
        <v>625</v>
      </c>
      <c r="T958" s="105" t="s">
        <v>1</v>
      </c>
      <c r="U958" s="98"/>
      <c r="V958" s="51">
        <v>45894</v>
      </c>
      <c r="W958" s="49" t="s">
        <v>1563</v>
      </c>
      <c r="X958" s="154" t="s">
        <v>2</v>
      </c>
      <c r="Y958" s="154">
        <v>0</v>
      </c>
    </row>
    <row r="959" spans="1:25" ht="13" customHeight="1">
      <c r="A959" s="11">
        <v>953</v>
      </c>
      <c r="B959" s="47">
        <v>203850876</v>
      </c>
      <c r="C959" s="88" t="s">
        <v>2293</v>
      </c>
      <c r="D959" s="79" t="s">
        <v>2294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95</v>
      </c>
      <c r="M959" s="49" t="s">
        <v>77</v>
      </c>
      <c r="N959" s="48" t="s">
        <v>86</v>
      </c>
      <c r="O959" s="49" t="s">
        <v>37</v>
      </c>
      <c r="P959" s="11" t="s">
        <v>80</v>
      </c>
      <c r="Q959" s="11" t="s">
        <v>90</v>
      </c>
      <c r="R959" s="11" t="s">
        <v>1057</v>
      </c>
      <c r="S959" s="11" t="s">
        <v>2657</v>
      </c>
      <c r="T959" s="105" t="s">
        <v>10</v>
      </c>
      <c r="U959" s="98"/>
      <c r="V959" s="51">
        <v>45524</v>
      </c>
      <c r="W959" s="49" t="s">
        <v>1564</v>
      </c>
      <c r="X959" s="154" t="s">
        <v>2948</v>
      </c>
      <c r="Y959" s="154">
        <v>0</v>
      </c>
    </row>
    <row r="960" spans="1:25" ht="13" customHeight="1">
      <c r="A960" s="11">
        <v>954</v>
      </c>
      <c r="B960" s="47">
        <v>206851159</v>
      </c>
      <c r="C960" s="88" t="s">
        <v>1778</v>
      </c>
      <c r="D960" s="94" t="s">
        <v>1779</v>
      </c>
      <c r="E960" s="47" t="s">
        <v>31</v>
      </c>
      <c r="F960" s="48" t="s">
        <v>74</v>
      </c>
      <c r="G960" s="11" t="s">
        <v>64</v>
      </c>
      <c r="H960" s="11" t="s">
        <v>75</v>
      </c>
      <c r="I960" s="47">
        <v>1299</v>
      </c>
      <c r="J960" s="49" t="s">
        <v>32</v>
      </c>
      <c r="K960" s="49" t="s">
        <v>76</v>
      </c>
      <c r="L960" s="49" t="s">
        <v>88</v>
      </c>
      <c r="M960" s="49" t="s">
        <v>95</v>
      </c>
      <c r="N960" s="49" t="s">
        <v>89</v>
      </c>
      <c r="O960" s="49" t="s">
        <v>37</v>
      </c>
      <c r="P960" s="11" t="s">
        <v>80</v>
      </c>
      <c r="Q960" s="47" t="s">
        <v>90</v>
      </c>
      <c r="R960" s="11" t="s">
        <v>1057</v>
      </c>
      <c r="S960" s="11" t="s">
        <v>2657</v>
      </c>
      <c r="T960" s="105" t="s">
        <v>3</v>
      </c>
      <c r="U960" s="98"/>
      <c r="V960" s="51">
        <v>46013</v>
      </c>
      <c r="W960" s="49" t="s">
        <v>1564</v>
      </c>
      <c r="X960" s="154" t="s">
        <v>2948</v>
      </c>
      <c r="Y960" s="154">
        <v>0</v>
      </c>
    </row>
    <row r="961" spans="1:25" ht="13" customHeight="1">
      <c r="A961" s="11">
        <v>955</v>
      </c>
      <c r="B961" s="47">
        <v>206491328</v>
      </c>
      <c r="C961" s="88" t="s">
        <v>2811</v>
      </c>
      <c r="D961" s="79" t="s">
        <v>2812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11" t="s">
        <v>39</v>
      </c>
      <c r="K961" s="11" t="s">
        <v>76</v>
      </c>
      <c r="L961" s="11" t="s">
        <v>88</v>
      </c>
      <c r="M961" s="11" t="s">
        <v>95</v>
      </c>
      <c r="N961" s="11" t="s">
        <v>89</v>
      </c>
      <c r="O961" s="11" t="s">
        <v>37</v>
      </c>
      <c r="P961" s="11" t="s">
        <v>80</v>
      </c>
      <c r="Q961" s="11" t="s">
        <v>96</v>
      </c>
      <c r="R961" s="11" t="s">
        <v>1057</v>
      </c>
      <c r="S961" s="11" t="s">
        <v>2657</v>
      </c>
      <c r="T961" s="105" t="s">
        <v>1</v>
      </c>
      <c r="U961" s="98"/>
      <c r="V961" s="51">
        <v>46238</v>
      </c>
      <c r="W961" s="11" t="s">
        <v>1564</v>
      </c>
      <c r="X961" s="154" t="s">
        <v>2</v>
      </c>
      <c r="Y961" s="154">
        <v>0</v>
      </c>
    </row>
    <row r="962" spans="1:25" ht="13" customHeight="1">
      <c r="A962" s="11">
        <v>956</v>
      </c>
      <c r="B962" s="47">
        <v>204013683</v>
      </c>
      <c r="C962" s="88" t="s">
        <v>1051</v>
      </c>
      <c r="D962" s="79" t="s">
        <v>1052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88</v>
      </c>
      <c r="M962" s="49" t="s">
        <v>95</v>
      </c>
      <c r="N962" s="48" t="s">
        <v>79</v>
      </c>
      <c r="O962" s="49" t="s">
        <v>37</v>
      </c>
      <c r="P962" s="11" t="s">
        <v>80</v>
      </c>
      <c r="Q962" s="11" t="s">
        <v>81</v>
      </c>
      <c r="R962" s="11" t="s">
        <v>1057</v>
      </c>
      <c r="S962" s="11" t="s">
        <v>2657</v>
      </c>
      <c r="T962" s="105" t="s">
        <v>1</v>
      </c>
      <c r="U962" s="98"/>
      <c r="V962" s="51">
        <v>45551</v>
      </c>
      <c r="W962" s="49" t="s">
        <v>1563</v>
      </c>
      <c r="X962" s="154" t="s">
        <v>2</v>
      </c>
      <c r="Y962" s="154">
        <v>0</v>
      </c>
    </row>
    <row r="963" spans="1:25" ht="13" customHeight="1">
      <c r="A963" s="11">
        <v>957</v>
      </c>
      <c r="B963" s="47">
        <v>205872523</v>
      </c>
      <c r="C963" s="88" t="s">
        <v>1053</v>
      </c>
      <c r="D963" s="79" t="s">
        <v>1054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32</v>
      </c>
      <c r="K963" s="49" t="s">
        <v>76</v>
      </c>
      <c r="L963" s="49" t="s">
        <v>95</v>
      </c>
      <c r="M963" s="49" t="s">
        <v>77</v>
      </c>
      <c r="N963" s="49" t="s">
        <v>89</v>
      </c>
      <c r="O963" s="49" t="s">
        <v>37</v>
      </c>
      <c r="P963" s="11" t="s">
        <v>80</v>
      </c>
      <c r="Q963" s="11" t="s">
        <v>90</v>
      </c>
      <c r="R963" s="11" t="s">
        <v>628</v>
      </c>
      <c r="S963" s="11" t="s">
        <v>629</v>
      </c>
      <c r="T963" s="105" t="s">
        <v>10</v>
      </c>
      <c r="U963" s="98"/>
      <c r="V963" s="51">
        <v>45894</v>
      </c>
      <c r="W963" s="49" t="s">
        <v>1564</v>
      </c>
      <c r="X963" s="154" t="s">
        <v>2948</v>
      </c>
      <c r="Y963" s="154">
        <v>0</v>
      </c>
    </row>
    <row r="964" spans="1:25" ht="13" customHeight="1">
      <c r="A964" s="11">
        <v>958</v>
      </c>
      <c r="B964" s="47">
        <v>113090848</v>
      </c>
      <c r="C964" s="88" t="s">
        <v>1055</v>
      </c>
      <c r="D964" s="79" t="s">
        <v>1056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78</v>
      </c>
      <c r="M964" s="49" t="s">
        <v>92</v>
      </c>
      <c r="N964" s="48" t="s">
        <v>86</v>
      </c>
      <c r="O964" s="49" t="s">
        <v>37</v>
      </c>
      <c r="P964" s="11" t="s">
        <v>80</v>
      </c>
      <c r="Q964" s="11" t="s">
        <v>87</v>
      </c>
      <c r="R964" s="11" t="s">
        <v>628</v>
      </c>
      <c r="S964" s="11" t="s">
        <v>629</v>
      </c>
      <c r="T964" s="105" t="s">
        <v>1</v>
      </c>
      <c r="U964" s="98"/>
      <c r="V964" s="51">
        <v>45586</v>
      </c>
      <c r="W964" s="49" t="s">
        <v>1563</v>
      </c>
      <c r="X964" s="154" t="s">
        <v>2</v>
      </c>
      <c r="Y964" s="154">
        <v>0</v>
      </c>
    </row>
    <row r="965" spans="1:25" ht="13" customHeight="1">
      <c r="A965" s="11">
        <v>959</v>
      </c>
      <c r="B965" s="47">
        <v>109808062</v>
      </c>
      <c r="C965" s="88" t="s">
        <v>1058</v>
      </c>
      <c r="D965" s="79" t="s">
        <v>1059</v>
      </c>
      <c r="E965" s="48" t="s">
        <v>34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108</v>
      </c>
      <c r="O965" s="49" t="s">
        <v>37</v>
      </c>
      <c r="P965" s="11" t="s">
        <v>80</v>
      </c>
      <c r="Q965" s="11" t="s">
        <v>98</v>
      </c>
      <c r="R965" s="49" t="s">
        <v>644</v>
      </c>
      <c r="S965" s="11" t="s">
        <v>1777</v>
      </c>
      <c r="T965" s="105" t="s">
        <v>10</v>
      </c>
      <c r="U965" s="98"/>
      <c r="V965" s="51">
        <v>44782</v>
      </c>
      <c r="W965" s="49" t="s">
        <v>1565</v>
      </c>
      <c r="X965" s="154" t="s">
        <v>2948</v>
      </c>
      <c r="Y965" s="154">
        <v>0</v>
      </c>
    </row>
    <row r="966" spans="1:25" ht="13" customHeight="1">
      <c r="A966" s="11">
        <v>960</v>
      </c>
      <c r="B966" s="47">
        <v>206850965</v>
      </c>
      <c r="C966" s="88" t="s">
        <v>1784</v>
      </c>
      <c r="D966" s="94" t="s">
        <v>1785</v>
      </c>
      <c r="E966" s="47" t="s">
        <v>31</v>
      </c>
      <c r="F966" s="48" t="s">
        <v>74</v>
      </c>
      <c r="G966" s="11" t="s">
        <v>64</v>
      </c>
      <c r="H966" s="11" t="s">
        <v>75</v>
      </c>
      <c r="I966" s="47">
        <v>1299</v>
      </c>
      <c r="J966" s="49" t="s">
        <v>32</v>
      </c>
      <c r="K966" s="49" t="s">
        <v>76</v>
      </c>
      <c r="L966" s="49" t="s">
        <v>95</v>
      </c>
      <c r="M966" s="49" t="s">
        <v>77</v>
      </c>
      <c r="N966" s="49" t="s">
        <v>89</v>
      </c>
      <c r="O966" s="49" t="s">
        <v>37</v>
      </c>
      <c r="P966" s="11" t="s">
        <v>80</v>
      </c>
      <c r="Q966" s="47" t="s">
        <v>90</v>
      </c>
      <c r="R966" s="11" t="s">
        <v>2779</v>
      </c>
      <c r="S966" s="11" t="s">
        <v>2780</v>
      </c>
      <c r="T966" s="105" t="s">
        <v>10</v>
      </c>
      <c r="U966" s="98"/>
      <c r="V966" s="51">
        <v>46013</v>
      </c>
      <c r="W966" s="49" t="s">
        <v>1564</v>
      </c>
      <c r="X966" s="154" t="s">
        <v>2948</v>
      </c>
      <c r="Y966" s="154">
        <v>0</v>
      </c>
    </row>
    <row r="967" spans="1:25" ht="13" customHeight="1">
      <c r="A967" s="11">
        <v>961</v>
      </c>
      <c r="B967" s="47">
        <v>113090891</v>
      </c>
      <c r="C967" s="88" t="s">
        <v>1060</v>
      </c>
      <c r="D967" s="79" t="s">
        <v>1061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84</v>
      </c>
      <c r="M967" s="49" t="s">
        <v>85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49" t="s">
        <v>644</v>
      </c>
      <c r="S967" s="11" t="s">
        <v>1777</v>
      </c>
      <c r="T967" s="105" t="s">
        <v>1</v>
      </c>
      <c r="U967" s="98"/>
      <c r="V967" s="51">
        <v>45589</v>
      </c>
      <c r="W967" s="49" t="s">
        <v>1564</v>
      </c>
      <c r="X967" s="154" t="s">
        <v>2</v>
      </c>
      <c r="Y967" s="154">
        <v>0</v>
      </c>
    </row>
    <row r="968" spans="1:25" ht="13" customHeight="1">
      <c r="A968" s="11">
        <v>962</v>
      </c>
      <c r="B968" s="47">
        <v>103909188</v>
      </c>
      <c r="C968" s="88" t="s">
        <v>1062</v>
      </c>
      <c r="D968" s="79" t="s">
        <v>1063</v>
      </c>
      <c r="E968" s="48" t="s">
        <v>34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32</v>
      </c>
      <c r="K968" s="49" t="s">
        <v>76</v>
      </c>
      <c r="L968" s="49" t="s">
        <v>85</v>
      </c>
      <c r="M968" s="49" t="s">
        <v>88</v>
      </c>
      <c r="N968" s="48" t="s">
        <v>97</v>
      </c>
      <c r="O968" s="49" t="s">
        <v>37</v>
      </c>
      <c r="P968" s="11" t="s">
        <v>80</v>
      </c>
      <c r="Q968" s="11" t="s">
        <v>98</v>
      </c>
      <c r="R968" s="11" t="s">
        <v>1057</v>
      </c>
      <c r="S968" s="11" t="s">
        <v>2657</v>
      </c>
      <c r="T968" s="105" t="s">
        <v>1</v>
      </c>
      <c r="U968" s="98"/>
      <c r="V968" s="51">
        <v>44067</v>
      </c>
      <c r="W968" s="49" t="s">
        <v>1568</v>
      </c>
      <c r="X968" s="154" t="s">
        <v>2</v>
      </c>
      <c r="Y968" s="154">
        <v>0</v>
      </c>
    </row>
    <row r="969" spans="1:25" ht="13" customHeight="1">
      <c r="A969" s="11">
        <v>963</v>
      </c>
      <c r="B969" s="47">
        <v>107117479</v>
      </c>
      <c r="C969" s="88" t="s">
        <v>1064</v>
      </c>
      <c r="D969" s="11" t="s">
        <v>1065</v>
      </c>
      <c r="E969" s="48" t="s">
        <v>34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78</v>
      </c>
      <c r="M969" s="49" t="s">
        <v>92</v>
      </c>
      <c r="N969" s="48" t="s">
        <v>97</v>
      </c>
      <c r="O969" s="49" t="s">
        <v>37</v>
      </c>
      <c r="P969" s="11" t="s">
        <v>80</v>
      </c>
      <c r="Q969" s="11" t="s">
        <v>98</v>
      </c>
      <c r="R969" s="49" t="s">
        <v>644</v>
      </c>
      <c r="S969" s="47" t="s">
        <v>1777</v>
      </c>
      <c r="T969" s="105" t="s">
        <v>1</v>
      </c>
      <c r="U969" s="98"/>
      <c r="V969" s="51">
        <v>44782</v>
      </c>
      <c r="W969" s="49" t="s">
        <v>1568</v>
      </c>
      <c r="X969" s="154" t="s">
        <v>2</v>
      </c>
      <c r="Y969" s="154">
        <v>0</v>
      </c>
    </row>
    <row r="970" spans="1:25" ht="13" customHeight="1">
      <c r="A970" s="11">
        <v>964</v>
      </c>
      <c r="B970" s="47">
        <v>203908331</v>
      </c>
      <c r="C970" s="88" t="s">
        <v>1066</v>
      </c>
      <c r="D970" s="11" t="s">
        <v>1067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92</v>
      </c>
      <c r="M970" s="49" t="s">
        <v>84</v>
      </c>
      <c r="N970" s="48" t="s">
        <v>86</v>
      </c>
      <c r="O970" s="49" t="s">
        <v>37</v>
      </c>
      <c r="P970" s="11" t="s">
        <v>80</v>
      </c>
      <c r="Q970" s="11" t="s">
        <v>90</v>
      </c>
      <c r="R970" s="11" t="s">
        <v>1057</v>
      </c>
      <c r="S970" s="11" t="s">
        <v>2657</v>
      </c>
      <c r="T970" s="105" t="s">
        <v>1</v>
      </c>
      <c r="U970" s="98"/>
      <c r="V970" s="51">
        <v>45537</v>
      </c>
      <c r="W970" s="49" t="s">
        <v>1565</v>
      </c>
      <c r="X970" s="154" t="s">
        <v>2</v>
      </c>
      <c r="Y970" s="154">
        <v>0</v>
      </c>
    </row>
    <row r="971" spans="1:25" ht="13" customHeight="1">
      <c r="A971" s="11">
        <v>965</v>
      </c>
      <c r="B971" s="47">
        <v>204094492</v>
      </c>
      <c r="C971" s="88" t="s">
        <v>1068</v>
      </c>
      <c r="D971" s="11" t="s">
        <v>1069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95</v>
      </c>
      <c r="M971" s="49" t="s">
        <v>77</v>
      </c>
      <c r="N971" s="48" t="s">
        <v>86</v>
      </c>
      <c r="O971" s="49" t="s">
        <v>37</v>
      </c>
      <c r="P971" s="11" t="s">
        <v>80</v>
      </c>
      <c r="Q971" s="11" t="s">
        <v>87</v>
      </c>
      <c r="R971" s="49" t="s">
        <v>644</v>
      </c>
      <c r="S971" s="11" t="s">
        <v>1777</v>
      </c>
      <c r="T971" s="105" t="s">
        <v>10</v>
      </c>
      <c r="U971" s="98"/>
      <c r="V971" s="51">
        <v>45561</v>
      </c>
      <c r="W971" s="49" t="s">
        <v>1564</v>
      </c>
      <c r="X971" s="154" t="s">
        <v>2948</v>
      </c>
      <c r="Y971" s="154">
        <v>0</v>
      </c>
    </row>
    <row r="972" spans="1:25" ht="13" customHeight="1">
      <c r="A972" s="11">
        <v>966</v>
      </c>
      <c r="B972" s="47">
        <v>203850900</v>
      </c>
      <c r="C972" s="88" t="s">
        <v>2356</v>
      </c>
      <c r="D972" s="11" t="s">
        <v>2357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92</v>
      </c>
      <c r="M972" s="49" t="s">
        <v>84</v>
      </c>
      <c r="N972" s="48" t="s">
        <v>86</v>
      </c>
      <c r="O972" s="49" t="s">
        <v>37</v>
      </c>
      <c r="P972" s="11" t="s">
        <v>80</v>
      </c>
      <c r="Q972" s="11" t="s">
        <v>90</v>
      </c>
      <c r="R972" s="11" t="s">
        <v>1057</v>
      </c>
      <c r="S972" s="11" t="s">
        <v>2657</v>
      </c>
      <c r="T972" s="105" t="s">
        <v>1</v>
      </c>
      <c r="U972" s="98"/>
      <c r="V972" s="51">
        <v>45524</v>
      </c>
      <c r="W972" s="49" t="s">
        <v>1564</v>
      </c>
      <c r="X972" s="154" t="s">
        <v>2</v>
      </c>
      <c r="Y972" s="154">
        <v>0</v>
      </c>
    </row>
    <row r="973" spans="1:25" ht="13" customHeight="1">
      <c r="A973" s="11">
        <v>967</v>
      </c>
      <c r="B973" s="47">
        <v>206926476</v>
      </c>
      <c r="C973" s="88" t="s">
        <v>1957</v>
      </c>
      <c r="D973" s="11" t="s">
        <v>1965</v>
      </c>
      <c r="E973" s="48" t="s">
        <v>31</v>
      </c>
      <c r="F973" s="48" t="s">
        <v>74</v>
      </c>
      <c r="G973" s="48" t="s">
        <v>64</v>
      </c>
      <c r="H973" s="48" t="s">
        <v>75</v>
      </c>
      <c r="I973" s="11">
        <v>1299</v>
      </c>
      <c r="J973" s="49" t="s">
        <v>32</v>
      </c>
      <c r="K973" s="49" t="s">
        <v>76</v>
      </c>
      <c r="L973" s="49" t="s">
        <v>88</v>
      </c>
      <c r="M973" s="49" t="s">
        <v>95</v>
      </c>
      <c r="N973" s="49" t="s">
        <v>89</v>
      </c>
      <c r="O973" s="49" t="s">
        <v>37</v>
      </c>
      <c r="P973" s="49" t="s">
        <v>80</v>
      </c>
      <c r="Q973" s="49" t="s">
        <v>90</v>
      </c>
      <c r="R973" s="49" t="s">
        <v>2659</v>
      </c>
      <c r="S973" s="49" t="s">
        <v>639</v>
      </c>
      <c r="T973" s="105" t="s">
        <v>1</v>
      </c>
      <c r="U973" s="98"/>
      <c r="V973" s="51">
        <v>46037</v>
      </c>
      <c r="W973" s="49" t="s">
        <v>1564</v>
      </c>
      <c r="X973" s="154" t="s">
        <v>2</v>
      </c>
      <c r="Y973" s="154">
        <v>0</v>
      </c>
    </row>
    <row r="974" spans="1:25" ht="13" customHeight="1">
      <c r="A974" s="11">
        <v>968</v>
      </c>
      <c r="B974" s="47">
        <v>206491343</v>
      </c>
      <c r="C974" s="88" t="s">
        <v>2797</v>
      </c>
      <c r="D974" s="11" t="s">
        <v>2798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11" t="s">
        <v>39</v>
      </c>
      <c r="K974" s="11" t="s">
        <v>76</v>
      </c>
      <c r="L974" s="11" t="s">
        <v>92</v>
      </c>
      <c r="M974" s="11" t="s">
        <v>84</v>
      </c>
      <c r="N974" s="11" t="s">
        <v>89</v>
      </c>
      <c r="O974" s="11" t="s">
        <v>37</v>
      </c>
      <c r="P974" s="11" t="s">
        <v>80</v>
      </c>
      <c r="Q974" s="11" t="s">
        <v>96</v>
      </c>
      <c r="R974" s="11" t="s">
        <v>1057</v>
      </c>
      <c r="S974" s="11" t="s">
        <v>2657</v>
      </c>
      <c r="T974" s="105" t="s">
        <v>3</v>
      </c>
      <c r="U974" s="98"/>
      <c r="V974" s="51">
        <v>46238</v>
      </c>
      <c r="W974" s="11" t="s">
        <v>1565</v>
      </c>
      <c r="X974" s="154" t="s">
        <v>2948</v>
      </c>
      <c r="Y974" s="154">
        <v>0</v>
      </c>
    </row>
    <row r="975" spans="1:25" ht="13" customHeight="1">
      <c r="A975" s="11">
        <v>969</v>
      </c>
      <c r="B975" s="47">
        <v>206853791</v>
      </c>
      <c r="C975" s="88" t="s">
        <v>1828</v>
      </c>
      <c r="D975" s="11" t="s">
        <v>1829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88</v>
      </c>
      <c r="M975" s="49" t="s">
        <v>95</v>
      </c>
      <c r="N975" s="49" t="s">
        <v>89</v>
      </c>
      <c r="O975" s="48" t="s">
        <v>37</v>
      </c>
      <c r="P975" s="48" t="s">
        <v>80</v>
      </c>
      <c r="Q975" s="11" t="s">
        <v>90</v>
      </c>
      <c r="R975" s="49" t="s">
        <v>644</v>
      </c>
      <c r="S975" s="11" t="s">
        <v>1777</v>
      </c>
      <c r="T975" s="105" t="s">
        <v>1</v>
      </c>
      <c r="U975" s="98"/>
      <c r="V975" s="51">
        <v>46030</v>
      </c>
      <c r="W975" s="49" t="s">
        <v>1564</v>
      </c>
      <c r="X975" s="154" t="s">
        <v>2</v>
      </c>
      <c r="Y975" s="154">
        <v>0</v>
      </c>
    </row>
    <row r="976" spans="1:25" ht="13" customHeight="1">
      <c r="A976" s="11">
        <v>970</v>
      </c>
      <c r="B976" s="47">
        <v>205252357</v>
      </c>
      <c r="C976" s="88" t="s">
        <v>2793</v>
      </c>
      <c r="D976" s="11" t="s">
        <v>2794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11" t="s">
        <v>39</v>
      </c>
      <c r="K976" s="11" t="s">
        <v>76</v>
      </c>
      <c r="L976" s="11" t="s">
        <v>77</v>
      </c>
      <c r="M976" s="11" t="s">
        <v>78</v>
      </c>
      <c r="N976" s="11" t="s">
        <v>89</v>
      </c>
      <c r="O976" s="11" t="s">
        <v>37</v>
      </c>
      <c r="P976" s="11" t="s">
        <v>80</v>
      </c>
      <c r="Q976" s="11" t="s">
        <v>96</v>
      </c>
      <c r="R976" s="11" t="s">
        <v>1057</v>
      </c>
      <c r="S976" s="11" t="s">
        <v>2657</v>
      </c>
      <c r="T976" s="105" t="s">
        <v>10</v>
      </c>
      <c r="U976" s="98"/>
      <c r="V976" s="51">
        <v>46238</v>
      </c>
      <c r="W976" s="11" t="s">
        <v>1565</v>
      </c>
      <c r="X976" s="154" t="s">
        <v>2948</v>
      </c>
      <c r="Y976" s="154">
        <v>0</v>
      </c>
    </row>
    <row r="977" spans="1:25" ht="13" customHeight="1">
      <c r="A977" s="11">
        <v>971</v>
      </c>
      <c r="B977" s="47">
        <v>203736773</v>
      </c>
      <c r="C977" s="88" t="s">
        <v>1070</v>
      </c>
      <c r="D977" s="11" t="s">
        <v>1071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92</v>
      </c>
      <c r="M977" s="49" t="s">
        <v>84</v>
      </c>
      <c r="N977" s="48" t="s">
        <v>86</v>
      </c>
      <c r="O977" s="49" t="s">
        <v>37</v>
      </c>
      <c r="P977" s="11" t="s">
        <v>80</v>
      </c>
      <c r="Q977" s="11" t="s">
        <v>99</v>
      </c>
      <c r="R977" s="49" t="s">
        <v>644</v>
      </c>
      <c r="S977" s="11" t="s">
        <v>1777</v>
      </c>
      <c r="T977" s="105" t="s">
        <v>1</v>
      </c>
      <c r="U977" s="98"/>
      <c r="V977" s="51">
        <v>45502</v>
      </c>
      <c r="W977" s="49" t="s">
        <v>1564</v>
      </c>
      <c r="X977" s="154" t="s">
        <v>2</v>
      </c>
      <c r="Y977" s="154" t="s">
        <v>2941</v>
      </c>
    </row>
    <row r="978" spans="1:25" ht="13" customHeight="1">
      <c r="A978" s="11">
        <v>972</v>
      </c>
      <c r="B978" s="47">
        <v>204013730</v>
      </c>
      <c r="C978" s="88" t="s">
        <v>1072</v>
      </c>
      <c r="D978" s="11" t="s">
        <v>1073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85</v>
      </c>
      <c r="M978" s="49" t="s">
        <v>88</v>
      </c>
      <c r="N978" s="48" t="s">
        <v>79</v>
      </c>
      <c r="O978" s="49" t="s">
        <v>37</v>
      </c>
      <c r="P978" s="11" t="s">
        <v>80</v>
      </c>
      <c r="Q978" s="11" t="s">
        <v>81</v>
      </c>
      <c r="R978" s="11" t="s">
        <v>1057</v>
      </c>
      <c r="S978" s="11" t="s">
        <v>2657</v>
      </c>
      <c r="T978" s="105" t="s">
        <v>1</v>
      </c>
      <c r="U978" s="98"/>
      <c r="V978" s="51">
        <v>45551</v>
      </c>
      <c r="W978" s="49" t="s">
        <v>1564</v>
      </c>
      <c r="X978" s="154" t="s">
        <v>2</v>
      </c>
      <c r="Y978" s="154">
        <v>0</v>
      </c>
    </row>
    <row r="979" spans="1:25" ht="13" customHeight="1">
      <c r="A979" s="11">
        <v>973</v>
      </c>
      <c r="B979" s="47">
        <v>106268183</v>
      </c>
      <c r="C979" s="88" t="s">
        <v>1074</v>
      </c>
      <c r="D979" s="11" t="s">
        <v>1075</v>
      </c>
      <c r="E979" s="48" t="s">
        <v>34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95</v>
      </c>
      <c r="M979" s="49" t="s">
        <v>77</v>
      </c>
      <c r="N979" s="48" t="s">
        <v>97</v>
      </c>
      <c r="O979" s="49" t="s">
        <v>37</v>
      </c>
      <c r="P979" s="11" t="s">
        <v>80</v>
      </c>
      <c r="Q979" s="11" t="s">
        <v>98</v>
      </c>
      <c r="R979" s="11" t="s">
        <v>2778</v>
      </c>
      <c r="S979" s="11" t="s">
        <v>2656</v>
      </c>
      <c r="T979" s="105" t="s">
        <v>10</v>
      </c>
      <c r="U979" s="98"/>
      <c r="V979" s="51">
        <v>44831</v>
      </c>
      <c r="W979" s="49" t="s">
        <v>1568</v>
      </c>
      <c r="X979" s="154" t="s">
        <v>2948</v>
      </c>
      <c r="Y979" s="154">
        <v>0</v>
      </c>
    </row>
    <row r="980" spans="1:25" ht="13" customHeight="1">
      <c r="A980" s="11">
        <v>974</v>
      </c>
      <c r="B980" s="47">
        <v>206240253</v>
      </c>
      <c r="C980" s="88" t="s">
        <v>2813</v>
      </c>
      <c r="D980" s="11" t="s">
        <v>2814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11" t="s">
        <v>39</v>
      </c>
      <c r="K980" s="11" t="s">
        <v>76</v>
      </c>
      <c r="L980" s="11" t="s">
        <v>77</v>
      </c>
      <c r="M980" s="11" t="s">
        <v>78</v>
      </c>
      <c r="N980" s="11" t="s">
        <v>89</v>
      </c>
      <c r="O980" s="11" t="s">
        <v>37</v>
      </c>
      <c r="P980" s="11" t="s">
        <v>80</v>
      </c>
      <c r="Q980" s="11" t="s">
        <v>96</v>
      </c>
      <c r="R980" s="11" t="s">
        <v>1057</v>
      </c>
      <c r="S980" s="11" t="s">
        <v>2657</v>
      </c>
      <c r="T980" s="105" t="s">
        <v>10</v>
      </c>
      <c r="U980" s="98"/>
      <c r="V980" s="51">
        <v>46238</v>
      </c>
      <c r="W980" s="11" t="s">
        <v>1564</v>
      </c>
      <c r="X980" s="154" t="s">
        <v>2948</v>
      </c>
      <c r="Y980" s="154">
        <v>0</v>
      </c>
    </row>
    <row r="981" spans="1:25" ht="13" customHeight="1">
      <c r="A981" s="11">
        <v>975</v>
      </c>
      <c r="B981" s="47">
        <v>203965449</v>
      </c>
      <c r="C981" s="88" t="s">
        <v>1076</v>
      </c>
      <c r="D981" s="11" t="s">
        <v>1077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77</v>
      </c>
      <c r="M981" s="49" t="s">
        <v>78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11" t="s">
        <v>636</v>
      </c>
      <c r="S981" s="11" t="s">
        <v>2658</v>
      </c>
      <c r="T981" s="105" t="s">
        <v>10</v>
      </c>
      <c r="U981" s="98"/>
      <c r="V981" s="51">
        <v>45544</v>
      </c>
      <c r="W981" s="49" t="s">
        <v>1565</v>
      </c>
      <c r="X981" s="154" t="s">
        <v>2948</v>
      </c>
      <c r="Y981" s="154">
        <v>0</v>
      </c>
    </row>
    <row r="982" spans="1:25" ht="13" customHeight="1">
      <c r="A982" s="11">
        <v>976</v>
      </c>
      <c r="B982" s="11">
        <v>205938163</v>
      </c>
      <c r="C982" s="88" t="s">
        <v>2138</v>
      </c>
      <c r="D982" s="11" t="s">
        <v>2139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78</v>
      </c>
      <c r="M982" s="49" t="s">
        <v>92</v>
      </c>
      <c r="N982" s="49" t="s">
        <v>89</v>
      </c>
      <c r="O982" s="49" t="s">
        <v>37</v>
      </c>
      <c r="P982" s="11" t="s">
        <v>80</v>
      </c>
      <c r="Q982" s="2" t="s">
        <v>96</v>
      </c>
      <c r="R982" s="11" t="s">
        <v>1057</v>
      </c>
      <c r="S982" s="54" t="s">
        <v>2657</v>
      </c>
      <c r="T982" s="105" t="s">
        <v>1</v>
      </c>
      <c r="U982" s="98"/>
      <c r="V982" s="51">
        <v>46051</v>
      </c>
      <c r="W982" s="49" t="s">
        <v>1564</v>
      </c>
      <c r="X982" s="154" t="s">
        <v>2</v>
      </c>
      <c r="Y982" s="154">
        <v>0</v>
      </c>
    </row>
    <row r="983" spans="1:25" ht="13" customHeight="1">
      <c r="A983" s="11">
        <v>977</v>
      </c>
      <c r="B983" s="47">
        <v>205279080</v>
      </c>
      <c r="C983" s="88" t="s">
        <v>2090</v>
      </c>
      <c r="D983" s="11" t="s">
        <v>2091</v>
      </c>
      <c r="E983" s="101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84</v>
      </c>
      <c r="M983" s="49" t="s">
        <v>85</v>
      </c>
      <c r="N983" s="49" t="s">
        <v>79</v>
      </c>
      <c r="O983" s="49" t="s">
        <v>37</v>
      </c>
      <c r="P983" s="49" t="s">
        <v>80</v>
      </c>
      <c r="Q983" s="49" t="s">
        <v>96</v>
      </c>
      <c r="R983" s="11" t="s">
        <v>628</v>
      </c>
      <c r="S983" s="49" t="s">
        <v>629</v>
      </c>
      <c r="T983" s="105" t="s">
        <v>1</v>
      </c>
      <c r="U983" s="98"/>
      <c r="V983" s="51">
        <v>46048</v>
      </c>
      <c r="W983" s="49" t="s">
        <v>1564</v>
      </c>
      <c r="X983" s="154" t="s">
        <v>2</v>
      </c>
      <c r="Y983" s="154">
        <v>0</v>
      </c>
    </row>
    <row r="984" spans="1:25" ht="13.5" customHeight="1">
      <c r="A984" s="11">
        <v>978</v>
      </c>
      <c r="B984" s="47">
        <v>206004601</v>
      </c>
      <c r="C984" s="88" t="s">
        <v>1078</v>
      </c>
      <c r="D984" s="11" t="s">
        <v>1079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85</v>
      </c>
      <c r="M984" s="49" t="s">
        <v>88</v>
      </c>
      <c r="N984" s="49" t="s">
        <v>79</v>
      </c>
      <c r="O984" s="49" t="s">
        <v>37</v>
      </c>
      <c r="P984" s="11" t="s">
        <v>80</v>
      </c>
      <c r="Q984" s="11" t="s">
        <v>81</v>
      </c>
      <c r="R984" s="11" t="s">
        <v>636</v>
      </c>
      <c r="S984" s="11" t="s">
        <v>2658</v>
      </c>
      <c r="T984" s="105" t="s">
        <v>1</v>
      </c>
      <c r="U984" s="98"/>
      <c r="V984" s="51">
        <v>45915</v>
      </c>
      <c r="W984" s="49" t="s">
        <v>1564</v>
      </c>
      <c r="X984" s="154" t="s">
        <v>2</v>
      </c>
      <c r="Y984" s="154">
        <v>0</v>
      </c>
    </row>
    <row r="985" spans="1:25" ht="13" customHeight="1">
      <c r="A985" s="11">
        <v>979</v>
      </c>
      <c r="B985" s="11">
        <v>205853892</v>
      </c>
      <c r="C985" s="88" t="s">
        <v>2770</v>
      </c>
      <c r="D985" s="11" t="s">
        <v>2771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78</v>
      </c>
      <c r="M985" s="49" t="s">
        <v>92</v>
      </c>
      <c r="N985" s="11" t="s">
        <v>89</v>
      </c>
      <c r="O985" s="11" t="s">
        <v>37</v>
      </c>
      <c r="P985" s="11" t="s">
        <v>80</v>
      </c>
      <c r="Q985" s="11" t="s">
        <v>96</v>
      </c>
      <c r="R985" s="11" t="s">
        <v>624</v>
      </c>
      <c r="S985" s="11" t="s">
        <v>625</v>
      </c>
      <c r="T985" s="105" t="s">
        <v>1</v>
      </c>
      <c r="U985" s="98"/>
      <c r="V985" s="51">
        <v>46226</v>
      </c>
      <c r="W985" s="11" t="s">
        <v>1564</v>
      </c>
      <c r="X985" s="154" t="s">
        <v>2</v>
      </c>
      <c r="Y985" s="154">
        <v>0</v>
      </c>
    </row>
    <row r="986" spans="1:25" ht="13" customHeight="1">
      <c r="A986" s="11">
        <v>980</v>
      </c>
      <c r="B986" s="47">
        <v>205997632</v>
      </c>
      <c r="C986" s="88" t="s">
        <v>1080</v>
      </c>
      <c r="D986" s="11" t="s">
        <v>1081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32</v>
      </c>
      <c r="K986" s="49" t="s">
        <v>76</v>
      </c>
      <c r="L986" s="49" t="s">
        <v>88</v>
      </c>
      <c r="M986" s="49" t="s">
        <v>95</v>
      </c>
      <c r="N986" s="48" t="s">
        <v>79</v>
      </c>
      <c r="O986" s="49" t="s">
        <v>37</v>
      </c>
      <c r="P986" s="11" t="s">
        <v>80</v>
      </c>
      <c r="Q986" s="11" t="s">
        <v>81</v>
      </c>
      <c r="R986" s="11" t="s">
        <v>2779</v>
      </c>
      <c r="S986" s="11" t="s">
        <v>2780</v>
      </c>
      <c r="T986" s="105" t="s">
        <v>1</v>
      </c>
      <c r="U986" s="98"/>
      <c r="V986" s="51">
        <v>45915</v>
      </c>
      <c r="W986" s="49" t="s">
        <v>1564</v>
      </c>
      <c r="X986" s="154" t="s">
        <v>2</v>
      </c>
      <c r="Y986" s="154">
        <v>0</v>
      </c>
    </row>
    <row r="987" spans="1:25" ht="13" customHeight="1">
      <c r="A987" s="11">
        <v>981</v>
      </c>
      <c r="B987" s="47">
        <v>203965010</v>
      </c>
      <c r="C987" s="88" t="s">
        <v>1082</v>
      </c>
      <c r="D987" s="11" t="s">
        <v>1083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32</v>
      </c>
      <c r="K987" s="49" t="s">
        <v>76</v>
      </c>
      <c r="L987" s="49" t="s">
        <v>88</v>
      </c>
      <c r="M987" s="49" t="s">
        <v>95</v>
      </c>
      <c r="N987" s="48" t="s">
        <v>86</v>
      </c>
      <c r="O987" s="49" t="s">
        <v>37</v>
      </c>
      <c r="P987" s="11" t="s">
        <v>80</v>
      </c>
      <c r="Q987" s="11" t="s">
        <v>99</v>
      </c>
      <c r="R987" s="49" t="s">
        <v>644</v>
      </c>
      <c r="S987" s="11" t="s">
        <v>1777</v>
      </c>
      <c r="T987" s="105" t="s">
        <v>1</v>
      </c>
      <c r="U987" s="98"/>
      <c r="V987" s="51">
        <v>45544</v>
      </c>
      <c r="W987" s="49" t="s">
        <v>1564</v>
      </c>
      <c r="X987" s="154" t="s">
        <v>2</v>
      </c>
      <c r="Y987" s="154">
        <v>0</v>
      </c>
    </row>
    <row r="988" spans="1:25" ht="13" customHeight="1">
      <c r="A988" s="11">
        <v>982</v>
      </c>
      <c r="B988" s="47">
        <v>204095809</v>
      </c>
      <c r="C988" s="88" t="s">
        <v>1084</v>
      </c>
      <c r="D988" s="11" t="s">
        <v>1085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95</v>
      </c>
      <c r="M988" s="49" t="s">
        <v>77</v>
      </c>
      <c r="N988" s="48" t="s">
        <v>86</v>
      </c>
      <c r="O988" s="49" t="s">
        <v>37</v>
      </c>
      <c r="P988" s="11" t="s">
        <v>80</v>
      </c>
      <c r="Q988" s="11" t="s">
        <v>87</v>
      </c>
      <c r="R988" s="11" t="s">
        <v>628</v>
      </c>
      <c r="S988" s="11" t="s">
        <v>629</v>
      </c>
      <c r="T988" s="105" t="s">
        <v>10</v>
      </c>
      <c r="U988" s="98"/>
      <c r="V988" s="51">
        <v>45561</v>
      </c>
      <c r="W988" s="49" t="s">
        <v>1564</v>
      </c>
      <c r="X988" s="154" t="s">
        <v>2948</v>
      </c>
      <c r="Y988" s="154">
        <v>0</v>
      </c>
    </row>
    <row r="989" spans="1:25" ht="13" customHeight="1">
      <c r="A989" s="11">
        <v>983</v>
      </c>
      <c r="B989" s="47">
        <v>204116442</v>
      </c>
      <c r="C989" s="88" t="s">
        <v>1086</v>
      </c>
      <c r="D989" s="11" t="s">
        <v>1087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77</v>
      </c>
      <c r="M989" s="49" t="s">
        <v>78</v>
      </c>
      <c r="N989" s="48" t="s">
        <v>86</v>
      </c>
      <c r="O989" s="49" t="s">
        <v>37</v>
      </c>
      <c r="P989" s="11" t="s">
        <v>80</v>
      </c>
      <c r="Q989" s="11" t="s">
        <v>87</v>
      </c>
      <c r="R989" s="49" t="s">
        <v>624</v>
      </c>
      <c r="S989" s="11" t="s">
        <v>625</v>
      </c>
      <c r="T989" s="105" t="s">
        <v>10</v>
      </c>
      <c r="U989" s="98"/>
      <c r="V989" s="51">
        <v>45561</v>
      </c>
      <c r="W989" s="49" t="s">
        <v>1563</v>
      </c>
      <c r="X989" s="154" t="s">
        <v>2948</v>
      </c>
      <c r="Y989" s="154" t="s">
        <v>2941</v>
      </c>
    </row>
    <row r="990" spans="1:25" ht="13" customHeight="1">
      <c r="A990" s="11">
        <v>984</v>
      </c>
      <c r="B990" s="47">
        <v>203965178</v>
      </c>
      <c r="C990" s="88" t="s">
        <v>1088</v>
      </c>
      <c r="D990" s="11" t="s">
        <v>1089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77</v>
      </c>
      <c r="M990" s="49" t="s">
        <v>78</v>
      </c>
      <c r="N990" s="48" t="s">
        <v>79</v>
      </c>
      <c r="O990" s="49" t="s">
        <v>37</v>
      </c>
      <c r="P990" s="11" t="s">
        <v>80</v>
      </c>
      <c r="Q990" s="11" t="s">
        <v>81</v>
      </c>
      <c r="R990" s="49" t="s">
        <v>644</v>
      </c>
      <c r="S990" s="11" t="s">
        <v>1777</v>
      </c>
      <c r="T990" s="105" t="s">
        <v>10</v>
      </c>
      <c r="U990" s="98"/>
      <c r="V990" s="51">
        <v>45544</v>
      </c>
      <c r="W990" s="49" t="s">
        <v>1564</v>
      </c>
      <c r="X990" s="154" t="s">
        <v>2948</v>
      </c>
      <c r="Y990" s="154">
        <v>0</v>
      </c>
    </row>
    <row r="991" spans="1:25" ht="13" customHeight="1">
      <c r="A991" s="11">
        <v>985</v>
      </c>
      <c r="B991" s="47">
        <v>206128578</v>
      </c>
      <c r="C991" s="88" t="s">
        <v>2799</v>
      </c>
      <c r="D991" s="11" t="s">
        <v>2800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11" t="s">
        <v>39</v>
      </c>
      <c r="K991" s="11" t="s">
        <v>76</v>
      </c>
      <c r="L991" s="11" t="s">
        <v>84</v>
      </c>
      <c r="M991" s="11" t="s">
        <v>85</v>
      </c>
      <c r="N991" s="11" t="s">
        <v>89</v>
      </c>
      <c r="O991" s="11" t="s">
        <v>37</v>
      </c>
      <c r="P991" s="11" t="s">
        <v>80</v>
      </c>
      <c r="Q991" s="11" t="s">
        <v>96</v>
      </c>
      <c r="R991" s="11" t="s">
        <v>1057</v>
      </c>
      <c r="S991" s="11" t="s">
        <v>2657</v>
      </c>
      <c r="T991" s="105" t="s">
        <v>1</v>
      </c>
      <c r="U991" s="98"/>
      <c r="V991" s="51">
        <v>46238</v>
      </c>
      <c r="W991" s="11" t="s">
        <v>1565</v>
      </c>
      <c r="X991" s="154" t="s">
        <v>2</v>
      </c>
      <c r="Y991" s="154">
        <v>0</v>
      </c>
    </row>
    <row r="992" spans="1:25" ht="13" customHeight="1">
      <c r="A992" s="11">
        <v>986</v>
      </c>
      <c r="B992" s="47">
        <v>203993303</v>
      </c>
      <c r="C992" s="88" t="s">
        <v>1090</v>
      </c>
      <c r="D992" s="11" t="s">
        <v>1091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78</v>
      </c>
      <c r="M992" s="49" t="s">
        <v>92</v>
      </c>
      <c r="N992" s="48" t="s">
        <v>79</v>
      </c>
      <c r="O992" s="49" t="s">
        <v>37</v>
      </c>
      <c r="P992" s="11" t="s">
        <v>80</v>
      </c>
      <c r="Q992" s="11" t="s">
        <v>81</v>
      </c>
      <c r="R992" s="49" t="s">
        <v>624</v>
      </c>
      <c r="S992" s="11" t="s">
        <v>625</v>
      </c>
      <c r="T992" s="105" t="s">
        <v>1</v>
      </c>
      <c r="U992" s="98"/>
      <c r="V992" s="51">
        <v>45547</v>
      </c>
      <c r="W992" s="49" t="s">
        <v>1564</v>
      </c>
      <c r="X992" s="154" t="s">
        <v>2</v>
      </c>
      <c r="Y992" s="154">
        <v>0</v>
      </c>
    </row>
    <row r="993" spans="1:25" ht="13" customHeight="1">
      <c r="A993" s="11">
        <v>987</v>
      </c>
      <c r="B993" s="47">
        <v>204053437</v>
      </c>
      <c r="C993" s="88" t="s">
        <v>1092</v>
      </c>
      <c r="D993" s="11" t="s">
        <v>1093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95</v>
      </c>
      <c r="M993" s="49" t="s">
        <v>77</v>
      </c>
      <c r="N993" s="48" t="s">
        <v>86</v>
      </c>
      <c r="O993" s="49" t="s">
        <v>37</v>
      </c>
      <c r="P993" s="11" t="s">
        <v>80</v>
      </c>
      <c r="Q993" s="11" t="s">
        <v>99</v>
      </c>
      <c r="R993" s="49" t="s">
        <v>644</v>
      </c>
      <c r="S993" s="11" t="s">
        <v>1777</v>
      </c>
      <c r="T993" s="105" t="s">
        <v>10</v>
      </c>
      <c r="U993" s="98"/>
      <c r="V993" s="51">
        <v>45558</v>
      </c>
      <c r="W993" s="49" t="s">
        <v>1563</v>
      </c>
      <c r="X993" s="154" t="s">
        <v>2948</v>
      </c>
      <c r="Y993" s="154">
        <v>0</v>
      </c>
    </row>
    <row r="994" spans="1:25" ht="13" customHeight="1">
      <c r="A994" s="11">
        <v>988</v>
      </c>
      <c r="B994" s="47">
        <v>206137333</v>
      </c>
      <c r="C994" s="88" t="s">
        <v>1094</v>
      </c>
      <c r="D994" s="11" t="s">
        <v>1095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84</v>
      </c>
      <c r="M994" s="49" t="s">
        <v>85</v>
      </c>
      <c r="N994" s="49" t="s">
        <v>79</v>
      </c>
      <c r="O994" s="49" t="s">
        <v>37</v>
      </c>
      <c r="P994" s="11" t="s">
        <v>80</v>
      </c>
      <c r="Q994" s="11" t="s">
        <v>81</v>
      </c>
      <c r="R994" s="11" t="s">
        <v>628</v>
      </c>
      <c r="S994" s="11" t="s">
        <v>629</v>
      </c>
      <c r="T994" s="105" t="s">
        <v>1</v>
      </c>
      <c r="U994" s="98"/>
      <c r="V994" s="51">
        <v>45929</v>
      </c>
      <c r="W994" s="49" t="s">
        <v>1564</v>
      </c>
      <c r="X994" s="154" t="s">
        <v>2</v>
      </c>
      <c r="Y994" s="154">
        <v>0</v>
      </c>
    </row>
    <row r="995" spans="1:25" ht="13" customHeight="1">
      <c r="A995" s="11">
        <v>989</v>
      </c>
      <c r="B995" s="47">
        <v>205996135</v>
      </c>
      <c r="C995" s="88" t="s">
        <v>1096</v>
      </c>
      <c r="D995" s="11" t="s">
        <v>1097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77</v>
      </c>
      <c r="M995" s="49" t="s">
        <v>78</v>
      </c>
      <c r="N995" s="48" t="s">
        <v>79</v>
      </c>
      <c r="O995" s="49" t="s">
        <v>37</v>
      </c>
      <c r="P995" s="11" t="s">
        <v>80</v>
      </c>
      <c r="Q995" s="11" t="s">
        <v>81</v>
      </c>
      <c r="R995" s="11" t="s">
        <v>628</v>
      </c>
      <c r="S995" s="11" t="s">
        <v>629</v>
      </c>
      <c r="T995" s="105" t="s">
        <v>10</v>
      </c>
      <c r="U995" s="98"/>
      <c r="V995" s="51">
        <v>45915</v>
      </c>
      <c r="W995" s="49" t="s">
        <v>1564</v>
      </c>
      <c r="X995" s="154" t="s">
        <v>2948</v>
      </c>
      <c r="Y995" s="154">
        <v>0</v>
      </c>
    </row>
    <row r="996" spans="1:25" ht="13" customHeight="1">
      <c r="A996" s="11">
        <v>990</v>
      </c>
      <c r="B996" s="47">
        <v>203851108</v>
      </c>
      <c r="C996" s="88" t="s">
        <v>1098</v>
      </c>
      <c r="D996" s="11" t="s">
        <v>1099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84</v>
      </c>
      <c r="M996" s="49" t="s">
        <v>85</v>
      </c>
      <c r="N996" s="48" t="s">
        <v>79</v>
      </c>
      <c r="O996" s="49" t="s">
        <v>37</v>
      </c>
      <c r="P996" s="11" t="s">
        <v>80</v>
      </c>
      <c r="Q996" s="11" t="s">
        <v>81</v>
      </c>
      <c r="R996" s="49" t="s">
        <v>624</v>
      </c>
      <c r="S996" s="11" t="s">
        <v>625</v>
      </c>
      <c r="T996" s="105" t="s">
        <v>1</v>
      </c>
      <c r="U996" s="98"/>
      <c r="V996" s="51">
        <v>45524</v>
      </c>
      <c r="W996" s="49" t="s">
        <v>1566</v>
      </c>
      <c r="X996" s="154" t="s">
        <v>2</v>
      </c>
      <c r="Y996" s="154">
        <v>0</v>
      </c>
    </row>
    <row r="997" spans="1:25" ht="13" customHeight="1">
      <c r="A997" s="11">
        <v>991</v>
      </c>
      <c r="B997" s="47">
        <v>206137338</v>
      </c>
      <c r="C997" s="88" t="s">
        <v>1100</v>
      </c>
      <c r="D997" s="11" t="s">
        <v>1101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77</v>
      </c>
      <c r="M997" s="49" t="s">
        <v>78</v>
      </c>
      <c r="N997" s="49" t="s">
        <v>79</v>
      </c>
      <c r="O997" s="49" t="s">
        <v>37</v>
      </c>
      <c r="P997" s="11" t="s">
        <v>80</v>
      </c>
      <c r="Q997" s="11" t="s">
        <v>81</v>
      </c>
      <c r="R997" s="11" t="s">
        <v>628</v>
      </c>
      <c r="S997" s="11" t="s">
        <v>629</v>
      </c>
      <c r="T997" s="105" t="s">
        <v>10</v>
      </c>
      <c r="U997" s="98"/>
      <c r="V997" s="51">
        <v>45929</v>
      </c>
      <c r="W997" s="49" t="s">
        <v>1564</v>
      </c>
      <c r="X997" s="154" t="s">
        <v>2948</v>
      </c>
      <c r="Y997" s="154">
        <v>0</v>
      </c>
    </row>
    <row r="998" spans="1:25" ht="13" customHeight="1">
      <c r="A998" s="11">
        <v>992</v>
      </c>
      <c r="B998" s="47">
        <v>206129614</v>
      </c>
      <c r="C998" s="88" t="s">
        <v>1102</v>
      </c>
      <c r="D998" s="11" t="s">
        <v>1103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32</v>
      </c>
      <c r="K998" s="49" t="s">
        <v>76</v>
      </c>
      <c r="L998" s="49" t="s">
        <v>88</v>
      </c>
      <c r="M998" s="49" t="s">
        <v>95</v>
      </c>
      <c r="N998" s="48" t="s">
        <v>79</v>
      </c>
      <c r="O998" s="49" t="s">
        <v>37</v>
      </c>
      <c r="P998" s="11" t="s">
        <v>80</v>
      </c>
      <c r="Q998" s="11" t="s">
        <v>81</v>
      </c>
      <c r="R998" s="11" t="s">
        <v>2779</v>
      </c>
      <c r="S998" s="11" t="s">
        <v>2780</v>
      </c>
      <c r="T998" s="105" t="s">
        <v>1</v>
      </c>
      <c r="U998" s="98"/>
      <c r="V998" s="51">
        <v>45929</v>
      </c>
      <c r="W998" s="49" t="s">
        <v>1564</v>
      </c>
      <c r="X998" s="154" t="s">
        <v>2</v>
      </c>
      <c r="Y998" s="154">
        <v>0</v>
      </c>
    </row>
    <row r="999" spans="1:25" ht="13" customHeight="1">
      <c r="A999" s="11">
        <v>993</v>
      </c>
      <c r="B999" s="47">
        <v>204890373</v>
      </c>
      <c r="C999" s="88" t="s">
        <v>1104</v>
      </c>
      <c r="D999" s="11" t="s">
        <v>1105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1290</v>
      </c>
      <c r="J999" s="49" t="s">
        <v>39</v>
      </c>
      <c r="K999" s="49" t="s">
        <v>76</v>
      </c>
      <c r="L999" s="49" t="s">
        <v>84</v>
      </c>
      <c r="M999" s="49" t="s">
        <v>85</v>
      </c>
      <c r="N999" s="48" t="s">
        <v>86</v>
      </c>
      <c r="O999" s="49" t="s">
        <v>37</v>
      </c>
      <c r="P999" s="11" t="s">
        <v>80</v>
      </c>
      <c r="Q999" s="11" t="s">
        <v>90</v>
      </c>
      <c r="R999" s="49" t="s">
        <v>624</v>
      </c>
      <c r="S999" s="11" t="s">
        <v>625</v>
      </c>
      <c r="T999" s="105" t="s">
        <v>1</v>
      </c>
      <c r="U999" s="98"/>
      <c r="V999" s="51">
        <v>45691</v>
      </c>
      <c r="W999" s="49" t="s">
        <v>1564</v>
      </c>
      <c r="X999" s="154" t="s">
        <v>2</v>
      </c>
      <c r="Y999" s="154">
        <v>0</v>
      </c>
    </row>
    <row r="1000" spans="1:25" ht="13" customHeight="1">
      <c r="A1000" s="11">
        <v>994</v>
      </c>
      <c r="B1000" s="91">
        <v>205845553</v>
      </c>
      <c r="C1000" s="47" t="s">
        <v>2742</v>
      </c>
      <c r="D1000" s="88" t="s">
        <v>2743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77</v>
      </c>
      <c r="M1000" s="49" t="s">
        <v>78</v>
      </c>
      <c r="N1000" s="48" t="s">
        <v>86</v>
      </c>
      <c r="O1000" s="49" t="s">
        <v>37</v>
      </c>
      <c r="P1000" s="11" t="s">
        <v>80</v>
      </c>
      <c r="Q1000" s="11" t="s">
        <v>90</v>
      </c>
      <c r="R1000" s="11" t="s">
        <v>624</v>
      </c>
      <c r="S1000" s="11" t="s">
        <v>625</v>
      </c>
      <c r="T1000" s="105" t="s">
        <v>10</v>
      </c>
      <c r="U1000" s="98"/>
      <c r="V1000" s="51">
        <v>45894</v>
      </c>
      <c r="W1000" s="49" t="s">
        <v>1563</v>
      </c>
      <c r="X1000" s="154" t="s">
        <v>2948</v>
      </c>
      <c r="Y1000" s="154">
        <v>0</v>
      </c>
    </row>
    <row r="1001" spans="1:25" ht="13" customHeight="1">
      <c r="A1001" s="11">
        <v>995</v>
      </c>
      <c r="B1001" s="47">
        <v>206239769</v>
      </c>
      <c r="C1001" s="88" t="s">
        <v>1633</v>
      </c>
      <c r="D1001" s="11" t="s">
        <v>1608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77</v>
      </c>
      <c r="M1001" s="49" t="s">
        <v>78</v>
      </c>
      <c r="N1001" s="48" t="s">
        <v>86</v>
      </c>
      <c r="O1001" s="49" t="s">
        <v>37</v>
      </c>
      <c r="P1001" s="11" t="s">
        <v>80</v>
      </c>
      <c r="Q1001" s="11" t="s">
        <v>90</v>
      </c>
      <c r="R1001" s="11" t="s">
        <v>2779</v>
      </c>
      <c r="S1001" s="11" t="s">
        <v>2780</v>
      </c>
      <c r="T1001" s="105" t="s">
        <v>10</v>
      </c>
      <c r="U1001" s="98"/>
      <c r="V1001" s="51">
        <v>45943</v>
      </c>
      <c r="W1001" s="49" t="s">
        <v>1556</v>
      </c>
      <c r="X1001" s="154" t="s">
        <v>2948</v>
      </c>
      <c r="Y1001" s="154">
        <v>0</v>
      </c>
    </row>
    <row r="1002" spans="1:25" ht="13" customHeight="1">
      <c r="A1002" s="11">
        <v>996</v>
      </c>
      <c r="B1002" s="47">
        <v>203850899</v>
      </c>
      <c r="C1002" s="88" t="s">
        <v>1106</v>
      </c>
      <c r="D1002" s="11" t="s">
        <v>1107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78</v>
      </c>
      <c r="M1002" s="49" t="s">
        <v>92</v>
      </c>
      <c r="N1002" s="48" t="s">
        <v>86</v>
      </c>
      <c r="O1002" s="49" t="s">
        <v>37</v>
      </c>
      <c r="P1002" s="11" t="s">
        <v>80</v>
      </c>
      <c r="Q1002" s="11" t="s">
        <v>90</v>
      </c>
      <c r="R1002" s="49" t="s">
        <v>624</v>
      </c>
      <c r="S1002" s="11" t="s">
        <v>625</v>
      </c>
      <c r="T1002" s="105" t="s">
        <v>1</v>
      </c>
      <c r="U1002" s="98"/>
      <c r="V1002" s="51">
        <v>45524</v>
      </c>
      <c r="W1002" s="49" t="s">
        <v>1564</v>
      </c>
      <c r="X1002" s="154" t="s">
        <v>2</v>
      </c>
      <c r="Y1002" s="154">
        <v>0</v>
      </c>
    </row>
    <row r="1003" spans="1:25" ht="13" customHeight="1">
      <c r="A1003" s="11">
        <v>997</v>
      </c>
      <c r="B1003" s="47">
        <v>206239755</v>
      </c>
      <c r="C1003" s="88" t="s">
        <v>1620</v>
      </c>
      <c r="D1003" s="11" t="s">
        <v>1615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92</v>
      </c>
      <c r="M1003" s="49" t="s">
        <v>84</v>
      </c>
      <c r="N1003" s="49" t="s">
        <v>89</v>
      </c>
      <c r="O1003" s="49" t="s">
        <v>37</v>
      </c>
      <c r="P1003" s="11" t="s">
        <v>80</v>
      </c>
      <c r="Q1003" s="11" t="s">
        <v>90</v>
      </c>
      <c r="R1003" s="49" t="s">
        <v>624</v>
      </c>
      <c r="S1003" s="11" t="s">
        <v>625</v>
      </c>
      <c r="T1003" s="105" t="s">
        <v>1</v>
      </c>
      <c r="U1003" s="98"/>
      <c r="V1003" s="51">
        <v>45943</v>
      </c>
      <c r="W1003" s="49" t="s">
        <v>1563</v>
      </c>
      <c r="X1003" s="154" t="s">
        <v>2</v>
      </c>
      <c r="Y1003" s="154">
        <v>0</v>
      </c>
    </row>
    <row r="1004" spans="1:25" ht="13" customHeight="1">
      <c r="A1004" s="11">
        <v>998</v>
      </c>
      <c r="B1004" s="47">
        <v>206868000</v>
      </c>
      <c r="C1004" s="88" t="s">
        <v>2783</v>
      </c>
      <c r="D1004" s="11" t="s">
        <v>2784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11" t="s">
        <v>39</v>
      </c>
      <c r="K1004" s="11" t="s">
        <v>76</v>
      </c>
      <c r="L1004" s="11" t="s">
        <v>78</v>
      </c>
      <c r="M1004" s="11" t="s">
        <v>92</v>
      </c>
      <c r="N1004" s="11" t="s">
        <v>89</v>
      </c>
      <c r="O1004" s="11" t="s">
        <v>37</v>
      </c>
      <c r="P1004" s="11" t="s">
        <v>80</v>
      </c>
      <c r="Q1004" s="11" t="s">
        <v>81</v>
      </c>
      <c r="R1004" s="11" t="s">
        <v>628</v>
      </c>
      <c r="S1004" s="11" t="s">
        <v>629</v>
      </c>
      <c r="T1004" s="105" t="s">
        <v>1</v>
      </c>
      <c r="U1004" s="98"/>
      <c r="V1004" s="51">
        <v>46238</v>
      </c>
      <c r="W1004" s="11" t="s">
        <v>1566</v>
      </c>
      <c r="X1004" s="154" t="s">
        <v>2</v>
      </c>
      <c r="Y1004" s="154">
        <v>0</v>
      </c>
    </row>
    <row r="1005" spans="1:25" ht="13" customHeight="1">
      <c r="A1005" s="11">
        <v>999</v>
      </c>
      <c r="B1005" s="47">
        <v>206890219</v>
      </c>
      <c r="C1005" s="88" t="s">
        <v>1812</v>
      </c>
      <c r="D1005" s="11" t="s">
        <v>1813</v>
      </c>
      <c r="E1005" s="11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77</v>
      </c>
      <c r="M1005" s="49" t="s">
        <v>78</v>
      </c>
      <c r="N1005" s="49" t="s">
        <v>89</v>
      </c>
      <c r="O1005" s="49" t="s">
        <v>37</v>
      </c>
      <c r="P1005" s="11" t="s">
        <v>80</v>
      </c>
      <c r="Q1005" s="11" t="s">
        <v>96</v>
      </c>
      <c r="R1005" s="11" t="s">
        <v>1057</v>
      </c>
      <c r="S1005" s="11" t="s">
        <v>2657</v>
      </c>
      <c r="T1005" s="105" t="s">
        <v>10</v>
      </c>
      <c r="U1005" s="98"/>
      <c r="V1005" s="51">
        <v>46027</v>
      </c>
      <c r="W1005" s="49" t="s">
        <v>1564</v>
      </c>
      <c r="X1005" s="154" t="s">
        <v>2948</v>
      </c>
      <c r="Y1005" s="154">
        <v>0</v>
      </c>
    </row>
    <row r="1006" spans="1:25" ht="13" customHeight="1">
      <c r="A1006" s="11">
        <v>1000</v>
      </c>
      <c r="B1006" s="47">
        <v>204117683</v>
      </c>
      <c r="C1006" s="88" t="s">
        <v>1108</v>
      </c>
      <c r="D1006" s="11" t="s">
        <v>1109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85</v>
      </c>
      <c r="M1006" s="49" t="s">
        <v>88</v>
      </c>
      <c r="N1006" s="48" t="s">
        <v>86</v>
      </c>
      <c r="O1006" s="49" t="s">
        <v>37</v>
      </c>
      <c r="P1006" s="11" t="s">
        <v>80</v>
      </c>
      <c r="Q1006" s="11" t="s">
        <v>87</v>
      </c>
      <c r="R1006" s="11" t="s">
        <v>628</v>
      </c>
      <c r="S1006" s="11" t="s">
        <v>629</v>
      </c>
      <c r="T1006" s="105" t="s">
        <v>1</v>
      </c>
      <c r="U1006" s="98"/>
      <c r="V1006" s="51">
        <v>45561</v>
      </c>
      <c r="W1006" s="49" t="s">
        <v>1564</v>
      </c>
      <c r="X1006" s="154" t="s">
        <v>2</v>
      </c>
      <c r="Y1006" s="154">
        <v>0</v>
      </c>
    </row>
    <row r="1007" spans="1:25" ht="13" customHeight="1">
      <c r="A1007" s="11">
        <v>1001</v>
      </c>
      <c r="B1007" s="47">
        <v>203341966</v>
      </c>
      <c r="C1007" s="88" t="s">
        <v>1110</v>
      </c>
      <c r="D1007" s="11" t="s">
        <v>1111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78</v>
      </c>
      <c r="M1007" s="49" t="s">
        <v>92</v>
      </c>
      <c r="N1007" s="48" t="s">
        <v>86</v>
      </c>
      <c r="O1007" s="49" t="s">
        <v>37</v>
      </c>
      <c r="P1007" s="11" t="s">
        <v>80</v>
      </c>
      <c r="Q1007" s="11" t="s">
        <v>99</v>
      </c>
      <c r="R1007" s="49" t="s">
        <v>644</v>
      </c>
      <c r="S1007" s="11" t="s">
        <v>1777</v>
      </c>
      <c r="T1007" s="105" t="s">
        <v>1</v>
      </c>
      <c r="U1007" s="98"/>
      <c r="V1007" s="51">
        <v>45432</v>
      </c>
      <c r="W1007" s="49" t="s">
        <v>1564</v>
      </c>
      <c r="X1007" s="154" t="s">
        <v>2</v>
      </c>
      <c r="Y1007" s="154">
        <v>0</v>
      </c>
    </row>
    <row r="1008" spans="1:25" ht="13" customHeight="1">
      <c r="A1008" s="11">
        <v>1002</v>
      </c>
      <c r="B1008" s="47">
        <v>206004602</v>
      </c>
      <c r="C1008" s="88" t="s">
        <v>1112</v>
      </c>
      <c r="D1008" s="11" t="s">
        <v>1113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84</v>
      </c>
      <c r="M1008" s="49" t="s">
        <v>85</v>
      </c>
      <c r="N1008" s="48" t="s">
        <v>79</v>
      </c>
      <c r="O1008" s="49" t="s">
        <v>37</v>
      </c>
      <c r="P1008" s="11" t="s">
        <v>80</v>
      </c>
      <c r="Q1008" s="11" t="s">
        <v>81</v>
      </c>
      <c r="R1008" s="11" t="s">
        <v>636</v>
      </c>
      <c r="S1008" s="11" t="s">
        <v>2658</v>
      </c>
      <c r="T1008" s="105" t="s">
        <v>1</v>
      </c>
      <c r="U1008" s="98"/>
      <c r="V1008" s="51">
        <v>45922</v>
      </c>
      <c r="W1008" s="49" t="s">
        <v>1564</v>
      </c>
      <c r="X1008" s="154" t="s">
        <v>2</v>
      </c>
      <c r="Y1008" s="154">
        <v>0</v>
      </c>
    </row>
    <row r="1009" spans="1:25" ht="13" customHeight="1">
      <c r="A1009" s="11">
        <v>1003</v>
      </c>
      <c r="B1009" s="47">
        <v>203965406</v>
      </c>
      <c r="C1009" s="88" t="s">
        <v>1114</v>
      </c>
      <c r="D1009" s="11" t="s">
        <v>1115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8" t="s">
        <v>79</v>
      </c>
      <c r="O1009" s="49" t="s">
        <v>37</v>
      </c>
      <c r="P1009" s="11" t="s">
        <v>80</v>
      </c>
      <c r="Q1009" s="11" t="s">
        <v>81</v>
      </c>
      <c r="R1009" s="11" t="s">
        <v>1057</v>
      </c>
      <c r="S1009" s="11" t="s">
        <v>2657</v>
      </c>
      <c r="T1009" s="105" t="s">
        <v>1</v>
      </c>
      <c r="U1009" s="98"/>
      <c r="V1009" s="51">
        <v>45544</v>
      </c>
      <c r="W1009" s="49" t="s">
        <v>1564</v>
      </c>
      <c r="X1009" s="154" t="s">
        <v>2</v>
      </c>
      <c r="Y1009" s="154">
        <v>0</v>
      </c>
    </row>
    <row r="1010" spans="1:25" ht="13" customHeight="1">
      <c r="A1010" s="11">
        <v>1004</v>
      </c>
      <c r="B1010" s="47">
        <v>203850901</v>
      </c>
      <c r="C1010" s="88" t="s">
        <v>1116</v>
      </c>
      <c r="D1010" s="11" t="s">
        <v>1117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78</v>
      </c>
      <c r="M1010" s="49" t="s">
        <v>92</v>
      </c>
      <c r="N1010" s="48" t="s">
        <v>86</v>
      </c>
      <c r="O1010" s="49" t="s">
        <v>37</v>
      </c>
      <c r="P1010" s="11" t="s">
        <v>80</v>
      </c>
      <c r="Q1010" s="11" t="s">
        <v>90</v>
      </c>
      <c r="R1010" s="11" t="s">
        <v>1057</v>
      </c>
      <c r="S1010" s="11" t="s">
        <v>2657</v>
      </c>
      <c r="T1010" s="105" t="s">
        <v>1</v>
      </c>
      <c r="U1010" s="98"/>
      <c r="V1010" s="51">
        <v>45524</v>
      </c>
      <c r="W1010" s="49" t="s">
        <v>1564</v>
      </c>
      <c r="X1010" s="154" t="s">
        <v>2</v>
      </c>
      <c r="Y1010" s="154">
        <v>0</v>
      </c>
    </row>
    <row r="1011" spans="1:25" ht="13" customHeight="1">
      <c r="A1011" s="11">
        <v>1005</v>
      </c>
      <c r="B1011" s="47">
        <v>203851104</v>
      </c>
      <c r="C1011" s="88" t="s">
        <v>1118</v>
      </c>
      <c r="D1011" s="11" t="s">
        <v>1119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32</v>
      </c>
      <c r="K1011" s="49" t="s">
        <v>76</v>
      </c>
      <c r="L1011" s="49" t="s">
        <v>78</v>
      </c>
      <c r="M1011" s="49" t="s">
        <v>92</v>
      </c>
      <c r="N1011" s="48" t="s">
        <v>79</v>
      </c>
      <c r="O1011" s="49" t="s">
        <v>37</v>
      </c>
      <c r="P1011" s="11" t="s">
        <v>80</v>
      </c>
      <c r="Q1011" s="11" t="s">
        <v>81</v>
      </c>
      <c r="R1011" s="11" t="s">
        <v>2779</v>
      </c>
      <c r="S1011" s="11" t="s">
        <v>2780</v>
      </c>
      <c r="T1011" s="105" t="s">
        <v>1</v>
      </c>
      <c r="U1011" s="98"/>
      <c r="V1011" s="51">
        <v>45524</v>
      </c>
      <c r="W1011" s="49" t="s">
        <v>1566</v>
      </c>
      <c r="X1011" s="154" t="s">
        <v>2</v>
      </c>
      <c r="Y1011" s="154">
        <v>0</v>
      </c>
    </row>
    <row r="1012" spans="1:25" ht="13" customHeight="1">
      <c r="A1012" s="11">
        <v>1006</v>
      </c>
      <c r="B1012" s="47">
        <v>206129267</v>
      </c>
      <c r="C1012" s="88" t="s">
        <v>1120</v>
      </c>
      <c r="D1012" s="11" t="s">
        <v>1121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78</v>
      </c>
      <c r="M1012" s="49" t="s">
        <v>92</v>
      </c>
      <c r="N1012" s="48" t="s">
        <v>79</v>
      </c>
      <c r="O1012" s="49" t="s">
        <v>37</v>
      </c>
      <c r="P1012" s="11" t="s">
        <v>80</v>
      </c>
      <c r="Q1012" s="11" t="s">
        <v>81</v>
      </c>
      <c r="R1012" s="49" t="s">
        <v>644</v>
      </c>
      <c r="S1012" s="11" t="s">
        <v>1777</v>
      </c>
      <c r="T1012" s="105" t="s">
        <v>1</v>
      </c>
      <c r="U1012" s="98"/>
      <c r="V1012" s="51">
        <v>45929</v>
      </c>
      <c r="W1012" s="49" t="s">
        <v>1564</v>
      </c>
      <c r="X1012" s="154" t="s">
        <v>2</v>
      </c>
      <c r="Y1012" s="154">
        <v>0</v>
      </c>
    </row>
    <row r="1013" spans="1:25" ht="13" customHeight="1">
      <c r="A1013" s="11">
        <v>1007</v>
      </c>
      <c r="B1013" s="91">
        <v>205845556</v>
      </c>
      <c r="C1013" s="47" t="s">
        <v>2744</v>
      </c>
      <c r="D1013" s="88" t="s">
        <v>2745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88</v>
      </c>
      <c r="M1013" s="49" t="s">
        <v>95</v>
      </c>
      <c r="N1013" s="49" t="s">
        <v>89</v>
      </c>
      <c r="O1013" s="49" t="s">
        <v>37</v>
      </c>
      <c r="P1013" s="11" t="s">
        <v>80</v>
      </c>
      <c r="Q1013" s="11" t="s">
        <v>90</v>
      </c>
      <c r="R1013" s="11" t="s">
        <v>628</v>
      </c>
      <c r="S1013" s="11" t="s">
        <v>629</v>
      </c>
      <c r="T1013" s="105" t="s">
        <v>1</v>
      </c>
      <c r="U1013" s="98"/>
      <c r="V1013" s="51">
        <v>45894</v>
      </c>
      <c r="W1013" s="49" t="s">
        <v>1564</v>
      </c>
      <c r="X1013" s="154" t="s">
        <v>2</v>
      </c>
      <c r="Y1013" s="154">
        <v>0</v>
      </c>
    </row>
    <row r="1014" spans="1:25" ht="13" customHeight="1">
      <c r="A1014" s="11">
        <v>1008</v>
      </c>
      <c r="B1014" s="47">
        <v>206200807</v>
      </c>
      <c r="C1014" s="88" t="s">
        <v>1583</v>
      </c>
      <c r="D1014" s="11" t="s">
        <v>1577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32</v>
      </c>
      <c r="K1014" s="49" t="s">
        <v>76</v>
      </c>
      <c r="L1014" s="49" t="s">
        <v>78</v>
      </c>
      <c r="M1014" s="49" t="s">
        <v>92</v>
      </c>
      <c r="N1014" s="49" t="s">
        <v>79</v>
      </c>
      <c r="O1014" s="49" t="s">
        <v>37</v>
      </c>
      <c r="P1014" s="11" t="s">
        <v>80</v>
      </c>
      <c r="Q1014" s="11" t="s">
        <v>81</v>
      </c>
      <c r="R1014" s="49" t="s">
        <v>2659</v>
      </c>
      <c r="S1014" s="11" t="s">
        <v>639</v>
      </c>
      <c r="T1014" s="105" t="s">
        <v>1</v>
      </c>
      <c r="U1014" s="98"/>
      <c r="V1014" s="51">
        <v>45936</v>
      </c>
      <c r="W1014" s="49" t="s">
        <v>1564</v>
      </c>
      <c r="X1014" s="154" t="s">
        <v>2</v>
      </c>
      <c r="Y1014" s="154">
        <v>0</v>
      </c>
    </row>
    <row r="1015" spans="1:25" ht="13" customHeight="1">
      <c r="A1015" s="11">
        <v>1009</v>
      </c>
      <c r="B1015" s="47">
        <v>203635494</v>
      </c>
      <c r="C1015" s="88" t="s">
        <v>1122</v>
      </c>
      <c r="D1015" s="11" t="s">
        <v>1123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32</v>
      </c>
      <c r="K1015" s="49" t="s">
        <v>76</v>
      </c>
      <c r="L1015" s="49" t="s">
        <v>84</v>
      </c>
      <c r="M1015" s="49" t="s">
        <v>85</v>
      </c>
      <c r="N1015" s="48" t="s">
        <v>79</v>
      </c>
      <c r="O1015" s="49" t="s">
        <v>37</v>
      </c>
      <c r="P1015" s="11" t="s">
        <v>80</v>
      </c>
      <c r="Q1015" s="11" t="s">
        <v>81</v>
      </c>
      <c r="R1015" s="49" t="s">
        <v>644</v>
      </c>
      <c r="S1015" s="11" t="s">
        <v>1777</v>
      </c>
      <c r="T1015" s="105" t="s">
        <v>7</v>
      </c>
      <c r="U1015" s="98" t="s">
        <v>2941</v>
      </c>
      <c r="V1015" s="51">
        <v>45481</v>
      </c>
      <c r="W1015" s="49" t="s">
        <v>1564</v>
      </c>
      <c r="X1015" s="154" t="s">
        <v>2948</v>
      </c>
      <c r="Y1015" s="154" t="s">
        <v>2941</v>
      </c>
    </row>
    <row r="1016" spans="1:25" ht="13" customHeight="1">
      <c r="A1016" s="11">
        <v>1010</v>
      </c>
      <c r="B1016" s="47">
        <v>203881694</v>
      </c>
      <c r="C1016" s="88" t="s">
        <v>1124</v>
      </c>
      <c r="D1016" s="11" t="s">
        <v>1125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92</v>
      </c>
      <c r="M1016" s="49" t="s">
        <v>84</v>
      </c>
      <c r="N1016" s="48" t="s">
        <v>79</v>
      </c>
      <c r="O1016" s="49" t="s">
        <v>37</v>
      </c>
      <c r="P1016" s="11" t="s">
        <v>80</v>
      </c>
      <c r="Q1016" s="11" t="s">
        <v>81</v>
      </c>
      <c r="R1016" s="49" t="s">
        <v>644</v>
      </c>
      <c r="S1016" s="11" t="s">
        <v>1777</v>
      </c>
      <c r="T1016" s="105" t="s">
        <v>1</v>
      </c>
      <c r="U1016" s="98"/>
      <c r="V1016" s="51">
        <v>45530</v>
      </c>
      <c r="W1016" s="49" t="s">
        <v>1566</v>
      </c>
      <c r="X1016" s="154" t="s">
        <v>2</v>
      </c>
      <c r="Y1016" s="154">
        <v>0</v>
      </c>
    </row>
    <row r="1017" spans="1:25" ht="13" customHeight="1">
      <c r="A1017" s="11">
        <v>1011</v>
      </c>
      <c r="B1017" s="47">
        <v>205856635</v>
      </c>
      <c r="C1017" s="88" t="s">
        <v>1126</v>
      </c>
      <c r="D1017" s="11" t="s">
        <v>1127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92</v>
      </c>
      <c r="M1017" s="49" t="s">
        <v>84</v>
      </c>
      <c r="N1017" s="49" t="s">
        <v>79</v>
      </c>
      <c r="O1017" s="49" t="s">
        <v>37</v>
      </c>
      <c r="P1017" s="11" t="s">
        <v>80</v>
      </c>
      <c r="Q1017" s="11" t="s">
        <v>96</v>
      </c>
      <c r="R1017" s="49" t="s">
        <v>624</v>
      </c>
      <c r="S1017" s="11" t="s">
        <v>625</v>
      </c>
      <c r="T1017" s="105" t="s">
        <v>1</v>
      </c>
      <c r="U1017" s="98"/>
      <c r="V1017" s="51">
        <v>45894</v>
      </c>
      <c r="W1017" s="49" t="s">
        <v>1564</v>
      </c>
      <c r="X1017" s="154" t="s">
        <v>2</v>
      </c>
      <c r="Y1017" s="154">
        <v>0</v>
      </c>
    </row>
    <row r="1018" spans="1:25" ht="13" customHeight="1">
      <c r="A1018" s="11">
        <v>1012</v>
      </c>
      <c r="B1018" s="47">
        <v>203800780</v>
      </c>
      <c r="C1018" s="88" t="s">
        <v>1128</v>
      </c>
      <c r="D1018" s="11" t="s">
        <v>1129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92</v>
      </c>
      <c r="M1018" s="49" t="s">
        <v>84</v>
      </c>
      <c r="N1018" s="48" t="s">
        <v>86</v>
      </c>
      <c r="O1018" s="49" t="s">
        <v>37</v>
      </c>
      <c r="P1018" s="11" t="s">
        <v>80</v>
      </c>
      <c r="Q1018" s="11" t="s">
        <v>90</v>
      </c>
      <c r="R1018" s="49" t="s">
        <v>644</v>
      </c>
      <c r="S1018" s="11" t="s">
        <v>1777</v>
      </c>
      <c r="T1018" s="105" t="s">
        <v>1</v>
      </c>
      <c r="U1018" s="98"/>
      <c r="V1018" s="51">
        <v>45684</v>
      </c>
      <c r="W1018" s="49" t="s">
        <v>1563</v>
      </c>
      <c r="X1018" s="154" t="s">
        <v>2</v>
      </c>
      <c r="Y1018" s="154">
        <v>0</v>
      </c>
    </row>
    <row r="1019" spans="1:25" ht="13" customHeight="1">
      <c r="A1019" s="11">
        <v>1013</v>
      </c>
      <c r="B1019" s="47">
        <v>204072305</v>
      </c>
      <c r="C1019" s="88" t="s">
        <v>1130</v>
      </c>
      <c r="D1019" s="11" t="s">
        <v>1131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32</v>
      </c>
      <c r="K1019" s="49" t="s">
        <v>76</v>
      </c>
      <c r="L1019" s="49" t="s">
        <v>95</v>
      </c>
      <c r="M1019" s="49" t="s">
        <v>77</v>
      </c>
      <c r="N1019" s="48" t="s">
        <v>86</v>
      </c>
      <c r="O1019" s="49" t="s">
        <v>37</v>
      </c>
      <c r="P1019" s="11" t="s">
        <v>80</v>
      </c>
      <c r="Q1019" s="11" t="s">
        <v>90</v>
      </c>
      <c r="R1019" s="49" t="s">
        <v>644</v>
      </c>
      <c r="S1019" s="11" t="s">
        <v>1777</v>
      </c>
      <c r="T1019" s="105" t="s">
        <v>10</v>
      </c>
      <c r="U1019" s="98"/>
      <c r="V1019" s="51">
        <v>45558</v>
      </c>
      <c r="W1019" s="49" t="s">
        <v>1564</v>
      </c>
      <c r="X1019" s="154" t="s">
        <v>2948</v>
      </c>
      <c r="Y1019" s="154">
        <v>0</v>
      </c>
    </row>
    <row r="1020" spans="1:25" ht="13" customHeight="1">
      <c r="A1020" s="11">
        <v>1014</v>
      </c>
      <c r="B1020" s="47">
        <v>204137711</v>
      </c>
      <c r="C1020" s="88" t="s">
        <v>1132</v>
      </c>
      <c r="D1020" s="11" t="s">
        <v>1133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88</v>
      </c>
      <c r="M1020" s="49" t="s">
        <v>95</v>
      </c>
      <c r="N1020" s="48" t="s">
        <v>86</v>
      </c>
      <c r="O1020" s="49" t="s">
        <v>37</v>
      </c>
      <c r="P1020" s="11" t="s">
        <v>80</v>
      </c>
      <c r="Q1020" s="11" t="s">
        <v>87</v>
      </c>
      <c r="R1020" s="49" t="s">
        <v>624</v>
      </c>
      <c r="S1020" s="11" t="s">
        <v>625</v>
      </c>
      <c r="T1020" s="105" t="s">
        <v>1</v>
      </c>
      <c r="U1020" s="98"/>
      <c r="V1020" s="51">
        <v>45565</v>
      </c>
      <c r="W1020" s="49" t="s">
        <v>1564</v>
      </c>
      <c r="X1020" s="154" t="s">
        <v>2</v>
      </c>
      <c r="Y1020" s="154">
        <v>0</v>
      </c>
    </row>
    <row r="1021" spans="1:25" ht="13" customHeight="1">
      <c r="A1021" s="11">
        <v>1015</v>
      </c>
      <c r="B1021" s="47">
        <v>204013686</v>
      </c>
      <c r="C1021" s="88" t="s">
        <v>1134</v>
      </c>
      <c r="D1021" s="11" t="s">
        <v>1135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85</v>
      </c>
      <c r="M1021" s="49" t="s">
        <v>88</v>
      </c>
      <c r="N1021" s="48" t="s">
        <v>79</v>
      </c>
      <c r="O1021" s="49" t="s">
        <v>37</v>
      </c>
      <c r="P1021" s="11" t="s">
        <v>80</v>
      </c>
      <c r="Q1021" s="11" t="s">
        <v>81</v>
      </c>
      <c r="R1021" s="11" t="s">
        <v>636</v>
      </c>
      <c r="S1021" s="11" t="s">
        <v>2658</v>
      </c>
      <c r="T1021" s="105" t="s">
        <v>4</v>
      </c>
      <c r="U1021" s="98"/>
      <c r="V1021" s="51">
        <v>45551</v>
      </c>
      <c r="W1021" s="49" t="s">
        <v>1563</v>
      </c>
      <c r="X1021" s="154" t="s">
        <v>2948</v>
      </c>
      <c r="Y1021" s="154">
        <v>0</v>
      </c>
    </row>
    <row r="1022" spans="1:25" ht="13" customHeight="1">
      <c r="A1022" s="11">
        <v>1016</v>
      </c>
      <c r="B1022" s="47">
        <v>204868502</v>
      </c>
      <c r="C1022" s="88" t="s">
        <v>2358</v>
      </c>
      <c r="D1022" s="11" t="s">
        <v>2359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32</v>
      </c>
      <c r="K1022" s="49" t="s">
        <v>76</v>
      </c>
      <c r="L1022" s="49" t="s">
        <v>85</v>
      </c>
      <c r="M1022" s="49" t="s">
        <v>88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1057</v>
      </c>
      <c r="S1022" s="11" t="s">
        <v>2657</v>
      </c>
      <c r="T1022" s="105" t="s">
        <v>1</v>
      </c>
      <c r="U1022" s="98"/>
      <c r="V1022" s="51">
        <v>45894</v>
      </c>
      <c r="W1022" s="49" t="s">
        <v>1564</v>
      </c>
      <c r="X1022" s="154" t="s">
        <v>2</v>
      </c>
      <c r="Y1022" s="154">
        <v>0</v>
      </c>
    </row>
    <row r="1023" spans="1:25" ht="13" customHeight="1">
      <c r="A1023" s="11">
        <v>1017</v>
      </c>
      <c r="B1023" s="47">
        <v>203881662</v>
      </c>
      <c r="C1023" s="88" t="s">
        <v>1136</v>
      </c>
      <c r="D1023" s="11" t="s">
        <v>1137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32</v>
      </c>
      <c r="K1023" s="49" t="s">
        <v>76</v>
      </c>
      <c r="L1023" s="49" t="s">
        <v>77</v>
      </c>
      <c r="M1023" s="49" t="s">
        <v>78</v>
      </c>
      <c r="N1023" s="48" t="s">
        <v>79</v>
      </c>
      <c r="O1023" s="49" t="s">
        <v>37</v>
      </c>
      <c r="P1023" s="11" t="s">
        <v>80</v>
      </c>
      <c r="Q1023" s="11" t="s">
        <v>81</v>
      </c>
      <c r="R1023" s="11" t="s">
        <v>2779</v>
      </c>
      <c r="S1023" s="11" t="s">
        <v>2780</v>
      </c>
      <c r="T1023" s="105" t="s">
        <v>10</v>
      </c>
      <c r="U1023" s="98"/>
      <c r="V1023" s="51">
        <v>45530</v>
      </c>
      <c r="W1023" s="49" t="s">
        <v>1564</v>
      </c>
      <c r="X1023" s="154" t="s">
        <v>2948</v>
      </c>
      <c r="Y1023" s="154">
        <v>0</v>
      </c>
    </row>
    <row r="1024" spans="1:25" ht="13" customHeight="1">
      <c r="A1024" s="11">
        <v>1018</v>
      </c>
      <c r="B1024" s="47">
        <v>203851101</v>
      </c>
      <c r="C1024" s="88" t="s">
        <v>1138</v>
      </c>
      <c r="D1024" s="11" t="s">
        <v>1139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32</v>
      </c>
      <c r="K1024" s="49" t="s">
        <v>76</v>
      </c>
      <c r="L1024" s="49" t="s">
        <v>77</v>
      </c>
      <c r="M1024" s="49" t="s">
        <v>78</v>
      </c>
      <c r="N1024" s="48" t="s">
        <v>79</v>
      </c>
      <c r="O1024" s="49" t="s">
        <v>37</v>
      </c>
      <c r="P1024" s="11" t="s">
        <v>80</v>
      </c>
      <c r="Q1024" s="11" t="s">
        <v>81</v>
      </c>
      <c r="R1024" s="11" t="s">
        <v>1057</v>
      </c>
      <c r="S1024" s="11" t="s">
        <v>2657</v>
      </c>
      <c r="T1024" s="105" t="s">
        <v>10</v>
      </c>
      <c r="U1024" s="98"/>
      <c r="V1024" s="51">
        <v>45524</v>
      </c>
      <c r="W1024" s="49" t="s">
        <v>1566</v>
      </c>
      <c r="X1024" s="154" t="s">
        <v>2948</v>
      </c>
      <c r="Y1024" s="154">
        <v>0</v>
      </c>
    </row>
    <row r="1025" spans="1:25" ht="13" customHeight="1">
      <c r="A1025" s="11">
        <v>1019</v>
      </c>
      <c r="B1025" s="47">
        <v>205997634</v>
      </c>
      <c r="C1025" s="88" t="s">
        <v>1140</v>
      </c>
      <c r="D1025" s="11" t="s">
        <v>1141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88</v>
      </c>
      <c r="M1025" s="49" t="s">
        <v>95</v>
      </c>
      <c r="N1025" s="48" t="s">
        <v>79</v>
      </c>
      <c r="O1025" s="49" t="s">
        <v>37</v>
      </c>
      <c r="P1025" s="11" t="s">
        <v>80</v>
      </c>
      <c r="Q1025" s="11" t="s">
        <v>81</v>
      </c>
      <c r="R1025" s="11" t="s">
        <v>1057</v>
      </c>
      <c r="S1025" s="11" t="s">
        <v>2657</v>
      </c>
      <c r="T1025" s="105" t="s">
        <v>1</v>
      </c>
      <c r="U1025" s="98"/>
      <c r="V1025" s="51">
        <v>45915</v>
      </c>
      <c r="W1025" s="49" t="s">
        <v>1564</v>
      </c>
      <c r="X1025" s="154" t="s">
        <v>2</v>
      </c>
      <c r="Y1025" s="154">
        <v>0</v>
      </c>
    </row>
    <row r="1026" spans="1:25" ht="13" customHeight="1">
      <c r="A1026" s="11">
        <v>1020</v>
      </c>
      <c r="B1026" s="47">
        <v>204967557</v>
      </c>
      <c r="C1026" s="88" t="s">
        <v>1142</v>
      </c>
      <c r="D1026" s="11" t="s">
        <v>1143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85</v>
      </c>
      <c r="M1026" s="49" t="s">
        <v>88</v>
      </c>
      <c r="N1026" s="48" t="s">
        <v>86</v>
      </c>
      <c r="O1026" s="49" t="s">
        <v>37</v>
      </c>
      <c r="P1026" s="11" t="s">
        <v>80</v>
      </c>
      <c r="Q1026" s="11" t="s">
        <v>90</v>
      </c>
      <c r="R1026" s="49" t="s">
        <v>644</v>
      </c>
      <c r="S1026" s="11" t="s">
        <v>1777</v>
      </c>
      <c r="T1026" s="105" t="s">
        <v>1</v>
      </c>
      <c r="U1026" s="98"/>
      <c r="V1026" s="51">
        <v>45719</v>
      </c>
      <c r="W1026" s="49" t="s">
        <v>1564</v>
      </c>
      <c r="X1026" s="154" t="s">
        <v>2</v>
      </c>
      <c r="Y1026" s="154">
        <v>0</v>
      </c>
    </row>
    <row r="1027" spans="1:25" ht="13" customHeight="1">
      <c r="A1027" s="11">
        <v>1021</v>
      </c>
      <c r="B1027" s="47">
        <v>204967039</v>
      </c>
      <c r="C1027" s="88" t="s">
        <v>1144</v>
      </c>
      <c r="D1027" s="11" t="s">
        <v>1145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77</v>
      </c>
      <c r="M1027" s="49" t="s">
        <v>78</v>
      </c>
      <c r="N1027" s="48" t="s">
        <v>86</v>
      </c>
      <c r="O1027" s="49" t="s">
        <v>37</v>
      </c>
      <c r="P1027" s="11" t="s">
        <v>80</v>
      </c>
      <c r="Q1027" s="11" t="s">
        <v>90</v>
      </c>
      <c r="R1027" s="49" t="s">
        <v>644</v>
      </c>
      <c r="S1027" s="11" t="s">
        <v>1777</v>
      </c>
      <c r="T1027" s="105" t="s">
        <v>10</v>
      </c>
      <c r="U1027" s="98"/>
      <c r="V1027" s="51">
        <v>45719</v>
      </c>
      <c r="W1027" s="49" t="s">
        <v>1564</v>
      </c>
      <c r="X1027" s="154" t="s">
        <v>2948</v>
      </c>
      <c r="Y1027" s="154">
        <v>0</v>
      </c>
    </row>
    <row r="1028" spans="1:25" ht="13" customHeight="1">
      <c r="A1028" s="11">
        <v>1022</v>
      </c>
      <c r="B1028" s="47">
        <v>204967145</v>
      </c>
      <c r="C1028" s="88" t="s">
        <v>1146</v>
      </c>
      <c r="D1028" s="11" t="s">
        <v>1147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39</v>
      </c>
      <c r="K1028" s="49" t="s">
        <v>76</v>
      </c>
      <c r="L1028" s="49" t="s">
        <v>92</v>
      </c>
      <c r="M1028" s="49" t="s">
        <v>84</v>
      </c>
      <c r="N1028" s="48" t="s">
        <v>86</v>
      </c>
      <c r="O1028" s="49" t="s">
        <v>37</v>
      </c>
      <c r="P1028" s="11" t="s">
        <v>80</v>
      </c>
      <c r="Q1028" s="11" t="s">
        <v>90</v>
      </c>
      <c r="R1028" s="11" t="s">
        <v>1057</v>
      </c>
      <c r="S1028" s="11" t="s">
        <v>2657</v>
      </c>
      <c r="T1028" s="105" t="s">
        <v>1</v>
      </c>
      <c r="U1028" s="98"/>
      <c r="V1028" s="51">
        <v>45719</v>
      </c>
      <c r="W1028" s="49" t="s">
        <v>1566</v>
      </c>
      <c r="X1028" s="154" t="s">
        <v>2</v>
      </c>
      <c r="Y1028" s="154">
        <v>0</v>
      </c>
    </row>
    <row r="1029" spans="1:25" ht="13" customHeight="1">
      <c r="A1029" s="11">
        <v>1023</v>
      </c>
      <c r="B1029" s="47">
        <v>203512946</v>
      </c>
      <c r="C1029" s="88" t="s">
        <v>1148</v>
      </c>
      <c r="D1029" s="11" t="s">
        <v>1149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95</v>
      </c>
      <c r="M1029" s="49" t="s">
        <v>77</v>
      </c>
      <c r="N1029" s="48" t="s">
        <v>79</v>
      </c>
      <c r="O1029" s="49" t="s">
        <v>37</v>
      </c>
      <c r="P1029" s="11" t="s">
        <v>80</v>
      </c>
      <c r="Q1029" s="11" t="s">
        <v>81</v>
      </c>
      <c r="R1029" s="11" t="s">
        <v>2779</v>
      </c>
      <c r="S1029" s="11" t="s">
        <v>2780</v>
      </c>
      <c r="T1029" s="105" t="s">
        <v>10</v>
      </c>
      <c r="U1029" s="98"/>
      <c r="V1029" s="51">
        <v>45463</v>
      </c>
      <c r="W1029" s="49" t="s">
        <v>1564</v>
      </c>
      <c r="X1029" s="154" t="s">
        <v>2948</v>
      </c>
      <c r="Y1029" s="154">
        <v>0</v>
      </c>
    </row>
    <row r="1030" spans="1:25" ht="13" customHeight="1">
      <c r="A1030" s="11">
        <v>1024</v>
      </c>
      <c r="B1030" s="47">
        <v>202189563</v>
      </c>
      <c r="C1030" s="88" t="s">
        <v>1150</v>
      </c>
      <c r="D1030" s="11" t="s">
        <v>1151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84</v>
      </c>
      <c r="M1030" s="49" t="s">
        <v>85</v>
      </c>
      <c r="N1030" s="48" t="s">
        <v>79</v>
      </c>
      <c r="O1030" s="49" t="s">
        <v>37</v>
      </c>
      <c r="P1030" s="11" t="s">
        <v>80</v>
      </c>
      <c r="Q1030" s="11" t="s">
        <v>81</v>
      </c>
      <c r="R1030" s="49" t="s">
        <v>644</v>
      </c>
      <c r="S1030" s="11" t="s">
        <v>1777</v>
      </c>
      <c r="T1030" s="105" t="s">
        <v>1</v>
      </c>
      <c r="U1030" s="98"/>
      <c r="V1030" s="51">
        <v>45537</v>
      </c>
      <c r="W1030" s="49" t="s">
        <v>1565</v>
      </c>
      <c r="X1030" s="154" t="s">
        <v>2</v>
      </c>
      <c r="Y1030" s="154">
        <v>0</v>
      </c>
    </row>
    <row r="1031" spans="1:25" ht="13" customHeight="1">
      <c r="A1031" s="11">
        <v>1025</v>
      </c>
      <c r="B1031" s="47">
        <v>205854084</v>
      </c>
      <c r="C1031" s="88" t="s">
        <v>1152</v>
      </c>
      <c r="D1031" s="11" t="s">
        <v>1153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84</v>
      </c>
      <c r="M1031" s="49" t="s">
        <v>85</v>
      </c>
      <c r="N1031" s="49" t="s">
        <v>79</v>
      </c>
      <c r="O1031" s="49" t="s">
        <v>37</v>
      </c>
      <c r="P1031" s="11" t="s">
        <v>80</v>
      </c>
      <c r="Q1031" s="11" t="s">
        <v>96</v>
      </c>
      <c r="R1031" s="11" t="s">
        <v>628</v>
      </c>
      <c r="S1031" s="11" t="s">
        <v>629</v>
      </c>
      <c r="T1031" s="105" t="s">
        <v>1</v>
      </c>
      <c r="U1031" s="98"/>
      <c r="V1031" s="51">
        <v>45894</v>
      </c>
      <c r="W1031" s="49" t="s">
        <v>1564</v>
      </c>
      <c r="X1031" s="154" t="s">
        <v>2</v>
      </c>
      <c r="Y1031" s="154">
        <v>0</v>
      </c>
    </row>
    <row r="1032" spans="1:25" ht="13" customHeight="1">
      <c r="A1032" s="11">
        <v>1026</v>
      </c>
      <c r="B1032" s="47">
        <v>106268302</v>
      </c>
      <c r="C1032" s="88" t="s">
        <v>1154</v>
      </c>
      <c r="D1032" s="11" t="s">
        <v>1155</v>
      </c>
      <c r="E1032" s="48" t="s">
        <v>34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32</v>
      </c>
      <c r="K1032" s="49" t="s">
        <v>76</v>
      </c>
      <c r="L1032" s="49" t="s">
        <v>95</v>
      </c>
      <c r="M1032" s="49" t="s">
        <v>77</v>
      </c>
      <c r="N1032" s="48" t="s">
        <v>97</v>
      </c>
      <c r="O1032" s="49" t="s">
        <v>37</v>
      </c>
      <c r="P1032" s="11" t="s">
        <v>80</v>
      </c>
      <c r="Q1032" s="11" t="s">
        <v>98</v>
      </c>
      <c r="R1032" s="11" t="s">
        <v>636</v>
      </c>
      <c r="S1032" s="11" t="s">
        <v>2658</v>
      </c>
      <c r="T1032" s="105" t="s">
        <v>10</v>
      </c>
      <c r="U1032" s="98"/>
      <c r="V1032" s="51">
        <v>44839</v>
      </c>
      <c r="W1032" s="49" t="s">
        <v>1568</v>
      </c>
      <c r="X1032" s="154" t="s">
        <v>2948</v>
      </c>
      <c r="Y1032" s="154">
        <v>0</v>
      </c>
    </row>
    <row r="1033" spans="1:25" ht="13" customHeight="1">
      <c r="A1033" s="11">
        <v>1027</v>
      </c>
      <c r="B1033" s="47">
        <v>206915472</v>
      </c>
      <c r="C1033" s="88" t="s">
        <v>1865</v>
      </c>
      <c r="D1033" s="11" t="s">
        <v>1859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95</v>
      </c>
      <c r="M1033" s="49" t="s">
        <v>77</v>
      </c>
      <c r="N1033" s="49" t="s">
        <v>89</v>
      </c>
      <c r="O1033" s="49" t="s">
        <v>37</v>
      </c>
      <c r="P1033" s="11" t="s">
        <v>80</v>
      </c>
      <c r="Q1033" s="11" t="s">
        <v>90</v>
      </c>
      <c r="R1033" s="49" t="s">
        <v>624</v>
      </c>
      <c r="S1033" s="11" t="s">
        <v>625</v>
      </c>
      <c r="T1033" s="105" t="s">
        <v>10</v>
      </c>
      <c r="U1033" s="98"/>
      <c r="V1033" s="51">
        <v>46034</v>
      </c>
      <c r="W1033" s="49" t="s">
        <v>1564</v>
      </c>
      <c r="X1033" s="154" t="s">
        <v>2948</v>
      </c>
      <c r="Y1033" s="154">
        <v>0</v>
      </c>
    </row>
    <row r="1034" spans="1:25" ht="13" customHeight="1">
      <c r="A1034" s="11">
        <v>1028</v>
      </c>
      <c r="B1034" s="47">
        <v>206129616</v>
      </c>
      <c r="C1034" s="88" t="s">
        <v>1156</v>
      </c>
      <c r="D1034" s="11" t="s">
        <v>1157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84</v>
      </c>
      <c r="M1034" s="49" t="s">
        <v>85</v>
      </c>
      <c r="N1034" s="48" t="s">
        <v>79</v>
      </c>
      <c r="O1034" s="49" t="s">
        <v>37</v>
      </c>
      <c r="P1034" s="11" t="s">
        <v>80</v>
      </c>
      <c r="Q1034" s="11" t="s">
        <v>81</v>
      </c>
      <c r="R1034" s="49" t="s">
        <v>644</v>
      </c>
      <c r="S1034" s="11" t="s">
        <v>1777</v>
      </c>
      <c r="T1034" s="105" t="s">
        <v>1</v>
      </c>
      <c r="U1034" s="98"/>
      <c r="V1034" s="51">
        <v>45929</v>
      </c>
      <c r="W1034" s="49" t="s">
        <v>1564</v>
      </c>
      <c r="X1034" s="154" t="s">
        <v>2</v>
      </c>
      <c r="Y1034" s="154">
        <v>0</v>
      </c>
    </row>
    <row r="1035" spans="1:25" ht="13" customHeight="1">
      <c r="A1035" s="11">
        <v>1029</v>
      </c>
      <c r="B1035" s="47">
        <v>204951315</v>
      </c>
      <c r="C1035" s="88" t="s">
        <v>2360</v>
      </c>
      <c r="D1035" s="11" t="s">
        <v>2361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92</v>
      </c>
      <c r="M1035" s="49" t="s">
        <v>84</v>
      </c>
      <c r="N1035" s="48" t="s">
        <v>86</v>
      </c>
      <c r="O1035" s="49" t="s">
        <v>37</v>
      </c>
      <c r="P1035" s="11" t="s">
        <v>80</v>
      </c>
      <c r="Q1035" s="11" t="s">
        <v>90</v>
      </c>
      <c r="R1035" s="49" t="s">
        <v>644</v>
      </c>
      <c r="S1035" s="11" t="s">
        <v>1777</v>
      </c>
      <c r="T1035" s="105" t="s">
        <v>1</v>
      </c>
      <c r="U1035" s="98"/>
      <c r="V1035" s="51">
        <v>45719</v>
      </c>
      <c r="W1035" s="49" t="s">
        <v>1564</v>
      </c>
      <c r="X1035" s="154" t="s">
        <v>2</v>
      </c>
      <c r="Y1035" s="154">
        <v>0</v>
      </c>
    </row>
    <row r="1036" spans="1:25" ht="13" customHeight="1">
      <c r="A1036" s="11">
        <v>1030</v>
      </c>
      <c r="B1036" s="47">
        <v>204009351</v>
      </c>
      <c r="C1036" s="88" t="s">
        <v>1158</v>
      </c>
      <c r="D1036" s="11" t="s">
        <v>1159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88</v>
      </c>
      <c r="M1036" s="49" t="s">
        <v>95</v>
      </c>
      <c r="N1036" s="48" t="s">
        <v>86</v>
      </c>
      <c r="O1036" s="49" t="s">
        <v>37</v>
      </c>
      <c r="P1036" s="11" t="s">
        <v>80</v>
      </c>
      <c r="Q1036" s="11" t="s">
        <v>90</v>
      </c>
      <c r="R1036" s="49" t="s">
        <v>644</v>
      </c>
      <c r="S1036" s="11" t="s">
        <v>1777</v>
      </c>
      <c r="T1036" s="105" t="s">
        <v>1</v>
      </c>
      <c r="U1036" s="98"/>
      <c r="V1036" s="51">
        <v>45551</v>
      </c>
      <c r="W1036" s="49" t="s">
        <v>1564</v>
      </c>
      <c r="X1036" s="154" t="s">
        <v>2</v>
      </c>
      <c r="Y1036" s="154">
        <v>0</v>
      </c>
    </row>
    <row r="1037" spans="1:25" ht="13" customHeight="1">
      <c r="A1037" s="11">
        <v>1031</v>
      </c>
      <c r="B1037" s="47">
        <v>203512947</v>
      </c>
      <c r="C1037" s="88" t="s">
        <v>1160</v>
      </c>
      <c r="D1037" s="11" t="s">
        <v>1161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88</v>
      </c>
      <c r="M1037" s="49" t="s">
        <v>95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11" t="s">
        <v>1057</v>
      </c>
      <c r="S1037" s="11" t="s">
        <v>2657</v>
      </c>
      <c r="T1037" s="105" t="s">
        <v>1</v>
      </c>
      <c r="U1037" s="98"/>
      <c r="V1037" s="51">
        <v>45463</v>
      </c>
      <c r="W1037" s="49" t="s">
        <v>1564</v>
      </c>
      <c r="X1037" s="154" t="s">
        <v>2</v>
      </c>
      <c r="Y1037" s="154">
        <v>0</v>
      </c>
    </row>
    <row r="1038" spans="1:25" ht="13" customHeight="1">
      <c r="A1038" s="11">
        <v>1032</v>
      </c>
      <c r="B1038" s="47">
        <v>206006426</v>
      </c>
      <c r="C1038" s="88" t="s">
        <v>1162</v>
      </c>
      <c r="D1038" s="11" t="s">
        <v>1163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39</v>
      </c>
      <c r="K1038" s="49" t="s">
        <v>76</v>
      </c>
      <c r="L1038" s="49" t="s">
        <v>77</v>
      </c>
      <c r="M1038" s="49" t="s">
        <v>78</v>
      </c>
      <c r="N1038" s="48" t="s">
        <v>79</v>
      </c>
      <c r="O1038" s="49" t="s">
        <v>37</v>
      </c>
      <c r="P1038" s="11" t="s">
        <v>80</v>
      </c>
      <c r="Q1038" s="11" t="s">
        <v>81</v>
      </c>
      <c r="R1038" s="49" t="s">
        <v>2659</v>
      </c>
      <c r="S1038" s="11" t="s">
        <v>639</v>
      </c>
      <c r="T1038" s="105" t="s">
        <v>10</v>
      </c>
      <c r="U1038" s="98"/>
      <c r="V1038" s="51">
        <v>45915</v>
      </c>
      <c r="W1038" s="49" t="s">
        <v>1564</v>
      </c>
      <c r="X1038" s="154" t="s">
        <v>2948</v>
      </c>
      <c r="Y1038" s="154">
        <v>0</v>
      </c>
    </row>
    <row r="1039" spans="1:25" ht="13" customHeight="1">
      <c r="A1039" s="11">
        <v>1033</v>
      </c>
      <c r="B1039" s="47">
        <v>206129597</v>
      </c>
      <c r="C1039" s="88" t="s">
        <v>1164</v>
      </c>
      <c r="D1039" s="11" t="s">
        <v>1165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84</v>
      </c>
      <c r="M1039" s="49" t="s">
        <v>85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49" t="s">
        <v>644</v>
      </c>
      <c r="S1039" s="11" t="s">
        <v>1777</v>
      </c>
      <c r="T1039" s="105" t="s">
        <v>1</v>
      </c>
      <c r="U1039" s="98"/>
      <c r="V1039" s="51">
        <v>45929</v>
      </c>
      <c r="W1039" s="49" t="s">
        <v>1564</v>
      </c>
      <c r="X1039" s="154" t="s">
        <v>2</v>
      </c>
      <c r="Y1039" s="154">
        <v>0</v>
      </c>
    </row>
    <row r="1040" spans="1:25" ht="13" customHeight="1">
      <c r="A1040" s="11">
        <v>1034</v>
      </c>
      <c r="B1040" s="47">
        <v>203522194</v>
      </c>
      <c r="C1040" s="88" t="s">
        <v>1166</v>
      </c>
      <c r="D1040" s="11" t="s">
        <v>1167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92</v>
      </c>
      <c r="M1040" s="49" t="s">
        <v>84</v>
      </c>
      <c r="N1040" s="48" t="s">
        <v>86</v>
      </c>
      <c r="O1040" s="49" t="s">
        <v>37</v>
      </c>
      <c r="P1040" s="11" t="s">
        <v>80</v>
      </c>
      <c r="Q1040" s="11" t="s">
        <v>99</v>
      </c>
      <c r="R1040" s="49" t="s">
        <v>644</v>
      </c>
      <c r="S1040" s="11" t="s">
        <v>1777</v>
      </c>
      <c r="T1040" s="105" t="s">
        <v>1</v>
      </c>
      <c r="U1040" s="98"/>
      <c r="V1040" s="51">
        <v>45463</v>
      </c>
      <c r="W1040" s="49" t="s">
        <v>1566</v>
      </c>
      <c r="X1040" s="154" t="s">
        <v>2</v>
      </c>
      <c r="Y1040" s="154">
        <v>0</v>
      </c>
    </row>
    <row r="1041" spans="1:25" ht="13" customHeight="1">
      <c r="A1041" s="11">
        <v>1035</v>
      </c>
      <c r="B1041" s="47">
        <v>204138127</v>
      </c>
      <c r="C1041" s="88" t="s">
        <v>1168</v>
      </c>
      <c r="D1041" s="11" t="s">
        <v>1169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92</v>
      </c>
      <c r="M1041" s="49" t="s">
        <v>84</v>
      </c>
      <c r="N1041" s="48" t="s">
        <v>86</v>
      </c>
      <c r="O1041" s="49" t="s">
        <v>37</v>
      </c>
      <c r="P1041" s="11" t="s">
        <v>80</v>
      </c>
      <c r="Q1041" s="11" t="s">
        <v>87</v>
      </c>
      <c r="R1041" s="11" t="s">
        <v>636</v>
      </c>
      <c r="S1041" s="11" t="s">
        <v>2658</v>
      </c>
      <c r="T1041" s="105" t="s">
        <v>1</v>
      </c>
      <c r="U1041" s="98"/>
      <c r="V1041" s="51">
        <v>45565</v>
      </c>
      <c r="W1041" s="49" t="s">
        <v>1566</v>
      </c>
      <c r="X1041" s="154" t="s">
        <v>2</v>
      </c>
      <c r="Y1041" s="154">
        <v>0</v>
      </c>
    </row>
    <row r="1042" spans="1:25" ht="13" customHeight="1">
      <c r="A1042" s="11">
        <v>1036</v>
      </c>
      <c r="B1042" s="47">
        <v>205996131</v>
      </c>
      <c r="C1042" s="88" t="s">
        <v>1170</v>
      </c>
      <c r="D1042" s="11" t="s">
        <v>1171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78</v>
      </c>
      <c r="M1042" s="49" t="s">
        <v>92</v>
      </c>
      <c r="N1042" s="49" t="s">
        <v>79</v>
      </c>
      <c r="O1042" s="49" t="s">
        <v>37</v>
      </c>
      <c r="P1042" s="11" t="s">
        <v>80</v>
      </c>
      <c r="Q1042" s="11" t="s">
        <v>81</v>
      </c>
      <c r="R1042" s="11" t="s">
        <v>628</v>
      </c>
      <c r="S1042" s="11" t="s">
        <v>629</v>
      </c>
      <c r="T1042" s="105" t="s">
        <v>1</v>
      </c>
      <c r="U1042" s="98"/>
      <c r="V1042" s="51">
        <v>45915</v>
      </c>
      <c r="W1042" s="49" t="s">
        <v>1564</v>
      </c>
      <c r="X1042" s="154" t="s">
        <v>2</v>
      </c>
      <c r="Y1042" s="154">
        <v>0</v>
      </c>
    </row>
    <row r="1043" spans="1:25" ht="13" customHeight="1">
      <c r="A1043" s="11">
        <v>1037</v>
      </c>
      <c r="B1043" s="47">
        <v>206072874</v>
      </c>
      <c r="C1043" s="88" t="s">
        <v>1172</v>
      </c>
      <c r="D1043" s="11" t="s">
        <v>1173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92</v>
      </c>
      <c r="M1043" s="49" t="s">
        <v>84</v>
      </c>
      <c r="N1043" s="48" t="s">
        <v>79</v>
      </c>
      <c r="O1043" s="49" t="s">
        <v>37</v>
      </c>
      <c r="P1043" s="11" t="s">
        <v>80</v>
      </c>
      <c r="Q1043" s="11" t="s">
        <v>81</v>
      </c>
      <c r="R1043" s="49" t="s">
        <v>644</v>
      </c>
      <c r="S1043" s="11" t="s">
        <v>1777</v>
      </c>
      <c r="T1043" s="105" t="s">
        <v>7</v>
      </c>
      <c r="U1043" s="98" t="s">
        <v>2941</v>
      </c>
      <c r="V1043" s="51">
        <v>45929</v>
      </c>
      <c r="W1043" s="49" t="s">
        <v>1564</v>
      </c>
      <c r="X1043" s="154" t="s">
        <v>2948</v>
      </c>
      <c r="Y1043" s="154" t="s">
        <v>2949</v>
      </c>
    </row>
    <row r="1044" spans="1:25" ht="13" customHeight="1">
      <c r="A1044" s="11">
        <v>1038</v>
      </c>
      <c r="B1044" s="47">
        <v>203964991</v>
      </c>
      <c r="C1044" s="88" t="s">
        <v>1174</v>
      </c>
      <c r="D1044" s="11" t="s">
        <v>1175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85</v>
      </c>
      <c r="M1044" s="49" t="s">
        <v>88</v>
      </c>
      <c r="N1044" s="48" t="s">
        <v>86</v>
      </c>
      <c r="O1044" s="49" t="s">
        <v>37</v>
      </c>
      <c r="P1044" s="11" t="s">
        <v>80</v>
      </c>
      <c r="Q1044" s="11" t="s">
        <v>99</v>
      </c>
      <c r="R1044" s="49" t="s">
        <v>644</v>
      </c>
      <c r="S1044" s="11" t="s">
        <v>1777</v>
      </c>
      <c r="T1044" s="105" t="s">
        <v>1</v>
      </c>
      <c r="U1044" s="98"/>
      <c r="V1044" s="51">
        <v>45544</v>
      </c>
      <c r="W1044" s="49" t="s">
        <v>1564</v>
      </c>
      <c r="X1044" s="154" t="s">
        <v>2</v>
      </c>
      <c r="Y1044" s="154">
        <v>0</v>
      </c>
    </row>
    <row r="1045" spans="1:25" ht="13" customHeight="1">
      <c r="A1045" s="11">
        <v>1039</v>
      </c>
      <c r="B1045" s="47">
        <v>203468747</v>
      </c>
      <c r="C1045" s="88" t="s">
        <v>1178</v>
      </c>
      <c r="D1045" s="11" t="s">
        <v>1179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95</v>
      </c>
      <c r="M1045" s="49" t="s">
        <v>77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1057</v>
      </c>
      <c r="S1045" s="11" t="s">
        <v>2657</v>
      </c>
      <c r="T1045" s="105" t="s">
        <v>10</v>
      </c>
      <c r="U1045" s="98"/>
      <c r="V1045" s="51">
        <v>45456</v>
      </c>
      <c r="W1045" s="49" t="s">
        <v>1566</v>
      </c>
      <c r="X1045" s="154" t="s">
        <v>2948</v>
      </c>
      <c r="Y1045" s="154">
        <v>0</v>
      </c>
    </row>
    <row r="1046" spans="1:25" ht="13" customHeight="1">
      <c r="A1046" s="11">
        <v>1040</v>
      </c>
      <c r="B1046" s="47">
        <v>203908339</v>
      </c>
      <c r="C1046" s="88" t="s">
        <v>1180</v>
      </c>
      <c r="D1046" s="11" t="s">
        <v>1181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49" t="s">
        <v>644</v>
      </c>
      <c r="S1046" s="11" t="s">
        <v>1777</v>
      </c>
      <c r="T1046" s="105" t="s">
        <v>1</v>
      </c>
      <c r="U1046" s="98"/>
      <c r="V1046" s="51">
        <v>45537</v>
      </c>
      <c r="W1046" s="49" t="s">
        <v>1564</v>
      </c>
      <c r="X1046" s="154" t="s">
        <v>2</v>
      </c>
      <c r="Y1046" s="154">
        <v>0</v>
      </c>
    </row>
    <row r="1047" spans="1:25" ht="13" customHeight="1">
      <c r="A1047" s="11">
        <v>1041</v>
      </c>
      <c r="B1047" s="47">
        <v>203850898</v>
      </c>
      <c r="C1047" s="88" t="s">
        <v>2362</v>
      </c>
      <c r="D1047" s="11" t="s">
        <v>2363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95</v>
      </c>
      <c r="M1047" s="49" t="s">
        <v>77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11" t="s">
        <v>628</v>
      </c>
      <c r="S1047" s="11" t="s">
        <v>629</v>
      </c>
      <c r="T1047" s="105" t="s">
        <v>10</v>
      </c>
      <c r="U1047" s="98"/>
      <c r="V1047" s="51">
        <v>45524</v>
      </c>
      <c r="W1047" s="49" t="s">
        <v>1564</v>
      </c>
      <c r="X1047" s="154" t="s">
        <v>2948</v>
      </c>
      <c r="Y1047" s="154">
        <v>0</v>
      </c>
    </row>
    <row r="1048" spans="1:25" ht="13" customHeight="1">
      <c r="A1048" s="11">
        <v>1042</v>
      </c>
      <c r="B1048" s="47">
        <v>204138128</v>
      </c>
      <c r="C1048" s="88" t="s">
        <v>1182</v>
      </c>
      <c r="D1048" s="11" t="s">
        <v>1183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36</v>
      </c>
      <c r="M1048" s="49" t="s">
        <v>78</v>
      </c>
      <c r="N1048" s="48" t="s">
        <v>86</v>
      </c>
      <c r="O1048" s="49" t="s">
        <v>37</v>
      </c>
      <c r="P1048" s="11" t="s">
        <v>80</v>
      </c>
      <c r="Q1048" s="11" t="s">
        <v>87</v>
      </c>
      <c r="R1048" s="49" t="s">
        <v>624</v>
      </c>
      <c r="S1048" s="11" t="s">
        <v>625</v>
      </c>
      <c r="T1048" s="105" t="s">
        <v>1</v>
      </c>
      <c r="U1048" s="98" t="s">
        <v>2944</v>
      </c>
      <c r="V1048" s="51">
        <v>45565</v>
      </c>
      <c r="W1048" s="49" t="s">
        <v>1566</v>
      </c>
      <c r="X1048" s="154" t="s">
        <v>2</v>
      </c>
      <c r="Y1048" s="154">
        <v>0</v>
      </c>
    </row>
    <row r="1049" spans="1:25" ht="13" customHeight="1">
      <c r="A1049" s="11">
        <v>1043</v>
      </c>
      <c r="B1049" s="47">
        <v>204094494</v>
      </c>
      <c r="C1049" s="88" t="s">
        <v>1184</v>
      </c>
      <c r="D1049" s="11" t="s">
        <v>1185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95</v>
      </c>
      <c r="M1049" s="49" t="s">
        <v>77</v>
      </c>
      <c r="N1049" s="48" t="s">
        <v>86</v>
      </c>
      <c r="O1049" s="49" t="s">
        <v>37</v>
      </c>
      <c r="P1049" s="11" t="s">
        <v>80</v>
      </c>
      <c r="Q1049" s="11" t="s">
        <v>87</v>
      </c>
      <c r="R1049" s="49" t="s">
        <v>624</v>
      </c>
      <c r="S1049" s="11" t="s">
        <v>625</v>
      </c>
      <c r="T1049" s="105" t="s">
        <v>10</v>
      </c>
      <c r="U1049" s="98"/>
      <c r="V1049" s="51">
        <v>45561</v>
      </c>
      <c r="W1049" s="49" t="s">
        <v>1565</v>
      </c>
      <c r="X1049" s="154" t="s">
        <v>2948</v>
      </c>
      <c r="Y1049" s="154">
        <v>0</v>
      </c>
    </row>
    <row r="1050" spans="1:25" ht="13" customHeight="1">
      <c r="A1050" s="11">
        <v>1044</v>
      </c>
      <c r="B1050" s="47">
        <v>203850925</v>
      </c>
      <c r="C1050" s="88" t="s">
        <v>2277</v>
      </c>
      <c r="D1050" s="11" t="s">
        <v>2278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95</v>
      </c>
      <c r="M1050" s="49" t="s">
        <v>77</v>
      </c>
      <c r="N1050" s="48" t="s">
        <v>86</v>
      </c>
      <c r="O1050" s="49" t="s">
        <v>37</v>
      </c>
      <c r="P1050" s="11" t="s">
        <v>80</v>
      </c>
      <c r="Q1050" s="11" t="s">
        <v>90</v>
      </c>
      <c r="R1050" s="49" t="s">
        <v>644</v>
      </c>
      <c r="S1050" s="11" t="s">
        <v>1777</v>
      </c>
      <c r="T1050" s="105" t="s">
        <v>10</v>
      </c>
      <c r="U1050" s="98"/>
      <c r="V1050" s="51">
        <v>45524</v>
      </c>
      <c r="W1050" s="49" t="s">
        <v>1565</v>
      </c>
      <c r="X1050" s="154" t="s">
        <v>2948</v>
      </c>
      <c r="Y1050" s="154">
        <v>0</v>
      </c>
    </row>
    <row r="1051" spans="1:25" ht="13" customHeight="1">
      <c r="A1051" s="11">
        <v>1045</v>
      </c>
      <c r="B1051" s="47">
        <v>203965457</v>
      </c>
      <c r="C1051" s="88" t="s">
        <v>1186</v>
      </c>
      <c r="D1051" s="11" t="s">
        <v>1187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39</v>
      </c>
      <c r="K1051" s="49" t="s">
        <v>76</v>
      </c>
      <c r="L1051" s="49" t="s">
        <v>95</v>
      </c>
      <c r="M1051" s="49" t="s">
        <v>77</v>
      </c>
      <c r="N1051" s="48" t="s">
        <v>79</v>
      </c>
      <c r="O1051" s="49" t="s">
        <v>37</v>
      </c>
      <c r="P1051" s="11" t="s">
        <v>80</v>
      </c>
      <c r="Q1051" s="11" t="s">
        <v>81</v>
      </c>
      <c r="R1051" s="11" t="s">
        <v>628</v>
      </c>
      <c r="S1051" s="11" t="s">
        <v>629</v>
      </c>
      <c r="T1051" s="105" t="s">
        <v>10</v>
      </c>
      <c r="U1051" s="98"/>
      <c r="V1051" s="51">
        <v>45544</v>
      </c>
      <c r="W1051" s="49" t="s">
        <v>1564</v>
      </c>
      <c r="X1051" s="154" t="s">
        <v>2948</v>
      </c>
      <c r="Y1051" s="154">
        <v>0</v>
      </c>
    </row>
    <row r="1052" spans="1:25" ht="13" customHeight="1">
      <c r="A1052" s="11">
        <v>1046</v>
      </c>
      <c r="B1052" s="47">
        <v>204467948</v>
      </c>
      <c r="C1052" s="88" t="s">
        <v>1188</v>
      </c>
      <c r="D1052" s="11" t="s">
        <v>1189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85</v>
      </c>
      <c r="M1052" s="49" t="s">
        <v>88</v>
      </c>
      <c r="N1052" s="48" t="s">
        <v>86</v>
      </c>
      <c r="O1052" s="49" t="s">
        <v>37</v>
      </c>
      <c r="P1052" s="11" t="s">
        <v>80</v>
      </c>
      <c r="Q1052" s="11" t="s">
        <v>87</v>
      </c>
      <c r="R1052" s="11" t="s">
        <v>1057</v>
      </c>
      <c r="S1052" s="11" t="s">
        <v>2657</v>
      </c>
      <c r="T1052" s="105" t="s">
        <v>1</v>
      </c>
      <c r="U1052" s="98"/>
      <c r="V1052" s="51">
        <v>45603</v>
      </c>
      <c r="W1052" s="49" t="s">
        <v>1564</v>
      </c>
      <c r="X1052" s="154" t="s">
        <v>2</v>
      </c>
      <c r="Y1052" s="154">
        <v>0</v>
      </c>
    </row>
    <row r="1053" spans="1:25" ht="13" customHeight="1">
      <c r="A1053" s="11">
        <v>1047</v>
      </c>
      <c r="B1053" s="47">
        <v>201487409</v>
      </c>
      <c r="C1053" s="88" t="s">
        <v>1190</v>
      </c>
      <c r="D1053" s="11" t="s">
        <v>1191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95</v>
      </c>
      <c r="M1053" s="49" t="s">
        <v>77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11" t="s">
        <v>628</v>
      </c>
      <c r="S1053" s="11" t="s">
        <v>629</v>
      </c>
      <c r="T1053" s="105" t="s">
        <v>10</v>
      </c>
      <c r="U1053" s="98"/>
      <c r="V1053" s="51">
        <v>45561</v>
      </c>
      <c r="W1053" s="49" t="s">
        <v>1563</v>
      </c>
      <c r="X1053" s="154" t="s">
        <v>2948</v>
      </c>
      <c r="Y1053" s="154">
        <v>0</v>
      </c>
    </row>
    <row r="1054" spans="1:25" ht="13" customHeight="1">
      <c r="A1054" s="11">
        <v>1048</v>
      </c>
      <c r="B1054" s="47">
        <v>204331928</v>
      </c>
      <c r="C1054" s="88" t="s">
        <v>1192</v>
      </c>
      <c r="D1054" s="11" t="s">
        <v>1193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88</v>
      </c>
      <c r="M1054" s="49" t="s">
        <v>95</v>
      </c>
      <c r="N1054" s="48" t="s">
        <v>86</v>
      </c>
      <c r="O1054" s="49" t="s">
        <v>37</v>
      </c>
      <c r="P1054" s="11" t="s">
        <v>80</v>
      </c>
      <c r="Q1054" s="11" t="s">
        <v>87</v>
      </c>
      <c r="R1054" s="49" t="s">
        <v>644</v>
      </c>
      <c r="S1054" s="11" t="s">
        <v>1777</v>
      </c>
      <c r="T1054" s="105" t="s">
        <v>1</v>
      </c>
      <c r="U1054" s="98"/>
      <c r="V1054" s="51">
        <v>45589</v>
      </c>
      <c r="W1054" s="49" t="s">
        <v>1564</v>
      </c>
      <c r="X1054" s="154" t="s">
        <v>2</v>
      </c>
      <c r="Y1054" s="154">
        <v>0</v>
      </c>
    </row>
    <row r="1055" spans="1:25" ht="13" customHeight="1">
      <c r="A1055" s="11">
        <v>1049</v>
      </c>
      <c r="B1055" s="47">
        <v>203341964</v>
      </c>
      <c r="C1055" s="88" t="s">
        <v>1194</v>
      </c>
      <c r="D1055" s="11" t="s">
        <v>1195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77</v>
      </c>
      <c r="M1055" s="49" t="s">
        <v>78</v>
      </c>
      <c r="N1055" s="48" t="s">
        <v>86</v>
      </c>
      <c r="O1055" s="49" t="s">
        <v>37</v>
      </c>
      <c r="P1055" s="11" t="s">
        <v>80</v>
      </c>
      <c r="Q1055" s="11" t="s">
        <v>99</v>
      </c>
      <c r="R1055" s="11" t="s">
        <v>1057</v>
      </c>
      <c r="S1055" s="11" t="s">
        <v>2657</v>
      </c>
      <c r="T1055" s="105" t="s">
        <v>10</v>
      </c>
      <c r="U1055" s="98"/>
      <c r="V1055" s="51">
        <v>45432</v>
      </c>
      <c r="W1055" s="49" t="s">
        <v>1564</v>
      </c>
      <c r="X1055" s="154" t="s">
        <v>2948</v>
      </c>
      <c r="Y1055" s="154">
        <v>0</v>
      </c>
    </row>
    <row r="1056" spans="1:25" ht="13" customHeight="1">
      <c r="A1056" s="11">
        <v>1050</v>
      </c>
      <c r="B1056" s="47">
        <v>203011024</v>
      </c>
      <c r="C1056" s="88" t="s">
        <v>1196</v>
      </c>
      <c r="D1056" s="11" t="s">
        <v>1197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95</v>
      </c>
      <c r="M1056" s="49" t="s">
        <v>77</v>
      </c>
      <c r="N1056" s="48" t="s">
        <v>79</v>
      </c>
      <c r="O1056" s="49" t="s">
        <v>37</v>
      </c>
      <c r="P1056" s="11" t="s">
        <v>80</v>
      </c>
      <c r="Q1056" s="11" t="s">
        <v>81</v>
      </c>
      <c r="R1056" s="11" t="s">
        <v>624</v>
      </c>
      <c r="S1056" s="11" t="s">
        <v>625</v>
      </c>
      <c r="T1056" s="105" t="s">
        <v>10</v>
      </c>
      <c r="U1056" s="98"/>
      <c r="V1056" s="51">
        <v>45603</v>
      </c>
      <c r="W1056" s="49" t="s">
        <v>1564</v>
      </c>
      <c r="X1056" s="154" t="s">
        <v>2948</v>
      </c>
      <c r="Y1056" s="154">
        <v>0</v>
      </c>
    </row>
    <row r="1057" spans="1:25" ht="13" customHeight="1">
      <c r="A1057" s="11">
        <v>1051</v>
      </c>
      <c r="B1057" s="47">
        <v>204172230</v>
      </c>
      <c r="C1057" s="88" t="s">
        <v>2279</v>
      </c>
      <c r="D1057" s="11" t="s">
        <v>2280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78</v>
      </c>
      <c r="M1057" s="49" t="s">
        <v>92</v>
      </c>
      <c r="N1057" s="49" t="s">
        <v>89</v>
      </c>
      <c r="O1057" s="49" t="s">
        <v>37</v>
      </c>
      <c r="P1057" s="11" t="s">
        <v>80</v>
      </c>
      <c r="Q1057" s="11" t="s">
        <v>90</v>
      </c>
      <c r="R1057" s="11" t="s">
        <v>1057</v>
      </c>
      <c r="S1057" s="11" t="s">
        <v>2657</v>
      </c>
      <c r="T1057" s="105" t="s">
        <v>1</v>
      </c>
      <c r="U1057" s="98"/>
      <c r="V1057" s="51">
        <v>45568</v>
      </c>
      <c r="W1057" s="49" t="s">
        <v>1565</v>
      </c>
      <c r="X1057" s="154" t="s">
        <v>2</v>
      </c>
      <c r="Y1057" s="154">
        <v>0</v>
      </c>
    </row>
    <row r="1058" spans="1:25" ht="13" customHeight="1">
      <c r="A1058" s="11">
        <v>1052</v>
      </c>
      <c r="B1058" s="47">
        <v>205845560</v>
      </c>
      <c r="C1058" s="88" t="s">
        <v>1198</v>
      </c>
      <c r="D1058" s="11" t="s">
        <v>1199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77</v>
      </c>
      <c r="M1058" s="49" t="s">
        <v>78</v>
      </c>
      <c r="N1058" s="48" t="s">
        <v>86</v>
      </c>
      <c r="O1058" s="49" t="s">
        <v>37</v>
      </c>
      <c r="P1058" s="11" t="s">
        <v>80</v>
      </c>
      <c r="Q1058" s="11" t="s">
        <v>90</v>
      </c>
      <c r="R1058" s="11" t="s">
        <v>2779</v>
      </c>
      <c r="S1058" s="11" t="s">
        <v>2780</v>
      </c>
      <c r="T1058" s="105" t="s">
        <v>10</v>
      </c>
      <c r="U1058" s="98"/>
      <c r="V1058" s="51">
        <v>45894</v>
      </c>
      <c r="W1058" s="49" t="s">
        <v>1564</v>
      </c>
      <c r="X1058" s="154" t="s">
        <v>2948</v>
      </c>
      <c r="Y1058" s="154" t="s">
        <v>2949</v>
      </c>
    </row>
    <row r="1059" spans="1:25" ht="13" customHeight="1">
      <c r="A1059" s="11">
        <v>1053</v>
      </c>
      <c r="B1059" s="47">
        <v>203851002</v>
      </c>
      <c r="C1059" s="88" t="s">
        <v>1200</v>
      </c>
      <c r="D1059" s="11" t="s">
        <v>1201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11" t="s">
        <v>628</v>
      </c>
      <c r="S1059" s="11" t="s">
        <v>629</v>
      </c>
      <c r="T1059" s="105" t="s">
        <v>1</v>
      </c>
      <c r="U1059" s="98"/>
      <c r="V1059" s="51">
        <v>45524</v>
      </c>
      <c r="W1059" s="49" t="s">
        <v>1565</v>
      </c>
      <c r="X1059" s="154" t="s">
        <v>2</v>
      </c>
      <c r="Y1059" s="154">
        <v>0</v>
      </c>
    </row>
    <row r="1060" spans="1:25" ht="13" customHeight="1">
      <c r="A1060" s="11">
        <v>1054</v>
      </c>
      <c r="B1060" s="47">
        <v>203850924</v>
      </c>
      <c r="C1060" s="88" t="s">
        <v>2295</v>
      </c>
      <c r="D1060" s="11" t="s">
        <v>2296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88</v>
      </c>
      <c r="M1060" s="49" t="s">
        <v>95</v>
      </c>
      <c r="N1060" s="48" t="s">
        <v>86</v>
      </c>
      <c r="O1060" s="49" t="s">
        <v>37</v>
      </c>
      <c r="P1060" s="11" t="s">
        <v>80</v>
      </c>
      <c r="Q1060" s="11" t="s">
        <v>90</v>
      </c>
      <c r="R1060" s="49" t="s">
        <v>644</v>
      </c>
      <c r="S1060" s="11" t="s">
        <v>1777</v>
      </c>
      <c r="T1060" s="105" t="s">
        <v>1</v>
      </c>
      <c r="U1060" s="98"/>
      <c r="V1060" s="51">
        <v>45524</v>
      </c>
      <c r="W1060" s="49" t="s">
        <v>1565</v>
      </c>
      <c r="X1060" s="154" t="s">
        <v>2</v>
      </c>
      <c r="Y1060" s="154">
        <v>0</v>
      </c>
    </row>
    <row r="1061" spans="1:25" ht="13" customHeight="1">
      <c r="A1061" s="11">
        <v>1055</v>
      </c>
      <c r="B1061" s="47">
        <v>203850926</v>
      </c>
      <c r="C1061" s="88" t="s">
        <v>2297</v>
      </c>
      <c r="D1061" s="11" t="s">
        <v>2298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92</v>
      </c>
      <c r="M1061" s="49" t="s">
        <v>84</v>
      </c>
      <c r="N1061" s="48" t="s">
        <v>86</v>
      </c>
      <c r="O1061" s="49" t="s">
        <v>37</v>
      </c>
      <c r="P1061" s="11" t="s">
        <v>80</v>
      </c>
      <c r="Q1061" s="11" t="s">
        <v>90</v>
      </c>
      <c r="R1061" s="11" t="s">
        <v>628</v>
      </c>
      <c r="S1061" s="11" t="s">
        <v>629</v>
      </c>
      <c r="T1061" s="105" t="s">
        <v>1</v>
      </c>
      <c r="U1061" s="98"/>
      <c r="V1061" s="51">
        <v>45524</v>
      </c>
      <c r="W1061" s="49" t="s">
        <v>1565</v>
      </c>
      <c r="X1061" s="154" t="s">
        <v>2</v>
      </c>
      <c r="Y1061" s="154">
        <v>0</v>
      </c>
    </row>
    <row r="1062" spans="1:25" ht="13" customHeight="1">
      <c r="A1062" s="11">
        <v>1056</v>
      </c>
      <c r="B1062" s="47">
        <v>203850923</v>
      </c>
      <c r="C1062" s="88" t="s">
        <v>2299</v>
      </c>
      <c r="D1062" s="11" t="s">
        <v>2300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39</v>
      </c>
      <c r="K1062" s="49" t="s">
        <v>76</v>
      </c>
      <c r="L1062" s="49" t="s">
        <v>85</v>
      </c>
      <c r="M1062" s="49" t="s">
        <v>88</v>
      </c>
      <c r="N1062" s="48" t="s">
        <v>86</v>
      </c>
      <c r="O1062" s="49" t="s">
        <v>37</v>
      </c>
      <c r="P1062" s="11" t="s">
        <v>80</v>
      </c>
      <c r="Q1062" s="11" t="s">
        <v>90</v>
      </c>
      <c r="R1062" s="11" t="s">
        <v>628</v>
      </c>
      <c r="S1062" s="11" t="s">
        <v>629</v>
      </c>
      <c r="T1062" s="105" t="s">
        <v>1</v>
      </c>
      <c r="U1062" s="98"/>
      <c r="V1062" s="51">
        <v>45524</v>
      </c>
      <c r="W1062" s="49" t="s">
        <v>1565</v>
      </c>
      <c r="X1062" s="154" t="s">
        <v>2</v>
      </c>
      <c r="Y1062" s="154">
        <v>0</v>
      </c>
    </row>
    <row r="1063" spans="1:25" ht="13" customHeight="1">
      <c r="A1063" s="11">
        <v>1057</v>
      </c>
      <c r="B1063" s="47">
        <v>206873790</v>
      </c>
      <c r="C1063" s="88" t="s">
        <v>1826</v>
      </c>
      <c r="D1063" s="11" t="s">
        <v>1827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88</v>
      </c>
      <c r="M1063" s="49" t="s">
        <v>95</v>
      </c>
      <c r="N1063" s="49" t="s">
        <v>89</v>
      </c>
      <c r="O1063" s="48" t="s">
        <v>37</v>
      </c>
      <c r="P1063" s="48" t="s">
        <v>80</v>
      </c>
      <c r="Q1063" s="11" t="s">
        <v>90</v>
      </c>
      <c r="R1063" s="49" t="s">
        <v>644</v>
      </c>
      <c r="S1063" s="11" t="s">
        <v>1777</v>
      </c>
      <c r="T1063" s="105" t="s">
        <v>1</v>
      </c>
      <c r="U1063" s="98"/>
      <c r="V1063" s="51">
        <v>46030</v>
      </c>
      <c r="W1063" s="49" t="s">
        <v>1564</v>
      </c>
      <c r="X1063" s="154" t="s">
        <v>2</v>
      </c>
      <c r="Y1063" s="154">
        <v>0</v>
      </c>
    </row>
    <row r="1064" spans="1:25" ht="13" customHeight="1">
      <c r="A1064" s="11">
        <v>1058</v>
      </c>
      <c r="B1064" s="47">
        <v>206015650</v>
      </c>
      <c r="C1064" s="88" t="s">
        <v>1202</v>
      </c>
      <c r="D1064" s="11" t="s">
        <v>1203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77</v>
      </c>
      <c r="M1064" s="49" t="s">
        <v>78</v>
      </c>
      <c r="N1064" s="49" t="s">
        <v>79</v>
      </c>
      <c r="O1064" s="49" t="s">
        <v>37</v>
      </c>
      <c r="P1064" s="11" t="s">
        <v>80</v>
      </c>
      <c r="Q1064" s="11" t="s">
        <v>81</v>
      </c>
      <c r="R1064" s="49" t="s">
        <v>624</v>
      </c>
      <c r="S1064" s="11" t="s">
        <v>625</v>
      </c>
      <c r="T1064" s="105" t="s">
        <v>10</v>
      </c>
      <c r="U1064" s="98"/>
      <c r="V1064" s="51">
        <v>45915</v>
      </c>
      <c r="W1064" s="49" t="s">
        <v>1564</v>
      </c>
      <c r="X1064" s="154" t="s">
        <v>2948</v>
      </c>
      <c r="Y1064" s="154">
        <v>0</v>
      </c>
    </row>
    <row r="1065" spans="1:25" ht="13" customHeight="1">
      <c r="A1065" s="11">
        <v>1059</v>
      </c>
      <c r="B1065" s="47">
        <v>206192232</v>
      </c>
      <c r="C1065" s="88" t="s">
        <v>2795</v>
      </c>
      <c r="D1065" s="11" t="s">
        <v>2796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11" t="s">
        <v>39</v>
      </c>
      <c r="K1065" s="11" t="s">
        <v>76</v>
      </c>
      <c r="L1065" s="11" t="s">
        <v>78</v>
      </c>
      <c r="M1065" s="11" t="s">
        <v>92</v>
      </c>
      <c r="N1065" s="11" t="s">
        <v>89</v>
      </c>
      <c r="O1065" s="11" t="s">
        <v>37</v>
      </c>
      <c r="P1065" s="11" t="s">
        <v>80</v>
      </c>
      <c r="Q1065" s="11" t="s">
        <v>96</v>
      </c>
      <c r="R1065" s="11" t="s">
        <v>1057</v>
      </c>
      <c r="S1065" s="11" t="s">
        <v>2657</v>
      </c>
      <c r="T1065" s="105" t="s">
        <v>1</v>
      </c>
      <c r="U1065" s="98"/>
      <c r="V1065" s="51">
        <v>46238</v>
      </c>
      <c r="W1065" s="11" t="s">
        <v>1565</v>
      </c>
      <c r="X1065" s="154" t="s">
        <v>2</v>
      </c>
      <c r="Y1065" s="154">
        <v>0</v>
      </c>
    </row>
    <row r="1066" spans="1:25" ht="13" customHeight="1">
      <c r="A1066" s="11">
        <v>1060</v>
      </c>
      <c r="B1066" s="47">
        <v>205854085</v>
      </c>
      <c r="C1066" s="88" t="s">
        <v>1204</v>
      </c>
      <c r="D1066" s="11" t="s">
        <v>1205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78</v>
      </c>
      <c r="M1066" s="49" t="s">
        <v>92</v>
      </c>
      <c r="N1066" s="49" t="s">
        <v>89</v>
      </c>
      <c r="O1066" s="49" t="s">
        <v>37</v>
      </c>
      <c r="P1066" s="11" t="s">
        <v>80</v>
      </c>
      <c r="Q1066" s="11" t="s">
        <v>96</v>
      </c>
      <c r="R1066" s="11" t="s">
        <v>636</v>
      </c>
      <c r="S1066" s="11" t="s">
        <v>2658</v>
      </c>
      <c r="T1066" s="105" t="s">
        <v>1</v>
      </c>
      <c r="U1066" s="98"/>
      <c r="V1066" s="51">
        <v>45894</v>
      </c>
      <c r="W1066" s="49" t="s">
        <v>1564</v>
      </c>
      <c r="X1066" s="154" t="s">
        <v>2</v>
      </c>
      <c r="Y1066" s="154">
        <v>0</v>
      </c>
    </row>
    <row r="1067" spans="1:25" ht="13" customHeight="1">
      <c r="A1067" s="11">
        <v>1061</v>
      </c>
      <c r="B1067" s="47">
        <v>205996136</v>
      </c>
      <c r="C1067" s="88" t="s">
        <v>1206</v>
      </c>
      <c r="D1067" s="11" t="s">
        <v>1207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78</v>
      </c>
      <c r="M1067" s="49" t="s">
        <v>92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628</v>
      </c>
      <c r="S1067" s="100" t="s">
        <v>629</v>
      </c>
      <c r="T1067" s="105" t="s">
        <v>1</v>
      </c>
      <c r="U1067" s="98"/>
      <c r="V1067" s="51">
        <v>45915</v>
      </c>
      <c r="W1067" s="49" t="s">
        <v>1564</v>
      </c>
      <c r="X1067" s="154" t="s">
        <v>2</v>
      </c>
      <c r="Y1067" s="154">
        <v>0</v>
      </c>
    </row>
    <row r="1068" spans="1:25" ht="13" customHeight="1">
      <c r="A1068" s="11">
        <v>1062</v>
      </c>
      <c r="B1068" s="47">
        <v>206491329</v>
      </c>
      <c r="C1068" s="88" t="s">
        <v>2094</v>
      </c>
      <c r="D1068" s="11" t="s">
        <v>2095</v>
      </c>
      <c r="E1068" s="101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84</v>
      </c>
      <c r="M1068" s="49" t="s">
        <v>85</v>
      </c>
      <c r="N1068" s="49" t="s">
        <v>89</v>
      </c>
      <c r="O1068" s="49" t="s">
        <v>37</v>
      </c>
      <c r="P1068" s="49" t="s">
        <v>80</v>
      </c>
      <c r="Q1068" s="49" t="s">
        <v>96</v>
      </c>
      <c r="R1068" s="11" t="s">
        <v>628</v>
      </c>
      <c r="S1068" s="96" t="s">
        <v>629</v>
      </c>
      <c r="T1068" s="105" t="s">
        <v>1</v>
      </c>
      <c r="U1068" s="98"/>
      <c r="V1068" s="51">
        <v>46048</v>
      </c>
      <c r="W1068" s="49" t="s">
        <v>1564</v>
      </c>
      <c r="X1068" s="154" t="s">
        <v>2</v>
      </c>
      <c r="Y1068" s="154">
        <v>0</v>
      </c>
    </row>
    <row r="1069" spans="1:25" ht="13" customHeight="1">
      <c r="A1069" s="11">
        <v>1063</v>
      </c>
      <c r="B1069" s="47">
        <v>204052506</v>
      </c>
      <c r="C1069" s="88" t="s">
        <v>1208</v>
      </c>
      <c r="D1069" s="11" t="s">
        <v>1209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95</v>
      </c>
      <c r="M1069" s="49" t="s">
        <v>77</v>
      </c>
      <c r="N1069" s="48" t="s">
        <v>86</v>
      </c>
      <c r="O1069" s="49" t="s">
        <v>37</v>
      </c>
      <c r="P1069" s="11" t="s">
        <v>80</v>
      </c>
      <c r="Q1069" s="11" t="s">
        <v>99</v>
      </c>
      <c r="R1069" s="11" t="s">
        <v>628</v>
      </c>
      <c r="S1069" s="11" t="s">
        <v>629</v>
      </c>
      <c r="T1069" s="105" t="s">
        <v>10</v>
      </c>
      <c r="U1069" s="98"/>
      <c r="V1069" s="51">
        <v>45561</v>
      </c>
      <c r="W1069" s="49" t="s">
        <v>1564</v>
      </c>
      <c r="X1069" s="154" t="s">
        <v>2948</v>
      </c>
      <c r="Y1069" s="154">
        <v>0</v>
      </c>
    </row>
    <row r="1070" spans="1:25" ht="13" customHeight="1">
      <c r="A1070" s="11">
        <v>1064</v>
      </c>
      <c r="B1070" s="47">
        <v>204094496</v>
      </c>
      <c r="C1070" s="88" t="s">
        <v>1210</v>
      </c>
      <c r="D1070" s="11" t="s">
        <v>1211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84</v>
      </c>
      <c r="M1070" s="49" t="s">
        <v>85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644</v>
      </c>
      <c r="S1070" s="100" t="s">
        <v>1777</v>
      </c>
      <c r="T1070" s="105" t="s">
        <v>1</v>
      </c>
      <c r="U1070" s="98"/>
      <c r="V1070" s="51">
        <v>45561</v>
      </c>
      <c r="W1070" s="49" t="s">
        <v>1564</v>
      </c>
      <c r="X1070" s="154" t="s">
        <v>2</v>
      </c>
      <c r="Y1070" s="154">
        <v>0</v>
      </c>
    </row>
    <row r="1071" spans="1:25" ht="13" customHeight="1">
      <c r="A1071" s="11">
        <v>1065</v>
      </c>
      <c r="B1071" s="47">
        <v>205252750</v>
      </c>
      <c r="C1071" s="88" t="s">
        <v>2088</v>
      </c>
      <c r="D1071" s="11" t="s">
        <v>2089</v>
      </c>
      <c r="E1071" s="101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84</v>
      </c>
      <c r="M1071" s="49" t="s">
        <v>85</v>
      </c>
      <c r="N1071" s="49" t="s">
        <v>79</v>
      </c>
      <c r="O1071" s="49" t="s">
        <v>37</v>
      </c>
      <c r="P1071" s="49" t="s">
        <v>80</v>
      </c>
      <c r="Q1071" s="49" t="s">
        <v>96</v>
      </c>
      <c r="R1071" s="11" t="s">
        <v>1057</v>
      </c>
      <c r="S1071" s="96" t="s">
        <v>2657</v>
      </c>
      <c r="T1071" s="105" t="s">
        <v>1</v>
      </c>
      <c r="U1071" s="98"/>
      <c r="V1071" s="51">
        <v>46048</v>
      </c>
      <c r="W1071" s="49" t="s">
        <v>1564</v>
      </c>
      <c r="X1071" s="154" t="s">
        <v>2</v>
      </c>
      <c r="Y1071" s="154">
        <v>0</v>
      </c>
    </row>
    <row r="1072" spans="1:25" ht="13" customHeight="1">
      <c r="A1072" s="11">
        <v>1066</v>
      </c>
      <c r="B1072" s="47">
        <v>206886635</v>
      </c>
      <c r="C1072" s="88" t="s">
        <v>1814</v>
      </c>
      <c r="D1072" s="11" t="s">
        <v>1815</v>
      </c>
      <c r="E1072" s="11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92</v>
      </c>
      <c r="M1072" s="49" t="s">
        <v>84</v>
      </c>
      <c r="N1072" s="49" t="s">
        <v>89</v>
      </c>
      <c r="O1072" s="49" t="s">
        <v>37</v>
      </c>
      <c r="P1072" s="11" t="s">
        <v>80</v>
      </c>
      <c r="Q1072" s="11" t="s">
        <v>96</v>
      </c>
      <c r="R1072" s="11" t="s">
        <v>230</v>
      </c>
      <c r="S1072" s="100" t="s">
        <v>1732</v>
      </c>
      <c r="T1072" s="105" t="s">
        <v>1</v>
      </c>
      <c r="U1072" s="98"/>
      <c r="V1072" s="51">
        <v>46027</v>
      </c>
      <c r="W1072" s="49" t="s">
        <v>1564</v>
      </c>
      <c r="X1072" s="154" t="s">
        <v>2</v>
      </c>
      <c r="Y1072" s="154">
        <v>0</v>
      </c>
    </row>
    <row r="1073" spans="1:25" ht="13" customHeight="1">
      <c r="A1073" s="11">
        <v>1067</v>
      </c>
      <c r="B1073" s="47">
        <v>206886512</v>
      </c>
      <c r="C1073" s="88" t="s">
        <v>1816</v>
      </c>
      <c r="D1073" s="11" t="s">
        <v>1817</v>
      </c>
      <c r="E1073" s="11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84</v>
      </c>
      <c r="M1073" s="49" t="s">
        <v>85</v>
      </c>
      <c r="N1073" s="49" t="s">
        <v>89</v>
      </c>
      <c r="O1073" s="49" t="s">
        <v>37</v>
      </c>
      <c r="P1073" s="11" t="s">
        <v>80</v>
      </c>
      <c r="Q1073" s="11" t="s">
        <v>96</v>
      </c>
      <c r="R1073" s="11" t="s">
        <v>230</v>
      </c>
      <c r="S1073" s="100" t="s">
        <v>1732</v>
      </c>
      <c r="T1073" s="105" t="s">
        <v>1</v>
      </c>
      <c r="U1073" s="98"/>
      <c r="V1073" s="51">
        <v>46027</v>
      </c>
      <c r="W1073" s="49" t="s">
        <v>1564</v>
      </c>
      <c r="X1073" s="154" t="s">
        <v>2</v>
      </c>
      <c r="Y1073" s="154">
        <v>0</v>
      </c>
    </row>
    <row r="1074" spans="1:25" ht="13" customHeight="1">
      <c r="A1074" s="11">
        <v>1068</v>
      </c>
      <c r="B1074" s="47">
        <v>206889908</v>
      </c>
      <c r="C1074" s="88" t="s">
        <v>1818</v>
      </c>
      <c r="D1074" s="11" t="s">
        <v>1819</v>
      </c>
      <c r="E1074" s="11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85</v>
      </c>
      <c r="M1074" s="49" t="s">
        <v>88</v>
      </c>
      <c r="N1074" s="49" t="s">
        <v>89</v>
      </c>
      <c r="O1074" s="49" t="s">
        <v>37</v>
      </c>
      <c r="P1074" s="11" t="s">
        <v>80</v>
      </c>
      <c r="Q1074" s="11" t="s">
        <v>96</v>
      </c>
      <c r="R1074" s="11" t="s">
        <v>230</v>
      </c>
      <c r="S1074" s="100" t="s">
        <v>1732</v>
      </c>
      <c r="T1074" s="105" t="s">
        <v>1</v>
      </c>
      <c r="U1074" s="98"/>
      <c r="V1074" s="51">
        <v>46027</v>
      </c>
      <c r="W1074" s="49" t="s">
        <v>1564</v>
      </c>
      <c r="X1074" s="154" t="s">
        <v>2</v>
      </c>
      <c r="Y1074" s="154">
        <v>0</v>
      </c>
    </row>
    <row r="1075" spans="1:25" ht="13" customHeight="1">
      <c r="A1075" s="11">
        <v>1069</v>
      </c>
      <c r="B1075" s="47">
        <v>206897663</v>
      </c>
      <c r="C1075" s="88" t="s">
        <v>1850</v>
      </c>
      <c r="D1075" s="11" t="s">
        <v>1851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1290</v>
      </c>
      <c r="J1075" s="49" t="s">
        <v>39</v>
      </c>
      <c r="K1075" s="49" t="s">
        <v>76</v>
      </c>
      <c r="L1075" s="49" t="s">
        <v>84</v>
      </c>
      <c r="M1075" s="49" t="s">
        <v>85</v>
      </c>
      <c r="N1075" s="49" t="s">
        <v>79</v>
      </c>
      <c r="O1075" s="48" t="s">
        <v>37</v>
      </c>
      <c r="P1075" s="48" t="s">
        <v>80</v>
      </c>
      <c r="Q1075" s="11" t="s">
        <v>81</v>
      </c>
      <c r="R1075" s="11" t="s">
        <v>1057</v>
      </c>
      <c r="S1075" s="100" t="s">
        <v>2657</v>
      </c>
      <c r="T1075" s="105" t="s">
        <v>1</v>
      </c>
      <c r="U1075" s="98"/>
      <c r="V1075" s="51">
        <v>46030</v>
      </c>
      <c r="W1075" s="49" t="s">
        <v>1565</v>
      </c>
      <c r="X1075" s="154" t="s">
        <v>2</v>
      </c>
      <c r="Y1075" s="154">
        <v>0</v>
      </c>
    </row>
    <row r="1076" spans="1:25" ht="13" customHeight="1">
      <c r="A1076" s="11">
        <v>1070</v>
      </c>
      <c r="B1076" s="47">
        <v>204010043</v>
      </c>
      <c r="C1076" s="88" t="s">
        <v>2281</v>
      </c>
      <c r="D1076" s="11" t="s">
        <v>2282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78</v>
      </c>
      <c r="M1076" s="49" t="s">
        <v>92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11" t="s">
        <v>1057</v>
      </c>
      <c r="S1076" s="100" t="s">
        <v>2657</v>
      </c>
      <c r="T1076" s="105" t="s">
        <v>1</v>
      </c>
      <c r="U1076" s="98"/>
      <c r="V1076" s="51">
        <v>45551</v>
      </c>
      <c r="W1076" s="49" t="s">
        <v>1565</v>
      </c>
      <c r="X1076" s="154" t="s">
        <v>2</v>
      </c>
      <c r="Y1076" s="154">
        <v>0</v>
      </c>
    </row>
    <row r="1077" spans="1:25" ht="13" customHeight="1">
      <c r="A1077" s="11">
        <v>1071</v>
      </c>
      <c r="B1077" s="47">
        <v>201536170</v>
      </c>
      <c r="C1077" s="88" t="s">
        <v>1212</v>
      </c>
      <c r="D1077" s="11" t="s">
        <v>1213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95</v>
      </c>
      <c r="M1077" s="49" t="s">
        <v>77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49" t="s">
        <v>644</v>
      </c>
      <c r="S1077" s="100" t="s">
        <v>1777</v>
      </c>
      <c r="T1077" s="105" t="s">
        <v>10</v>
      </c>
      <c r="U1077" s="98"/>
      <c r="V1077" s="51">
        <v>45568</v>
      </c>
      <c r="W1077" s="49" t="s">
        <v>1565</v>
      </c>
      <c r="X1077" s="154" t="s">
        <v>2948</v>
      </c>
      <c r="Y1077" s="154">
        <v>0</v>
      </c>
    </row>
    <row r="1078" spans="1:25" ht="13" customHeight="1">
      <c r="A1078" s="11">
        <v>1072</v>
      </c>
      <c r="B1078" s="47">
        <v>203342037</v>
      </c>
      <c r="C1078" s="88" t="s">
        <v>1214</v>
      </c>
      <c r="D1078" s="11" t="s">
        <v>1215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99</v>
      </c>
      <c r="R1078" s="11" t="s">
        <v>628</v>
      </c>
      <c r="S1078" s="100" t="s">
        <v>629</v>
      </c>
      <c r="T1078" s="105" t="s">
        <v>10</v>
      </c>
      <c r="U1078" s="98"/>
      <c r="V1078" s="51">
        <v>45432</v>
      </c>
      <c r="W1078" s="49" t="s">
        <v>1564</v>
      </c>
      <c r="X1078" s="154" t="s">
        <v>2948</v>
      </c>
      <c r="Y1078" s="154">
        <v>0</v>
      </c>
    </row>
    <row r="1079" spans="1:25" ht="13" customHeight="1">
      <c r="A1079" s="11">
        <v>1073</v>
      </c>
      <c r="B1079" s="47">
        <v>206139179</v>
      </c>
      <c r="C1079" s="88" t="s">
        <v>1216</v>
      </c>
      <c r="D1079" s="11" t="s">
        <v>1217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95</v>
      </c>
      <c r="M1079" s="49" t="s">
        <v>77</v>
      </c>
      <c r="N1079" s="48" t="s">
        <v>79</v>
      </c>
      <c r="O1079" s="49" t="s">
        <v>37</v>
      </c>
      <c r="P1079" s="11" t="s">
        <v>80</v>
      </c>
      <c r="Q1079" s="11" t="s">
        <v>81</v>
      </c>
      <c r="R1079" s="11" t="s">
        <v>628</v>
      </c>
      <c r="S1079" s="100" t="s">
        <v>629</v>
      </c>
      <c r="T1079" s="105" t="s">
        <v>10</v>
      </c>
      <c r="U1079" s="98"/>
      <c r="V1079" s="51">
        <v>45929</v>
      </c>
      <c r="W1079" s="49" t="s">
        <v>1564</v>
      </c>
      <c r="X1079" s="154" t="s">
        <v>2948</v>
      </c>
      <c r="Y1079" s="154">
        <v>0</v>
      </c>
    </row>
    <row r="1080" spans="1:25" ht="13" customHeight="1">
      <c r="A1080" s="11">
        <v>1074</v>
      </c>
      <c r="B1080" s="47">
        <v>203881659</v>
      </c>
      <c r="C1080" s="88" t="s">
        <v>1218</v>
      </c>
      <c r="D1080" s="11" t="s">
        <v>1219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92</v>
      </c>
      <c r="M1080" s="49" t="s">
        <v>84</v>
      </c>
      <c r="N1080" s="48" t="s">
        <v>79</v>
      </c>
      <c r="O1080" s="49" t="s">
        <v>37</v>
      </c>
      <c r="P1080" s="11" t="s">
        <v>80</v>
      </c>
      <c r="Q1080" s="11" t="s">
        <v>81</v>
      </c>
      <c r="R1080" s="11" t="s">
        <v>628</v>
      </c>
      <c r="S1080" s="100" t="s">
        <v>629</v>
      </c>
      <c r="T1080" s="105" t="s">
        <v>1</v>
      </c>
      <c r="U1080" s="98"/>
      <c r="V1080" s="51">
        <v>45530</v>
      </c>
      <c r="W1080" s="49" t="s">
        <v>1564</v>
      </c>
      <c r="X1080" s="154" t="s">
        <v>2</v>
      </c>
      <c r="Y1080" s="154">
        <v>0</v>
      </c>
    </row>
    <row r="1081" spans="1:25" ht="13" customHeight="1">
      <c r="A1081" s="11">
        <v>1075</v>
      </c>
      <c r="B1081" s="47">
        <v>201204303</v>
      </c>
      <c r="C1081" s="88" t="s">
        <v>1220</v>
      </c>
      <c r="D1081" s="11" t="s">
        <v>1221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85</v>
      </c>
      <c r="M1081" s="49" t="s">
        <v>88</v>
      </c>
      <c r="N1081" s="48" t="s">
        <v>79</v>
      </c>
      <c r="O1081" s="49" t="s">
        <v>37</v>
      </c>
      <c r="P1081" s="11" t="s">
        <v>80</v>
      </c>
      <c r="Q1081" s="11" t="s">
        <v>81</v>
      </c>
      <c r="R1081" s="11" t="s">
        <v>2779</v>
      </c>
      <c r="S1081" s="100" t="s">
        <v>2780</v>
      </c>
      <c r="T1081" s="105" t="s">
        <v>1</v>
      </c>
      <c r="U1081" s="98"/>
      <c r="V1081" s="51">
        <v>45544</v>
      </c>
      <c r="W1081" s="49" t="s">
        <v>1564</v>
      </c>
      <c r="X1081" s="154" t="s">
        <v>2</v>
      </c>
      <c r="Y1081" s="154">
        <v>0</v>
      </c>
    </row>
    <row r="1082" spans="1:25" ht="13" customHeight="1">
      <c r="A1082" s="11">
        <v>1076</v>
      </c>
      <c r="B1082" s="47">
        <v>203800479</v>
      </c>
      <c r="C1082" s="88" t="s">
        <v>2364</v>
      </c>
      <c r="D1082" s="11" t="s">
        <v>2365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77</v>
      </c>
      <c r="M1082" s="49" t="s">
        <v>78</v>
      </c>
      <c r="N1082" s="48" t="s">
        <v>86</v>
      </c>
      <c r="O1082" s="49" t="s">
        <v>37</v>
      </c>
      <c r="P1082" s="11" t="s">
        <v>80</v>
      </c>
      <c r="Q1082" s="11" t="s">
        <v>90</v>
      </c>
      <c r="R1082" s="11" t="s">
        <v>1057</v>
      </c>
      <c r="S1082" s="11" t="s">
        <v>2657</v>
      </c>
      <c r="T1082" s="105" t="s">
        <v>10</v>
      </c>
      <c r="U1082" s="98"/>
      <c r="V1082" s="51">
        <v>45516</v>
      </c>
      <c r="W1082" s="49" t="s">
        <v>1564</v>
      </c>
      <c r="X1082" s="154" t="s">
        <v>2948</v>
      </c>
      <c r="Y1082" s="154">
        <v>0</v>
      </c>
    </row>
    <row r="1083" spans="1:25" ht="13" customHeight="1">
      <c r="A1083" s="11">
        <v>1077</v>
      </c>
      <c r="B1083" s="47">
        <v>204868706</v>
      </c>
      <c r="C1083" s="88" t="s">
        <v>1222</v>
      </c>
      <c r="D1083" s="11" t="s">
        <v>1223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85</v>
      </c>
      <c r="M1083" s="49" t="s">
        <v>88</v>
      </c>
      <c r="N1083" s="48" t="s">
        <v>86</v>
      </c>
      <c r="O1083" s="49" t="s">
        <v>37</v>
      </c>
      <c r="P1083" s="11" t="s">
        <v>80</v>
      </c>
      <c r="Q1083" s="11" t="s">
        <v>90</v>
      </c>
      <c r="R1083" s="49" t="s">
        <v>644</v>
      </c>
      <c r="S1083" s="100" t="s">
        <v>1777</v>
      </c>
      <c r="T1083" s="105" t="s">
        <v>1</v>
      </c>
      <c r="U1083" s="98"/>
      <c r="V1083" s="51">
        <v>45894</v>
      </c>
      <c r="W1083" s="49" t="s">
        <v>1564</v>
      </c>
      <c r="X1083" s="154" t="s">
        <v>2</v>
      </c>
      <c r="Y1083" s="154">
        <v>0</v>
      </c>
    </row>
    <row r="1084" spans="1:25" ht="13" customHeight="1">
      <c r="A1084" s="11">
        <v>1078</v>
      </c>
      <c r="B1084" s="47">
        <v>203881695</v>
      </c>
      <c r="C1084" s="88" t="s">
        <v>1224</v>
      </c>
      <c r="D1084" s="11" t="s">
        <v>1225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88</v>
      </c>
      <c r="M1084" s="49" t="s">
        <v>95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11" t="s">
        <v>628</v>
      </c>
      <c r="S1084" s="100" t="s">
        <v>629</v>
      </c>
      <c r="T1084" s="105" t="s">
        <v>1</v>
      </c>
      <c r="U1084" s="98"/>
      <c r="V1084" s="51">
        <v>45530</v>
      </c>
      <c r="W1084" s="49" t="s">
        <v>1566</v>
      </c>
      <c r="X1084" s="154" t="s">
        <v>2</v>
      </c>
      <c r="Y1084" s="154">
        <v>0</v>
      </c>
    </row>
    <row r="1085" spans="1:25" ht="13" customHeight="1">
      <c r="A1085" s="11">
        <v>1079</v>
      </c>
      <c r="B1085" s="47">
        <v>113366831</v>
      </c>
      <c r="C1085" s="88" t="s">
        <v>1226</v>
      </c>
      <c r="D1085" s="11" t="s">
        <v>1227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77</v>
      </c>
      <c r="M1085" s="49" t="s">
        <v>78</v>
      </c>
      <c r="N1085" s="48" t="s">
        <v>86</v>
      </c>
      <c r="O1085" s="49" t="s">
        <v>37</v>
      </c>
      <c r="P1085" s="11" t="s">
        <v>80</v>
      </c>
      <c r="Q1085" s="11" t="s">
        <v>99</v>
      </c>
      <c r="R1085" s="49" t="s">
        <v>624</v>
      </c>
      <c r="S1085" s="100" t="s">
        <v>625</v>
      </c>
      <c r="T1085" s="105" t="s">
        <v>10</v>
      </c>
      <c r="U1085" s="98"/>
      <c r="V1085" s="51">
        <v>45537</v>
      </c>
      <c r="W1085" s="49" t="s">
        <v>1564</v>
      </c>
      <c r="X1085" s="154" t="s">
        <v>2948</v>
      </c>
      <c r="Y1085" s="154">
        <v>0</v>
      </c>
    </row>
    <row r="1086" spans="1:25" ht="13" customHeight="1">
      <c r="A1086" s="11">
        <v>1080</v>
      </c>
      <c r="B1086" s="47">
        <v>205939862</v>
      </c>
      <c r="C1086" s="88" t="s">
        <v>2032</v>
      </c>
      <c r="D1086" s="11" t="s">
        <v>2033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9" t="s">
        <v>89</v>
      </c>
      <c r="O1086" s="49" t="s">
        <v>37</v>
      </c>
      <c r="P1086" s="11" t="s">
        <v>80</v>
      </c>
      <c r="Q1086" s="11" t="s">
        <v>96</v>
      </c>
      <c r="R1086" s="11" t="s">
        <v>628</v>
      </c>
      <c r="S1086" s="100" t="s">
        <v>629</v>
      </c>
      <c r="T1086" s="105" t="s">
        <v>4</v>
      </c>
      <c r="U1086" s="98"/>
      <c r="V1086" s="51">
        <v>46048</v>
      </c>
      <c r="W1086" s="49" t="s">
        <v>1564</v>
      </c>
      <c r="X1086" s="154" t="s">
        <v>2948</v>
      </c>
      <c r="Y1086" s="154">
        <v>0</v>
      </c>
    </row>
    <row r="1087" spans="1:25" ht="13" customHeight="1">
      <c r="A1087" s="11">
        <v>1081</v>
      </c>
      <c r="B1087" s="47">
        <v>203736775</v>
      </c>
      <c r="C1087" s="88" t="s">
        <v>1228</v>
      </c>
      <c r="D1087" s="11" t="s">
        <v>1229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77</v>
      </c>
      <c r="M1087" s="49" t="s">
        <v>78</v>
      </c>
      <c r="N1087" s="48" t="s">
        <v>86</v>
      </c>
      <c r="O1087" s="49" t="s">
        <v>37</v>
      </c>
      <c r="P1087" s="11" t="s">
        <v>80</v>
      </c>
      <c r="Q1087" s="11" t="s">
        <v>99</v>
      </c>
      <c r="R1087" s="11" t="s">
        <v>2779</v>
      </c>
      <c r="S1087" s="100" t="s">
        <v>2780</v>
      </c>
      <c r="T1087" s="105" t="s">
        <v>10</v>
      </c>
      <c r="U1087" s="98"/>
      <c r="V1087" s="51">
        <v>45502</v>
      </c>
      <c r="W1087" s="49" t="s">
        <v>1564</v>
      </c>
      <c r="X1087" s="154" t="s">
        <v>2948</v>
      </c>
      <c r="Y1087" s="154">
        <v>0</v>
      </c>
    </row>
    <row r="1088" spans="1:25" ht="13" customHeight="1">
      <c r="A1088" s="11">
        <v>1082</v>
      </c>
      <c r="B1088" s="47">
        <v>112549647</v>
      </c>
      <c r="C1088" s="88" t="s">
        <v>1230</v>
      </c>
      <c r="D1088" s="11" t="s">
        <v>1231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92</v>
      </c>
      <c r="M1088" s="49" t="s">
        <v>84</v>
      </c>
      <c r="N1088" s="48" t="s">
        <v>86</v>
      </c>
      <c r="O1088" s="49" t="s">
        <v>37</v>
      </c>
      <c r="P1088" s="11" t="s">
        <v>80</v>
      </c>
      <c r="Q1088" s="11" t="s">
        <v>87</v>
      </c>
      <c r="R1088" s="49" t="s">
        <v>644</v>
      </c>
      <c r="S1088" s="100" t="s">
        <v>1777</v>
      </c>
      <c r="T1088" s="105" t="s">
        <v>1</v>
      </c>
      <c r="U1088" s="98"/>
      <c r="V1088" s="51">
        <v>45586</v>
      </c>
      <c r="W1088" s="49" t="s">
        <v>1564</v>
      </c>
      <c r="X1088" s="154" t="s">
        <v>2</v>
      </c>
      <c r="Y1088" s="154">
        <v>0</v>
      </c>
    </row>
    <row r="1089" spans="1:25" ht="13" customHeight="1">
      <c r="A1089" s="11">
        <v>1083</v>
      </c>
      <c r="B1089" s="47">
        <v>202199036</v>
      </c>
      <c r="C1089" s="88" t="s">
        <v>1232</v>
      </c>
      <c r="D1089" s="11" t="s">
        <v>1233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77</v>
      </c>
      <c r="M1089" s="49" t="s">
        <v>78</v>
      </c>
      <c r="N1089" s="48" t="s">
        <v>86</v>
      </c>
      <c r="O1089" s="49" t="s">
        <v>37</v>
      </c>
      <c r="P1089" s="11" t="s">
        <v>80</v>
      </c>
      <c r="Q1089" s="11" t="s">
        <v>87</v>
      </c>
      <c r="R1089" s="49" t="s">
        <v>644</v>
      </c>
      <c r="S1089" s="11" t="s">
        <v>1777</v>
      </c>
      <c r="T1089" s="105" t="s">
        <v>10</v>
      </c>
      <c r="U1089" s="98"/>
      <c r="V1089" s="51">
        <v>45561</v>
      </c>
      <c r="W1089" s="49" t="s">
        <v>1564</v>
      </c>
      <c r="X1089" s="154" t="s">
        <v>2948</v>
      </c>
      <c r="Y1089" s="154">
        <v>0</v>
      </c>
    </row>
    <row r="1090" spans="1:25" ht="13" customHeight="1">
      <c r="A1090" s="11">
        <v>1084</v>
      </c>
      <c r="B1090" s="47">
        <v>204373724</v>
      </c>
      <c r="C1090" s="88" t="s">
        <v>1234</v>
      </c>
      <c r="D1090" s="11" t="s">
        <v>1235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88</v>
      </c>
      <c r="M1090" s="49" t="s">
        <v>95</v>
      </c>
      <c r="N1090" s="48" t="s">
        <v>86</v>
      </c>
      <c r="O1090" s="49" t="s">
        <v>37</v>
      </c>
      <c r="P1090" s="11" t="s">
        <v>80</v>
      </c>
      <c r="Q1090" s="11" t="s">
        <v>99</v>
      </c>
      <c r="R1090" s="49" t="s">
        <v>644</v>
      </c>
      <c r="S1090" s="11" t="s">
        <v>1777</v>
      </c>
      <c r="T1090" s="105" t="s">
        <v>3</v>
      </c>
      <c r="U1090" s="98"/>
      <c r="V1090" s="51">
        <v>45593</v>
      </c>
      <c r="W1090" s="49" t="s">
        <v>1564</v>
      </c>
      <c r="X1090" s="154" t="s">
        <v>2948</v>
      </c>
      <c r="Y1090" s="154">
        <v>0</v>
      </c>
    </row>
    <row r="1091" spans="1:25" ht="13" customHeight="1">
      <c r="A1091" s="11">
        <v>1085</v>
      </c>
      <c r="B1091" s="47">
        <v>203918123</v>
      </c>
      <c r="C1091" s="88" t="s">
        <v>1236</v>
      </c>
      <c r="D1091" s="11" t="s">
        <v>1237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84</v>
      </c>
      <c r="M1091" s="49" t="s">
        <v>85</v>
      </c>
      <c r="N1091" s="48" t="s">
        <v>86</v>
      </c>
      <c r="O1091" s="49" t="s">
        <v>37</v>
      </c>
      <c r="P1091" s="11" t="s">
        <v>80</v>
      </c>
      <c r="Q1091" s="11" t="s">
        <v>99</v>
      </c>
      <c r="R1091" s="11" t="s">
        <v>2779</v>
      </c>
      <c r="S1091" s="11" t="s">
        <v>2780</v>
      </c>
      <c r="T1091" s="105" t="s">
        <v>1</v>
      </c>
      <c r="U1091" s="98"/>
      <c r="V1091" s="51">
        <v>45537</v>
      </c>
      <c r="W1091" s="49" t="s">
        <v>1564</v>
      </c>
      <c r="X1091" s="154" t="s">
        <v>2</v>
      </c>
      <c r="Y1091" s="154">
        <v>0</v>
      </c>
    </row>
    <row r="1092" spans="1:25" ht="13" customHeight="1">
      <c r="A1092" s="11">
        <v>1086</v>
      </c>
      <c r="B1092" s="47">
        <v>205199830</v>
      </c>
      <c r="C1092" s="89" t="s">
        <v>2018</v>
      </c>
      <c r="D1092" s="11" t="s">
        <v>2019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95</v>
      </c>
      <c r="M1092" s="49" t="s">
        <v>77</v>
      </c>
      <c r="N1092" s="49" t="s">
        <v>79</v>
      </c>
      <c r="O1092" s="49" t="s">
        <v>37</v>
      </c>
      <c r="P1092" s="11" t="s">
        <v>80</v>
      </c>
      <c r="Q1092" s="11" t="s">
        <v>96</v>
      </c>
      <c r="R1092" s="11" t="s">
        <v>2779</v>
      </c>
      <c r="S1092" s="11" t="s">
        <v>2780</v>
      </c>
      <c r="T1092" s="105" t="s">
        <v>10</v>
      </c>
      <c r="U1092" s="98"/>
      <c r="V1092" s="51">
        <v>46048</v>
      </c>
      <c r="W1092" s="49" t="s">
        <v>1564</v>
      </c>
      <c r="X1092" s="154" t="s">
        <v>2948</v>
      </c>
      <c r="Y1092" s="154">
        <v>0</v>
      </c>
    </row>
    <row r="1093" spans="1:25" ht="13" customHeight="1">
      <c r="A1093" s="11">
        <v>1087</v>
      </c>
      <c r="B1093" s="47">
        <v>201264954</v>
      </c>
      <c r="C1093" s="88" t="s">
        <v>1238</v>
      </c>
      <c r="D1093" s="11" t="s">
        <v>1239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77</v>
      </c>
      <c r="M1093" s="49" t="s">
        <v>78</v>
      </c>
      <c r="N1093" s="48" t="s">
        <v>86</v>
      </c>
      <c r="O1093" s="49" t="s">
        <v>37</v>
      </c>
      <c r="P1093" s="11" t="s">
        <v>80</v>
      </c>
      <c r="Q1093" s="11" t="s">
        <v>87</v>
      </c>
      <c r="R1093" s="49" t="s">
        <v>644</v>
      </c>
      <c r="S1093" s="11" t="s">
        <v>1777</v>
      </c>
      <c r="T1093" s="105" t="s">
        <v>10</v>
      </c>
      <c r="U1093" s="98"/>
      <c r="V1093" s="51">
        <v>45561</v>
      </c>
      <c r="W1093" s="49" t="s">
        <v>1564</v>
      </c>
      <c r="X1093" s="154" t="s">
        <v>2948</v>
      </c>
      <c r="Y1093" s="154">
        <v>0</v>
      </c>
    </row>
    <row r="1094" spans="1:25" ht="13" customHeight="1">
      <c r="A1094" s="11">
        <v>1088</v>
      </c>
      <c r="B1094" s="47">
        <v>203468744</v>
      </c>
      <c r="C1094" s="88" t="s">
        <v>1240</v>
      </c>
      <c r="D1094" s="11" t="s">
        <v>1241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36</v>
      </c>
      <c r="M1094" s="49" t="s">
        <v>78</v>
      </c>
      <c r="N1094" s="48" t="s">
        <v>79</v>
      </c>
      <c r="O1094" s="49" t="s">
        <v>37</v>
      </c>
      <c r="P1094" s="11" t="s">
        <v>80</v>
      </c>
      <c r="Q1094" s="11" t="s">
        <v>81</v>
      </c>
      <c r="R1094" s="49" t="s">
        <v>624</v>
      </c>
      <c r="S1094" s="11" t="s">
        <v>625</v>
      </c>
      <c r="T1094" s="105" t="s">
        <v>1</v>
      </c>
      <c r="U1094" s="98" t="s">
        <v>2944</v>
      </c>
      <c r="V1094" s="51">
        <v>45456</v>
      </c>
      <c r="W1094" s="49" t="s">
        <v>1566</v>
      </c>
      <c r="X1094" s="154" t="s">
        <v>2</v>
      </c>
      <c r="Y1094" s="154">
        <v>0</v>
      </c>
    </row>
    <row r="1095" spans="1:25" ht="13" customHeight="1">
      <c r="A1095" s="11">
        <v>1089</v>
      </c>
      <c r="B1095" s="47">
        <v>205127496</v>
      </c>
      <c r="C1095" s="88" t="s">
        <v>2042</v>
      </c>
      <c r="D1095" s="11" t="s">
        <v>2043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85</v>
      </c>
      <c r="M1095" s="49" t="s">
        <v>88</v>
      </c>
      <c r="N1095" s="49" t="s">
        <v>89</v>
      </c>
      <c r="O1095" s="49" t="s">
        <v>37</v>
      </c>
      <c r="P1095" s="11" t="s">
        <v>80</v>
      </c>
      <c r="Q1095" s="11" t="s">
        <v>96</v>
      </c>
      <c r="R1095" s="49" t="s">
        <v>2659</v>
      </c>
      <c r="S1095" s="49" t="s">
        <v>639</v>
      </c>
      <c r="T1095" s="105" t="s">
        <v>1</v>
      </c>
      <c r="U1095" s="98"/>
      <c r="V1095" s="51">
        <v>46048</v>
      </c>
      <c r="W1095" s="49" t="s">
        <v>1564</v>
      </c>
      <c r="X1095" s="154" t="s">
        <v>2</v>
      </c>
      <c r="Y1095" s="154">
        <v>0</v>
      </c>
    </row>
    <row r="1096" spans="1:25" ht="13" customHeight="1">
      <c r="A1096" s="11">
        <v>1090</v>
      </c>
      <c r="B1096" s="47">
        <v>204009358</v>
      </c>
      <c r="C1096" s="88" t="s">
        <v>1242</v>
      </c>
      <c r="D1096" s="11" t="s">
        <v>1243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88</v>
      </c>
      <c r="M1096" s="49" t="s">
        <v>95</v>
      </c>
      <c r="N1096" s="48" t="s">
        <v>86</v>
      </c>
      <c r="O1096" s="49" t="s">
        <v>37</v>
      </c>
      <c r="P1096" s="11" t="s">
        <v>80</v>
      </c>
      <c r="Q1096" s="11" t="s">
        <v>90</v>
      </c>
      <c r="R1096" s="49" t="s">
        <v>644</v>
      </c>
      <c r="S1096" s="11" t="s">
        <v>1777</v>
      </c>
      <c r="T1096" s="105" t="s">
        <v>1</v>
      </c>
      <c r="U1096" s="98"/>
      <c r="V1096" s="51">
        <v>45551</v>
      </c>
      <c r="W1096" s="49" t="s">
        <v>1564</v>
      </c>
      <c r="X1096" s="154" t="s">
        <v>2</v>
      </c>
      <c r="Y1096" s="154">
        <v>0</v>
      </c>
    </row>
    <row r="1097" spans="1:25" ht="13" customHeight="1">
      <c r="A1097" s="11">
        <v>1091</v>
      </c>
      <c r="B1097" s="91">
        <v>205845550</v>
      </c>
      <c r="C1097" s="47" t="s">
        <v>2746</v>
      </c>
      <c r="D1097" s="88" t="s">
        <v>2747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92</v>
      </c>
      <c r="M1097" s="49" t="s">
        <v>84</v>
      </c>
      <c r="N1097" s="49" t="s">
        <v>89</v>
      </c>
      <c r="O1097" s="49" t="s">
        <v>37</v>
      </c>
      <c r="P1097" s="11" t="s">
        <v>80</v>
      </c>
      <c r="Q1097" s="11" t="s">
        <v>90</v>
      </c>
      <c r="R1097" s="11" t="s">
        <v>2779</v>
      </c>
      <c r="S1097" s="11" t="s">
        <v>2780</v>
      </c>
      <c r="T1097" s="105" t="s">
        <v>1</v>
      </c>
      <c r="U1097" s="98"/>
      <c r="V1097" s="51">
        <v>45894</v>
      </c>
      <c r="W1097" s="49" t="s">
        <v>1564</v>
      </c>
      <c r="X1097" s="154" t="s">
        <v>2</v>
      </c>
      <c r="Y1097" s="154">
        <v>0</v>
      </c>
    </row>
    <row r="1098" spans="1:25" ht="13" customHeight="1">
      <c r="A1098" s="11">
        <v>1092</v>
      </c>
      <c r="B1098" s="47">
        <v>103776227</v>
      </c>
      <c r="C1098" s="88" t="s">
        <v>1244</v>
      </c>
      <c r="D1098" s="11" t="s">
        <v>1245</v>
      </c>
      <c r="E1098" s="48" t="s">
        <v>34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88</v>
      </c>
      <c r="M1098" s="49" t="s">
        <v>95</v>
      </c>
      <c r="N1098" s="48" t="s">
        <v>108</v>
      </c>
      <c r="O1098" s="49" t="s">
        <v>37</v>
      </c>
      <c r="P1098" s="11" t="s">
        <v>80</v>
      </c>
      <c r="Q1098" s="11" t="s">
        <v>98</v>
      </c>
      <c r="R1098" s="49" t="s">
        <v>644</v>
      </c>
      <c r="S1098" s="11" t="s">
        <v>1777</v>
      </c>
      <c r="T1098" s="105" t="s">
        <v>3</v>
      </c>
      <c r="U1098" s="98"/>
      <c r="V1098" s="51">
        <v>44782</v>
      </c>
      <c r="W1098" s="49" t="s">
        <v>1564</v>
      </c>
      <c r="X1098" s="154" t="s">
        <v>2948</v>
      </c>
      <c r="Y1098" s="154">
        <v>0</v>
      </c>
    </row>
    <row r="1099" spans="1:25" ht="13" customHeight="1">
      <c r="A1099" s="11">
        <v>1093</v>
      </c>
      <c r="B1099" s="47">
        <v>206230580</v>
      </c>
      <c r="C1099" s="88" t="s">
        <v>1623</v>
      </c>
      <c r="D1099" s="11" t="s">
        <v>1618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95</v>
      </c>
      <c r="M1099" s="49" t="s">
        <v>77</v>
      </c>
      <c r="N1099" s="49" t="s">
        <v>89</v>
      </c>
      <c r="O1099" s="49" t="s">
        <v>37</v>
      </c>
      <c r="P1099" s="11" t="s">
        <v>80</v>
      </c>
      <c r="Q1099" s="11" t="s">
        <v>96</v>
      </c>
      <c r="R1099" s="11" t="s">
        <v>2779</v>
      </c>
      <c r="S1099" s="11" t="s">
        <v>2780</v>
      </c>
      <c r="T1099" s="105" t="s">
        <v>10</v>
      </c>
      <c r="U1099" s="98"/>
      <c r="V1099" s="51">
        <v>45943</v>
      </c>
      <c r="W1099" s="49" t="s">
        <v>1563</v>
      </c>
      <c r="X1099" s="154" t="s">
        <v>2948</v>
      </c>
      <c r="Y1099" s="154">
        <v>0</v>
      </c>
    </row>
    <row r="1100" spans="1:25" ht="13" customHeight="1">
      <c r="A1100" s="11">
        <v>1094</v>
      </c>
      <c r="B1100" s="47">
        <v>205853886</v>
      </c>
      <c r="C1100" s="88" t="s">
        <v>1246</v>
      </c>
      <c r="D1100" s="11" t="s">
        <v>1247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95</v>
      </c>
      <c r="M1100" s="49" t="s">
        <v>77</v>
      </c>
      <c r="N1100" s="49" t="s">
        <v>89</v>
      </c>
      <c r="O1100" s="49" t="s">
        <v>37</v>
      </c>
      <c r="P1100" s="11" t="s">
        <v>80</v>
      </c>
      <c r="Q1100" s="11" t="s">
        <v>96</v>
      </c>
      <c r="R1100" s="11" t="s">
        <v>2779</v>
      </c>
      <c r="S1100" s="11" t="s">
        <v>2780</v>
      </c>
      <c r="T1100" s="105" t="s">
        <v>10</v>
      </c>
      <c r="U1100" s="98"/>
      <c r="V1100" s="51">
        <v>45894</v>
      </c>
      <c r="W1100" s="49" t="s">
        <v>1564</v>
      </c>
      <c r="X1100" s="154" t="s">
        <v>2948</v>
      </c>
      <c r="Y1100" s="154">
        <v>0</v>
      </c>
    </row>
    <row r="1101" spans="1:25" ht="13" customHeight="1">
      <c r="A1101" s="11">
        <v>1095</v>
      </c>
      <c r="B1101" s="47">
        <v>203965456</v>
      </c>
      <c r="C1101" s="88" t="s">
        <v>1248</v>
      </c>
      <c r="D1101" s="11" t="s">
        <v>1249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95</v>
      </c>
      <c r="M1101" s="49" t="s">
        <v>77</v>
      </c>
      <c r="N1101" s="48" t="s">
        <v>79</v>
      </c>
      <c r="O1101" s="49" t="s">
        <v>37</v>
      </c>
      <c r="P1101" s="11" t="s">
        <v>80</v>
      </c>
      <c r="Q1101" s="11" t="s">
        <v>81</v>
      </c>
      <c r="R1101" s="11" t="s">
        <v>628</v>
      </c>
      <c r="S1101" s="11" t="s">
        <v>629</v>
      </c>
      <c r="T1101" s="105" t="s">
        <v>10</v>
      </c>
      <c r="U1101" s="98"/>
      <c r="V1101" s="51">
        <v>45544</v>
      </c>
      <c r="W1101" s="49" t="s">
        <v>1564</v>
      </c>
      <c r="X1101" s="154" t="s">
        <v>2948</v>
      </c>
      <c r="Y1101" s="154">
        <v>0</v>
      </c>
    </row>
    <row r="1102" spans="1:25" ht="13" customHeight="1">
      <c r="A1102" s="11">
        <v>1096</v>
      </c>
      <c r="B1102" s="47">
        <v>206886644</v>
      </c>
      <c r="C1102" s="88" t="s">
        <v>1820</v>
      </c>
      <c r="D1102" s="11" t="s">
        <v>1821</v>
      </c>
      <c r="E1102" s="11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85</v>
      </c>
      <c r="M1102" s="49" t="s">
        <v>88</v>
      </c>
      <c r="N1102" s="49" t="s">
        <v>89</v>
      </c>
      <c r="O1102" s="49" t="s">
        <v>37</v>
      </c>
      <c r="P1102" s="11" t="s">
        <v>80</v>
      </c>
      <c r="Q1102" s="11" t="s">
        <v>96</v>
      </c>
      <c r="R1102" s="11" t="s">
        <v>1057</v>
      </c>
      <c r="S1102" s="11" t="s">
        <v>2657</v>
      </c>
      <c r="T1102" s="105" t="s">
        <v>1</v>
      </c>
      <c r="U1102" s="98"/>
      <c r="V1102" s="51">
        <v>46027</v>
      </c>
      <c r="W1102" s="49" t="s">
        <v>1564</v>
      </c>
      <c r="X1102" s="154" t="s">
        <v>2</v>
      </c>
      <c r="Y1102" s="154">
        <v>0</v>
      </c>
    </row>
    <row r="1103" spans="1:25" ht="13" customHeight="1">
      <c r="A1103" s="11">
        <v>1097</v>
      </c>
      <c r="B1103" s="91">
        <v>205845549</v>
      </c>
      <c r="C1103" s="47" t="s">
        <v>2748</v>
      </c>
      <c r="D1103" s="88" t="s">
        <v>2749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84</v>
      </c>
      <c r="M1103" s="49" t="s">
        <v>85</v>
      </c>
      <c r="N1103" s="49" t="s">
        <v>89</v>
      </c>
      <c r="O1103" s="49" t="s">
        <v>37</v>
      </c>
      <c r="P1103" s="11" t="s">
        <v>80</v>
      </c>
      <c r="Q1103" s="11" t="s">
        <v>90</v>
      </c>
      <c r="R1103" s="11" t="s">
        <v>2779</v>
      </c>
      <c r="S1103" s="11" t="s">
        <v>2780</v>
      </c>
      <c r="T1103" s="105" t="s">
        <v>1</v>
      </c>
      <c r="U1103" s="98"/>
      <c r="V1103" s="51">
        <v>45894</v>
      </c>
      <c r="W1103" s="49" t="s">
        <v>1564</v>
      </c>
      <c r="X1103" s="154" t="s">
        <v>2</v>
      </c>
      <c r="Y1103" s="154">
        <v>0</v>
      </c>
    </row>
    <row r="1104" spans="1:25" ht="13" customHeight="1">
      <c r="A1104" s="11">
        <v>1098</v>
      </c>
      <c r="B1104" s="47">
        <v>206192239</v>
      </c>
      <c r="C1104" s="88" t="s">
        <v>1593</v>
      </c>
      <c r="D1104" s="11" t="s">
        <v>1589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95</v>
      </c>
      <c r="M1104" s="49" t="s">
        <v>77</v>
      </c>
      <c r="N1104" s="49" t="s">
        <v>79</v>
      </c>
      <c r="O1104" s="49" t="s">
        <v>37</v>
      </c>
      <c r="P1104" s="11" t="s">
        <v>80</v>
      </c>
      <c r="Q1104" s="11" t="s">
        <v>96</v>
      </c>
      <c r="R1104" s="49" t="s">
        <v>624</v>
      </c>
      <c r="S1104" s="11" t="s">
        <v>625</v>
      </c>
      <c r="T1104" s="105" t="s">
        <v>10</v>
      </c>
      <c r="U1104" s="98"/>
      <c r="V1104" s="51">
        <v>45936</v>
      </c>
      <c r="W1104" s="49" t="s">
        <v>1564</v>
      </c>
      <c r="X1104" s="154" t="s">
        <v>2948</v>
      </c>
      <c r="Y1104" s="154">
        <v>0</v>
      </c>
    </row>
    <row r="1105" spans="1:25" ht="13" customHeight="1">
      <c r="A1105" s="11">
        <v>1099</v>
      </c>
      <c r="B1105" s="47">
        <v>203512943</v>
      </c>
      <c r="C1105" s="88" t="s">
        <v>1250</v>
      </c>
      <c r="D1105" s="11" t="s">
        <v>1251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84</v>
      </c>
      <c r="M1105" s="49" t="s">
        <v>85</v>
      </c>
      <c r="N1105" s="48" t="s">
        <v>79</v>
      </c>
      <c r="O1105" s="49" t="s">
        <v>37</v>
      </c>
      <c r="P1105" s="11" t="s">
        <v>80</v>
      </c>
      <c r="Q1105" s="11" t="s">
        <v>81</v>
      </c>
      <c r="R1105" s="49" t="s">
        <v>644</v>
      </c>
      <c r="S1105" s="11" t="s">
        <v>1777</v>
      </c>
      <c r="T1105" s="105" t="s">
        <v>1</v>
      </c>
      <c r="U1105" s="98"/>
      <c r="V1105" s="51">
        <v>45463</v>
      </c>
      <c r="W1105" s="49" t="s">
        <v>1564</v>
      </c>
      <c r="X1105" s="154" t="s">
        <v>2</v>
      </c>
      <c r="Y1105" s="154">
        <v>0</v>
      </c>
    </row>
    <row r="1106" spans="1:25" ht="13" customHeight="1">
      <c r="A1106" s="11">
        <v>1100</v>
      </c>
      <c r="B1106" s="47">
        <v>204009949</v>
      </c>
      <c r="C1106" s="88" t="s">
        <v>1252</v>
      </c>
      <c r="D1106" s="11" t="s">
        <v>1253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78</v>
      </c>
      <c r="M1106" s="49" t="s">
        <v>92</v>
      </c>
      <c r="N1106" s="48" t="s">
        <v>86</v>
      </c>
      <c r="O1106" s="49" t="s">
        <v>37</v>
      </c>
      <c r="P1106" s="11" t="s">
        <v>80</v>
      </c>
      <c r="Q1106" s="11" t="s">
        <v>90</v>
      </c>
      <c r="R1106" s="11" t="s">
        <v>636</v>
      </c>
      <c r="S1106" s="11" t="s">
        <v>2658</v>
      </c>
      <c r="T1106" s="105" t="s">
        <v>1</v>
      </c>
      <c r="U1106" s="98"/>
      <c r="V1106" s="51">
        <v>45789</v>
      </c>
      <c r="W1106" s="49" t="s">
        <v>1564</v>
      </c>
      <c r="X1106" s="154" t="s">
        <v>2</v>
      </c>
      <c r="Y1106" s="154">
        <v>0</v>
      </c>
    </row>
    <row r="1107" spans="1:25" ht="13" customHeight="1">
      <c r="A1107" s="11">
        <v>1101</v>
      </c>
      <c r="B1107" s="47">
        <v>203964990</v>
      </c>
      <c r="C1107" s="88" t="s">
        <v>1254</v>
      </c>
      <c r="D1107" s="11" t="s">
        <v>1255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78</v>
      </c>
      <c r="M1107" s="49" t="s">
        <v>92</v>
      </c>
      <c r="N1107" s="48" t="s">
        <v>86</v>
      </c>
      <c r="O1107" s="49" t="s">
        <v>37</v>
      </c>
      <c r="P1107" s="11" t="s">
        <v>80</v>
      </c>
      <c r="Q1107" s="11" t="s">
        <v>99</v>
      </c>
      <c r="R1107" s="49" t="s">
        <v>644</v>
      </c>
      <c r="S1107" s="11" t="s">
        <v>1777</v>
      </c>
      <c r="T1107" s="105" t="s">
        <v>1</v>
      </c>
      <c r="U1107" s="98"/>
      <c r="V1107" s="51">
        <v>45544</v>
      </c>
      <c r="W1107" s="73" t="s">
        <v>1564</v>
      </c>
      <c r="X1107" s="154" t="s">
        <v>2</v>
      </c>
      <c r="Y1107" s="154">
        <v>0</v>
      </c>
    </row>
    <row r="1108" spans="1:25" ht="13" customHeight="1">
      <c r="A1108" s="11">
        <v>1102</v>
      </c>
      <c r="B1108" s="47">
        <v>204117685</v>
      </c>
      <c r="C1108" s="88" t="s">
        <v>1256</v>
      </c>
      <c r="D1108" s="11" t="s">
        <v>1257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85</v>
      </c>
      <c r="M1108" s="49" t="s">
        <v>88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624</v>
      </c>
      <c r="S1108" s="11" t="s">
        <v>625</v>
      </c>
      <c r="T1108" s="105" t="s">
        <v>1</v>
      </c>
      <c r="U1108" s="98"/>
      <c r="V1108" s="51">
        <v>45561</v>
      </c>
      <c r="W1108" s="49" t="s">
        <v>1564</v>
      </c>
      <c r="X1108" s="154" t="s">
        <v>2</v>
      </c>
      <c r="Y1108" s="154">
        <v>0</v>
      </c>
    </row>
    <row r="1109" spans="1:25" ht="13" customHeight="1">
      <c r="A1109" s="11">
        <v>1103</v>
      </c>
      <c r="B1109" s="91">
        <v>205845546</v>
      </c>
      <c r="C1109" s="47" t="s">
        <v>2750</v>
      </c>
      <c r="D1109" s="88" t="s">
        <v>2751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32</v>
      </c>
      <c r="K1109" s="49" t="s">
        <v>76</v>
      </c>
      <c r="L1109" s="49" t="s">
        <v>85</v>
      </c>
      <c r="M1109" s="49" t="s">
        <v>88</v>
      </c>
      <c r="N1109" s="48" t="s">
        <v>86</v>
      </c>
      <c r="O1109" s="49" t="s">
        <v>37</v>
      </c>
      <c r="P1109" s="11" t="s">
        <v>80</v>
      </c>
      <c r="Q1109" s="11" t="s">
        <v>90</v>
      </c>
      <c r="R1109" s="11" t="s">
        <v>2779</v>
      </c>
      <c r="S1109" s="11" t="s">
        <v>2780</v>
      </c>
      <c r="T1109" s="105" t="s">
        <v>1</v>
      </c>
      <c r="U1109" s="98"/>
      <c r="V1109" s="51">
        <v>45894</v>
      </c>
      <c r="W1109" s="49" t="s">
        <v>1564</v>
      </c>
      <c r="X1109" s="154" t="s">
        <v>2</v>
      </c>
      <c r="Y1109" s="154">
        <v>0</v>
      </c>
    </row>
    <row r="1110" spans="1:25" ht="13" customHeight="1">
      <c r="A1110" s="11">
        <v>1104</v>
      </c>
      <c r="B1110" s="47">
        <v>203908332</v>
      </c>
      <c r="C1110" s="88" t="s">
        <v>2283</v>
      </c>
      <c r="D1110" s="11" t="s">
        <v>2284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77</v>
      </c>
      <c r="M1110" s="49" t="s">
        <v>78</v>
      </c>
      <c r="N1110" s="48" t="s">
        <v>86</v>
      </c>
      <c r="O1110" s="49" t="s">
        <v>37</v>
      </c>
      <c r="P1110" s="11" t="s">
        <v>80</v>
      </c>
      <c r="Q1110" s="11" t="s">
        <v>90</v>
      </c>
      <c r="R1110" s="49" t="s">
        <v>624</v>
      </c>
      <c r="S1110" s="11" t="s">
        <v>625</v>
      </c>
      <c r="T1110" s="105" t="s">
        <v>10</v>
      </c>
      <c r="U1110" s="98"/>
      <c r="V1110" s="51">
        <v>45537</v>
      </c>
      <c r="W1110" s="49" t="s">
        <v>1565</v>
      </c>
      <c r="X1110" s="154" t="s">
        <v>2948</v>
      </c>
      <c r="Y1110" s="154">
        <v>0</v>
      </c>
    </row>
    <row r="1111" spans="1:25" ht="13" customHeight="1">
      <c r="A1111" s="11">
        <v>1105</v>
      </c>
      <c r="B1111" s="47">
        <v>206604522</v>
      </c>
      <c r="C1111" s="88" t="s">
        <v>2020</v>
      </c>
      <c r="D1111" s="11" t="s">
        <v>2021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39</v>
      </c>
      <c r="K1111" s="49" t="s">
        <v>76</v>
      </c>
      <c r="L1111" s="49" t="s">
        <v>92</v>
      </c>
      <c r="M1111" s="49" t="s">
        <v>84</v>
      </c>
      <c r="N1111" s="49" t="s">
        <v>89</v>
      </c>
      <c r="O1111" s="49" t="s">
        <v>37</v>
      </c>
      <c r="P1111" s="11" t="s">
        <v>80</v>
      </c>
      <c r="Q1111" s="11" t="s">
        <v>96</v>
      </c>
      <c r="R1111" s="49" t="s">
        <v>2659</v>
      </c>
      <c r="S1111" s="49" t="s">
        <v>639</v>
      </c>
      <c r="T1111" s="105" t="s">
        <v>1</v>
      </c>
      <c r="U1111" s="98"/>
      <c r="V1111" s="51">
        <v>46048</v>
      </c>
      <c r="W1111" s="49" t="s">
        <v>1564</v>
      </c>
      <c r="X1111" s="154" t="s">
        <v>2</v>
      </c>
      <c r="Y1111" s="154">
        <v>0</v>
      </c>
    </row>
    <row r="1112" spans="1:25" ht="13" customHeight="1">
      <c r="A1112" s="11">
        <v>1106</v>
      </c>
      <c r="B1112" s="47">
        <v>206851164</v>
      </c>
      <c r="C1112" s="88" t="s">
        <v>1830</v>
      </c>
      <c r="D1112" s="11" t="s">
        <v>1831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84</v>
      </c>
      <c r="M1112" s="49" t="s">
        <v>85</v>
      </c>
      <c r="N1112" s="49" t="s">
        <v>89</v>
      </c>
      <c r="O1112" s="48" t="s">
        <v>37</v>
      </c>
      <c r="P1112" s="48" t="s">
        <v>80</v>
      </c>
      <c r="Q1112" s="11" t="s">
        <v>90</v>
      </c>
      <c r="R1112" s="49" t="s">
        <v>644</v>
      </c>
      <c r="S1112" s="11" t="s">
        <v>1777</v>
      </c>
      <c r="T1112" s="105" t="s">
        <v>3</v>
      </c>
      <c r="U1112" s="98"/>
      <c r="V1112" s="51">
        <v>46030</v>
      </c>
      <c r="W1112" s="49" t="s">
        <v>1564</v>
      </c>
      <c r="X1112" s="154" t="s">
        <v>2948</v>
      </c>
      <c r="Y1112" s="154">
        <v>0</v>
      </c>
    </row>
    <row r="1113" spans="1:25" ht="13" customHeight="1">
      <c r="A1113" s="11">
        <v>1107</v>
      </c>
      <c r="B1113" s="47">
        <v>203908334</v>
      </c>
      <c r="C1113" s="88" t="s">
        <v>1258</v>
      </c>
      <c r="D1113" s="11" t="s">
        <v>1259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78</v>
      </c>
      <c r="M1113" s="49" t="s">
        <v>92</v>
      </c>
      <c r="N1113" s="48" t="s">
        <v>86</v>
      </c>
      <c r="O1113" s="49" t="s">
        <v>37</v>
      </c>
      <c r="P1113" s="11" t="s">
        <v>80</v>
      </c>
      <c r="Q1113" s="11" t="s">
        <v>90</v>
      </c>
      <c r="R1113" s="11" t="s">
        <v>628</v>
      </c>
      <c r="S1113" s="11" t="s">
        <v>629</v>
      </c>
      <c r="T1113" s="105" t="s">
        <v>1</v>
      </c>
      <c r="U1113" s="98"/>
      <c r="V1113" s="51">
        <v>45537</v>
      </c>
      <c r="W1113" s="49" t="s">
        <v>1565</v>
      </c>
      <c r="X1113" s="154" t="s">
        <v>2</v>
      </c>
      <c r="Y1113" s="154">
        <v>0</v>
      </c>
    </row>
    <row r="1114" spans="1:25" ht="13" customHeight="1">
      <c r="A1114" s="11">
        <v>1108</v>
      </c>
      <c r="B1114" s="47">
        <v>206129263</v>
      </c>
      <c r="C1114" s="88" t="s">
        <v>1260</v>
      </c>
      <c r="D1114" s="11" t="s">
        <v>1261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78</v>
      </c>
      <c r="M1114" s="49" t="s">
        <v>92</v>
      </c>
      <c r="N1114" s="48" t="s">
        <v>79</v>
      </c>
      <c r="O1114" s="49" t="s">
        <v>37</v>
      </c>
      <c r="P1114" s="11" t="s">
        <v>80</v>
      </c>
      <c r="Q1114" s="11" t="s">
        <v>81</v>
      </c>
      <c r="R1114" s="49" t="s">
        <v>644</v>
      </c>
      <c r="S1114" s="11" t="s">
        <v>1777</v>
      </c>
      <c r="T1114" s="105" t="s">
        <v>3</v>
      </c>
      <c r="U1114" s="98"/>
      <c r="V1114" s="51">
        <v>45929</v>
      </c>
      <c r="W1114" s="49" t="s">
        <v>1564</v>
      </c>
      <c r="X1114" s="154" t="s">
        <v>2948</v>
      </c>
      <c r="Y1114" s="154">
        <v>0</v>
      </c>
    </row>
    <row r="1115" spans="1:25" ht="13" customHeight="1">
      <c r="A1115" s="11">
        <v>1109</v>
      </c>
      <c r="B1115" s="47">
        <v>204013685</v>
      </c>
      <c r="C1115" s="88" t="s">
        <v>1262</v>
      </c>
      <c r="D1115" s="11" t="s">
        <v>1263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92</v>
      </c>
      <c r="M1115" s="49" t="s">
        <v>84</v>
      </c>
      <c r="N1115" s="48" t="s">
        <v>79</v>
      </c>
      <c r="O1115" s="49" t="s">
        <v>37</v>
      </c>
      <c r="P1115" s="11" t="s">
        <v>80</v>
      </c>
      <c r="Q1115" s="11" t="s">
        <v>81</v>
      </c>
      <c r="R1115" s="49" t="s">
        <v>624</v>
      </c>
      <c r="S1115" s="11" t="s">
        <v>625</v>
      </c>
      <c r="T1115" s="105" t="s">
        <v>1</v>
      </c>
      <c r="U1115" s="98"/>
      <c r="V1115" s="51">
        <v>45551</v>
      </c>
      <c r="W1115" s="49" t="s">
        <v>1563</v>
      </c>
      <c r="X1115" s="154" t="s">
        <v>2</v>
      </c>
      <c r="Y1115" s="154">
        <v>0</v>
      </c>
    </row>
    <row r="1116" spans="1:25" ht="13" customHeight="1">
      <c r="A1116" s="11">
        <v>1110</v>
      </c>
      <c r="B1116" s="47">
        <v>205199356</v>
      </c>
      <c r="C1116" s="88" t="s">
        <v>2807</v>
      </c>
      <c r="D1116" s="11" t="s">
        <v>2808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11" t="s">
        <v>39</v>
      </c>
      <c r="K1116" s="11" t="s">
        <v>76</v>
      </c>
      <c r="L1116" s="11" t="s">
        <v>84</v>
      </c>
      <c r="M1116" s="11" t="s">
        <v>85</v>
      </c>
      <c r="N1116" s="11" t="s">
        <v>89</v>
      </c>
      <c r="O1116" s="11" t="s">
        <v>37</v>
      </c>
      <c r="P1116" s="11" t="s">
        <v>80</v>
      </c>
      <c r="Q1116" s="11" t="s">
        <v>96</v>
      </c>
      <c r="R1116" s="11" t="s">
        <v>1057</v>
      </c>
      <c r="S1116" s="11" t="s">
        <v>2657</v>
      </c>
      <c r="T1116" s="105" t="s">
        <v>1</v>
      </c>
      <c r="U1116" s="98"/>
      <c r="V1116" s="51">
        <v>46238</v>
      </c>
      <c r="W1116" s="11" t="s">
        <v>1564</v>
      </c>
      <c r="X1116" s="154" t="s">
        <v>2</v>
      </c>
      <c r="Y1116" s="154">
        <v>0</v>
      </c>
    </row>
    <row r="1117" spans="1:25" ht="13" customHeight="1">
      <c r="A1117" s="11">
        <v>1111</v>
      </c>
      <c r="B1117" s="47">
        <v>206200800</v>
      </c>
      <c r="C1117" s="88" t="s">
        <v>1582</v>
      </c>
      <c r="D1117" s="11" t="s">
        <v>1576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77</v>
      </c>
      <c r="M1117" s="49" t="s">
        <v>78</v>
      </c>
      <c r="N1117" s="49" t="s">
        <v>89</v>
      </c>
      <c r="O1117" s="49" t="s">
        <v>37</v>
      </c>
      <c r="P1117" s="11" t="s">
        <v>80</v>
      </c>
      <c r="Q1117" s="11" t="s">
        <v>81</v>
      </c>
      <c r="R1117" s="49" t="s">
        <v>2659</v>
      </c>
      <c r="S1117" s="11" t="s">
        <v>639</v>
      </c>
      <c r="T1117" s="105" t="s">
        <v>10</v>
      </c>
      <c r="U1117" s="98"/>
      <c r="V1117" s="51">
        <v>45936</v>
      </c>
      <c r="W1117" s="49" t="s">
        <v>1564</v>
      </c>
      <c r="X1117" s="154" t="s">
        <v>2948</v>
      </c>
      <c r="Y1117" s="154">
        <v>0</v>
      </c>
    </row>
    <row r="1118" spans="1:25" ht="13" customHeight="1">
      <c r="A1118" s="11">
        <v>1112</v>
      </c>
      <c r="B1118" s="47">
        <v>205845555</v>
      </c>
      <c r="C1118" s="88" t="s">
        <v>2366</v>
      </c>
      <c r="D1118" s="11" t="s">
        <v>2367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92</v>
      </c>
      <c r="M1118" s="49" t="s">
        <v>84</v>
      </c>
      <c r="N1118" s="49" t="s">
        <v>89</v>
      </c>
      <c r="O1118" s="49" t="s">
        <v>37</v>
      </c>
      <c r="P1118" s="11" t="s">
        <v>80</v>
      </c>
      <c r="Q1118" s="11" t="s">
        <v>90</v>
      </c>
      <c r="R1118" s="49" t="s">
        <v>644</v>
      </c>
      <c r="S1118" s="11" t="s">
        <v>1777</v>
      </c>
      <c r="T1118" s="105" t="s">
        <v>7</v>
      </c>
      <c r="U1118" s="98" t="s">
        <v>2941</v>
      </c>
      <c r="V1118" s="51">
        <v>45894</v>
      </c>
      <c r="W1118" s="49" t="s">
        <v>1564</v>
      </c>
      <c r="X1118" s="154" t="s">
        <v>2948</v>
      </c>
      <c r="Y1118" s="154" t="s">
        <v>2949</v>
      </c>
    </row>
    <row r="1119" spans="1:25" ht="13" customHeight="1">
      <c r="A1119" s="11">
        <v>1113</v>
      </c>
      <c r="B1119" s="47">
        <v>108019725</v>
      </c>
      <c r="C1119" s="88" t="s">
        <v>2308</v>
      </c>
      <c r="D1119" s="11" t="s">
        <v>2309</v>
      </c>
      <c r="E1119" s="48" t="s">
        <v>34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84</v>
      </c>
      <c r="M1119" s="49" t="s">
        <v>85</v>
      </c>
      <c r="N1119" s="48" t="s">
        <v>97</v>
      </c>
      <c r="O1119" s="49" t="s">
        <v>37</v>
      </c>
      <c r="P1119" s="11" t="s">
        <v>80</v>
      </c>
      <c r="Q1119" s="11" t="s">
        <v>98</v>
      </c>
      <c r="R1119" s="11" t="s">
        <v>628</v>
      </c>
      <c r="S1119" s="11" t="s">
        <v>629</v>
      </c>
      <c r="T1119" s="105" t="s">
        <v>1</v>
      </c>
      <c r="U1119" s="98"/>
      <c r="V1119" s="51">
        <v>44757</v>
      </c>
      <c r="W1119" s="49" t="s">
        <v>1564</v>
      </c>
      <c r="X1119" s="154" t="s">
        <v>2</v>
      </c>
      <c r="Y1119" s="154">
        <v>0</v>
      </c>
    </row>
    <row r="1120" spans="1:25" ht="13" customHeight="1">
      <c r="A1120" s="11">
        <v>1114</v>
      </c>
      <c r="B1120" s="47">
        <v>203908914</v>
      </c>
      <c r="C1120" s="88" t="s">
        <v>1264</v>
      </c>
      <c r="D1120" s="11" t="s">
        <v>1265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88</v>
      </c>
      <c r="M1120" s="49" t="s">
        <v>95</v>
      </c>
      <c r="N1120" s="48" t="s">
        <v>86</v>
      </c>
      <c r="O1120" s="49" t="s">
        <v>37</v>
      </c>
      <c r="P1120" s="11" t="s">
        <v>80</v>
      </c>
      <c r="Q1120" s="11" t="s">
        <v>90</v>
      </c>
      <c r="R1120" s="49" t="s">
        <v>644</v>
      </c>
      <c r="S1120" s="11" t="s">
        <v>1777</v>
      </c>
      <c r="T1120" s="105" t="s">
        <v>1</v>
      </c>
      <c r="U1120" s="98"/>
      <c r="V1120" s="51">
        <v>45537</v>
      </c>
      <c r="W1120" s="49" t="s">
        <v>1564</v>
      </c>
      <c r="X1120" s="154" t="s">
        <v>2</v>
      </c>
      <c r="Y1120" s="154">
        <v>0</v>
      </c>
    </row>
    <row r="1121" spans="1:25" ht="13" customHeight="1">
      <c r="A1121" s="11">
        <v>1115</v>
      </c>
      <c r="B1121" s="47">
        <v>204951311</v>
      </c>
      <c r="C1121" s="88" t="s">
        <v>2368</v>
      </c>
      <c r="D1121" s="11" t="s">
        <v>2369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92</v>
      </c>
      <c r="M1121" s="49" t="s">
        <v>84</v>
      </c>
      <c r="N1121" s="48" t="s">
        <v>86</v>
      </c>
      <c r="O1121" s="49" t="s">
        <v>37</v>
      </c>
      <c r="P1121" s="11" t="s">
        <v>80</v>
      </c>
      <c r="Q1121" s="11" t="s">
        <v>90</v>
      </c>
      <c r="R1121" s="49" t="s">
        <v>644</v>
      </c>
      <c r="S1121" s="11" t="s">
        <v>1777</v>
      </c>
      <c r="T1121" s="105" t="s">
        <v>1</v>
      </c>
      <c r="U1121" s="98"/>
      <c r="V1121" s="51">
        <v>45719</v>
      </c>
      <c r="W1121" s="49" t="s">
        <v>1564</v>
      </c>
      <c r="X1121" s="154" t="s">
        <v>2</v>
      </c>
      <c r="Y1121" s="154">
        <v>0</v>
      </c>
    </row>
    <row r="1122" spans="1:25" ht="13" customHeight="1">
      <c r="A1122" s="11">
        <v>1116</v>
      </c>
      <c r="B1122" s="47">
        <v>206137337</v>
      </c>
      <c r="C1122" s="88" t="s">
        <v>1266</v>
      </c>
      <c r="D1122" s="11" t="s">
        <v>1267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84</v>
      </c>
      <c r="M1122" s="49" t="s">
        <v>85</v>
      </c>
      <c r="N1122" s="48" t="s">
        <v>79</v>
      </c>
      <c r="O1122" s="49" t="s">
        <v>37</v>
      </c>
      <c r="P1122" s="11" t="s">
        <v>80</v>
      </c>
      <c r="Q1122" s="11" t="s">
        <v>81</v>
      </c>
      <c r="R1122" s="49" t="s">
        <v>624</v>
      </c>
      <c r="S1122" s="11" t="s">
        <v>625</v>
      </c>
      <c r="T1122" s="105" t="s">
        <v>1</v>
      </c>
      <c r="U1122" s="98"/>
      <c r="V1122" s="51">
        <v>45929</v>
      </c>
      <c r="W1122" s="49" t="s">
        <v>1564</v>
      </c>
      <c r="X1122" s="154" t="s">
        <v>2</v>
      </c>
      <c r="Y1122" s="154">
        <v>0</v>
      </c>
    </row>
    <row r="1123" spans="1:25" ht="13" customHeight="1">
      <c r="A1123" s="11">
        <v>1117</v>
      </c>
      <c r="B1123" s="47">
        <v>203512964</v>
      </c>
      <c r="C1123" s="88" t="s">
        <v>1268</v>
      </c>
      <c r="D1123" s="11" t="s">
        <v>1269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95</v>
      </c>
      <c r="M1123" s="49" t="s">
        <v>77</v>
      </c>
      <c r="N1123" s="48" t="s">
        <v>79</v>
      </c>
      <c r="O1123" s="49" t="s">
        <v>37</v>
      </c>
      <c r="P1123" s="11" t="s">
        <v>80</v>
      </c>
      <c r="Q1123" s="11" t="s">
        <v>81</v>
      </c>
      <c r="R1123" s="11" t="s">
        <v>1057</v>
      </c>
      <c r="S1123" s="11" t="s">
        <v>2657</v>
      </c>
      <c r="T1123" s="105" t="s">
        <v>10</v>
      </c>
      <c r="U1123" s="98"/>
      <c r="V1123" s="51">
        <v>45463</v>
      </c>
      <c r="W1123" s="49" t="s">
        <v>1564</v>
      </c>
      <c r="X1123" s="154" t="s">
        <v>2948</v>
      </c>
      <c r="Y1123" s="154">
        <v>0</v>
      </c>
    </row>
    <row r="1124" spans="1:25" ht="13" customHeight="1">
      <c r="A1124" s="11">
        <v>1118</v>
      </c>
      <c r="B1124" s="47">
        <v>203908343</v>
      </c>
      <c r="C1124" s="88" t="s">
        <v>2370</v>
      </c>
      <c r="D1124" s="11" t="s">
        <v>2371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86</v>
      </c>
      <c r="O1124" s="49" t="s">
        <v>37</v>
      </c>
      <c r="P1124" s="11" t="s">
        <v>80</v>
      </c>
      <c r="Q1124" s="11" t="s">
        <v>90</v>
      </c>
      <c r="R1124" s="11" t="s">
        <v>628</v>
      </c>
      <c r="S1124" s="11" t="s">
        <v>629</v>
      </c>
      <c r="T1124" s="105" t="s">
        <v>1</v>
      </c>
      <c r="U1124" s="98"/>
      <c r="V1124" s="51">
        <v>45537</v>
      </c>
      <c r="W1124" s="49" t="s">
        <v>1564</v>
      </c>
      <c r="X1124" s="154" t="s">
        <v>2</v>
      </c>
      <c r="Y1124" s="154">
        <v>0</v>
      </c>
    </row>
    <row r="1125" spans="1:25" ht="13" customHeight="1">
      <c r="A1125" s="11">
        <v>1119</v>
      </c>
      <c r="B1125" s="47">
        <v>203881713</v>
      </c>
      <c r="C1125" s="88" t="s">
        <v>1270</v>
      </c>
      <c r="D1125" s="11" t="s">
        <v>1271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84</v>
      </c>
      <c r="M1125" s="49" t="s">
        <v>85</v>
      </c>
      <c r="N1125" s="48" t="s">
        <v>79</v>
      </c>
      <c r="O1125" s="49" t="s">
        <v>37</v>
      </c>
      <c r="P1125" s="11" t="s">
        <v>80</v>
      </c>
      <c r="Q1125" s="11" t="s">
        <v>81</v>
      </c>
      <c r="R1125" s="49" t="s">
        <v>644</v>
      </c>
      <c r="S1125" s="11" t="s">
        <v>1777</v>
      </c>
      <c r="T1125" s="105" t="s">
        <v>1</v>
      </c>
      <c r="U1125" s="98"/>
      <c r="V1125" s="51">
        <v>45530</v>
      </c>
      <c r="W1125" s="49" t="s">
        <v>1564</v>
      </c>
      <c r="X1125" s="154" t="s">
        <v>2</v>
      </c>
      <c r="Y1125" s="154">
        <v>0</v>
      </c>
    </row>
    <row r="1126" spans="1:25" ht="13" customHeight="1">
      <c r="A1126" s="11">
        <v>1120</v>
      </c>
      <c r="B1126" s="47">
        <v>206136735</v>
      </c>
      <c r="C1126" s="88" t="s">
        <v>2789</v>
      </c>
      <c r="D1126" s="11" t="s">
        <v>2790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11" t="s">
        <v>39</v>
      </c>
      <c r="K1126" s="11" t="s">
        <v>76</v>
      </c>
      <c r="L1126" s="11" t="s">
        <v>92</v>
      </c>
      <c r="M1126" s="11" t="s">
        <v>84</v>
      </c>
      <c r="N1126" s="11" t="s">
        <v>89</v>
      </c>
      <c r="O1126" s="11" t="s">
        <v>37</v>
      </c>
      <c r="P1126" s="11" t="s">
        <v>80</v>
      </c>
      <c r="Q1126" s="11" t="s">
        <v>96</v>
      </c>
      <c r="R1126" s="11" t="s">
        <v>1057</v>
      </c>
      <c r="S1126" s="11" t="s">
        <v>2657</v>
      </c>
      <c r="T1126" s="105" t="s">
        <v>1</v>
      </c>
      <c r="U1126" s="98"/>
      <c r="V1126" s="51">
        <v>46238</v>
      </c>
      <c r="W1126" s="11" t="s">
        <v>1566</v>
      </c>
      <c r="X1126" s="154" t="s">
        <v>2</v>
      </c>
      <c r="Y1126" s="154">
        <v>0</v>
      </c>
    </row>
    <row r="1127" spans="1:25" ht="13" customHeight="1">
      <c r="A1127" s="11">
        <v>1121</v>
      </c>
      <c r="B1127" s="47">
        <v>203341958</v>
      </c>
      <c r="C1127" s="88" t="s">
        <v>1596</v>
      </c>
      <c r="D1127" s="11" t="s">
        <v>1272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95</v>
      </c>
      <c r="M1127" s="49" t="s">
        <v>77</v>
      </c>
      <c r="N1127" s="48" t="s">
        <v>86</v>
      </c>
      <c r="O1127" s="49" t="s">
        <v>37</v>
      </c>
      <c r="P1127" s="11" t="s">
        <v>80</v>
      </c>
      <c r="Q1127" s="11" t="s">
        <v>99</v>
      </c>
      <c r="R1127" s="11" t="s">
        <v>628</v>
      </c>
      <c r="S1127" s="11" t="s">
        <v>629</v>
      </c>
      <c r="T1127" s="105" t="s">
        <v>10</v>
      </c>
      <c r="U1127" s="98"/>
      <c r="V1127" s="51">
        <v>45432</v>
      </c>
      <c r="W1127" s="49" t="s">
        <v>1565</v>
      </c>
      <c r="X1127" s="154" t="s">
        <v>2948</v>
      </c>
      <c r="Y1127" s="154">
        <v>0</v>
      </c>
    </row>
    <row r="1128" spans="1:25" ht="13" customHeight="1">
      <c r="A1128" s="11">
        <v>1122</v>
      </c>
      <c r="B1128" s="47">
        <v>203965408</v>
      </c>
      <c r="C1128" s="88" t="s">
        <v>1273</v>
      </c>
      <c r="D1128" s="11" t="s">
        <v>1274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92</v>
      </c>
      <c r="M1128" s="49" t="s">
        <v>84</v>
      </c>
      <c r="N1128" s="48" t="s">
        <v>79</v>
      </c>
      <c r="O1128" s="49" t="s">
        <v>37</v>
      </c>
      <c r="P1128" s="11" t="s">
        <v>80</v>
      </c>
      <c r="Q1128" s="11" t="s">
        <v>81</v>
      </c>
      <c r="R1128" s="11" t="s">
        <v>636</v>
      </c>
      <c r="S1128" s="11" t="s">
        <v>2658</v>
      </c>
      <c r="T1128" s="105" t="s">
        <v>7</v>
      </c>
      <c r="U1128" s="98" t="s">
        <v>2941</v>
      </c>
      <c r="V1128" s="51">
        <v>45544</v>
      </c>
      <c r="W1128" s="49" t="s">
        <v>1564</v>
      </c>
      <c r="X1128" s="154" t="s">
        <v>2948</v>
      </c>
      <c r="Y1128" s="154" t="s">
        <v>2941</v>
      </c>
    </row>
    <row r="1129" spans="1:25" ht="13" customHeight="1">
      <c r="A1129" s="11">
        <v>1123</v>
      </c>
      <c r="B1129" s="91">
        <v>203993454</v>
      </c>
      <c r="C1129" s="47" t="s">
        <v>2752</v>
      </c>
      <c r="D1129" s="88" t="s">
        <v>2753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88</v>
      </c>
      <c r="M1129" s="49" t="s">
        <v>95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11" t="s">
        <v>2779</v>
      </c>
      <c r="S1129" s="11" t="s">
        <v>2780</v>
      </c>
      <c r="T1129" s="105" t="s">
        <v>1</v>
      </c>
      <c r="U1129" s="98"/>
      <c r="V1129" s="51">
        <v>45551</v>
      </c>
      <c r="W1129" s="49" t="s">
        <v>1564</v>
      </c>
      <c r="X1129" s="154" t="s">
        <v>2</v>
      </c>
      <c r="Y1129" s="154">
        <v>0</v>
      </c>
    </row>
    <row r="1130" spans="1:25" ht="13" customHeight="1">
      <c r="A1130" s="11">
        <v>1124</v>
      </c>
      <c r="B1130" s="47">
        <v>203965497</v>
      </c>
      <c r="C1130" s="88" t="s">
        <v>1275</v>
      </c>
      <c r="D1130" s="11" t="s">
        <v>1276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78</v>
      </c>
      <c r="M1130" s="49" t="s">
        <v>92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11" t="s">
        <v>1057</v>
      </c>
      <c r="S1130" s="11" t="s">
        <v>2657</v>
      </c>
      <c r="T1130" s="105" t="s">
        <v>1</v>
      </c>
      <c r="U1130" s="98"/>
      <c r="V1130" s="51">
        <v>45544</v>
      </c>
      <c r="W1130" s="49" t="s">
        <v>1564</v>
      </c>
      <c r="X1130" s="154" t="s">
        <v>2</v>
      </c>
      <c r="Y1130" s="154">
        <v>0</v>
      </c>
    </row>
    <row r="1131" spans="1:25" ht="13" customHeight="1">
      <c r="A1131" s="11">
        <v>1125</v>
      </c>
      <c r="B1131" s="47">
        <v>204116445</v>
      </c>
      <c r="C1131" s="88" t="s">
        <v>1277</v>
      </c>
      <c r="D1131" s="11" t="s">
        <v>1278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78</v>
      </c>
      <c r="M1131" s="49" t="s">
        <v>92</v>
      </c>
      <c r="N1131" s="48" t="s">
        <v>86</v>
      </c>
      <c r="O1131" s="49" t="s">
        <v>37</v>
      </c>
      <c r="P1131" s="11" t="s">
        <v>80</v>
      </c>
      <c r="Q1131" s="11" t="s">
        <v>87</v>
      </c>
      <c r="R1131" s="11" t="s">
        <v>1057</v>
      </c>
      <c r="S1131" s="11" t="s">
        <v>2657</v>
      </c>
      <c r="T1131" s="105" t="s">
        <v>1</v>
      </c>
      <c r="U1131" s="98"/>
      <c r="V1131" s="51">
        <v>45561</v>
      </c>
      <c r="W1131" s="49" t="s">
        <v>1563</v>
      </c>
      <c r="X1131" s="154" t="s">
        <v>2</v>
      </c>
      <c r="Y1131" s="154">
        <v>0</v>
      </c>
    </row>
    <row r="1132" spans="1:25" ht="13" customHeight="1">
      <c r="A1132" s="11">
        <v>1126</v>
      </c>
      <c r="B1132" s="47">
        <v>204095447</v>
      </c>
      <c r="C1132" s="88" t="s">
        <v>1279</v>
      </c>
      <c r="D1132" s="11" t="s">
        <v>1280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92</v>
      </c>
      <c r="M1132" s="49" t="s">
        <v>84</v>
      </c>
      <c r="N1132" s="48" t="s">
        <v>86</v>
      </c>
      <c r="O1132" s="49" t="s">
        <v>37</v>
      </c>
      <c r="P1132" s="11" t="s">
        <v>80</v>
      </c>
      <c r="Q1132" s="11" t="s">
        <v>87</v>
      </c>
      <c r="R1132" s="11" t="s">
        <v>1057</v>
      </c>
      <c r="S1132" s="11" t="s">
        <v>2657</v>
      </c>
      <c r="T1132" s="105" t="s">
        <v>1</v>
      </c>
      <c r="U1132" s="98"/>
      <c r="V1132" s="51">
        <v>45561</v>
      </c>
      <c r="W1132" s="49" t="s">
        <v>1565</v>
      </c>
      <c r="X1132" s="154" t="s">
        <v>2</v>
      </c>
      <c r="Y1132" s="154">
        <v>0</v>
      </c>
    </row>
    <row r="1133" spans="1:25" ht="13" customHeight="1">
      <c r="A1133" s="11">
        <v>1127</v>
      </c>
      <c r="B1133" s="47">
        <v>206137339</v>
      </c>
      <c r="C1133" s="88" t="s">
        <v>1281</v>
      </c>
      <c r="D1133" s="11" t="s">
        <v>1282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85</v>
      </c>
      <c r="M1133" s="49" t="s">
        <v>88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49" t="s">
        <v>624</v>
      </c>
      <c r="S1133" s="11" t="s">
        <v>625</v>
      </c>
      <c r="T1133" s="105" t="s">
        <v>1</v>
      </c>
      <c r="U1133" s="98"/>
      <c r="V1133" s="51">
        <v>45929</v>
      </c>
      <c r="W1133" s="49" t="s">
        <v>1564</v>
      </c>
      <c r="X1133" s="154" t="s">
        <v>2</v>
      </c>
      <c r="Y1133" s="154">
        <v>0</v>
      </c>
    </row>
    <row r="1134" spans="1:25" ht="13" customHeight="1">
      <c r="A1134" s="11">
        <v>1128</v>
      </c>
      <c r="B1134" s="47">
        <v>204052514</v>
      </c>
      <c r="C1134" s="88" t="s">
        <v>1283</v>
      </c>
      <c r="D1134" s="11" t="s">
        <v>1284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78</v>
      </c>
      <c r="M1134" s="49" t="s">
        <v>92</v>
      </c>
      <c r="N1134" s="48" t="s">
        <v>86</v>
      </c>
      <c r="O1134" s="49" t="s">
        <v>37</v>
      </c>
      <c r="P1134" s="11" t="s">
        <v>80</v>
      </c>
      <c r="Q1134" s="11" t="s">
        <v>99</v>
      </c>
      <c r="R1134" s="49" t="s">
        <v>644</v>
      </c>
      <c r="S1134" s="11" t="s">
        <v>1777</v>
      </c>
      <c r="T1134" s="105" t="s">
        <v>1</v>
      </c>
      <c r="U1134" s="98"/>
      <c r="V1134" s="51">
        <v>45558</v>
      </c>
      <c r="W1134" s="49" t="s">
        <v>1563</v>
      </c>
      <c r="X1134" s="154" t="s">
        <v>2</v>
      </c>
      <c r="Y1134" s="154">
        <v>0</v>
      </c>
    </row>
    <row r="1135" spans="1:25" ht="13" customHeight="1">
      <c r="A1135" s="11">
        <v>1129</v>
      </c>
      <c r="B1135" s="91">
        <v>204072899</v>
      </c>
      <c r="C1135" s="47" t="s">
        <v>2754</v>
      </c>
      <c r="D1135" s="88" t="s">
        <v>2755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95</v>
      </c>
      <c r="M1135" s="49" t="s">
        <v>77</v>
      </c>
      <c r="N1135" s="48" t="s">
        <v>86</v>
      </c>
      <c r="O1135" s="49" t="s">
        <v>37</v>
      </c>
      <c r="P1135" s="11" t="s">
        <v>80</v>
      </c>
      <c r="Q1135" s="11" t="s">
        <v>90</v>
      </c>
      <c r="R1135" s="11" t="s">
        <v>2779</v>
      </c>
      <c r="S1135" s="11" t="s">
        <v>2780</v>
      </c>
      <c r="T1135" s="105" t="s">
        <v>10</v>
      </c>
      <c r="U1135" s="98"/>
      <c r="V1135" s="51">
        <v>45558</v>
      </c>
      <c r="W1135" s="49" t="s">
        <v>1564</v>
      </c>
      <c r="X1135" s="154" t="s">
        <v>2948</v>
      </c>
      <c r="Y1135" s="154">
        <v>0</v>
      </c>
    </row>
    <row r="1136" spans="1:25" ht="13" customHeight="1">
      <c r="A1136" s="11">
        <v>1130</v>
      </c>
      <c r="B1136" s="47">
        <v>106262687</v>
      </c>
      <c r="C1136" s="88" t="s">
        <v>1285</v>
      </c>
      <c r="D1136" s="11" t="s">
        <v>1286</v>
      </c>
      <c r="E1136" s="48" t="s">
        <v>34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78</v>
      </c>
      <c r="M1136" s="49" t="s">
        <v>92</v>
      </c>
      <c r="N1136" s="48" t="s">
        <v>97</v>
      </c>
      <c r="O1136" s="49" t="s">
        <v>37</v>
      </c>
      <c r="P1136" s="11" t="s">
        <v>80</v>
      </c>
      <c r="Q1136" s="11" t="s">
        <v>98</v>
      </c>
      <c r="R1136" s="49" t="s">
        <v>2659</v>
      </c>
      <c r="S1136" s="11" t="s">
        <v>639</v>
      </c>
      <c r="T1136" s="105" t="s">
        <v>1</v>
      </c>
      <c r="U1136" s="98"/>
      <c r="V1136" s="51">
        <v>44757</v>
      </c>
      <c r="W1136" s="49" t="s">
        <v>1565</v>
      </c>
      <c r="X1136" s="154" t="s">
        <v>2</v>
      </c>
      <c r="Y1136" s="154">
        <v>0</v>
      </c>
    </row>
    <row r="1137" spans="1:25" ht="13" customHeight="1">
      <c r="A1137" s="11">
        <v>1131</v>
      </c>
      <c r="B1137" s="47">
        <v>203964997</v>
      </c>
      <c r="C1137" s="88" t="s">
        <v>1287</v>
      </c>
      <c r="D1137" s="11" t="s">
        <v>1288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84</v>
      </c>
      <c r="M1137" s="49" t="s">
        <v>85</v>
      </c>
      <c r="N1137" s="48" t="s">
        <v>86</v>
      </c>
      <c r="O1137" s="49" t="s">
        <v>37</v>
      </c>
      <c r="P1137" s="11" t="s">
        <v>80</v>
      </c>
      <c r="Q1137" s="11" t="s">
        <v>99</v>
      </c>
      <c r="R1137" s="49" t="s">
        <v>644</v>
      </c>
      <c r="S1137" s="11" t="s">
        <v>1777</v>
      </c>
      <c r="T1137" s="105" t="s">
        <v>1</v>
      </c>
      <c r="U1137" s="98"/>
      <c r="V1137" s="51">
        <v>45544</v>
      </c>
      <c r="W1137" s="49" t="s">
        <v>1564</v>
      </c>
      <c r="X1137" s="154" t="s">
        <v>2</v>
      </c>
      <c r="Y1137" s="154">
        <v>0</v>
      </c>
    </row>
    <row r="1138" spans="1:25" ht="13" customHeight="1">
      <c r="A1138" s="11">
        <v>1132</v>
      </c>
      <c r="B1138" s="47">
        <v>205845561</v>
      </c>
      <c r="C1138" s="88" t="s">
        <v>2372</v>
      </c>
      <c r="D1138" s="11" t="s">
        <v>2373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77</v>
      </c>
      <c r="M1138" s="49" t="s">
        <v>78</v>
      </c>
      <c r="N1138" s="48" t="s">
        <v>86</v>
      </c>
      <c r="O1138" s="49" t="s">
        <v>37</v>
      </c>
      <c r="P1138" s="11" t="s">
        <v>80</v>
      </c>
      <c r="Q1138" s="11" t="s">
        <v>90</v>
      </c>
      <c r="R1138" s="11" t="s">
        <v>2779</v>
      </c>
      <c r="S1138" s="11" t="s">
        <v>2780</v>
      </c>
      <c r="T1138" s="105" t="s">
        <v>10</v>
      </c>
      <c r="U1138" s="98"/>
      <c r="V1138" s="51">
        <v>45894</v>
      </c>
      <c r="W1138" s="49" t="s">
        <v>1564</v>
      </c>
      <c r="X1138" s="154" t="s">
        <v>2948</v>
      </c>
      <c r="Y1138" s="154">
        <v>0</v>
      </c>
    </row>
    <row r="1139" spans="1:25" ht="13" customHeight="1">
      <c r="A1139" s="11">
        <v>1133</v>
      </c>
      <c r="B1139" s="47">
        <v>206073368</v>
      </c>
      <c r="C1139" s="88" t="s">
        <v>1289</v>
      </c>
      <c r="D1139" s="11" t="s">
        <v>1290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85</v>
      </c>
      <c r="M1139" s="49" t="s">
        <v>88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49" t="s">
        <v>2659</v>
      </c>
      <c r="S1139" s="11" t="s">
        <v>639</v>
      </c>
      <c r="T1139" s="105" t="s">
        <v>1</v>
      </c>
      <c r="U1139" s="98"/>
      <c r="V1139" s="51">
        <v>45922</v>
      </c>
      <c r="W1139" s="49" t="s">
        <v>1564</v>
      </c>
      <c r="X1139" s="154" t="s">
        <v>2</v>
      </c>
      <c r="Y1139" s="154">
        <v>0</v>
      </c>
    </row>
    <row r="1140" spans="1:25" ht="13" customHeight="1">
      <c r="A1140" s="11">
        <v>1134</v>
      </c>
      <c r="B1140" s="47">
        <v>206846535</v>
      </c>
      <c r="C1140" s="88" t="s">
        <v>1790</v>
      </c>
      <c r="D1140" s="47" t="s">
        <v>1791</v>
      </c>
      <c r="E1140" s="47" t="s">
        <v>31</v>
      </c>
      <c r="F1140" s="48" t="s">
        <v>74</v>
      </c>
      <c r="G1140" s="11" t="s">
        <v>64</v>
      </c>
      <c r="H1140" s="11" t="s">
        <v>75</v>
      </c>
      <c r="I1140" s="47">
        <v>1299</v>
      </c>
      <c r="J1140" s="49" t="s">
        <v>32</v>
      </c>
      <c r="K1140" s="49" t="s">
        <v>76</v>
      </c>
      <c r="L1140" s="49" t="s">
        <v>95</v>
      </c>
      <c r="M1140" s="49" t="s">
        <v>77</v>
      </c>
      <c r="N1140" s="49" t="s">
        <v>89</v>
      </c>
      <c r="O1140" s="49" t="s">
        <v>37</v>
      </c>
      <c r="P1140" s="11" t="s">
        <v>80</v>
      </c>
      <c r="Q1140" s="47" t="s">
        <v>90</v>
      </c>
      <c r="R1140" s="49" t="s">
        <v>2659</v>
      </c>
      <c r="S1140" s="47" t="s">
        <v>639</v>
      </c>
      <c r="T1140" s="105" t="s">
        <v>10</v>
      </c>
      <c r="U1140" s="98"/>
      <c r="V1140" s="51">
        <v>46013</v>
      </c>
      <c r="W1140" s="49" t="s">
        <v>1564</v>
      </c>
      <c r="X1140" s="154" t="s">
        <v>2948</v>
      </c>
      <c r="Y1140" s="154">
        <v>0</v>
      </c>
    </row>
    <row r="1141" spans="1:25" ht="13" customHeight="1">
      <c r="A1141" s="11">
        <v>1135</v>
      </c>
      <c r="B1141" s="47">
        <v>103868662</v>
      </c>
      <c r="C1141" s="88" t="s">
        <v>1291</v>
      </c>
      <c r="D1141" s="11" t="s">
        <v>1292</v>
      </c>
      <c r="E1141" s="48" t="s">
        <v>34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95</v>
      </c>
      <c r="M1141" s="49" t="s">
        <v>77</v>
      </c>
      <c r="N1141" s="48" t="s">
        <v>108</v>
      </c>
      <c r="O1141" s="49" t="s">
        <v>37</v>
      </c>
      <c r="P1141" s="11" t="s">
        <v>80</v>
      </c>
      <c r="Q1141" s="11" t="s">
        <v>98</v>
      </c>
      <c r="R1141" s="11" t="s">
        <v>2779</v>
      </c>
      <c r="S1141" s="11" t="s">
        <v>2780</v>
      </c>
      <c r="T1141" s="105" t="s">
        <v>10</v>
      </c>
      <c r="U1141" s="98"/>
      <c r="V1141" s="51">
        <v>44839</v>
      </c>
      <c r="W1141" s="49" t="s">
        <v>1566</v>
      </c>
      <c r="X1141" s="154" t="s">
        <v>2948</v>
      </c>
      <c r="Y1141" s="154">
        <v>0</v>
      </c>
    </row>
    <row r="1142" spans="1:25" ht="13" customHeight="1">
      <c r="A1142" s="11">
        <v>1136</v>
      </c>
      <c r="B1142" s="47">
        <v>106301312</v>
      </c>
      <c r="C1142" s="88" t="s">
        <v>1293</v>
      </c>
      <c r="D1142" s="11" t="s">
        <v>1294</v>
      </c>
      <c r="E1142" s="48" t="s">
        <v>34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95</v>
      </c>
      <c r="M1142" s="49" t="s">
        <v>77</v>
      </c>
      <c r="N1142" s="48" t="s">
        <v>108</v>
      </c>
      <c r="O1142" s="49" t="s">
        <v>37</v>
      </c>
      <c r="P1142" s="11" t="s">
        <v>80</v>
      </c>
      <c r="Q1142" s="11" t="s">
        <v>98</v>
      </c>
      <c r="R1142" s="49" t="s">
        <v>624</v>
      </c>
      <c r="S1142" s="11" t="s">
        <v>625</v>
      </c>
      <c r="T1142" s="105" t="s">
        <v>10</v>
      </c>
      <c r="U1142" s="98"/>
      <c r="V1142" s="51">
        <v>44757</v>
      </c>
      <c r="W1142" s="49" t="s">
        <v>1564</v>
      </c>
      <c r="X1142" s="154" t="s">
        <v>2948</v>
      </c>
      <c r="Y1142" s="154">
        <v>0</v>
      </c>
    </row>
    <row r="1143" spans="1:25" ht="13" customHeight="1">
      <c r="A1143" s="11">
        <v>1137</v>
      </c>
      <c r="B1143" s="47">
        <v>203965011</v>
      </c>
      <c r="C1143" s="88" t="s">
        <v>1295</v>
      </c>
      <c r="D1143" s="11" t="s">
        <v>1296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77</v>
      </c>
      <c r="M1143" s="49" t="s">
        <v>78</v>
      </c>
      <c r="N1143" s="48" t="s">
        <v>86</v>
      </c>
      <c r="O1143" s="49" t="s">
        <v>37</v>
      </c>
      <c r="P1143" s="11" t="s">
        <v>80</v>
      </c>
      <c r="Q1143" s="11" t="s">
        <v>99</v>
      </c>
      <c r="R1143" s="11" t="s">
        <v>1057</v>
      </c>
      <c r="S1143" s="11" t="s">
        <v>2657</v>
      </c>
      <c r="T1143" s="105" t="s">
        <v>10</v>
      </c>
      <c r="U1143" s="98"/>
      <c r="V1143" s="51">
        <v>45544</v>
      </c>
      <c r="W1143" s="49" t="s">
        <v>1564</v>
      </c>
      <c r="X1143" s="154" t="s">
        <v>2948</v>
      </c>
      <c r="Y1143" s="154">
        <v>0</v>
      </c>
    </row>
    <row r="1144" spans="1:25" ht="13" customHeight="1">
      <c r="A1144" s="11">
        <v>1138</v>
      </c>
      <c r="B1144" s="47">
        <v>205845557</v>
      </c>
      <c r="C1144" s="88" t="s">
        <v>1297</v>
      </c>
      <c r="D1144" s="11" t="s">
        <v>1298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85</v>
      </c>
      <c r="M1144" s="49" t="s">
        <v>88</v>
      </c>
      <c r="N1144" s="49" t="s">
        <v>89</v>
      </c>
      <c r="O1144" s="49" t="s">
        <v>37</v>
      </c>
      <c r="P1144" s="11" t="s">
        <v>80</v>
      </c>
      <c r="Q1144" s="11" t="s">
        <v>90</v>
      </c>
      <c r="R1144" s="49" t="s">
        <v>624</v>
      </c>
      <c r="S1144" s="11" t="s">
        <v>625</v>
      </c>
      <c r="T1144" s="105" t="s">
        <v>1</v>
      </c>
      <c r="U1144" s="98"/>
      <c r="V1144" s="51">
        <v>45894</v>
      </c>
      <c r="W1144" s="49" t="s">
        <v>1563</v>
      </c>
      <c r="X1144" s="154" t="s">
        <v>2</v>
      </c>
      <c r="Y1144" s="154">
        <v>0</v>
      </c>
    </row>
    <row r="1145" spans="1:25" ht="13" customHeight="1">
      <c r="A1145" s="11">
        <v>1139</v>
      </c>
      <c r="B1145" s="47">
        <v>203993451</v>
      </c>
      <c r="C1145" s="88" t="s">
        <v>1299</v>
      </c>
      <c r="D1145" s="11" t="s">
        <v>1300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85</v>
      </c>
      <c r="M1145" s="49" t="s">
        <v>88</v>
      </c>
      <c r="N1145" s="48" t="s">
        <v>86</v>
      </c>
      <c r="O1145" s="49" t="s">
        <v>37</v>
      </c>
      <c r="P1145" s="11" t="s">
        <v>80</v>
      </c>
      <c r="Q1145" s="11" t="s">
        <v>90</v>
      </c>
      <c r="R1145" s="49" t="s">
        <v>644</v>
      </c>
      <c r="S1145" s="11" t="s">
        <v>1777</v>
      </c>
      <c r="T1145" s="105" t="s">
        <v>1</v>
      </c>
      <c r="U1145" s="98"/>
      <c r="V1145" s="51">
        <v>45894</v>
      </c>
      <c r="W1145" s="49" t="s">
        <v>1564</v>
      </c>
      <c r="X1145" s="154" t="s">
        <v>2</v>
      </c>
      <c r="Y1145" s="154">
        <v>0</v>
      </c>
    </row>
    <row r="1146" spans="1:25" ht="13" customHeight="1">
      <c r="A1146" s="11">
        <v>1140</v>
      </c>
      <c r="B1146" s="47">
        <v>205854086</v>
      </c>
      <c r="C1146" s="88" t="s">
        <v>1301</v>
      </c>
      <c r="D1146" s="11" t="s">
        <v>1302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92</v>
      </c>
      <c r="M1146" s="49" t="s">
        <v>84</v>
      </c>
      <c r="N1146" s="49" t="s">
        <v>89</v>
      </c>
      <c r="O1146" s="49" t="s">
        <v>37</v>
      </c>
      <c r="P1146" s="11" t="s">
        <v>80</v>
      </c>
      <c r="Q1146" s="11" t="s">
        <v>96</v>
      </c>
      <c r="R1146" s="49" t="s">
        <v>644</v>
      </c>
      <c r="S1146" s="11" t="s">
        <v>1777</v>
      </c>
      <c r="T1146" s="105" t="s">
        <v>1</v>
      </c>
      <c r="U1146" s="98"/>
      <c r="V1146" s="51">
        <v>45894</v>
      </c>
      <c r="W1146" s="49" t="s">
        <v>1564</v>
      </c>
      <c r="X1146" s="154" t="s">
        <v>2</v>
      </c>
      <c r="Y1146" s="154">
        <v>0</v>
      </c>
    </row>
    <row r="1147" spans="1:25" ht="13" customHeight="1">
      <c r="A1147" s="11">
        <v>1141</v>
      </c>
      <c r="B1147" s="47">
        <v>206915790</v>
      </c>
      <c r="C1147" s="88" t="s">
        <v>1871</v>
      </c>
      <c r="D1147" s="11" t="s">
        <v>1856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88</v>
      </c>
      <c r="M1147" s="49" t="s">
        <v>95</v>
      </c>
      <c r="N1147" s="49" t="s">
        <v>89</v>
      </c>
      <c r="O1147" s="49" t="s">
        <v>37</v>
      </c>
      <c r="P1147" s="11" t="s">
        <v>80</v>
      </c>
      <c r="Q1147" s="11" t="s">
        <v>90</v>
      </c>
      <c r="R1147" s="49" t="s">
        <v>2659</v>
      </c>
      <c r="S1147" s="11" t="s">
        <v>639</v>
      </c>
      <c r="T1147" s="105" t="s">
        <v>1</v>
      </c>
      <c r="U1147" s="98"/>
      <c r="V1147" s="51">
        <v>46034</v>
      </c>
      <c r="W1147" s="49" t="s">
        <v>1564</v>
      </c>
      <c r="X1147" s="154" t="s">
        <v>2</v>
      </c>
      <c r="Y1147" s="154">
        <v>0</v>
      </c>
    </row>
    <row r="1148" spans="1:25" ht="13" customHeight="1">
      <c r="A1148" s="11">
        <v>1142</v>
      </c>
      <c r="B1148" s="47">
        <v>206915794</v>
      </c>
      <c r="C1148" s="88" t="s">
        <v>1862</v>
      </c>
      <c r="D1148" s="11" t="s">
        <v>1868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92</v>
      </c>
      <c r="M1148" s="49" t="s">
        <v>84</v>
      </c>
      <c r="N1148" s="49" t="s">
        <v>89</v>
      </c>
      <c r="O1148" s="49" t="s">
        <v>37</v>
      </c>
      <c r="P1148" s="49" t="s">
        <v>80</v>
      </c>
      <c r="Q1148" s="49" t="s">
        <v>90</v>
      </c>
      <c r="R1148" s="49" t="s">
        <v>644</v>
      </c>
      <c r="S1148" s="49" t="s">
        <v>1777</v>
      </c>
      <c r="T1148" s="105" t="s">
        <v>1</v>
      </c>
      <c r="U1148" s="98"/>
      <c r="V1148" s="51">
        <v>46034</v>
      </c>
      <c r="W1148" s="49" t="s">
        <v>1563</v>
      </c>
      <c r="X1148" s="154" t="s">
        <v>2</v>
      </c>
      <c r="Y1148" s="154">
        <v>0</v>
      </c>
    </row>
    <row r="1149" spans="1:25" ht="13" customHeight="1">
      <c r="A1149" s="11">
        <v>1143</v>
      </c>
      <c r="B1149" s="47">
        <v>203555845</v>
      </c>
      <c r="C1149" s="88" t="s">
        <v>1303</v>
      </c>
      <c r="D1149" s="11" t="s">
        <v>1304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85</v>
      </c>
      <c r="M1149" s="49" t="s">
        <v>88</v>
      </c>
      <c r="N1149" s="48" t="s">
        <v>86</v>
      </c>
      <c r="O1149" s="49" t="s">
        <v>37</v>
      </c>
      <c r="P1149" s="11" t="s">
        <v>80</v>
      </c>
      <c r="Q1149" s="11" t="s">
        <v>99</v>
      </c>
      <c r="R1149" s="11" t="s">
        <v>1057</v>
      </c>
      <c r="S1149" s="11" t="s">
        <v>2657</v>
      </c>
      <c r="T1149" s="105" t="s">
        <v>1</v>
      </c>
      <c r="U1149" s="98"/>
      <c r="V1149" s="51">
        <v>45470</v>
      </c>
      <c r="W1149" s="49" t="s">
        <v>1564</v>
      </c>
      <c r="X1149" s="154" t="s">
        <v>2</v>
      </c>
      <c r="Y1149" s="154">
        <v>0</v>
      </c>
    </row>
    <row r="1150" spans="1:25" ht="13" customHeight="1">
      <c r="A1150" s="11">
        <v>1144</v>
      </c>
      <c r="B1150" s="47">
        <v>203964988</v>
      </c>
      <c r="C1150" s="88" t="s">
        <v>1305</v>
      </c>
      <c r="D1150" s="11" t="s">
        <v>1306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78</v>
      </c>
      <c r="M1150" s="49" t="s">
        <v>92</v>
      </c>
      <c r="N1150" s="48" t="s">
        <v>86</v>
      </c>
      <c r="O1150" s="49" t="s">
        <v>37</v>
      </c>
      <c r="P1150" s="11" t="s">
        <v>80</v>
      </c>
      <c r="Q1150" s="11" t="s">
        <v>99</v>
      </c>
      <c r="R1150" s="49" t="s">
        <v>644</v>
      </c>
      <c r="S1150" s="11" t="s">
        <v>1777</v>
      </c>
      <c r="T1150" s="105" t="s">
        <v>1</v>
      </c>
      <c r="U1150" s="98"/>
      <c r="V1150" s="51">
        <v>45544</v>
      </c>
      <c r="W1150" s="49" t="s">
        <v>1564</v>
      </c>
      <c r="X1150" s="154" t="s">
        <v>2</v>
      </c>
      <c r="Y1150" s="154">
        <v>0</v>
      </c>
    </row>
    <row r="1151" spans="1:25" ht="13" customHeight="1">
      <c r="A1151" s="11">
        <v>1145</v>
      </c>
      <c r="B1151" s="47">
        <v>204137704</v>
      </c>
      <c r="C1151" s="88" t="s">
        <v>1307</v>
      </c>
      <c r="D1151" s="11" t="s">
        <v>1308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78</v>
      </c>
      <c r="M1151" s="49" t="s">
        <v>92</v>
      </c>
      <c r="N1151" s="48" t="s">
        <v>86</v>
      </c>
      <c r="O1151" s="49" t="s">
        <v>37</v>
      </c>
      <c r="P1151" s="11" t="s">
        <v>80</v>
      </c>
      <c r="Q1151" s="11" t="s">
        <v>87</v>
      </c>
      <c r="R1151" s="49" t="s">
        <v>644</v>
      </c>
      <c r="S1151" s="11" t="s">
        <v>1777</v>
      </c>
      <c r="T1151" s="105" t="s">
        <v>7</v>
      </c>
      <c r="U1151" s="98"/>
      <c r="V1151" s="51">
        <v>45565</v>
      </c>
      <c r="W1151" s="49" t="s">
        <v>1564</v>
      </c>
      <c r="X1151" s="154" t="s">
        <v>2948</v>
      </c>
      <c r="Y1151" s="154">
        <v>0</v>
      </c>
    </row>
    <row r="1152" spans="1:25" ht="13" customHeight="1">
      <c r="A1152" s="11">
        <v>1146</v>
      </c>
      <c r="B1152" s="47">
        <v>206136722</v>
      </c>
      <c r="C1152" s="88" t="s">
        <v>2801</v>
      </c>
      <c r="D1152" s="11" t="s">
        <v>2802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11" t="s">
        <v>39</v>
      </c>
      <c r="K1152" s="11" t="s">
        <v>76</v>
      </c>
      <c r="L1152" s="11" t="s">
        <v>85</v>
      </c>
      <c r="M1152" s="11" t="s">
        <v>88</v>
      </c>
      <c r="N1152" s="11" t="s">
        <v>89</v>
      </c>
      <c r="O1152" s="11" t="s">
        <v>37</v>
      </c>
      <c r="P1152" s="11" t="s">
        <v>80</v>
      </c>
      <c r="Q1152" s="11" t="s">
        <v>96</v>
      </c>
      <c r="R1152" s="11" t="s">
        <v>1057</v>
      </c>
      <c r="S1152" s="11" t="s">
        <v>2657</v>
      </c>
      <c r="T1152" s="105" t="s">
        <v>1</v>
      </c>
      <c r="U1152" s="98"/>
      <c r="V1152" s="51">
        <v>46238</v>
      </c>
      <c r="W1152" s="11" t="s">
        <v>1565</v>
      </c>
      <c r="X1152" s="154" t="s">
        <v>2</v>
      </c>
      <c r="Y1152" s="154">
        <v>0</v>
      </c>
    </row>
    <row r="1153" spans="1:25" ht="13" customHeight="1">
      <c r="A1153" s="11">
        <v>1147</v>
      </c>
      <c r="B1153" s="47">
        <v>206239215</v>
      </c>
      <c r="C1153" s="88" t="s">
        <v>1634</v>
      </c>
      <c r="D1153" s="11" t="s">
        <v>1603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84</v>
      </c>
      <c r="M1153" s="49" t="s">
        <v>85</v>
      </c>
      <c r="N1153" s="48" t="s">
        <v>79</v>
      </c>
      <c r="O1153" s="49" t="s">
        <v>37</v>
      </c>
      <c r="P1153" s="11" t="s">
        <v>80</v>
      </c>
      <c r="Q1153" s="11" t="s">
        <v>81</v>
      </c>
      <c r="R1153" s="11" t="s">
        <v>1057</v>
      </c>
      <c r="S1153" s="11" t="s">
        <v>2657</v>
      </c>
      <c r="T1153" s="105" t="s">
        <v>7</v>
      </c>
      <c r="U1153" s="98" t="s">
        <v>2943</v>
      </c>
      <c r="V1153" s="51">
        <v>45943</v>
      </c>
      <c r="W1153" s="49" t="s">
        <v>1564</v>
      </c>
      <c r="X1153" s="154" t="s">
        <v>2948</v>
      </c>
      <c r="Y1153" s="154" t="s">
        <v>2943</v>
      </c>
    </row>
    <row r="1154" spans="1:25" ht="13" customHeight="1">
      <c r="A1154" s="11">
        <v>1148</v>
      </c>
      <c r="B1154" s="47">
        <v>206902844</v>
      </c>
      <c r="C1154" s="88" t="s">
        <v>1844</v>
      </c>
      <c r="D1154" s="11" t="s">
        <v>1845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1290</v>
      </c>
      <c r="J1154" s="49" t="s">
        <v>39</v>
      </c>
      <c r="K1154" s="49" t="s">
        <v>76</v>
      </c>
      <c r="L1154" s="49" t="s">
        <v>92</v>
      </c>
      <c r="M1154" s="49" t="s">
        <v>84</v>
      </c>
      <c r="N1154" s="49" t="s">
        <v>89</v>
      </c>
      <c r="O1154" s="48" t="s">
        <v>37</v>
      </c>
      <c r="P1154" s="48" t="s">
        <v>80</v>
      </c>
      <c r="Q1154" s="11" t="s">
        <v>90</v>
      </c>
      <c r="R1154" s="49" t="s">
        <v>644</v>
      </c>
      <c r="S1154" s="11" t="s">
        <v>1777</v>
      </c>
      <c r="T1154" s="105" t="s">
        <v>1</v>
      </c>
      <c r="U1154" s="98"/>
      <c r="V1154" s="51">
        <v>46030</v>
      </c>
      <c r="W1154" s="49" t="s">
        <v>1564</v>
      </c>
      <c r="X1154" s="154" t="s">
        <v>2</v>
      </c>
      <c r="Y1154" s="154">
        <v>0</v>
      </c>
    </row>
    <row r="1155" spans="1:25" ht="13" customHeight="1">
      <c r="A1155" s="11">
        <v>1149</v>
      </c>
      <c r="B1155" s="47">
        <v>203911200</v>
      </c>
      <c r="C1155" s="88" t="s">
        <v>1309</v>
      </c>
      <c r="D1155" s="11" t="s">
        <v>1310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78</v>
      </c>
      <c r="M1155" s="49" t="s">
        <v>92</v>
      </c>
      <c r="N1155" s="48" t="s">
        <v>86</v>
      </c>
      <c r="O1155" s="49" t="s">
        <v>37</v>
      </c>
      <c r="P1155" s="11" t="s">
        <v>80</v>
      </c>
      <c r="Q1155" s="11" t="s">
        <v>99</v>
      </c>
      <c r="R1155" s="49" t="s">
        <v>644</v>
      </c>
      <c r="S1155" s="11" t="s">
        <v>1777</v>
      </c>
      <c r="T1155" s="105" t="s">
        <v>1</v>
      </c>
      <c r="U1155" s="98"/>
      <c r="V1155" s="51">
        <v>45537</v>
      </c>
      <c r="W1155" s="49" t="s">
        <v>1565</v>
      </c>
      <c r="X1155" s="154" t="s">
        <v>2</v>
      </c>
      <c r="Y1155" s="154">
        <v>0</v>
      </c>
    </row>
    <row r="1156" spans="1:25" ht="13" customHeight="1">
      <c r="A1156" s="11">
        <v>1150</v>
      </c>
      <c r="B1156" s="91">
        <v>205845559</v>
      </c>
      <c r="C1156" s="47" t="s">
        <v>2756</v>
      </c>
      <c r="D1156" s="88" t="s">
        <v>2757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85</v>
      </c>
      <c r="M1156" s="49" t="s">
        <v>88</v>
      </c>
      <c r="N1156" s="48" t="s">
        <v>86</v>
      </c>
      <c r="O1156" s="49" t="s">
        <v>37</v>
      </c>
      <c r="P1156" s="11" t="s">
        <v>80</v>
      </c>
      <c r="Q1156" s="11" t="s">
        <v>90</v>
      </c>
      <c r="R1156" s="11" t="s">
        <v>2659</v>
      </c>
      <c r="S1156" s="11" t="s">
        <v>639</v>
      </c>
      <c r="T1156" s="105" t="s">
        <v>1</v>
      </c>
      <c r="U1156" s="98"/>
      <c r="V1156" s="51">
        <v>45894</v>
      </c>
      <c r="W1156" s="49" t="s">
        <v>1564</v>
      </c>
      <c r="X1156" s="154" t="s">
        <v>2</v>
      </c>
      <c r="Y1156" s="154">
        <v>0</v>
      </c>
    </row>
    <row r="1157" spans="1:25" ht="13" customHeight="1">
      <c r="A1157" s="11">
        <v>1151</v>
      </c>
      <c r="B1157" s="91">
        <v>204009364</v>
      </c>
      <c r="C1157" s="47" t="s">
        <v>2758</v>
      </c>
      <c r="D1157" s="88" t="s">
        <v>2759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84</v>
      </c>
      <c r="M1157" s="49" t="s">
        <v>85</v>
      </c>
      <c r="N1157" s="49" t="s">
        <v>89</v>
      </c>
      <c r="O1157" s="49" t="s">
        <v>37</v>
      </c>
      <c r="P1157" s="11" t="s">
        <v>80</v>
      </c>
      <c r="Q1157" s="11" t="s">
        <v>90</v>
      </c>
      <c r="R1157" s="11" t="s">
        <v>2779</v>
      </c>
      <c r="S1157" s="11" t="s">
        <v>2780</v>
      </c>
      <c r="T1157" s="105" t="s">
        <v>1</v>
      </c>
      <c r="U1157" s="98"/>
      <c r="V1157" s="51">
        <v>45551</v>
      </c>
      <c r="W1157" s="49" t="s">
        <v>1564</v>
      </c>
      <c r="X1157" s="154" t="s">
        <v>2</v>
      </c>
      <c r="Y1157" s="154">
        <v>0</v>
      </c>
    </row>
    <row r="1158" spans="1:25" ht="13" customHeight="1">
      <c r="A1158" s="11">
        <v>1152</v>
      </c>
      <c r="B1158" s="11">
        <v>206192237</v>
      </c>
      <c r="C1158" s="88" t="s">
        <v>2766</v>
      </c>
      <c r="D1158" s="11" t="s">
        <v>2767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92</v>
      </c>
      <c r="M1158" s="49" t="s">
        <v>84</v>
      </c>
      <c r="N1158" s="11" t="s">
        <v>89</v>
      </c>
      <c r="O1158" s="11" t="s">
        <v>37</v>
      </c>
      <c r="P1158" s="11" t="s">
        <v>80</v>
      </c>
      <c r="Q1158" s="11" t="s">
        <v>96</v>
      </c>
      <c r="R1158" s="11" t="s">
        <v>624</v>
      </c>
      <c r="S1158" s="11" t="s">
        <v>625</v>
      </c>
      <c r="T1158" s="105" t="s">
        <v>1</v>
      </c>
      <c r="U1158" s="98"/>
      <c r="V1158" s="51">
        <v>46226</v>
      </c>
      <c r="W1158" s="11" t="s">
        <v>1564</v>
      </c>
      <c r="X1158" s="154" t="s">
        <v>2</v>
      </c>
      <c r="Y1158" s="154">
        <v>0</v>
      </c>
    </row>
    <row r="1159" spans="1:25" ht="13" customHeight="1">
      <c r="A1159" s="11">
        <v>1153</v>
      </c>
      <c r="B1159" s="47">
        <v>203881697</v>
      </c>
      <c r="C1159" s="88" t="s">
        <v>1311</v>
      </c>
      <c r="D1159" s="11" t="s">
        <v>1312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85</v>
      </c>
      <c r="M1159" s="49" t="s">
        <v>88</v>
      </c>
      <c r="N1159" s="48" t="s">
        <v>79</v>
      </c>
      <c r="O1159" s="49" t="s">
        <v>37</v>
      </c>
      <c r="P1159" s="11" t="s">
        <v>80</v>
      </c>
      <c r="Q1159" s="11" t="s">
        <v>81</v>
      </c>
      <c r="R1159" s="11" t="s">
        <v>636</v>
      </c>
      <c r="S1159" s="11" t="s">
        <v>2658</v>
      </c>
      <c r="T1159" s="105" t="s">
        <v>1</v>
      </c>
      <c r="U1159" s="98"/>
      <c r="V1159" s="51">
        <v>45530</v>
      </c>
      <c r="W1159" s="49" t="s">
        <v>1566</v>
      </c>
      <c r="X1159" s="154" t="s">
        <v>2</v>
      </c>
      <c r="Y1159" s="154">
        <v>0</v>
      </c>
    </row>
    <row r="1160" spans="1:25" ht="13" customHeight="1">
      <c r="A1160" s="11">
        <v>1154</v>
      </c>
      <c r="B1160" s="47">
        <v>206897671</v>
      </c>
      <c r="C1160" s="88" t="s">
        <v>2785</v>
      </c>
      <c r="D1160" s="11" t="s">
        <v>2786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11" t="s">
        <v>39</v>
      </c>
      <c r="K1160" s="11" t="s">
        <v>76</v>
      </c>
      <c r="L1160" s="11" t="s">
        <v>92</v>
      </c>
      <c r="M1160" s="11" t="s">
        <v>84</v>
      </c>
      <c r="N1160" s="11" t="s">
        <v>89</v>
      </c>
      <c r="O1160" s="11" t="s">
        <v>37</v>
      </c>
      <c r="P1160" s="11" t="s">
        <v>80</v>
      </c>
      <c r="Q1160" s="11" t="s">
        <v>81</v>
      </c>
      <c r="R1160" s="11" t="s">
        <v>628</v>
      </c>
      <c r="S1160" s="11" t="s">
        <v>629</v>
      </c>
      <c r="T1160" s="105" t="s">
        <v>1</v>
      </c>
      <c r="U1160" s="98"/>
      <c r="V1160" s="51">
        <v>46238</v>
      </c>
      <c r="W1160" s="11" t="s">
        <v>1566</v>
      </c>
      <c r="X1160" s="154" t="s">
        <v>2</v>
      </c>
      <c r="Y1160" s="154">
        <v>0</v>
      </c>
    </row>
    <row r="1161" spans="1:25" ht="13" customHeight="1">
      <c r="A1161" s="11">
        <v>1155</v>
      </c>
      <c r="B1161" s="47">
        <v>206902847</v>
      </c>
      <c r="C1161" s="88" t="s">
        <v>1842</v>
      </c>
      <c r="D1161" s="11" t="s">
        <v>1843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1290</v>
      </c>
      <c r="J1161" s="49" t="s">
        <v>32</v>
      </c>
      <c r="K1161" s="49" t="s">
        <v>76</v>
      </c>
      <c r="L1161" s="49" t="s">
        <v>92</v>
      </c>
      <c r="M1161" s="49" t="s">
        <v>84</v>
      </c>
      <c r="N1161" s="49" t="s">
        <v>89</v>
      </c>
      <c r="O1161" s="48" t="s">
        <v>37</v>
      </c>
      <c r="P1161" s="48" t="s">
        <v>80</v>
      </c>
      <c r="Q1161" s="11" t="s">
        <v>90</v>
      </c>
      <c r="R1161" s="49" t="s">
        <v>644</v>
      </c>
      <c r="S1161" s="11" t="s">
        <v>1777</v>
      </c>
      <c r="T1161" s="105" t="s">
        <v>1</v>
      </c>
      <c r="U1161" s="98"/>
      <c r="V1161" s="51">
        <v>46030</v>
      </c>
      <c r="W1161" s="49" t="s">
        <v>1564</v>
      </c>
      <c r="X1161" s="154" t="s">
        <v>2</v>
      </c>
      <c r="Y1161" s="154">
        <v>0</v>
      </c>
    </row>
    <row r="1162" spans="1:25" ht="13" customHeight="1">
      <c r="A1162" s="11">
        <v>1156</v>
      </c>
      <c r="B1162" s="47">
        <v>203908342</v>
      </c>
      <c r="C1162" s="88" t="s">
        <v>2374</v>
      </c>
      <c r="D1162" s="11" t="s">
        <v>2375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77</v>
      </c>
      <c r="M1162" s="49" t="s">
        <v>78</v>
      </c>
      <c r="N1162" s="48" t="s">
        <v>86</v>
      </c>
      <c r="O1162" s="49" t="s">
        <v>37</v>
      </c>
      <c r="P1162" s="11" t="s">
        <v>80</v>
      </c>
      <c r="Q1162" s="11" t="s">
        <v>90</v>
      </c>
      <c r="R1162" s="11" t="s">
        <v>1057</v>
      </c>
      <c r="S1162" s="11" t="s">
        <v>2657</v>
      </c>
      <c r="T1162" s="105" t="s">
        <v>10</v>
      </c>
      <c r="U1162" s="98"/>
      <c r="V1162" s="51">
        <v>45537</v>
      </c>
      <c r="W1162" s="49" t="s">
        <v>1564</v>
      </c>
      <c r="X1162" s="154" t="s">
        <v>2948</v>
      </c>
      <c r="Y1162" s="154">
        <v>0</v>
      </c>
    </row>
    <row r="1163" spans="1:25" ht="13" customHeight="1">
      <c r="A1163" s="11">
        <v>1157</v>
      </c>
      <c r="B1163" s="47">
        <v>204095810</v>
      </c>
      <c r="C1163" s="88" t="s">
        <v>1313</v>
      </c>
      <c r="D1163" s="11" t="s">
        <v>1314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78</v>
      </c>
      <c r="M1163" s="49" t="s">
        <v>92</v>
      </c>
      <c r="N1163" s="48" t="s">
        <v>86</v>
      </c>
      <c r="O1163" s="49" t="s">
        <v>37</v>
      </c>
      <c r="P1163" s="11" t="s">
        <v>80</v>
      </c>
      <c r="Q1163" s="11" t="s">
        <v>87</v>
      </c>
      <c r="R1163" s="11" t="s">
        <v>628</v>
      </c>
      <c r="S1163" s="11" t="s">
        <v>629</v>
      </c>
      <c r="T1163" s="105" t="s">
        <v>1</v>
      </c>
      <c r="U1163" s="98"/>
      <c r="V1163" s="51">
        <v>45561</v>
      </c>
      <c r="W1163" s="49" t="s">
        <v>1566</v>
      </c>
      <c r="X1163" s="154" t="s">
        <v>2</v>
      </c>
      <c r="Y1163" s="154">
        <v>0</v>
      </c>
    </row>
    <row r="1164" spans="1:25" ht="13" customHeight="1">
      <c r="A1164" s="11">
        <v>1158</v>
      </c>
      <c r="B1164" s="47">
        <v>206902848</v>
      </c>
      <c r="C1164" s="88" t="s">
        <v>1838</v>
      </c>
      <c r="D1164" s="11" t="s">
        <v>1839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1290</v>
      </c>
      <c r="J1164" s="49" t="s">
        <v>39</v>
      </c>
      <c r="K1164" s="49" t="s">
        <v>76</v>
      </c>
      <c r="L1164" s="49" t="s">
        <v>92</v>
      </c>
      <c r="M1164" s="49" t="s">
        <v>84</v>
      </c>
      <c r="N1164" s="49" t="s">
        <v>89</v>
      </c>
      <c r="O1164" s="48" t="s">
        <v>37</v>
      </c>
      <c r="P1164" s="48" t="s">
        <v>80</v>
      </c>
      <c r="Q1164" s="11" t="s">
        <v>90</v>
      </c>
      <c r="R1164" s="49" t="s">
        <v>644</v>
      </c>
      <c r="S1164" s="11" t="s">
        <v>1777</v>
      </c>
      <c r="T1164" s="105" t="s">
        <v>1</v>
      </c>
      <c r="U1164" s="98"/>
      <c r="V1164" s="51">
        <v>46030</v>
      </c>
      <c r="W1164" s="49" t="s">
        <v>1564</v>
      </c>
      <c r="X1164" s="154" t="s">
        <v>2</v>
      </c>
      <c r="Y1164" s="154">
        <v>0</v>
      </c>
    </row>
    <row r="1165" spans="1:25" ht="13" customHeight="1">
      <c r="A1165" s="11">
        <v>1159</v>
      </c>
      <c r="B1165" s="47">
        <v>205845554</v>
      </c>
      <c r="C1165" s="88" t="s">
        <v>1315</v>
      </c>
      <c r="D1165" s="11" t="s">
        <v>1316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85</v>
      </c>
      <c r="M1165" s="49" t="s">
        <v>88</v>
      </c>
      <c r="N1165" s="48" t="s">
        <v>86</v>
      </c>
      <c r="O1165" s="49" t="s">
        <v>37</v>
      </c>
      <c r="P1165" s="11" t="s">
        <v>80</v>
      </c>
      <c r="Q1165" s="11" t="s">
        <v>90</v>
      </c>
      <c r="R1165" s="49" t="s">
        <v>624</v>
      </c>
      <c r="S1165" s="11" t="s">
        <v>625</v>
      </c>
      <c r="T1165" s="105" t="s">
        <v>1</v>
      </c>
      <c r="U1165" s="98"/>
      <c r="V1165" s="51">
        <v>45894</v>
      </c>
      <c r="W1165" s="49" t="s">
        <v>1563</v>
      </c>
      <c r="X1165" s="154" t="s">
        <v>2</v>
      </c>
      <c r="Y1165" s="154">
        <v>0</v>
      </c>
    </row>
    <row r="1166" spans="1:25" ht="13" customHeight="1">
      <c r="A1166" s="11">
        <v>1160</v>
      </c>
      <c r="B1166" s="47">
        <v>104033277</v>
      </c>
      <c r="C1166" s="88" t="s">
        <v>1317</v>
      </c>
      <c r="D1166" s="11" t="s">
        <v>1318</v>
      </c>
      <c r="E1166" s="48" t="s">
        <v>34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77</v>
      </c>
      <c r="M1166" s="49" t="s">
        <v>78</v>
      </c>
      <c r="N1166" s="48" t="s">
        <v>108</v>
      </c>
      <c r="O1166" s="49" t="s">
        <v>37</v>
      </c>
      <c r="P1166" s="11" t="s">
        <v>80</v>
      </c>
      <c r="Q1166" s="11" t="s">
        <v>98</v>
      </c>
      <c r="R1166" s="49" t="s">
        <v>644</v>
      </c>
      <c r="S1166" s="11" t="s">
        <v>1777</v>
      </c>
      <c r="T1166" s="105" t="s">
        <v>10</v>
      </c>
      <c r="U1166" s="98"/>
      <c r="V1166" s="51">
        <v>44839</v>
      </c>
      <c r="W1166" s="49" t="s">
        <v>1564</v>
      </c>
      <c r="X1166" s="154" t="s">
        <v>2948</v>
      </c>
      <c r="Y1166" s="154">
        <v>0</v>
      </c>
    </row>
    <row r="1167" spans="1:25" ht="13" customHeight="1">
      <c r="A1167" s="11">
        <v>1161</v>
      </c>
      <c r="B1167" s="47">
        <v>204246155</v>
      </c>
      <c r="C1167" s="88" t="s">
        <v>83</v>
      </c>
      <c r="D1167" s="11" t="s">
        <v>1947</v>
      </c>
      <c r="E1167" s="48" t="s">
        <v>31</v>
      </c>
      <c r="F1167" s="48" t="s">
        <v>74</v>
      </c>
      <c r="G1167" s="11" t="s">
        <v>65</v>
      </c>
      <c r="H1167" s="11" t="s">
        <v>1319</v>
      </c>
      <c r="I1167" s="11">
        <v>1299</v>
      </c>
      <c r="J1167" s="49" t="s">
        <v>32</v>
      </c>
      <c r="K1167" s="49" t="s">
        <v>76</v>
      </c>
      <c r="L1167" s="49" t="s">
        <v>77</v>
      </c>
      <c r="M1167" s="49" t="s">
        <v>78</v>
      </c>
      <c r="N1167" s="48" t="s">
        <v>86</v>
      </c>
      <c r="O1167" s="49" t="s">
        <v>68</v>
      </c>
      <c r="P1167" s="11" t="s">
        <v>80</v>
      </c>
      <c r="Q1167" s="11" t="s">
        <v>87</v>
      </c>
      <c r="R1167" s="11" t="s">
        <v>1323</v>
      </c>
      <c r="S1167" s="11" t="s">
        <v>1324</v>
      </c>
      <c r="T1167" s="105" t="s">
        <v>10</v>
      </c>
      <c r="U1167" s="98"/>
      <c r="V1167" s="51">
        <v>45579</v>
      </c>
      <c r="W1167" s="49" t="s">
        <v>68</v>
      </c>
      <c r="X1167" s="154" t="s">
        <v>2948</v>
      </c>
      <c r="Y1167" s="154">
        <v>0</v>
      </c>
    </row>
    <row r="1168" spans="1:25" ht="13" customHeight="1">
      <c r="A1168" s="11">
        <v>1162</v>
      </c>
      <c r="B1168" s="47">
        <v>203555218</v>
      </c>
      <c r="C1168" s="88" t="s">
        <v>1321</v>
      </c>
      <c r="D1168" s="11" t="s">
        <v>1322</v>
      </c>
      <c r="E1168" s="48" t="s">
        <v>31</v>
      </c>
      <c r="F1168" s="48" t="s">
        <v>74</v>
      </c>
      <c r="G1168" s="11" t="s">
        <v>65</v>
      </c>
      <c r="H1168" s="11" t="s">
        <v>1319</v>
      </c>
      <c r="I1168" s="11">
        <v>1181</v>
      </c>
      <c r="J1168" s="49" t="s">
        <v>39</v>
      </c>
      <c r="K1168" s="49" t="s">
        <v>76</v>
      </c>
      <c r="L1168" s="49" t="s">
        <v>95</v>
      </c>
      <c r="M1168" s="49" t="s">
        <v>77</v>
      </c>
      <c r="N1168" s="48" t="s">
        <v>79</v>
      </c>
      <c r="O1168" s="49" t="s">
        <v>68</v>
      </c>
      <c r="P1168" s="11" t="s">
        <v>80</v>
      </c>
      <c r="Q1168" s="11" t="s">
        <v>81</v>
      </c>
      <c r="R1168" s="11" t="s">
        <v>2660</v>
      </c>
      <c r="S1168" s="11" t="s">
        <v>2661</v>
      </c>
      <c r="T1168" s="105" t="s">
        <v>10</v>
      </c>
      <c r="U1168" s="98"/>
      <c r="V1168" s="51">
        <v>45470</v>
      </c>
      <c r="W1168" s="49" t="s">
        <v>68</v>
      </c>
      <c r="X1168" s="154" t="s">
        <v>2948</v>
      </c>
      <c r="Y1168" s="154">
        <v>0</v>
      </c>
    </row>
    <row r="1169" spans="1:25" ht="13" customHeight="1">
      <c r="A1169" s="11">
        <v>1163</v>
      </c>
      <c r="B1169" s="47">
        <v>202137760</v>
      </c>
      <c r="C1169" s="88" t="s">
        <v>1325</v>
      </c>
      <c r="D1169" s="11" t="s">
        <v>1326</v>
      </c>
      <c r="E1169" s="48" t="s">
        <v>31</v>
      </c>
      <c r="F1169" s="48" t="s">
        <v>74</v>
      </c>
      <c r="G1169" s="11" t="s">
        <v>65</v>
      </c>
      <c r="H1169" s="11" t="s">
        <v>1319</v>
      </c>
      <c r="I1169" s="11">
        <v>1181</v>
      </c>
      <c r="J1169" s="49" t="s">
        <v>39</v>
      </c>
      <c r="K1169" s="49" t="s">
        <v>76</v>
      </c>
      <c r="L1169" s="49" t="s">
        <v>95</v>
      </c>
      <c r="M1169" s="49" t="s">
        <v>77</v>
      </c>
      <c r="N1169" s="48" t="s">
        <v>86</v>
      </c>
      <c r="O1169" s="49" t="s">
        <v>68</v>
      </c>
      <c r="P1169" s="11" t="s">
        <v>80</v>
      </c>
      <c r="Q1169" s="11" t="s">
        <v>87</v>
      </c>
      <c r="R1169" s="11" t="s">
        <v>2660</v>
      </c>
      <c r="S1169" s="11" t="s">
        <v>2661</v>
      </c>
      <c r="T1169" s="105" t="s">
        <v>10</v>
      </c>
      <c r="U1169" s="98"/>
      <c r="V1169" s="51">
        <v>45589</v>
      </c>
      <c r="W1169" s="49" t="s">
        <v>68</v>
      </c>
      <c r="X1169" s="154" t="s">
        <v>2948</v>
      </c>
      <c r="Y1169" s="154">
        <v>0</v>
      </c>
    </row>
    <row r="1170" spans="1:25" ht="13" customHeight="1">
      <c r="A1170" s="11">
        <v>1164</v>
      </c>
      <c r="B1170" s="47">
        <v>203635598</v>
      </c>
      <c r="C1170" s="88" t="s">
        <v>1327</v>
      </c>
      <c r="D1170" s="11" t="s">
        <v>1328</v>
      </c>
      <c r="E1170" s="48" t="s">
        <v>31</v>
      </c>
      <c r="F1170" s="48" t="s">
        <v>74</v>
      </c>
      <c r="G1170" s="11" t="s">
        <v>65</v>
      </c>
      <c r="H1170" s="11" t="s">
        <v>1319</v>
      </c>
      <c r="I1170" s="11">
        <v>1181</v>
      </c>
      <c r="J1170" s="49" t="s">
        <v>32</v>
      </c>
      <c r="K1170" s="49" t="s">
        <v>76</v>
      </c>
      <c r="L1170" s="49" t="s">
        <v>88</v>
      </c>
      <c r="M1170" s="49" t="s">
        <v>95</v>
      </c>
      <c r="N1170" s="48" t="s">
        <v>79</v>
      </c>
      <c r="O1170" s="49" t="s">
        <v>68</v>
      </c>
      <c r="P1170" s="11" t="s">
        <v>80</v>
      </c>
      <c r="Q1170" s="11" t="s">
        <v>81</v>
      </c>
      <c r="R1170" s="11" t="s">
        <v>1323</v>
      </c>
      <c r="S1170" s="11" t="s">
        <v>1324</v>
      </c>
      <c r="T1170" s="105" t="s">
        <v>1</v>
      </c>
      <c r="U1170" s="98"/>
      <c r="V1170" s="51">
        <v>45481</v>
      </c>
      <c r="W1170" s="49" t="s">
        <v>68</v>
      </c>
      <c r="X1170" s="154" t="s">
        <v>2</v>
      </c>
      <c r="Y1170" s="154">
        <v>0</v>
      </c>
    </row>
    <row r="1171" spans="1:25" ht="13" customHeight="1">
      <c r="A1171" s="11">
        <v>1165</v>
      </c>
      <c r="B1171" s="47">
        <v>206361774</v>
      </c>
      <c r="C1171" s="88" t="s">
        <v>2376</v>
      </c>
      <c r="D1171" s="11" t="s">
        <v>2377</v>
      </c>
      <c r="E1171" s="48" t="s">
        <v>31</v>
      </c>
      <c r="F1171" s="48" t="s">
        <v>74</v>
      </c>
      <c r="G1171" s="11" t="s">
        <v>65</v>
      </c>
      <c r="H1171" s="11" t="s">
        <v>1319</v>
      </c>
      <c r="I1171" s="11">
        <v>1181</v>
      </c>
      <c r="J1171" s="49" t="s">
        <v>39</v>
      </c>
      <c r="K1171" s="49" t="s">
        <v>76</v>
      </c>
      <c r="L1171" s="49" t="s">
        <v>85</v>
      </c>
      <c r="M1171" s="49" t="s">
        <v>88</v>
      </c>
      <c r="N1171" s="49" t="s">
        <v>89</v>
      </c>
      <c r="O1171" s="49" t="s">
        <v>68</v>
      </c>
      <c r="P1171" s="11" t="s">
        <v>80</v>
      </c>
      <c r="Q1171" s="11" t="s">
        <v>96</v>
      </c>
      <c r="R1171" s="11" t="s">
        <v>2660</v>
      </c>
      <c r="S1171" s="11" t="s">
        <v>2661</v>
      </c>
      <c r="T1171" s="105" t="s">
        <v>1</v>
      </c>
      <c r="U1171" s="98"/>
      <c r="V1171" s="51">
        <v>45957</v>
      </c>
      <c r="W1171" s="49" t="s">
        <v>68</v>
      </c>
      <c r="X1171" s="154" t="s">
        <v>2</v>
      </c>
      <c r="Y1171" s="154">
        <v>0</v>
      </c>
    </row>
    <row r="1172" spans="1:25" ht="13" customHeight="1">
      <c r="A1172" s="11">
        <v>1166</v>
      </c>
      <c r="B1172" s="47">
        <v>104383492</v>
      </c>
      <c r="C1172" s="88" t="s">
        <v>2397</v>
      </c>
      <c r="D1172" s="11" t="s">
        <v>2398</v>
      </c>
      <c r="E1172" s="48" t="s">
        <v>34</v>
      </c>
      <c r="F1172" s="48" t="s">
        <v>74</v>
      </c>
      <c r="G1172" s="11" t="s">
        <v>65</v>
      </c>
      <c r="H1172" s="11" t="s">
        <v>1319</v>
      </c>
      <c r="I1172" s="11">
        <v>1182</v>
      </c>
      <c r="J1172" s="49" t="s">
        <v>39</v>
      </c>
      <c r="K1172" s="49" t="s">
        <v>76</v>
      </c>
      <c r="L1172" s="49" t="s">
        <v>92</v>
      </c>
      <c r="M1172" s="49" t="s">
        <v>84</v>
      </c>
      <c r="N1172" s="48" t="s">
        <v>1320</v>
      </c>
      <c r="O1172" s="49" t="s">
        <v>68</v>
      </c>
      <c r="P1172" s="11" t="s">
        <v>80</v>
      </c>
      <c r="Q1172" s="11" t="s">
        <v>98</v>
      </c>
      <c r="R1172" s="11" t="s">
        <v>2660</v>
      </c>
      <c r="S1172" s="11" t="s">
        <v>2661</v>
      </c>
      <c r="T1172" s="105" t="s">
        <v>1</v>
      </c>
      <c r="U1172" s="98"/>
      <c r="V1172" s="51">
        <v>44728</v>
      </c>
      <c r="W1172" s="49" t="s">
        <v>68</v>
      </c>
      <c r="X1172" s="154" t="s">
        <v>2</v>
      </c>
      <c r="Y1172" s="154">
        <v>0</v>
      </c>
    </row>
    <row r="1173" spans="1:25" ht="13" customHeight="1">
      <c r="A1173" s="11">
        <v>1167</v>
      </c>
      <c r="B1173" s="47">
        <v>206191961</v>
      </c>
      <c r="C1173" s="88" t="s">
        <v>1587</v>
      </c>
      <c r="D1173" s="11" t="s">
        <v>1874</v>
      </c>
      <c r="E1173" s="48" t="s">
        <v>31</v>
      </c>
      <c r="F1173" s="48" t="s">
        <v>74</v>
      </c>
      <c r="G1173" s="11" t="s">
        <v>65</v>
      </c>
      <c r="H1173" s="11" t="s">
        <v>1319</v>
      </c>
      <c r="I1173" s="11">
        <v>1299</v>
      </c>
      <c r="J1173" s="49" t="s">
        <v>32</v>
      </c>
      <c r="K1173" s="49" t="s">
        <v>76</v>
      </c>
      <c r="L1173" s="49" t="s">
        <v>78</v>
      </c>
      <c r="M1173" s="49" t="s">
        <v>92</v>
      </c>
      <c r="N1173" s="49" t="s">
        <v>89</v>
      </c>
      <c r="O1173" s="49" t="s">
        <v>68</v>
      </c>
      <c r="P1173" s="11" t="s">
        <v>80</v>
      </c>
      <c r="Q1173" s="11" t="s">
        <v>96</v>
      </c>
      <c r="R1173" s="11" t="s">
        <v>1323</v>
      </c>
      <c r="S1173" s="11" t="s">
        <v>1324</v>
      </c>
      <c r="T1173" s="105" t="s">
        <v>1</v>
      </c>
      <c r="U1173" s="98"/>
      <c r="V1173" s="51">
        <v>45936</v>
      </c>
      <c r="W1173" s="49" t="s">
        <v>68</v>
      </c>
      <c r="X1173" s="154" t="s">
        <v>2</v>
      </c>
      <c r="Y1173" s="154">
        <v>0</v>
      </c>
    </row>
    <row r="1174" spans="1:25" ht="13" customHeight="1">
      <c r="A1174" s="11">
        <v>1168</v>
      </c>
      <c r="B1174" s="47">
        <v>203881712</v>
      </c>
      <c r="C1174" s="88" t="s">
        <v>1329</v>
      </c>
      <c r="D1174" s="11" t="s">
        <v>1330</v>
      </c>
      <c r="E1174" s="48" t="s">
        <v>31</v>
      </c>
      <c r="F1174" s="48" t="s">
        <v>74</v>
      </c>
      <c r="G1174" s="11" t="s">
        <v>65</v>
      </c>
      <c r="H1174" s="11" t="s">
        <v>1319</v>
      </c>
      <c r="I1174" s="11">
        <v>1181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8" t="s">
        <v>79</v>
      </c>
      <c r="O1174" s="49" t="s">
        <v>68</v>
      </c>
      <c r="P1174" s="11" t="s">
        <v>80</v>
      </c>
      <c r="Q1174" s="11" t="s">
        <v>81</v>
      </c>
      <c r="R1174" s="11" t="s">
        <v>2660</v>
      </c>
      <c r="S1174" s="11" t="s">
        <v>2661</v>
      </c>
      <c r="T1174" s="105" t="s">
        <v>10</v>
      </c>
      <c r="U1174" s="98"/>
      <c r="V1174" s="51">
        <v>45530</v>
      </c>
      <c r="W1174" s="49" t="s">
        <v>68</v>
      </c>
      <c r="X1174" s="154" t="s">
        <v>2948</v>
      </c>
      <c r="Y1174" s="154">
        <v>0</v>
      </c>
    </row>
    <row r="1175" spans="1:25" ht="13" customHeight="1">
      <c r="A1175" s="11">
        <v>1169</v>
      </c>
      <c r="B1175" s="47">
        <v>206348020</v>
      </c>
      <c r="C1175" s="88" t="s">
        <v>1647</v>
      </c>
      <c r="D1175" s="11" t="s">
        <v>1648</v>
      </c>
      <c r="E1175" s="48" t="s">
        <v>31</v>
      </c>
      <c r="F1175" s="48" t="s">
        <v>74</v>
      </c>
      <c r="G1175" s="11" t="s">
        <v>65</v>
      </c>
      <c r="H1175" s="11" t="s">
        <v>1319</v>
      </c>
      <c r="I1175" s="11">
        <v>1181</v>
      </c>
      <c r="J1175" s="49" t="s">
        <v>32</v>
      </c>
      <c r="K1175" s="49" t="s">
        <v>76</v>
      </c>
      <c r="L1175" s="49" t="s">
        <v>78</v>
      </c>
      <c r="M1175" s="49" t="s">
        <v>92</v>
      </c>
      <c r="N1175" s="49" t="s">
        <v>89</v>
      </c>
      <c r="O1175" s="49" t="s">
        <v>68</v>
      </c>
      <c r="P1175" s="11" t="s">
        <v>80</v>
      </c>
      <c r="Q1175" s="11" t="s">
        <v>90</v>
      </c>
      <c r="R1175" s="11" t="s">
        <v>1323</v>
      </c>
      <c r="S1175" s="11" t="s">
        <v>1324</v>
      </c>
      <c r="T1175" s="105" t="s">
        <v>1</v>
      </c>
      <c r="U1175" s="98"/>
      <c r="V1175" s="51">
        <v>45957</v>
      </c>
      <c r="W1175" s="49" t="s">
        <v>68</v>
      </c>
      <c r="X1175" s="154" t="s">
        <v>2</v>
      </c>
      <c r="Y1175" s="154">
        <v>0</v>
      </c>
    </row>
    <row r="1176" spans="1:25" ht="13" customHeight="1">
      <c r="A1176" s="11">
        <v>1170</v>
      </c>
      <c r="B1176" s="47">
        <v>201188904</v>
      </c>
      <c r="C1176" s="88" t="s">
        <v>1331</v>
      </c>
      <c r="D1176" s="11" t="s">
        <v>1332</v>
      </c>
      <c r="E1176" s="48" t="s">
        <v>31</v>
      </c>
      <c r="F1176" s="48" t="s">
        <v>74</v>
      </c>
      <c r="G1176" s="11" t="s">
        <v>65</v>
      </c>
      <c r="H1176" s="11" t="s">
        <v>1319</v>
      </c>
      <c r="I1176" s="11">
        <v>1181</v>
      </c>
      <c r="J1176" s="49" t="s">
        <v>39</v>
      </c>
      <c r="K1176" s="49" t="s">
        <v>76</v>
      </c>
      <c r="L1176" s="49" t="s">
        <v>84</v>
      </c>
      <c r="M1176" s="49" t="s">
        <v>85</v>
      </c>
      <c r="N1176" s="48" t="s">
        <v>79</v>
      </c>
      <c r="O1176" s="49" t="s">
        <v>68</v>
      </c>
      <c r="P1176" s="11" t="s">
        <v>80</v>
      </c>
      <c r="Q1176" s="11" t="s">
        <v>81</v>
      </c>
      <c r="R1176" s="11" t="s">
        <v>2660</v>
      </c>
      <c r="S1176" s="11" t="s">
        <v>2661</v>
      </c>
      <c r="T1176" s="105" t="s">
        <v>1</v>
      </c>
      <c r="U1176" s="98"/>
      <c r="V1176" s="51">
        <v>45530</v>
      </c>
      <c r="W1176" s="49" t="s">
        <v>68</v>
      </c>
      <c r="X1176" s="154" t="s">
        <v>2</v>
      </c>
      <c r="Y1176" s="154">
        <v>0</v>
      </c>
    </row>
    <row r="1177" spans="1:25" ht="13" customHeight="1">
      <c r="A1177" s="11">
        <v>1171</v>
      </c>
      <c r="B1177" s="47">
        <v>206348027</v>
      </c>
      <c r="C1177" s="88" t="s">
        <v>1649</v>
      </c>
      <c r="D1177" s="11" t="s">
        <v>1650</v>
      </c>
      <c r="E1177" s="48" t="s">
        <v>31</v>
      </c>
      <c r="F1177" s="48" t="s">
        <v>74</v>
      </c>
      <c r="G1177" s="11" t="s">
        <v>65</v>
      </c>
      <c r="H1177" s="11" t="s">
        <v>1319</v>
      </c>
      <c r="I1177" s="11">
        <v>1181</v>
      </c>
      <c r="J1177" s="49" t="s">
        <v>39</v>
      </c>
      <c r="K1177" s="49" t="s">
        <v>76</v>
      </c>
      <c r="L1177" s="49" t="s">
        <v>78</v>
      </c>
      <c r="M1177" s="49" t="s">
        <v>92</v>
      </c>
      <c r="N1177" s="49" t="s">
        <v>89</v>
      </c>
      <c r="O1177" s="49" t="s">
        <v>68</v>
      </c>
      <c r="P1177" s="11" t="s">
        <v>80</v>
      </c>
      <c r="Q1177" s="11" t="s">
        <v>90</v>
      </c>
      <c r="R1177" s="11" t="s">
        <v>2660</v>
      </c>
      <c r="S1177" s="11" t="s">
        <v>2661</v>
      </c>
      <c r="T1177" s="105" t="s">
        <v>1</v>
      </c>
      <c r="U1177" s="98"/>
      <c r="V1177" s="51">
        <v>45957</v>
      </c>
      <c r="W1177" s="49" t="s">
        <v>68</v>
      </c>
      <c r="X1177" s="154" t="s">
        <v>2</v>
      </c>
      <c r="Y1177" s="154">
        <v>0</v>
      </c>
    </row>
    <row r="1178" spans="1:25" ht="13" customHeight="1">
      <c r="A1178" s="11">
        <v>1172</v>
      </c>
      <c r="B1178" s="47">
        <v>204768284</v>
      </c>
      <c r="C1178" s="88" t="s">
        <v>1333</v>
      </c>
      <c r="D1178" s="11" t="s">
        <v>1334</v>
      </c>
      <c r="E1178" s="48" t="s">
        <v>31</v>
      </c>
      <c r="F1178" s="48" t="s">
        <v>74</v>
      </c>
      <c r="G1178" s="11" t="s">
        <v>65</v>
      </c>
      <c r="H1178" s="11" t="s">
        <v>1319</v>
      </c>
      <c r="I1178" s="11">
        <v>1181</v>
      </c>
      <c r="J1178" s="49" t="s">
        <v>32</v>
      </c>
      <c r="K1178" s="49" t="s">
        <v>76</v>
      </c>
      <c r="L1178" s="49" t="s">
        <v>77</v>
      </c>
      <c r="M1178" s="49" t="s">
        <v>78</v>
      </c>
      <c r="N1178" s="48" t="s">
        <v>89</v>
      </c>
      <c r="O1178" s="49" t="s">
        <v>68</v>
      </c>
      <c r="P1178" s="11" t="s">
        <v>80</v>
      </c>
      <c r="Q1178" s="11" t="s">
        <v>90</v>
      </c>
      <c r="R1178" s="11" t="s">
        <v>1323</v>
      </c>
      <c r="S1178" s="11" t="s">
        <v>1324</v>
      </c>
      <c r="T1178" s="105" t="s">
        <v>10</v>
      </c>
      <c r="U1178" s="98"/>
      <c r="V1178" s="51">
        <v>45796</v>
      </c>
      <c r="W1178" s="49" t="s">
        <v>68</v>
      </c>
      <c r="X1178" s="154" t="s">
        <v>2948</v>
      </c>
      <c r="Y1178" s="154">
        <v>0</v>
      </c>
    </row>
    <row r="1179" spans="1:25" ht="13" customHeight="1">
      <c r="A1179" s="11">
        <v>1173</v>
      </c>
      <c r="B1179" s="47">
        <v>206348019</v>
      </c>
      <c r="C1179" s="88" t="s">
        <v>2378</v>
      </c>
      <c r="D1179" s="11" t="s">
        <v>2379</v>
      </c>
      <c r="E1179" s="48" t="s">
        <v>31</v>
      </c>
      <c r="F1179" s="48" t="s">
        <v>74</v>
      </c>
      <c r="G1179" s="11" t="s">
        <v>65</v>
      </c>
      <c r="H1179" s="11" t="s">
        <v>1319</v>
      </c>
      <c r="I1179" s="11">
        <v>1181</v>
      </c>
      <c r="J1179" s="49" t="s">
        <v>32</v>
      </c>
      <c r="K1179" s="49" t="s">
        <v>76</v>
      </c>
      <c r="L1179" s="49" t="s">
        <v>92</v>
      </c>
      <c r="M1179" s="49" t="s">
        <v>84</v>
      </c>
      <c r="N1179" s="49" t="s">
        <v>89</v>
      </c>
      <c r="O1179" s="49" t="s">
        <v>68</v>
      </c>
      <c r="P1179" s="11" t="s">
        <v>80</v>
      </c>
      <c r="Q1179" s="11" t="s">
        <v>90</v>
      </c>
      <c r="R1179" s="11" t="s">
        <v>1323</v>
      </c>
      <c r="S1179" s="11" t="s">
        <v>1324</v>
      </c>
      <c r="T1179" s="105" t="s">
        <v>1</v>
      </c>
      <c r="U1179" s="98"/>
      <c r="V1179" s="51">
        <v>45957</v>
      </c>
      <c r="W1179" s="49" t="s">
        <v>68</v>
      </c>
      <c r="X1179" s="154" t="s">
        <v>2</v>
      </c>
      <c r="Y1179" s="154">
        <v>0</v>
      </c>
    </row>
    <row r="1180" spans="1:25" ht="13" customHeight="1">
      <c r="A1180" s="11">
        <v>1174</v>
      </c>
      <c r="B1180" s="47">
        <v>102205688</v>
      </c>
      <c r="C1180" s="88" t="s">
        <v>1337</v>
      </c>
      <c r="D1180" s="11" t="s">
        <v>1338</v>
      </c>
      <c r="E1180" s="48" t="s">
        <v>34</v>
      </c>
      <c r="F1180" s="48" t="s">
        <v>74</v>
      </c>
      <c r="G1180" s="11" t="s">
        <v>65</v>
      </c>
      <c r="H1180" s="11" t="s">
        <v>1319</v>
      </c>
      <c r="I1180" s="11">
        <v>1182</v>
      </c>
      <c r="J1180" s="49" t="s">
        <v>39</v>
      </c>
      <c r="K1180" s="49" t="s">
        <v>76</v>
      </c>
      <c r="L1180" s="49" t="s">
        <v>77</v>
      </c>
      <c r="M1180" s="49" t="s">
        <v>78</v>
      </c>
      <c r="N1180" s="48" t="s">
        <v>108</v>
      </c>
      <c r="O1180" s="49" t="s">
        <v>68</v>
      </c>
      <c r="P1180" s="11" t="s">
        <v>80</v>
      </c>
      <c r="Q1180" s="11" t="s">
        <v>98</v>
      </c>
      <c r="R1180" s="11" t="s">
        <v>2660</v>
      </c>
      <c r="S1180" s="11" t="s">
        <v>2661</v>
      </c>
      <c r="T1180" s="105" t="s">
        <v>10</v>
      </c>
      <c r="U1180" s="98"/>
      <c r="V1180" s="51">
        <v>42868</v>
      </c>
      <c r="W1180" s="49" t="s">
        <v>68</v>
      </c>
      <c r="X1180" s="154" t="s">
        <v>2948</v>
      </c>
      <c r="Y1180" s="154">
        <v>0</v>
      </c>
    </row>
    <row r="1181" spans="1:25" ht="13" customHeight="1">
      <c r="A1181" s="11">
        <v>1175</v>
      </c>
      <c r="B1181" s="47">
        <v>103640429</v>
      </c>
      <c r="C1181" s="88" t="s">
        <v>1339</v>
      </c>
      <c r="D1181" s="11" t="s">
        <v>1340</v>
      </c>
      <c r="E1181" s="48" t="s">
        <v>34</v>
      </c>
      <c r="F1181" s="48" t="s">
        <v>74</v>
      </c>
      <c r="G1181" s="11" t="s">
        <v>65</v>
      </c>
      <c r="H1181" s="11" t="s">
        <v>1319</v>
      </c>
      <c r="I1181" s="11">
        <v>1182</v>
      </c>
      <c r="J1181" s="49" t="s">
        <v>39</v>
      </c>
      <c r="K1181" s="49" t="s">
        <v>76</v>
      </c>
      <c r="L1181" s="49" t="s">
        <v>95</v>
      </c>
      <c r="M1181" s="49" t="s">
        <v>77</v>
      </c>
      <c r="N1181" s="48" t="s">
        <v>108</v>
      </c>
      <c r="O1181" s="49" t="s">
        <v>68</v>
      </c>
      <c r="P1181" s="11" t="s">
        <v>80</v>
      </c>
      <c r="Q1181" s="11" t="s">
        <v>98</v>
      </c>
      <c r="R1181" s="11" t="s">
        <v>2660</v>
      </c>
      <c r="S1181" s="11" t="s">
        <v>2661</v>
      </c>
      <c r="T1181" s="105" t="s">
        <v>10</v>
      </c>
      <c r="U1181" s="98"/>
      <c r="V1181" s="51">
        <v>44724</v>
      </c>
      <c r="W1181" s="49" t="s">
        <v>68</v>
      </c>
      <c r="X1181" s="154" t="s">
        <v>2948</v>
      </c>
      <c r="Y1181" s="154">
        <v>0</v>
      </c>
    </row>
    <row r="1182" spans="1:25" ht="13" customHeight="1">
      <c r="A1182" s="11">
        <v>1176</v>
      </c>
      <c r="B1182" s="47">
        <v>205275768</v>
      </c>
      <c r="C1182" s="88" t="s">
        <v>1341</v>
      </c>
      <c r="D1182" s="11" t="s">
        <v>1342</v>
      </c>
      <c r="E1182" s="48" t="s">
        <v>31</v>
      </c>
      <c r="F1182" s="48" t="s">
        <v>74</v>
      </c>
      <c r="G1182" s="11" t="s">
        <v>65</v>
      </c>
      <c r="H1182" s="11" t="s">
        <v>1319</v>
      </c>
      <c r="I1182" s="11">
        <v>1181</v>
      </c>
      <c r="J1182" s="49" t="s">
        <v>32</v>
      </c>
      <c r="K1182" s="49" t="s">
        <v>76</v>
      </c>
      <c r="L1182" s="49" t="s">
        <v>84</v>
      </c>
      <c r="M1182" s="49" t="s">
        <v>85</v>
      </c>
      <c r="N1182" s="48" t="s">
        <v>89</v>
      </c>
      <c r="O1182" s="49" t="s">
        <v>68</v>
      </c>
      <c r="P1182" s="11" t="s">
        <v>80</v>
      </c>
      <c r="Q1182" s="11" t="s">
        <v>90</v>
      </c>
      <c r="R1182" s="11" t="s">
        <v>1323</v>
      </c>
      <c r="S1182" s="11" t="s">
        <v>1324</v>
      </c>
      <c r="T1182" s="105" t="s">
        <v>1</v>
      </c>
      <c r="U1182" s="98"/>
      <c r="V1182" s="51">
        <v>45796</v>
      </c>
      <c r="W1182" s="49" t="s">
        <v>68</v>
      </c>
      <c r="X1182" s="154" t="s">
        <v>2</v>
      </c>
      <c r="Y1182" s="154">
        <v>0</v>
      </c>
    </row>
    <row r="1183" spans="1:25" ht="13" customHeight="1">
      <c r="A1183" s="11">
        <v>1177</v>
      </c>
      <c r="B1183" s="47">
        <v>205275762</v>
      </c>
      <c r="C1183" s="88" t="s">
        <v>1343</v>
      </c>
      <c r="D1183" s="11" t="s">
        <v>1939</v>
      </c>
      <c r="E1183" s="48" t="s">
        <v>31</v>
      </c>
      <c r="F1183" s="48" t="s">
        <v>74</v>
      </c>
      <c r="G1183" s="11" t="s">
        <v>65</v>
      </c>
      <c r="H1183" s="11" t="s">
        <v>1319</v>
      </c>
      <c r="I1183" s="11">
        <v>1299</v>
      </c>
      <c r="J1183" s="49" t="s">
        <v>32</v>
      </c>
      <c r="K1183" s="49" t="s">
        <v>76</v>
      </c>
      <c r="L1183" s="49" t="s">
        <v>84</v>
      </c>
      <c r="M1183" s="49" t="s">
        <v>85</v>
      </c>
      <c r="N1183" s="48" t="s">
        <v>89</v>
      </c>
      <c r="O1183" s="49" t="s">
        <v>68</v>
      </c>
      <c r="P1183" s="11" t="s">
        <v>80</v>
      </c>
      <c r="Q1183" s="11" t="s">
        <v>90</v>
      </c>
      <c r="R1183" s="11" t="s">
        <v>1323</v>
      </c>
      <c r="S1183" s="11" t="s">
        <v>1324</v>
      </c>
      <c r="T1183" s="105" t="s">
        <v>1</v>
      </c>
      <c r="U1183" s="98"/>
      <c r="V1183" s="51">
        <v>45796</v>
      </c>
      <c r="W1183" s="49" t="s">
        <v>68</v>
      </c>
      <c r="X1183" s="154" t="s">
        <v>2</v>
      </c>
      <c r="Y1183" s="154">
        <v>0</v>
      </c>
    </row>
    <row r="1184" spans="1:25" ht="13" customHeight="1">
      <c r="A1184" s="11">
        <v>1178</v>
      </c>
      <c r="B1184" s="47">
        <v>103058874</v>
      </c>
      <c r="C1184" s="88" t="s">
        <v>1344</v>
      </c>
      <c r="D1184" s="11" t="s">
        <v>1345</v>
      </c>
      <c r="E1184" s="48" t="s">
        <v>34</v>
      </c>
      <c r="F1184" s="48" t="s">
        <v>74</v>
      </c>
      <c r="G1184" s="11" t="s">
        <v>65</v>
      </c>
      <c r="H1184" s="11" t="s">
        <v>1319</v>
      </c>
      <c r="I1184" s="11">
        <v>1182</v>
      </c>
      <c r="J1184" s="49" t="s">
        <v>39</v>
      </c>
      <c r="K1184" s="49" t="s">
        <v>76</v>
      </c>
      <c r="L1184" s="49" t="s">
        <v>78</v>
      </c>
      <c r="M1184" s="49" t="s">
        <v>92</v>
      </c>
      <c r="N1184" s="48" t="s">
        <v>108</v>
      </c>
      <c r="O1184" s="49" t="s">
        <v>68</v>
      </c>
      <c r="P1184" s="11" t="s">
        <v>80</v>
      </c>
      <c r="Q1184" s="11" t="s">
        <v>98</v>
      </c>
      <c r="R1184" s="11" t="s">
        <v>2660</v>
      </c>
      <c r="S1184" s="11" t="s">
        <v>2661</v>
      </c>
      <c r="T1184" s="105" t="s">
        <v>1</v>
      </c>
      <c r="U1184" s="98"/>
      <c r="V1184" s="51">
        <v>43024</v>
      </c>
      <c r="W1184" s="49" t="s">
        <v>68</v>
      </c>
      <c r="X1184" s="154" t="s">
        <v>2</v>
      </c>
      <c r="Y1184" s="154">
        <v>0</v>
      </c>
    </row>
    <row r="1185" spans="1:25" ht="13" customHeight="1">
      <c r="A1185" s="11">
        <v>1179</v>
      </c>
      <c r="B1185" s="47">
        <v>102981727</v>
      </c>
      <c r="C1185" s="88" t="s">
        <v>107</v>
      </c>
      <c r="D1185" s="11" t="s">
        <v>1882</v>
      </c>
      <c r="E1185" s="48" t="s">
        <v>34</v>
      </c>
      <c r="F1185" s="48" t="s">
        <v>74</v>
      </c>
      <c r="G1185" s="11" t="s">
        <v>65</v>
      </c>
      <c r="H1185" s="11" t="s">
        <v>1319</v>
      </c>
      <c r="I1185" s="11">
        <v>1299</v>
      </c>
      <c r="J1185" s="49" t="s">
        <v>39</v>
      </c>
      <c r="K1185" s="49" t="s">
        <v>76</v>
      </c>
      <c r="L1185" s="49" t="s">
        <v>77</v>
      </c>
      <c r="M1185" s="49" t="s">
        <v>78</v>
      </c>
      <c r="N1185" s="48" t="s">
        <v>108</v>
      </c>
      <c r="O1185" s="49" t="s">
        <v>68</v>
      </c>
      <c r="P1185" s="11" t="s">
        <v>80</v>
      </c>
      <c r="Q1185" s="11" t="s">
        <v>98</v>
      </c>
      <c r="R1185" s="11" t="s">
        <v>2660</v>
      </c>
      <c r="S1185" s="11" t="s">
        <v>2661</v>
      </c>
      <c r="T1185" s="105" t="s">
        <v>10</v>
      </c>
      <c r="U1185" s="98"/>
      <c r="V1185" s="51">
        <v>43040</v>
      </c>
      <c r="W1185" s="49" t="s">
        <v>68</v>
      </c>
      <c r="X1185" s="154" t="s">
        <v>2948</v>
      </c>
      <c r="Y1185" s="154">
        <v>0</v>
      </c>
    </row>
    <row r="1186" spans="1:25" ht="13" customHeight="1">
      <c r="A1186" s="11">
        <v>1180</v>
      </c>
      <c r="B1186" s="47">
        <v>206361295</v>
      </c>
      <c r="C1186" s="88" t="s">
        <v>2380</v>
      </c>
      <c r="D1186" s="11" t="s">
        <v>2381</v>
      </c>
      <c r="E1186" s="48" t="s">
        <v>31</v>
      </c>
      <c r="F1186" s="48" t="s">
        <v>74</v>
      </c>
      <c r="G1186" s="11" t="s">
        <v>65</v>
      </c>
      <c r="H1186" s="11" t="s">
        <v>1319</v>
      </c>
      <c r="I1186" s="11">
        <v>1181</v>
      </c>
      <c r="J1186" s="49" t="s">
        <v>39</v>
      </c>
      <c r="K1186" s="49" t="s">
        <v>76</v>
      </c>
      <c r="L1186" s="49" t="s">
        <v>78</v>
      </c>
      <c r="M1186" s="49" t="s">
        <v>92</v>
      </c>
      <c r="N1186" s="49" t="s">
        <v>89</v>
      </c>
      <c r="O1186" s="49" t="s">
        <v>68</v>
      </c>
      <c r="P1186" s="11" t="s">
        <v>80</v>
      </c>
      <c r="Q1186" s="11" t="s">
        <v>96</v>
      </c>
      <c r="R1186" s="11" t="s">
        <v>2660</v>
      </c>
      <c r="S1186" s="11" t="s">
        <v>2661</v>
      </c>
      <c r="T1186" s="105" t="s">
        <v>1</v>
      </c>
      <c r="U1186" s="98"/>
      <c r="V1186" s="51">
        <v>45957</v>
      </c>
      <c r="W1186" s="49" t="s">
        <v>68</v>
      </c>
      <c r="X1186" s="154" t="s">
        <v>2</v>
      </c>
      <c r="Y1186" s="154">
        <v>0</v>
      </c>
    </row>
    <row r="1187" spans="1:25" ht="13" customHeight="1">
      <c r="A1187" s="11">
        <v>1181</v>
      </c>
      <c r="B1187" s="47">
        <v>111249388</v>
      </c>
      <c r="C1187" s="88" t="s">
        <v>1347</v>
      </c>
      <c r="D1187" s="11" t="s">
        <v>1348</v>
      </c>
      <c r="E1187" s="48" t="s">
        <v>31</v>
      </c>
      <c r="F1187" s="48" t="s">
        <v>74</v>
      </c>
      <c r="G1187" s="11" t="s">
        <v>65</v>
      </c>
      <c r="H1187" s="11" t="s">
        <v>1319</v>
      </c>
      <c r="I1187" s="11">
        <v>1181</v>
      </c>
      <c r="J1187" s="49" t="s">
        <v>39</v>
      </c>
      <c r="K1187" s="49" t="s">
        <v>76</v>
      </c>
      <c r="L1187" s="49" t="s">
        <v>88</v>
      </c>
      <c r="M1187" s="49" t="s">
        <v>95</v>
      </c>
      <c r="N1187" s="48" t="s">
        <v>79</v>
      </c>
      <c r="O1187" s="49" t="s">
        <v>68</v>
      </c>
      <c r="P1187" s="11" t="s">
        <v>80</v>
      </c>
      <c r="Q1187" s="11" t="s">
        <v>81</v>
      </c>
      <c r="R1187" s="11" t="s">
        <v>2660</v>
      </c>
      <c r="S1187" s="11" t="s">
        <v>2661</v>
      </c>
      <c r="T1187" s="105" t="s">
        <v>1</v>
      </c>
      <c r="U1187" s="98"/>
      <c r="V1187" s="51">
        <v>45530</v>
      </c>
      <c r="W1187" s="49" t="s">
        <v>68</v>
      </c>
      <c r="X1187" s="154" t="s">
        <v>2</v>
      </c>
      <c r="Y1187" s="154">
        <v>0</v>
      </c>
    </row>
    <row r="1188" spans="1:25" ht="13" customHeight="1">
      <c r="A1188" s="11">
        <v>1182</v>
      </c>
      <c r="B1188" s="47">
        <v>204013729</v>
      </c>
      <c r="C1188" s="88" t="s">
        <v>1350</v>
      </c>
      <c r="D1188" s="11" t="s">
        <v>1351</v>
      </c>
      <c r="E1188" s="48" t="s">
        <v>31</v>
      </c>
      <c r="F1188" s="48" t="s">
        <v>74</v>
      </c>
      <c r="G1188" s="11" t="s">
        <v>65</v>
      </c>
      <c r="H1188" s="11" t="s">
        <v>1319</v>
      </c>
      <c r="I1188" s="11">
        <v>1181</v>
      </c>
      <c r="J1188" s="49" t="s">
        <v>32</v>
      </c>
      <c r="K1188" s="49" t="s">
        <v>76</v>
      </c>
      <c r="L1188" s="49" t="s">
        <v>88</v>
      </c>
      <c r="M1188" s="49" t="s">
        <v>95</v>
      </c>
      <c r="N1188" s="48" t="s">
        <v>79</v>
      </c>
      <c r="O1188" s="49" t="s">
        <v>68</v>
      </c>
      <c r="P1188" s="11" t="s">
        <v>80</v>
      </c>
      <c r="Q1188" s="11" t="s">
        <v>81</v>
      </c>
      <c r="R1188" s="11" t="s">
        <v>1323</v>
      </c>
      <c r="S1188" s="11" t="s">
        <v>1324</v>
      </c>
      <c r="T1188" s="105" t="s">
        <v>1</v>
      </c>
      <c r="U1188" s="98"/>
      <c r="V1188" s="51">
        <v>45551</v>
      </c>
      <c r="W1188" s="49" t="s">
        <v>68</v>
      </c>
      <c r="X1188" s="154" t="s">
        <v>2</v>
      </c>
      <c r="Y1188" s="154">
        <v>0</v>
      </c>
    </row>
    <row r="1189" spans="1:25" ht="13" customHeight="1">
      <c r="A1189" s="11">
        <v>1183</v>
      </c>
      <c r="B1189" s="47">
        <v>203555213</v>
      </c>
      <c r="C1189" s="88" t="s">
        <v>1352</v>
      </c>
      <c r="D1189" s="11" t="s">
        <v>1353</v>
      </c>
      <c r="E1189" s="48" t="s">
        <v>31</v>
      </c>
      <c r="F1189" s="48" t="s">
        <v>74</v>
      </c>
      <c r="G1189" s="11" t="s">
        <v>65</v>
      </c>
      <c r="H1189" s="11" t="s">
        <v>1319</v>
      </c>
      <c r="I1189" s="11">
        <v>1181</v>
      </c>
      <c r="J1189" s="49" t="s">
        <v>39</v>
      </c>
      <c r="K1189" s="49" t="s">
        <v>76</v>
      </c>
      <c r="L1189" s="49" t="s">
        <v>77</v>
      </c>
      <c r="M1189" s="49" t="s">
        <v>78</v>
      </c>
      <c r="N1189" s="48" t="s">
        <v>79</v>
      </c>
      <c r="O1189" s="49" t="s">
        <v>68</v>
      </c>
      <c r="P1189" s="11" t="s">
        <v>80</v>
      </c>
      <c r="Q1189" s="11" t="s">
        <v>81</v>
      </c>
      <c r="R1189" s="11" t="s">
        <v>2660</v>
      </c>
      <c r="S1189" s="11" t="s">
        <v>2661</v>
      </c>
      <c r="T1189" s="105" t="s">
        <v>10</v>
      </c>
      <c r="U1189" s="98"/>
      <c r="V1189" s="51">
        <v>45470</v>
      </c>
      <c r="W1189" s="49" t="s">
        <v>68</v>
      </c>
      <c r="X1189" s="154" t="s">
        <v>2948</v>
      </c>
      <c r="Y1189" s="154">
        <v>0</v>
      </c>
    </row>
    <row r="1190" spans="1:25" ht="13" customHeight="1">
      <c r="A1190" s="11">
        <v>1184</v>
      </c>
      <c r="B1190" s="47">
        <v>206368539</v>
      </c>
      <c r="C1190" s="88" t="s">
        <v>1651</v>
      </c>
      <c r="D1190" s="11" t="s">
        <v>1652</v>
      </c>
      <c r="E1190" s="48" t="s">
        <v>31</v>
      </c>
      <c r="F1190" s="48" t="s">
        <v>74</v>
      </c>
      <c r="G1190" s="11" t="s">
        <v>65</v>
      </c>
      <c r="H1190" s="11" t="s">
        <v>1319</v>
      </c>
      <c r="I1190" s="11">
        <v>1181</v>
      </c>
      <c r="J1190" s="49" t="s">
        <v>39</v>
      </c>
      <c r="K1190" s="49" t="s">
        <v>76</v>
      </c>
      <c r="L1190" s="49" t="s">
        <v>77</v>
      </c>
      <c r="M1190" s="49" t="s">
        <v>78</v>
      </c>
      <c r="N1190" s="49" t="s">
        <v>89</v>
      </c>
      <c r="O1190" s="49" t="s">
        <v>68</v>
      </c>
      <c r="P1190" s="11" t="s">
        <v>80</v>
      </c>
      <c r="Q1190" s="11" t="s">
        <v>96</v>
      </c>
      <c r="R1190" s="11" t="s">
        <v>2660</v>
      </c>
      <c r="S1190" s="11" t="s">
        <v>2661</v>
      </c>
      <c r="T1190" s="105" t="s">
        <v>10</v>
      </c>
      <c r="U1190" s="98"/>
      <c r="V1190" s="51">
        <v>45957</v>
      </c>
      <c r="W1190" s="49" t="s">
        <v>68</v>
      </c>
      <c r="X1190" s="154" t="s">
        <v>2948</v>
      </c>
      <c r="Y1190" s="154">
        <v>0</v>
      </c>
    </row>
    <row r="1191" spans="1:25" ht="13" customHeight="1">
      <c r="A1191" s="11">
        <v>1185</v>
      </c>
      <c r="B1191" s="47">
        <v>203513400</v>
      </c>
      <c r="C1191" s="88" t="s">
        <v>1354</v>
      </c>
      <c r="D1191" s="11" t="s">
        <v>1355</v>
      </c>
      <c r="E1191" s="48" t="s">
        <v>31</v>
      </c>
      <c r="F1191" s="48" t="s">
        <v>74</v>
      </c>
      <c r="G1191" s="11" t="s">
        <v>65</v>
      </c>
      <c r="H1191" s="11" t="s">
        <v>1319</v>
      </c>
      <c r="I1191" s="11">
        <v>1181</v>
      </c>
      <c r="J1191" s="49" t="s">
        <v>32</v>
      </c>
      <c r="K1191" s="49" t="s">
        <v>76</v>
      </c>
      <c r="L1191" s="49" t="s">
        <v>77</v>
      </c>
      <c r="M1191" s="49" t="s">
        <v>78</v>
      </c>
      <c r="N1191" s="48" t="s">
        <v>79</v>
      </c>
      <c r="O1191" s="49" t="s">
        <v>68</v>
      </c>
      <c r="P1191" s="11" t="s">
        <v>80</v>
      </c>
      <c r="Q1191" s="11" t="s">
        <v>81</v>
      </c>
      <c r="R1191" s="11" t="s">
        <v>1323</v>
      </c>
      <c r="S1191" s="11" t="s">
        <v>1324</v>
      </c>
      <c r="T1191" s="105" t="s">
        <v>10</v>
      </c>
      <c r="U1191" s="98"/>
      <c r="V1191" s="51">
        <v>45463</v>
      </c>
      <c r="W1191" s="49" t="s">
        <v>68</v>
      </c>
      <c r="X1191" s="154" t="s">
        <v>2948</v>
      </c>
      <c r="Y1191" s="154">
        <v>0</v>
      </c>
    </row>
    <row r="1192" spans="1:25" ht="13" customHeight="1">
      <c r="A1192" s="11">
        <v>1186</v>
      </c>
      <c r="B1192" s="47">
        <v>108067922</v>
      </c>
      <c r="C1192" s="88" t="s">
        <v>1356</v>
      </c>
      <c r="D1192" s="11" t="s">
        <v>1357</v>
      </c>
      <c r="E1192" s="48" t="s">
        <v>34</v>
      </c>
      <c r="F1192" s="48" t="s">
        <v>74</v>
      </c>
      <c r="G1192" s="11" t="s">
        <v>65</v>
      </c>
      <c r="H1192" s="11" t="s">
        <v>1319</v>
      </c>
      <c r="I1192" s="11">
        <v>1182</v>
      </c>
      <c r="J1192" s="49" t="s">
        <v>39</v>
      </c>
      <c r="K1192" s="49" t="s">
        <v>76</v>
      </c>
      <c r="L1192" s="49" t="s">
        <v>77</v>
      </c>
      <c r="M1192" s="49" t="s">
        <v>78</v>
      </c>
      <c r="N1192" s="48" t="s">
        <v>97</v>
      </c>
      <c r="O1192" s="49" t="s">
        <v>68</v>
      </c>
      <c r="P1192" s="11" t="s">
        <v>80</v>
      </c>
      <c r="Q1192" s="11" t="s">
        <v>98</v>
      </c>
      <c r="R1192" s="11" t="s">
        <v>2660</v>
      </c>
      <c r="S1192" s="11" t="s">
        <v>2661</v>
      </c>
      <c r="T1192" s="105" t="s">
        <v>10</v>
      </c>
      <c r="U1192" s="98"/>
      <c r="V1192" s="51">
        <v>44728</v>
      </c>
      <c r="W1192" s="49" t="s">
        <v>68</v>
      </c>
      <c r="X1192" s="154" t="s">
        <v>2948</v>
      </c>
      <c r="Y1192" s="154">
        <v>0</v>
      </c>
    </row>
    <row r="1193" spans="1:25" ht="13" customHeight="1">
      <c r="A1193" s="11">
        <v>1187</v>
      </c>
      <c r="B1193" s="47">
        <v>203513497</v>
      </c>
      <c r="C1193" s="88" t="s">
        <v>1358</v>
      </c>
      <c r="D1193" s="11" t="s">
        <v>1359</v>
      </c>
      <c r="E1193" s="48" t="s">
        <v>31</v>
      </c>
      <c r="F1193" s="48" t="s">
        <v>74</v>
      </c>
      <c r="G1193" s="11" t="s">
        <v>65</v>
      </c>
      <c r="H1193" s="11" t="s">
        <v>1319</v>
      </c>
      <c r="I1193" s="11">
        <v>1181</v>
      </c>
      <c r="J1193" s="49" t="s">
        <v>39</v>
      </c>
      <c r="K1193" s="49" t="s">
        <v>76</v>
      </c>
      <c r="L1193" s="49" t="s">
        <v>78</v>
      </c>
      <c r="M1193" s="49" t="s">
        <v>92</v>
      </c>
      <c r="N1193" s="48" t="s">
        <v>79</v>
      </c>
      <c r="O1193" s="49" t="s">
        <v>68</v>
      </c>
      <c r="P1193" s="11" t="s">
        <v>80</v>
      </c>
      <c r="Q1193" s="11" t="s">
        <v>81</v>
      </c>
      <c r="R1193" s="11" t="s">
        <v>2660</v>
      </c>
      <c r="S1193" s="11" t="s">
        <v>2661</v>
      </c>
      <c r="T1193" s="105" t="s">
        <v>1</v>
      </c>
      <c r="U1193" s="98"/>
      <c r="V1193" s="51">
        <v>45463</v>
      </c>
      <c r="W1193" s="49" t="s">
        <v>68</v>
      </c>
      <c r="X1193" s="154" t="s">
        <v>2</v>
      </c>
      <c r="Y1193" s="154">
        <v>0</v>
      </c>
    </row>
    <row r="1194" spans="1:25" ht="13" customHeight="1">
      <c r="A1194" s="11">
        <v>1188</v>
      </c>
      <c r="B1194" s="47">
        <v>102206142</v>
      </c>
      <c r="C1194" s="88" t="s">
        <v>1361</v>
      </c>
      <c r="D1194" s="11" t="s">
        <v>1362</v>
      </c>
      <c r="E1194" s="48" t="s">
        <v>34</v>
      </c>
      <c r="F1194" s="48" t="s">
        <v>74</v>
      </c>
      <c r="G1194" s="11" t="s">
        <v>65</v>
      </c>
      <c r="H1194" s="11" t="s">
        <v>1319</v>
      </c>
      <c r="I1194" s="11">
        <v>1182</v>
      </c>
      <c r="J1194" s="49" t="s">
        <v>32</v>
      </c>
      <c r="K1194" s="49" t="s">
        <v>76</v>
      </c>
      <c r="L1194" s="49" t="s">
        <v>78</v>
      </c>
      <c r="M1194" s="49" t="s">
        <v>92</v>
      </c>
      <c r="N1194" s="48" t="s">
        <v>108</v>
      </c>
      <c r="O1194" s="49" t="s">
        <v>68</v>
      </c>
      <c r="P1194" s="11" t="s">
        <v>80</v>
      </c>
      <c r="Q1194" s="11" t="s">
        <v>98</v>
      </c>
      <c r="R1194" s="11" t="s">
        <v>1323</v>
      </c>
      <c r="S1194" s="11" t="s">
        <v>1324</v>
      </c>
      <c r="T1194" s="105" t="s">
        <v>1</v>
      </c>
      <c r="U1194" s="98"/>
      <c r="V1194" s="51">
        <v>42868</v>
      </c>
      <c r="W1194" s="49" t="s">
        <v>68</v>
      </c>
      <c r="X1194" s="154" t="s">
        <v>2</v>
      </c>
      <c r="Y1194" s="154">
        <v>0</v>
      </c>
    </row>
    <row r="1195" spans="1:25" ht="13" customHeight="1">
      <c r="A1195" s="11">
        <v>1189</v>
      </c>
      <c r="B1195" s="47">
        <v>203635486</v>
      </c>
      <c r="C1195" s="88" t="s">
        <v>1363</v>
      </c>
      <c r="D1195" s="11" t="s">
        <v>1364</v>
      </c>
      <c r="E1195" s="48" t="s">
        <v>31</v>
      </c>
      <c r="F1195" s="48" t="s">
        <v>74</v>
      </c>
      <c r="G1195" s="11" t="s">
        <v>65</v>
      </c>
      <c r="H1195" s="11" t="s">
        <v>1319</v>
      </c>
      <c r="I1195" s="11">
        <v>1181</v>
      </c>
      <c r="J1195" s="49" t="s">
        <v>32</v>
      </c>
      <c r="K1195" s="49" t="s">
        <v>76</v>
      </c>
      <c r="L1195" s="49" t="s">
        <v>92</v>
      </c>
      <c r="M1195" s="49" t="s">
        <v>84</v>
      </c>
      <c r="N1195" s="48" t="s">
        <v>79</v>
      </c>
      <c r="O1195" s="49" t="s">
        <v>68</v>
      </c>
      <c r="P1195" s="11" t="s">
        <v>80</v>
      </c>
      <c r="Q1195" s="11" t="s">
        <v>81</v>
      </c>
      <c r="R1195" s="11" t="s">
        <v>1323</v>
      </c>
      <c r="S1195" s="11" t="s">
        <v>1324</v>
      </c>
      <c r="T1195" s="105" t="s">
        <v>1</v>
      </c>
      <c r="U1195" s="98"/>
      <c r="V1195" s="51">
        <v>45481</v>
      </c>
      <c r="W1195" s="49" t="s">
        <v>68</v>
      </c>
      <c r="X1195" s="154" t="s">
        <v>2</v>
      </c>
      <c r="Y1195" s="154">
        <v>0</v>
      </c>
    </row>
    <row r="1196" spans="1:25" ht="13" customHeight="1">
      <c r="A1196" s="11">
        <v>1190</v>
      </c>
      <c r="B1196" s="47">
        <v>205275961</v>
      </c>
      <c r="C1196" s="88" t="s">
        <v>1365</v>
      </c>
      <c r="D1196" s="11" t="s">
        <v>1366</v>
      </c>
      <c r="E1196" s="48" t="s">
        <v>31</v>
      </c>
      <c r="F1196" s="48" t="s">
        <v>74</v>
      </c>
      <c r="G1196" s="11" t="s">
        <v>65</v>
      </c>
      <c r="H1196" s="11" t="s">
        <v>1319</v>
      </c>
      <c r="I1196" s="11">
        <v>1181</v>
      </c>
      <c r="J1196" s="49" t="s">
        <v>32</v>
      </c>
      <c r="K1196" s="49" t="s">
        <v>76</v>
      </c>
      <c r="L1196" s="49" t="s">
        <v>88</v>
      </c>
      <c r="M1196" s="49" t="s">
        <v>95</v>
      </c>
      <c r="N1196" s="48" t="s">
        <v>89</v>
      </c>
      <c r="O1196" s="49" t="s">
        <v>68</v>
      </c>
      <c r="P1196" s="11" t="s">
        <v>80</v>
      </c>
      <c r="Q1196" s="11" t="s">
        <v>90</v>
      </c>
      <c r="R1196" s="11" t="s">
        <v>1323</v>
      </c>
      <c r="S1196" s="11" t="s">
        <v>1324</v>
      </c>
      <c r="T1196" s="105" t="s">
        <v>1</v>
      </c>
      <c r="U1196" s="98"/>
      <c r="V1196" s="51">
        <v>45796</v>
      </c>
      <c r="W1196" s="49" t="s">
        <v>68</v>
      </c>
      <c r="X1196" s="154" t="s">
        <v>2</v>
      </c>
      <c r="Y1196" s="154">
        <v>0</v>
      </c>
    </row>
    <row r="1197" spans="1:25" ht="13" customHeight="1">
      <c r="A1197" s="11">
        <v>1191</v>
      </c>
      <c r="B1197" s="47">
        <v>206348024</v>
      </c>
      <c r="C1197" s="88" t="s">
        <v>1653</v>
      </c>
      <c r="D1197" s="11" t="s">
        <v>1654</v>
      </c>
      <c r="E1197" s="48" t="s">
        <v>31</v>
      </c>
      <c r="F1197" s="48" t="s">
        <v>74</v>
      </c>
      <c r="G1197" s="11" t="s">
        <v>65</v>
      </c>
      <c r="H1197" s="11" t="s">
        <v>1319</v>
      </c>
      <c r="I1197" s="11">
        <v>1181</v>
      </c>
      <c r="J1197" s="49" t="s">
        <v>39</v>
      </c>
      <c r="K1197" s="49" t="s">
        <v>76</v>
      </c>
      <c r="L1197" s="49" t="s">
        <v>88</v>
      </c>
      <c r="M1197" s="49" t="s">
        <v>95</v>
      </c>
      <c r="N1197" s="49" t="s">
        <v>89</v>
      </c>
      <c r="O1197" s="49" t="s">
        <v>68</v>
      </c>
      <c r="P1197" s="11" t="s">
        <v>80</v>
      </c>
      <c r="Q1197" s="11" t="s">
        <v>81</v>
      </c>
      <c r="R1197" s="11" t="s">
        <v>2660</v>
      </c>
      <c r="S1197" s="11" t="s">
        <v>2661</v>
      </c>
      <c r="T1197" s="105" t="s">
        <v>1</v>
      </c>
      <c r="U1197" s="98"/>
      <c r="V1197" s="51">
        <v>45957</v>
      </c>
      <c r="W1197" s="49" t="s">
        <v>68</v>
      </c>
      <c r="X1197" s="154" t="s">
        <v>2</v>
      </c>
      <c r="Y1197" s="154">
        <v>0</v>
      </c>
    </row>
    <row r="1198" spans="1:25" ht="13" customHeight="1">
      <c r="A1198" s="11">
        <v>1192</v>
      </c>
      <c r="B1198" s="47">
        <v>205275960</v>
      </c>
      <c r="C1198" s="88" t="s">
        <v>1367</v>
      </c>
      <c r="D1198" s="11" t="s">
        <v>1368</v>
      </c>
      <c r="E1198" s="48" t="s">
        <v>31</v>
      </c>
      <c r="F1198" s="48" t="s">
        <v>74</v>
      </c>
      <c r="G1198" s="11" t="s">
        <v>65</v>
      </c>
      <c r="H1198" s="11" t="s">
        <v>1319</v>
      </c>
      <c r="I1198" s="11">
        <v>1181</v>
      </c>
      <c r="J1198" s="49" t="s">
        <v>32</v>
      </c>
      <c r="K1198" s="49" t="s">
        <v>76</v>
      </c>
      <c r="L1198" s="49" t="s">
        <v>92</v>
      </c>
      <c r="M1198" s="49" t="s">
        <v>84</v>
      </c>
      <c r="N1198" s="48" t="s">
        <v>89</v>
      </c>
      <c r="O1198" s="49" t="s">
        <v>68</v>
      </c>
      <c r="P1198" s="11" t="s">
        <v>80</v>
      </c>
      <c r="Q1198" s="11" t="s">
        <v>90</v>
      </c>
      <c r="R1198" s="11" t="s">
        <v>1323</v>
      </c>
      <c r="S1198" s="11" t="s">
        <v>1324</v>
      </c>
      <c r="T1198" s="105" t="s">
        <v>1</v>
      </c>
      <c r="U1198" s="98"/>
      <c r="V1198" s="51">
        <v>45796</v>
      </c>
      <c r="W1198" s="49" t="s">
        <v>68</v>
      </c>
      <c r="X1198" s="154" t="s">
        <v>2</v>
      </c>
      <c r="Y1198" s="154">
        <v>0</v>
      </c>
    </row>
    <row r="1199" spans="1:25" ht="13" customHeight="1">
      <c r="A1199" s="11">
        <v>1193</v>
      </c>
      <c r="B1199" s="47">
        <v>206368537</v>
      </c>
      <c r="C1199" s="88" t="s">
        <v>1655</v>
      </c>
      <c r="D1199" s="11" t="s">
        <v>1656</v>
      </c>
      <c r="E1199" s="48" t="s">
        <v>31</v>
      </c>
      <c r="F1199" s="48" t="s">
        <v>74</v>
      </c>
      <c r="G1199" s="11" t="s">
        <v>65</v>
      </c>
      <c r="H1199" s="11" t="s">
        <v>1319</v>
      </c>
      <c r="I1199" s="11">
        <v>1181</v>
      </c>
      <c r="J1199" s="49" t="s">
        <v>39</v>
      </c>
      <c r="K1199" s="49" t="s">
        <v>76</v>
      </c>
      <c r="L1199" s="49" t="s">
        <v>78</v>
      </c>
      <c r="M1199" s="49" t="s">
        <v>92</v>
      </c>
      <c r="N1199" s="49" t="s">
        <v>89</v>
      </c>
      <c r="O1199" s="49" t="s">
        <v>68</v>
      </c>
      <c r="P1199" s="11" t="s">
        <v>80</v>
      </c>
      <c r="Q1199" s="11" t="s">
        <v>96</v>
      </c>
      <c r="R1199" s="11" t="s">
        <v>2660</v>
      </c>
      <c r="S1199" s="11" t="s">
        <v>2661</v>
      </c>
      <c r="T1199" s="105" t="s">
        <v>1</v>
      </c>
      <c r="U1199" s="98"/>
      <c r="V1199" s="51">
        <v>45957</v>
      </c>
      <c r="W1199" s="49" t="s">
        <v>68</v>
      </c>
      <c r="X1199" s="154" t="s">
        <v>2</v>
      </c>
      <c r="Y1199" s="154">
        <v>0</v>
      </c>
    </row>
    <row r="1200" spans="1:25" ht="13" customHeight="1">
      <c r="A1200" s="11">
        <v>1194</v>
      </c>
      <c r="B1200" s="47">
        <v>105545779</v>
      </c>
      <c r="C1200" s="88" t="s">
        <v>1369</v>
      </c>
      <c r="D1200" s="11" t="s">
        <v>1370</v>
      </c>
      <c r="E1200" s="48" t="s">
        <v>34</v>
      </c>
      <c r="F1200" s="48" t="s">
        <v>74</v>
      </c>
      <c r="G1200" s="11" t="s">
        <v>65</v>
      </c>
      <c r="H1200" s="11" t="s">
        <v>1319</v>
      </c>
      <c r="I1200" s="11">
        <v>1182</v>
      </c>
      <c r="J1200" s="49" t="s">
        <v>32</v>
      </c>
      <c r="K1200" s="49" t="s">
        <v>76</v>
      </c>
      <c r="L1200" s="49" t="s">
        <v>95</v>
      </c>
      <c r="M1200" s="49" t="s">
        <v>77</v>
      </c>
      <c r="N1200" s="48" t="s">
        <v>108</v>
      </c>
      <c r="O1200" s="49" t="s">
        <v>68</v>
      </c>
      <c r="P1200" s="11" t="s">
        <v>80</v>
      </c>
      <c r="Q1200" s="11" t="s">
        <v>98</v>
      </c>
      <c r="R1200" s="11" t="s">
        <v>1323</v>
      </c>
      <c r="S1200" s="11" t="s">
        <v>1324</v>
      </c>
      <c r="T1200" s="105" t="s">
        <v>10</v>
      </c>
      <c r="U1200" s="98"/>
      <c r="V1200" s="51">
        <v>44724</v>
      </c>
      <c r="W1200" s="49" t="s">
        <v>68</v>
      </c>
      <c r="X1200" s="154" t="s">
        <v>2948</v>
      </c>
      <c r="Y1200" s="154">
        <v>0</v>
      </c>
    </row>
    <row r="1201" spans="1:25" ht="13" customHeight="1">
      <c r="A1201" s="11">
        <v>1195</v>
      </c>
      <c r="B1201" s="47">
        <v>206361785</v>
      </c>
      <c r="C1201" s="88" t="s">
        <v>1657</v>
      </c>
      <c r="D1201" s="11" t="s">
        <v>1658</v>
      </c>
      <c r="E1201" s="48" t="s">
        <v>31</v>
      </c>
      <c r="F1201" s="48" t="s">
        <v>74</v>
      </c>
      <c r="G1201" s="11" t="s">
        <v>65</v>
      </c>
      <c r="H1201" s="11" t="s">
        <v>1319</v>
      </c>
      <c r="I1201" s="11">
        <v>1181</v>
      </c>
      <c r="J1201" s="49" t="s">
        <v>39</v>
      </c>
      <c r="K1201" s="49" t="s">
        <v>76</v>
      </c>
      <c r="L1201" s="49" t="s">
        <v>88</v>
      </c>
      <c r="M1201" s="49" t="s">
        <v>95</v>
      </c>
      <c r="N1201" s="49" t="s">
        <v>89</v>
      </c>
      <c r="O1201" s="49" t="s">
        <v>68</v>
      </c>
      <c r="P1201" s="11" t="s">
        <v>80</v>
      </c>
      <c r="Q1201" s="11" t="s">
        <v>96</v>
      </c>
      <c r="R1201" s="11" t="s">
        <v>2660</v>
      </c>
      <c r="S1201" s="11" t="s">
        <v>2661</v>
      </c>
      <c r="T1201" s="105" t="s">
        <v>1</v>
      </c>
      <c r="U1201" s="98"/>
      <c r="V1201" s="51">
        <v>45957</v>
      </c>
      <c r="W1201" s="49" t="s">
        <v>68</v>
      </c>
      <c r="X1201" s="154" t="s">
        <v>2</v>
      </c>
      <c r="Y1201" s="154">
        <v>0</v>
      </c>
    </row>
    <row r="1202" spans="1:25" ht="13" customHeight="1">
      <c r="A1202" s="11">
        <v>1196</v>
      </c>
      <c r="B1202" s="47">
        <v>203555155</v>
      </c>
      <c r="C1202" s="88" t="s">
        <v>1371</v>
      </c>
      <c r="D1202" s="11" t="s">
        <v>1372</v>
      </c>
      <c r="E1202" s="48" t="s">
        <v>31</v>
      </c>
      <c r="F1202" s="48" t="s">
        <v>74</v>
      </c>
      <c r="G1202" s="11" t="s">
        <v>65</v>
      </c>
      <c r="H1202" s="11" t="s">
        <v>1319</v>
      </c>
      <c r="I1202" s="11">
        <v>1181</v>
      </c>
      <c r="J1202" s="49" t="s">
        <v>32</v>
      </c>
      <c r="K1202" s="49" t="s">
        <v>76</v>
      </c>
      <c r="L1202" s="49" t="s">
        <v>78</v>
      </c>
      <c r="M1202" s="49" t="s">
        <v>92</v>
      </c>
      <c r="N1202" s="48" t="s">
        <v>79</v>
      </c>
      <c r="O1202" s="49" t="s">
        <v>68</v>
      </c>
      <c r="P1202" s="11" t="s">
        <v>80</v>
      </c>
      <c r="Q1202" s="11" t="s">
        <v>81</v>
      </c>
      <c r="R1202" s="11" t="s">
        <v>1323</v>
      </c>
      <c r="S1202" s="11" t="s">
        <v>1324</v>
      </c>
      <c r="T1202" s="105" t="s">
        <v>1</v>
      </c>
      <c r="U1202" s="98"/>
      <c r="V1202" s="51">
        <v>45470</v>
      </c>
      <c r="W1202" s="49" t="s">
        <v>68</v>
      </c>
      <c r="X1202" s="154" t="s">
        <v>2</v>
      </c>
      <c r="Y1202" s="154">
        <v>0</v>
      </c>
    </row>
    <row r="1203" spans="1:25" ht="13" customHeight="1">
      <c r="A1203" s="11">
        <v>1197</v>
      </c>
      <c r="B1203" s="47">
        <v>206348026</v>
      </c>
      <c r="C1203" s="88" t="s">
        <v>1659</v>
      </c>
      <c r="D1203" s="11" t="s">
        <v>1660</v>
      </c>
      <c r="E1203" s="48" t="s">
        <v>31</v>
      </c>
      <c r="F1203" s="48" t="s">
        <v>74</v>
      </c>
      <c r="G1203" s="11" t="s">
        <v>65</v>
      </c>
      <c r="H1203" s="11" t="s">
        <v>1319</v>
      </c>
      <c r="I1203" s="11">
        <v>1181</v>
      </c>
      <c r="J1203" s="49" t="s">
        <v>32</v>
      </c>
      <c r="K1203" s="49" t="s">
        <v>76</v>
      </c>
      <c r="L1203" s="49" t="s">
        <v>88</v>
      </c>
      <c r="M1203" s="49" t="s">
        <v>95</v>
      </c>
      <c r="N1203" s="49" t="s">
        <v>89</v>
      </c>
      <c r="O1203" s="49" t="s">
        <v>68</v>
      </c>
      <c r="P1203" s="11" t="s">
        <v>80</v>
      </c>
      <c r="Q1203" s="11" t="s">
        <v>90</v>
      </c>
      <c r="R1203" s="11" t="s">
        <v>1323</v>
      </c>
      <c r="S1203" s="11" t="s">
        <v>1324</v>
      </c>
      <c r="T1203" s="105" t="s">
        <v>1</v>
      </c>
      <c r="U1203" s="98"/>
      <c r="V1203" s="51">
        <v>45957</v>
      </c>
      <c r="W1203" s="49" t="s">
        <v>68</v>
      </c>
      <c r="X1203" s="154" t="s">
        <v>2</v>
      </c>
      <c r="Y1203" s="154">
        <v>0</v>
      </c>
    </row>
    <row r="1204" spans="1:25" ht="13" customHeight="1">
      <c r="A1204" s="11">
        <v>1198</v>
      </c>
      <c r="B1204" s="47">
        <v>206348045</v>
      </c>
      <c r="C1204" s="88" t="s">
        <v>1661</v>
      </c>
      <c r="D1204" s="11" t="s">
        <v>1662</v>
      </c>
      <c r="E1204" s="48" t="s">
        <v>31</v>
      </c>
      <c r="F1204" s="48" t="s">
        <v>74</v>
      </c>
      <c r="G1204" s="11" t="s">
        <v>65</v>
      </c>
      <c r="H1204" s="11" t="s">
        <v>1319</v>
      </c>
      <c r="I1204" s="11">
        <v>1181</v>
      </c>
      <c r="J1204" s="49" t="s">
        <v>32</v>
      </c>
      <c r="K1204" s="49" t="s">
        <v>76</v>
      </c>
      <c r="L1204" s="49" t="s">
        <v>88</v>
      </c>
      <c r="M1204" s="49" t="s">
        <v>95</v>
      </c>
      <c r="N1204" s="49" t="s">
        <v>89</v>
      </c>
      <c r="O1204" s="49" t="s">
        <v>68</v>
      </c>
      <c r="P1204" s="11" t="s">
        <v>80</v>
      </c>
      <c r="Q1204" s="11" t="s">
        <v>90</v>
      </c>
      <c r="R1204" s="11" t="s">
        <v>1323</v>
      </c>
      <c r="S1204" s="11" t="s">
        <v>1324</v>
      </c>
      <c r="T1204" s="105" t="s">
        <v>1</v>
      </c>
      <c r="U1204" s="98"/>
      <c r="V1204" s="51">
        <v>45957</v>
      </c>
      <c r="W1204" s="49" t="s">
        <v>68</v>
      </c>
      <c r="X1204" s="154" t="s">
        <v>2</v>
      </c>
      <c r="Y1204" s="154">
        <v>0</v>
      </c>
    </row>
    <row r="1205" spans="1:25" ht="13" customHeight="1">
      <c r="A1205" s="11">
        <v>1199</v>
      </c>
      <c r="B1205" s="47">
        <v>206348030</v>
      </c>
      <c r="C1205" s="88" t="s">
        <v>1663</v>
      </c>
      <c r="D1205" s="11" t="s">
        <v>1664</v>
      </c>
      <c r="E1205" s="48" t="s">
        <v>31</v>
      </c>
      <c r="F1205" s="48" t="s">
        <v>74</v>
      </c>
      <c r="G1205" s="11" t="s">
        <v>65</v>
      </c>
      <c r="H1205" s="11" t="s">
        <v>1319</v>
      </c>
      <c r="I1205" s="11">
        <v>1181</v>
      </c>
      <c r="J1205" s="49" t="s">
        <v>32</v>
      </c>
      <c r="K1205" s="49" t="s">
        <v>76</v>
      </c>
      <c r="L1205" s="49" t="s">
        <v>78</v>
      </c>
      <c r="M1205" s="49" t="s">
        <v>92</v>
      </c>
      <c r="N1205" s="49" t="s">
        <v>89</v>
      </c>
      <c r="O1205" s="49" t="s">
        <v>68</v>
      </c>
      <c r="P1205" s="11" t="s">
        <v>80</v>
      </c>
      <c r="Q1205" s="11" t="s">
        <v>90</v>
      </c>
      <c r="R1205" s="11" t="s">
        <v>1323</v>
      </c>
      <c r="S1205" s="11" t="s">
        <v>1324</v>
      </c>
      <c r="T1205" s="105" t="s">
        <v>1</v>
      </c>
      <c r="U1205" s="98"/>
      <c r="V1205" s="51">
        <v>45957</v>
      </c>
      <c r="W1205" s="49" t="s">
        <v>68</v>
      </c>
      <c r="X1205" s="154" t="s">
        <v>2</v>
      </c>
      <c r="Y1205" s="154">
        <v>0</v>
      </c>
    </row>
    <row r="1206" spans="1:25" ht="13" customHeight="1">
      <c r="A1206" s="11">
        <v>1200</v>
      </c>
      <c r="B1206" s="47">
        <v>102582351</v>
      </c>
      <c r="C1206" s="88" t="s">
        <v>1375</v>
      </c>
      <c r="D1206" s="11" t="s">
        <v>1376</v>
      </c>
      <c r="E1206" s="48" t="s">
        <v>34</v>
      </c>
      <c r="F1206" s="48" t="s">
        <v>74</v>
      </c>
      <c r="G1206" s="11" t="s">
        <v>65</v>
      </c>
      <c r="H1206" s="11" t="s">
        <v>1319</v>
      </c>
      <c r="I1206" s="11">
        <v>1182</v>
      </c>
      <c r="J1206" s="49" t="s">
        <v>32</v>
      </c>
      <c r="K1206" s="49" t="s">
        <v>76</v>
      </c>
      <c r="L1206" s="49" t="s">
        <v>95</v>
      </c>
      <c r="M1206" s="49" t="s">
        <v>77</v>
      </c>
      <c r="N1206" s="48" t="s">
        <v>108</v>
      </c>
      <c r="O1206" s="49" t="s">
        <v>68</v>
      </c>
      <c r="P1206" s="11" t="s">
        <v>80</v>
      </c>
      <c r="Q1206" s="11" t="s">
        <v>98</v>
      </c>
      <c r="R1206" s="11" t="s">
        <v>1323</v>
      </c>
      <c r="S1206" s="11" t="s">
        <v>1324</v>
      </c>
      <c r="T1206" s="105" t="s">
        <v>10</v>
      </c>
      <c r="U1206" s="98"/>
      <c r="V1206" s="51">
        <v>42962</v>
      </c>
      <c r="W1206" s="49" t="s">
        <v>68</v>
      </c>
      <c r="X1206" s="154" t="s">
        <v>2948</v>
      </c>
      <c r="Y1206" s="154">
        <v>0</v>
      </c>
    </row>
    <row r="1207" spans="1:25" ht="13" customHeight="1">
      <c r="A1207" s="11">
        <v>1201</v>
      </c>
      <c r="B1207" s="47">
        <v>206348048</v>
      </c>
      <c r="C1207" s="88" t="s">
        <v>1665</v>
      </c>
      <c r="D1207" s="11" t="s">
        <v>1666</v>
      </c>
      <c r="E1207" s="48" t="s">
        <v>31</v>
      </c>
      <c r="F1207" s="48" t="s">
        <v>74</v>
      </c>
      <c r="G1207" s="11" t="s">
        <v>65</v>
      </c>
      <c r="H1207" s="11" t="s">
        <v>1319</v>
      </c>
      <c r="I1207" s="11">
        <v>1181</v>
      </c>
      <c r="J1207" s="49" t="s">
        <v>32</v>
      </c>
      <c r="K1207" s="49" t="s">
        <v>76</v>
      </c>
      <c r="L1207" s="49" t="s">
        <v>88</v>
      </c>
      <c r="M1207" s="49" t="s">
        <v>95</v>
      </c>
      <c r="N1207" s="49" t="s">
        <v>89</v>
      </c>
      <c r="O1207" s="49" t="s">
        <v>68</v>
      </c>
      <c r="P1207" s="11" t="s">
        <v>80</v>
      </c>
      <c r="Q1207" s="11" t="s">
        <v>90</v>
      </c>
      <c r="R1207" s="11" t="s">
        <v>1323</v>
      </c>
      <c r="S1207" s="11" t="s">
        <v>1324</v>
      </c>
      <c r="T1207" s="105" t="s">
        <v>1</v>
      </c>
      <c r="U1207" s="98"/>
      <c r="V1207" s="51">
        <v>45957</v>
      </c>
      <c r="W1207" s="49" t="s">
        <v>68</v>
      </c>
      <c r="X1207" s="154" t="s">
        <v>2</v>
      </c>
      <c r="Y1207" s="154">
        <v>0</v>
      </c>
    </row>
    <row r="1208" spans="1:25" ht="13" customHeight="1">
      <c r="A1208" s="11">
        <v>1202</v>
      </c>
      <c r="B1208" s="47">
        <v>206348049</v>
      </c>
      <c r="C1208" s="88" t="s">
        <v>2382</v>
      </c>
      <c r="D1208" s="11" t="s">
        <v>2383</v>
      </c>
      <c r="E1208" s="48" t="s">
        <v>31</v>
      </c>
      <c r="F1208" s="48" t="s">
        <v>74</v>
      </c>
      <c r="G1208" s="11" t="s">
        <v>65</v>
      </c>
      <c r="H1208" s="11" t="s">
        <v>1319</v>
      </c>
      <c r="I1208" s="11">
        <v>1181</v>
      </c>
      <c r="J1208" s="49" t="s">
        <v>32</v>
      </c>
      <c r="K1208" s="49" t="s">
        <v>76</v>
      </c>
      <c r="L1208" s="49" t="s">
        <v>95</v>
      </c>
      <c r="M1208" s="49" t="s">
        <v>77</v>
      </c>
      <c r="N1208" s="49" t="s">
        <v>89</v>
      </c>
      <c r="O1208" s="49" t="s">
        <v>68</v>
      </c>
      <c r="P1208" s="11" t="s">
        <v>80</v>
      </c>
      <c r="Q1208" s="11" t="s">
        <v>90</v>
      </c>
      <c r="R1208" s="11" t="s">
        <v>1323</v>
      </c>
      <c r="S1208" s="11" t="s">
        <v>1324</v>
      </c>
      <c r="T1208" s="105" t="s">
        <v>10</v>
      </c>
      <c r="U1208" s="98"/>
      <c r="V1208" s="51">
        <v>45957</v>
      </c>
      <c r="W1208" s="49" t="s">
        <v>68</v>
      </c>
      <c r="X1208" s="154" t="s">
        <v>2948</v>
      </c>
      <c r="Y1208" s="154">
        <v>0</v>
      </c>
    </row>
    <row r="1209" spans="1:25" ht="13" customHeight="1">
      <c r="A1209" s="11">
        <v>1203</v>
      </c>
      <c r="B1209" s="47">
        <v>206348041</v>
      </c>
      <c r="C1209" s="88" t="s">
        <v>1667</v>
      </c>
      <c r="D1209" s="11" t="s">
        <v>1668</v>
      </c>
      <c r="E1209" s="48" t="s">
        <v>31</v>
      </c>
      <c r="F1209" s="48" t="s">
        <v>74</v>
      </c>
      <c r="G1209" s="11" t="s">
        <v>65</v>
      </c>
      <c r="H1209" s="11" t="s">
        <v>1319</v>
      </c>
      <c r="I1209" s="11">
        <v>1181</v>
      </c>
      <c r="J1209" s="49" t="s">
        <v>39</v>
      </c>
      <c r="K1209" s="49" t="s">
        <v>76</v>
      </c>
      <c r="L1209" s="49" t="s">
        <v>92</v>
      </c>
      <c r="M1209" s="49" t="s">
        <v>84</v>
      </c>
      <c r="N1209" s="49" t="s">
        <v>89</v>
      </c>
      <c r="O1209" s="49" t="s">
        <v>68</v>
      </c>
      <c r="P1209" s="11" t="s">
        <v>80</v>
      </c>
      <c r="Q1209" s="11" t="s">
        <v>90</v>
      </c>
      <c r="R1209" s="11" t="s">
        <v>2660</v>
      </c>
      <c r="S1209" s="11" t="s">
        <v>2661</v>
      </c>
      <c r="T1209" s="105" t="s">
        <v>1</v>
      </c>
      <c r="U1209" s="98"/>
      <c r="V1209" s="51">
        <v>45957</v>
      </c>
      <c r="W1209" s="49" t="s">
        <v>68</v>
      </c>
      <c r="X1209" s="154" t="s">
        <v>2</v>
      </c>
      <c r="Y1209" s="154">
        <v>0</v>
      </c>
    </row>
    <row r="1210" spans="1:25" ht="13" customHeight="1">
      <c r="A1210" s="11">
        <v>1204</v>
      </c>
      <c r="B1210" s="47">
        <v>203635597</v>
      </c>
      <c r="C1210" s="88" t="s">
        <v>1377</v>
      </c>
      <c r="D1210" s="11" t="s">
        <v>1378</v>
      </c>
      <c r="E1210" s="48" t="s">
        <v>31</v>
      </c>
      <c r="F1210" s="48" t="s">
        <v>74</v>
      </c>
      <c r="G1210" s="11" t="s">
        <v>65</v>
      </c>
      <c r="H1210" s="11" t="s">
        <v>1319</v>
      </c>
      <c r="I1210" s="11">
        <v>1181</v>
      </c>
      <c r="J1210" s="49" t="s">
        <v>32</v>
      </c>
      <c r="K1210" s="49" t="s">
        <v>76</v>
      </c>
      <c r="L1210" s="49" t="s">
        <v>85</v>
      </c>
      <c r="M1210" s="49" t="s">
        <v>88</v>
      </c>
      <c r="N1210" s="48" t="s">
        <v>79</v>
      </c>
      <c r="O1210" s="49" t="s">
        <v>68</v>
      </c>
      <c r="P1210" s="11" t="s">
        <v>80</v>
      </c>
      <c r="Q1210" s="11" t="s">
        <v>81</v>
      </c>
      <c r="R1210" s="11" t="s">
        <v>1323</v>
      </c>
      <c r="S1210" s="11" t="s">
        <v>1324</v>
      </c>
      <c r="T1210" s="105" t="s">
        <v>1</v>
      </c>
      <c r="U1210" s="98"/>
      <c r="V1210" s="51">
        <v>45481</v>
      </c>
      <c r="W1210" s="49" t="s">
        <v>68</v>
      </c>
      <c r="X1210" s="154" t="s">
        <v>2</v>
      </c>
      <c r="Y1210" s="154">
        <v>0</v>
      </c>
    </row>
    <row r="1211" spans="1:25" ht="13" customHeight="1">
      <c r="A1211" s="11">
        <v>1205</v>
      </c>
      <c r="B1211" s="47">
        <v>204013735</v>
      </c>
      <c r="C1211" s="88" t="s">
        <v>1379</v>
      </c>
      <c r="D1211" s="11" t="s">
        <v>1380</v>
      </c>
      <c r="E1211" s="48" t="s">
        <v>31</v>
      </c>
      <c r="F1211" s="48" t="s">
        <v>74</v>
      </c>
      <c r="G1211" s="11" t="s">
        <v>65</v>
      </c>
      <c r="H1211" s="11" t="s">
        <v>1319</v>
      </c>
      <c r="I1211" s="11">
        <v>1181</v>
      </c>
      <c r="J1211" s="49" t="s">
        <v>32</v>
      </c>
      <c r="K1211" s="49" t="s">
        <v>76</v>
      </c>
      <c r="L1211" s="49" t="s">
        <v>95</v>
      </c>
      <c r="M1211" s="49" t="s">
        <v>77</v>
      </c>
      <c r="N1211" s="48" t="s">
        <v>79</v>
      </c>
      <c r="O1211" s="49" t="s">
        <v>68</v>
      </c>
      <c r="P1211" s="11" t="s">
        <v>80</v>
      </c>
      <c r="Q1211" s="11" t="s">
        <v>81</v>
      </c>
      <c r="R1211" s="11" t="s">
        <v>1323</v>
      </c>
      <c r="S1211" s="11" t="s">
        <v>1324</v>
      </c>
      <c r="T1211" s="105" t="s">
        <v>10</v>
      </c>
      <c r="U1211" s="98"/>
      <c r="V1211" s="51">
        <v>45551</v>
      </c>
      <c r="W1211" s="49" t="s">
        <v>68</v>
      </c>
      <c r="X1211" s="154" t="s">
        <v>2948</v>
      </c>
      <c r="Y1211" s="154">
        <v>0</v>
      </c>
    </row>
    <row r="1212" spans="1:25" ht="13" customHeight="1">
      <c r="A1212" s="11">
        <v>1206</v>
      </c>
      <c r="B1212" s="47">
        <v>204341639</v>
      </c>
      <c r="C1212" s="88" t="s">
        <v>129</v>
      </c>
      <c r="D1212" s="11" t="s">
        <v>2649</v>
      </c>
      <c r="E1212" s="48" t="s">
        <v>31</v>
      </c>
      <c r="F1212" s="48" t="s">
        <v>74</v>
      </c>
      <c r="G1212" s="11" t="s">
        <v>65</v>
      </c>
      <c r="H1212" s="11" t="s">
        <v>1319</v>
      </c>
      <c r="I1212" s="11">
        <v>1299</v>
      </c>
      <c r="J1212" s="49" t="s">
        <v>32</v>
      </c>
      <c r="K1212" s="49" t="s">
        <v>76</v>
      </c>
      <c r="L1212" s="49" t="s">
        <v>92</v>
      </c>
      <c r="M1212" s="49" t="s">
        <v>84</v>
      </c>
      <c r="N1212" s="48" t="s">
        <v>86</v>
      </c>
      <c r="O1212" s="49" t="s">
        <v>68</v>
      </c>
      <c r="P1212" s="11" t="s">
        <v>80</v>
      </c>
      <c r="Q1212" s="11" t="s">
        <v>87</v>
      </c>
      <c r="R1212" s="11" t="s">
        <v>1323</v>
      </c>
      <c r="S1212" s="11" t="s">
        <v>1324</v>
      </c>
      <c r="T1212" s="105" t="s">
        <v>1</v>
      </c>
      <c r="U1212" s="98"/>
      <c r="V1212" s="51">
        <v>45589</v>
      </c>
      <c r="W1212" s="49" t="s">
        <v>68</v>
      </c>
      <c r="X1212" s="154" t="s">
        <v>2</v>
      </c>
      <c r="Y1212" s="154">
        <v>0</v>
      </c>
    </row>
    <row r="1213" spans="1:25" ht="13" customHeight="1">
      <c r="A1213" s="11">
        <v>1207</v>
      </c>
      <c r="B1213" s="47">
        <v>205276097</v>
      </c>
      <c r="C1213" s="88" t="s">
        <v>1381</v>
      </c>
      <c r="D1213" s="11" t="s">
        <v>1382</v>
      </c>
      <c r="E1213" s="48" t="s">
        <v>31</v>
      </c>
      <c r="F1213" s="48" t="s">
        <v>74</v>
      </c>
      <c r="G1213" s="11" t="s">
        <v>65</v>
      </c>
      <c r="H1213" s="11" t="s">
        <v>1319</v>
      </c>
      <c r="I1213" s="11">
        <v>1181</v>
      </c>
      <c r="J1213" s="49" t="s">
        <v>39</v>
      </c>
      <c r="K1213" s="49" t="s">
        <v>76</v>
      </c>
      <c r="L1213" s="49" t="s">
        <v>84</v>
      </c>
      <c r="M1213" s="49" t="s">
        <v>85</v>
      </c>
      <c r="N1213" s="48" t="s">
        <v>89</v>
      </c>
      <c r="O1213" s="49" t="s">
        <v>68</v>
      </c>
      <c r="P1213" s="11" t="s">
        <v>80</v>
      </c>
      <c r="Q1213" s="11" t="s">
        <v>90</v>
      </c>
      <c r="R1213" s="11" t="s">
        <v>2660</v>
      </c>
      <c r="S1213" s="11" t="s">
        <v>2661</v>
      </c>
      <c r="T1213" s="105" t="s">
        <v>1</v>
      </c>
      <c r="U1213" s="98"/>
      <c r="V1213" s="51">
        <v>45796</v>
      </c>
      <c r="W1213" s="49" t="s">
        <v>68</v>
      </c>
      <c r="X1213" s="154" t="s">
        <v>2</v>
      </c>
      <c r="Y1213" s="154">
        <v>0</v>
      </c>
    </row>
    <row r="1214" spans="1:25" ht="13" customHeight="1">
      <c r="A1214" s="11">
        <v>1208</v>
      </c>
      <c r="B1214" s="47">
        <v>206958286</v>
      </c>
      <c r="C1214" s="88" t="s">
        <v>2066</v>
      </c>
      <c r="D1214" s="11" t="s">
        <v>1995</v>
      </c>
      <c r="E1214" s="48" t="s">
        <v>31</v>
      </c>
      <c r="F1214" s="48" t="s">
        <v>74</v>
      </c>
      <c r="G1214" s="11" t="s">
        <v>65</v>
      </c>
      <c r="H1214" s="11" t="s">
        <v>1319</v>
      </c>
      <c r="I1214" s="11">
        <v>1299</v>
      </c>
      <c r="J1214" s="49" t="s">
        <v>32</v>
      </c>
      <c r="K1214" s="49" t="s">
        <v>76</v>
      </c>
      <c r="L1214" s="49" t="s">
        <v>77</v>
      </c>
      <c r="M1214" s="49" t="s">
        <v>78</v>
      </c>
      <c r="N1214" s="49" t="s">
        <v>89</v>
      </c>
      <c r="O1214" s="49" t="s">
        <v>68</v>
      </c>
      <c r="P1214" s="11" t="s">
        <v>80</v>
      </c>
      <c r="Q1214" s="11" t="s">
        <v>96</v>
      </c>
      <c r="R1214" s="11" t="s">
        <v>1323</v>
      </c>
      <c r="S1214" s="11" t="s">
        <v>1324</v>
      </c>
      <c r="T1214" s="105" t="s">
        <v>10</v>
      </c>
      <c r="U1214" s="98"/>
      <c r="V1214" s="51">
        <v>46048</v>
      </c>
      <c r="W1214" s="49" t="s">
        <v>68</v>
      </c>
      <c r="X1214" s="154" t="s">
        <v>2948</v>
      </c>
      <c r="Y1214" s="154">
        <v>0</v>
      </c>
    </row>
    <row r="1215" spans="1:25" ht="13" customHeight="1">
      <c r="A1215" s="11">
        <v>1209</v>
      </c>
      <c r="B1215" s="47">
        <v>201635982</v>
      </c>
      <c r="C1215" s="88" t="s">
        <v>1383</v>
      </c>
      <c r="D1215" s="11" t="s">
        <v>1384</v>
      </c>
      <c r="E1215" s="48" t="s">
        <v>31</v>
      </c>
      <c r="F1215" s="48" t="s">
        <v>74</v>
      </c>
      <c r="G1215" s="11" t="s">
        <v>65</v>
      </c>
      <c r="H1215" s="11" t="s">
        <v>1319</v>
      </c>
      <c r="I1215" s="11">
        <v>1181</v>
      </c>
      <c r="J1215" s="49" t="s">
        <v>32</v>
      </c>
      <c r="K1215" s="49" t="s">
        <v>76</v>
      </c>
      <c r="L1215" s="49" t="s">
        <v>84</v>
      </c>
      <c r="M1215" s="49" t="s">
        <v>85</v>
      </c>
      <c r="N1215" s="48" t="s">
        <v>79</v>
      </c>
      <c r="O1215" s="49" t="s">
        <v>68</v>
      </c>
      <c r="P1215" s="11" t="s">
        <v>80</v>
      </c>
      <c r="Q1215" s="11" t="s">
        <v>81</v>
      </c>
      <c r="R1215" s="11" t="s">
        <v>1323</v>
      </c>
      <c r="S1215" s="11" t="s">
        <v>1324</v>
      </c>
      <c r="T1215" s="105" t="s">
        <v>1</v>
      </c>
      <c r="U1215" s="98"/>
      <c r="V1215" s="51">
        <v>45530</v>
      </c>
      <c r="W1215" s="49" t="s">
        <v>68</v>
      </c>
      <c r="X1215" s="154" t="s">
        <v>2</v>
      </c>
      <c r="Y1215" s="154">
        <v>0</v>
      </c>
    </row>
    <row r="1216" spans="1:25" ht="13" customHeight="1">
      <c r="A1216" s="11">
        <v>1210</v>
      </c>
      <c r="B1216" s="47">
        <v>206957733</v>
      </c>
      <c r="C1216" s="88" t="s">
        <v>2116</v>
      </c>
      <c r="D1216" s="11" t="s">
        <v>2117</v>
      </c>
      <c r="E1216" s="101" t="s">
        <v>31</v>
      </c>
      <c r="F1216" s="48" t="s">
        <v>74</v>
      </c>
      <c r="G1216" s="11" t="s">
        <v>65</v>
      </c>
      <c r="H1216" s="11" t="s">
        <v>1319</v>
      </c>
      <c r="I1216" s="11">
        <v>1181</v>
      </c>
      <c r="J1216" s="49" t="s">
        <v>39</v>
      </c>
      <c r="K1216" s="49" t="s">
        <v>76</v>
      </c>
      <c r="L1216" s="49" t="s">
        <v>77</v>
      </c>
      <c r="M1216" s="49" t="s">
        <v>78</v>
      </c>
      <c r="N1216" s="49" t="s">
        <v>89</v>
      </c>
      <c r="O1216" s="49" t="s">
        <v>68</v>
      </c>
      <c r="P1216" s="49" t="s">
        <v>80</v>
      </c>
      <c r="Q1216" s="49" t="s">
        <v>96</v>
      </c>
      <c r="R1216" s="11" t="s">
        <v>2660</v>
      </c>
      <c r="S1216" s="49" t="s">
        <v>2661</v>
      </c>
      <c r="T1216" s="105" t="s">
        <v>10</v>
      </c>
      <c r="U1216" s="98"/>
      <c r="V1216" s="51">
        <v>46048</v>
      </c>
      <c r="W1216" s="49" t="s">
        <v>68</v>
      </c>
      <c r="X1216" s="154" t="s">
        <v>2948</v>
      </c>
      <c r="Y1216" s="154">
        <v>0</v>
      </c>
    </row>
    <row r="1217" spans="1:25" ht="13" customHeight="1">
      <c r="A1217" s="11">
        <v>1211</v>
      </c>
      <c r="B1217" s="47">
        <v>206368538</v>
      </c>
      <c r="C1217" s="88" t="s">
        <v>1670</v>
      </c>
      <c r="D1217" s="11" t="s">
        <v>1671</v>
      </c>
      <c r="E1217" s="48" t="s">
        <v>31</v>
      </c>
      <c r="F1217" s="48" t="s">
        <v>74</v>
      </c>
      <c r="G1217" s="11" t="s">
        <v>65</v>
      </c>
      <c r="H1217" s="11" t="s">
        <v>1319</v>
      </c>
      <c r="I1217" s="11">
        <v>1181</v>
      </c>
      <c r="J1217" s="49" t="s">
        <v>39</v>
      </c>
      <c r="K1217" s="49" t="s">
        <v>76</v>
      </c>
      <c r="L1217" s="49" t="s">
        <v>77</v>
      </c>
      <c r="M1217" s="49" t="s">
        <v>78</v>
      </c>
      <c r="N1217" s="49" t="s">
        <v>89</v>
      </c>
      <c r="O1217" s="49" t="s">
        <v>68</v>
      </c>
      <c r="P1217" s="11" t="s">
        <v>80</v>
      </c>
      <c r="Q1217" s="11" t="s">
        <v>96</v>
      </c>
      <c r="R1217" s="11" t="s">
        <v>2660</v>
      </c>
      <c r="S1217" s="11" t="s">
        <v>2661</v>
      </c>
      <c r="T1217" s="105" t="s">
        <v>10</v>
      </c>
      <c r="U1217" s="98"/>
      <c r="V1217" s="51">
        <v>45957</v>
      </c>
      <c r="W1217" s="49" t="s">
        <v>68</v>
      </c>
      <c r="X1217" s="154" t="s">
        <v>2948</v>
      </c>
      <c r="Y1217" s="154">
        <v>0</v>
      </c>
    </row>
    <row r="1218" spans="1:25" ht="13" customHeight="1">
      <c r="A1218" s="11">
        <v>1212</v>
      </c>
      <c r="B1218" s="47">
        <v>203635498</v>
      </c>
      <c r="C1218" s="88" t="s">
        <v>1385</v>
      </c>
      <c r="D1218" s="11" t="s">
        <v>1386</v>
      </c>
      <c r="E1218" s="48" t="s">
        <v>31</v>
      </c>
      <c r="F1218" s="48" t="s">
        <v>74</v>
      </c>
      <c r="G1218" s="11" t="s">
        <v>65</v>
      </c>
      <c r="H1218" s="11" t="s">
        <v>1319</v>
      </c>
      <c r="I1218" s="11">
        <v>1181</v>
      </c>
      <c r="J1218" s="49" t="s">
        <v>39</v>
      </c>
      <c r="K1218" s="49" t="s">
        <v>76</v>
      </c>
      <c r="L1218" s="49" t="s">
        <v>88</v>
      </c>
      <c r="M1218" s="49" t="s">
        <v>95</v>
      </c>
      <c r="N1218" s="48" t="s">
        <v>79</v>
      </c>
      <c r="O1218" s="49" t="s">
        <v>68</v>
      </c>
      <c r="P1218" s="11" t="s">
        <v>80</v>
      </c>
      <c r="Q1218" s="11" t="s">
        <v>81</v>
      </c>
      <c r="R1218" s="11" t="s">
        <v>2660</v>
      </c>
      <c r="S1218" s="11" t="s">
        <v>2661</v>
      </c>
      <c r="T1218" s="105" t="s">
        <v>1</v>
      </c>
      <c r="U1218" s="98"/>
      <c r="V1218" s="51">
        <v>45481</v>
      </c>
      <c r="W1218" s="49" t="s">
        <v>68</v>
      </c>
      <c r="X1218" s="154" t="s">
        <v>2</v>
      </c>
      <c r="Y1218" s="154">
        <v>0</v>
      </c>
    </row>
    <row r="1219" spans="1:25" ht="13" customHeight="1">
      <c r="A1219" s="11">
        <v>1213</v>
      </c>
      <c r="B1219" s="47">
        <v>205845548</v>
      </c>
      <c r="C1219" s="88" t="s">
        <v>1387</v>
      </c>
      <c r="D1219" s="11" t="s">
        <v>1388</v>
      </c>
      <c r="E1219" s="48" t="s">
        <v>31</v>
      </c>
      <c r="F1219" s="48" t="s">
        <v>74</v>
      </c>
      <c r="G1219" s="11" t="s">
        <v>65</v>
      </c>
      <c r="H1219" s="11" t="s">
        <v>1319</v>
      </c>
      <c r="I1219" s="11">
        <v>1181</v>
      </c>
      <c r="J1219" s="49" t="s">
        <v>39</v>
      </c>
      <c r="K1219" s="49" t="s">
        <v>76</v>
      </c>
      <c r="L1219" s="49" t="s">
        <v>92</v>
      </c>
      <c r="M1219" s="49" t="s">
        <v>84</v>
      </c>
      <c r="N1219" s="49" t="s">
        <v>89</v>
      </c>
      <c r="O1219" s="49" t="s">
        <v>68</v>
      </c>
      <c r="P1219" s="11" t="s">
        <v>80</v>
      </c>
      <c r="Q1219" s="11" t="s">
        <v>90</v>
      </c>
      <c r="R1219" s="11" t="s">
        <v>2660</v>
      </c>
      <c r="S1219" s="11" t="s">
        <v>2661</v>
      </c>
      <c r="T1219" s="105" t="s">
        <v>1</v>
      </c>
      <c r="U1219" s="98"/>
      <c r="V1219" s="51">
        <v>45894</v>
      </c>
      <c r="W1219" s="49" t="s">
        <v>68</v>
      </c>
      <c r="X1219" s="154" t="s">
        <v>2</v>
      </c>
      <c r="Y1219" s="154">
        <v>0</v>
      </c>
    </row>
    <row r="1220" spans="1:25" ht="13" customHeight="1">
      <c r="A1220" s="11">
        <v>1214</v>
      </c>
      <c r="B1220" s="47">
        <v>206348029</v>
      </c>
      <c r="C1220" s="88" t="s">
        <v>1672</v>
      </c>
      <c r="D1220" s="11" t="s">
        <v>1673</v>
      </c>
      <c r="E1220" s="48" t="s">
        <v>31</v>
      </c>
      <c r="F1220" s="48" t="s">
        <v>74</v>
      </c>
      <c r="G1220" s="11" t="s">
        <v>65</v>
      </c>
      <c r="H1220" s="11" t="s">
        <v>1319</v>
      </c>
      <c r="I1220" s="11">
        <v>1181</v>
      </c>
      <c r="J1220" s="49" t="s">
        <v>39</v>
      </c>
      <c r="K1220" s="49" t="s">
        <v>76</v>
      </c>
      <c r="L1220" s="49" t="s">
        <v>77</v>
      </c>
      <c r="M1220" s="49" t="s">
        <v>78</v>
      </c>
      <c r="N1220" s="49" t="s">
        <v>89</v>
      </c>
      <c r="O1220" s="49" t="s">
        <v>68</v>
      </c>
      <c r="P1220" s="11" t="s">
        <v>80</v>
      </c>
      <c r="Q1220" s="11" t="s">
        <v>90</v>
      </c>
      <c r="R1220" s="11" t="s">
        <v>2660</v>
      </c>
      <c r="S1220" s="11" t="s">
        <v>2661</v>
      </c>
      <c r="T1220" s="105" t="s">
        <v>10</v>
      </c>
      <c r="U1220" s="98"/>
      <c r="V1220" s="51">
        <v>45957</v>
      </c>
      <c r="W1220" s="49" t="s">
        <v>68</v>
      </c>
      <c r="X1220" s="154" t="s">
        <v>2948</v>
      </c>
      <c r="Y1220" s="154">
        <v>0</v>
      </c>
    </row>
    <row r="1221" spans="1:25" ht="13" customHeight="1">
      <c r="A1221" s="11">
        <v>1215</v>
      </c>
      <c r="B1221" s="47">
        <v>206958064</v>
      </c>
      <c r="C1221" s="88" t="s">
        <v>2118</v>
      </c>
      <c r="D1221" s="11" t="s">
        <v>2119</v>
      </c>
      <c r="E1221" s="101" t="s">
        <v>31</v>
      </c>
      <c r="F1221" s="48" t="s">
        <v>74</v>
      </c>
      <c r="G1221" s="11" t="s">
        <v>65</v>
      </c>
      <c r="H1221" s="11" t="s">
        <v>1319</v>
      </c>
      <c r="I1221" s="11">
        <v>1181</v>
      </c>
      <c r="J1221" s="49" t="s">
        <v>39</v>
      </c>
      <c r="K1221" s="49" t="s">
        <v>76</v>
      </c>
      <c r="L1221" s="49" t="s">
        <v>77</v>
      </c>
      <c r="M1221" s="49" t="s">
        <v>78</v>
      </c>
      <c r="N1221" s="49" t="s">
        <v>89</v>
      </c>
      <c r="O1221" s="49" t="s">
        <v>68</v>
      </c>
      <c r="P1221" s="49" t="s">
        <v>80</v>
      </c>
      <c r="Q1221" s="49" t="s">
        <v>96</v>
      </c>
      <c r="R1221" s="11" t="s">
        <v>2660</v>
      </c>
      <c r="S1221" s="49" t="s">
        <v>2661</v>
      </c>
      <c r="T1221" s="105" t="s">
        <v>10</v>
      </c>
      <c r="U1221" s="98"/>
      <c r="V1221" s="51">
        <v>46048</v>
      </c>
      <c r="W1221" s="49" t="s">
        <v>68</v>
      </c>
      <c r="X1221" s="154" t="s">
        <v>2948</v>
      </c>
      <c r="Y1221" s="154">
        <v>0</v>
      </c>
    </row>
    <row r="1222" spans="1:25" ht="13" customHeight="1">
      <c r="A1222" s="11">
        <v>1216</v>
      </c>
      <c r="B1222" s="47">
        <v>206958070</v>
      </c>
      <c r="C1222" s="88" t="s">
        <v>2120</v>
      </c>
      <c r="D1222" s="11" t="s">
        <v>2121</v>
      </c>
      <c r="E1222" s="101" t="s">
        <v>31</v>
      </c>
      <c r="F1222" s="48" t="s">
        <v>74</v>
      </c>
      <c r="G1222" s="11" t="s">
        <v>65</v>
      </c>
      <c r="H1222" s="11" t="s">
        <v>1319</v>
      </c>
      <c r="I1222" s="11">
        <v>1181</v>
      </c>
      <c r="J1222" s="49" t="s">
        <v>39</v>
      </c>
      <c r="K1222" s="49" t="s">
        <v>76</v>
      </c>
      <c r="L1222" s="49" t="s">
        <v>84</v>
      </c>
      <c r="M1222" s="49" t="s">
        <v>85</v>
      </c>
      <c r="N1222" s="49" t="s">
        <v>89</v>
      </c>
      <c r="O1222" s="49" t="s">
        <v>68</v>
      </c>
      <c r="P1222" s="49" t="s">
        <v>80</v>
      </c>
      <c r="Q1222" s="49" t="s">
        <v>96</v>
      </c>
      <c r="R1222" s="11" t="s">
        <v>2660</v>
      </c>
      <c r="S1222" s="49" t="s">
        <v>2661</v>
      </c>
      <c r="T1222" s="105" t="s">
        <v>1</v>
      </c>
      <c r="U1222" s="98"/>
      <c r="V1222" s="51">
        <v>46048</v>
      </c>
      <c r="W1222" s="49" t="s">
        <v>68</v>
      </c>
      <c r="X1222" s="154" t="s">
        <v>2</v>
      </c>
      <c r="Y1222" s="154">
        <v>0</v>
      </c>
    </row>
    <row r="1223" spans="1:25" ht="13" customHeight="1">
      <c r="A1223" s="11">
        <v>1217</v>
      </c>
      <c r="B1223" s="47">
        <v>206348042</v>
      </c>
      <c r="C1223" s="88" t="s">
        <v>2384</v>
      </c>
      <c r="D1223" s="11" t="s">
        <v>2385</v>
      </c>
      <c r="E1223" s="48" t="s">
        <v>31</v>
      </c>
      <c r="F1223" s="48" t="s">
        <v>74</v>
      </c>
      <c r="G1223" s="11" t="s">
        <v>65</v>
      </c>
      <c r="H1223" s="11" t="s">
        <v>1319</v>
      </c>
      <c r="I1223" s="11">
        <v>1181</v>
      </c>
      <c r="J1223" s="49" t="s">
        <v>32</v>
      </c>
      <c r="K1223" s="49" t="s">
        <v>76</v>
      </c>
      <c r="L1223" s="49" t="s">
        <v>95</v>
      </c>
      <c r="M1223" s="49" t="s">
        <v>77</v>
      </c>
      <c r="N1223" s="49" t="s">
        <v>89</v>
      </c>
      <c r="O1223" s="49" t="s">
        <v>68</v>
      </c>
      <c r="P1223" s="11" t="s">
        <v>80</v>
      </c>
      <c r="Q1223" s="11" t="s">
        <v>90</v>
      </c>
      <c r="R1223" s="11" t="s">
        <v>1323</v>
      </c>
      <c r="S1223" s="11" t="s">
        <v>1324</v>
      </c>
      <c r="T1223" s="105" t="s">
        <v>10</v>
      </c>
      <c r="U1223" s="98"/>
      <c r="V1223" s="51">
        <v>45957</v>
      </c>
      <c r="W1223" s="49" t="s">
        <v>68</v>
      </c>
      <c r="X1223" s="154" t="s">
        <v>2948</v>
      </c>
      <c r="Y1223" s="154">
        <v>0</v>
      </c>
    </row>
    <row r="1224" spans="1:25" ht="13" customHeight="1">
      <c r="A1224" s="11">
        <v>1218</v>
      </c>
      <c r="B1224" s="47">
        <v>205845547</v>
      </c>
      <c r="C1224" s="88" t="s">
        <v>1389</v>
      </c>
      <c r="D1224" s="11" t="s">
        <v>1390</v>
      </c>
      <c r="E1224" s="48" t="s">
        <v>31</v>
      </c>
      <c r="F1224" s="48" t="s">
        <v>74</v>
      </c>
      <c r="G1224" s="11" t="s">
        <v>65</v>
      </c>
      <c r="H1224" s="11" t="s">
        <v>1319</v>
      </c>
      <c r="I1224" s="11">
        <v>1181</v>
      </c>
      <c r="J1224" s="49" t="s">
        <v>39</v>
      </c>
      <c r="K1224" s="49" t="s">
        <v>76</v>
      </c>
      <c r="L1224" s="49" t="s">
        <v>84</v>
      </c>
      <c r="M1224" s="49" t="s">
        <v>85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2660</v>
      </c>
      <c r="S1224" s="11" t="s">
        <v>2661</v>
      </c>
      <c r="T1224" s="105" t="s">
        <v>1</v>
      </c>
      <c r="U1224" s="98"/>
      <c r="V1224" s="51">
        <v>45894</v>
      </c>
      <c r="W1224" s="49" t="s">
        <v>68</v>
      </c>
      <c r="X1224" s="154" t="s">
        <v>2</v>
      </c>
      <c r="Y1224" s="154">
        <v>0</v>
      </c>
    </row>
    <row r="1225" spans="1:25" ht="13" customHeight="1">
      <c r="A1225" s="11">
        <v>1219</v>
      </c>
      <c r="B1225" s="47">
        <v>205845552</v>
      </c>
      <c r="C1225" s="88" t="s">
        <v>1391</v>
      </c>
      <c r="D1225" s="11" t="s">
        <v>1392</v>
      </c>
      <c r="E1225" s="48" t="s">
        <v>31</v>
      </c>
      <c r="F1225" s="48" t="s">
        <v>74</v>
      </c>
      <c r="G1225" s="11" t="s">
        <v>65</v>
      </c>
      <c r="H1225" s="11" t="s">
        <v>1319</v>
      </c>
      <c r="I1225" s="11">
        <v>1181</v>
      </c>
      <c r="J1225" s="49" t="s">
        <v>39</v>
      </c>
      <c r="K1225" s="49" t="s">
        <v>76</v>
      </c>
      <c r="L1225" s="49" t="s">
        <v>77</v>
      </c>
      <c r="M1225" s="49" t="s">
        <v>78</v>
      </c>
      <c r="N1225" s="49" t="s">
        <v>89</v>
      </c>
      <c r="O1225" s="49" t="s">
        <v>68</v>
      </c>
      <c r="P1225" s="11" t="s">
        <v>80</v>
      </c>
      <c r="Q1225" s="11" t="s">
        <v>90</v>
      </c>
      <c r="R1225" s="11" t="s">
        <v>2660</v>
      </c>
      <c r="S1225" s="11" t="s">
        <v>2661</v>
      </c>
      <c r="T1225" s="105" t="s">
        <v>10</v>
      </c>
      <c r="U1225" s="98"/>
      <c r="V1225" s="51">
        <v>45894</v>
      </c>
      <c r="W1225" s="49" t="s">
        <v>68</v>
      </c>
      <c r="X1225" s="154" t="s">
        <v>2948</v>
      </c>
      <c r="Y1225" s="154">
        <v>0</v>
      </c>
    </row>
    <row r="1226" spans="1:25" ht="13" customHeight="1">
      <c r="A1226" s="11">
        <v>1220</v>
      </c>
      <c r="B1226" s="47">
        <v>206958290</v>
      </c>
      <c r="C1226" s="88" t="s">
        <v>2386</v>
      </c>
      <c r="D1226" s="11" t="s">
        <v>2387</v>
      </c>
      <c r="E1226" s="101" t="s">
        <v>31</v>
      </c>
      <c r="F1226" s="48" t="s">
        <v>74</v>
      </c>
      <c r="G1226" s="11" t="s">
        <v>65</v>
      </c>
      <c r="H1226" s="11" t="s">
        <v>1319</v>
      </c>
      <c r="I1226" s="11">
        <v>1181</v>
      </c>
      <c r="J1226" s="49" t="s">
        <v>39</v>
      </c>
      <c r="K1226" s="49" t="s">
        <v>76</v>
      </c>
      <c r="L1226" s="49" t="s">
        <v>84</v>
      </c>
      <c r="M1226" s="49" t="s">
        <v>85</v>
      </c>
      <c r="N1226" s="49" t="s">
        <v>89</v>
      </c>
      <c r="O1226" s="49" t="s">
        <v>68</v>
      </c>
      <c r="P1226" s="49" t="s">
        <v>80</v>
      </c>
      <c r="Q1226" s="49" t="s">
        <v>96</v>
      </c>
      <c r="R1226" s="11" t="s">
        <v>2660</v>
      </c>
      <c r="S1226" s="49" t="s">
        <v>2661</v>
      </c>
      <c r="T1226" s="105" t="s">
        <v>1</v>
      </c>
      <c r="U1226" s="98"/>
      <c r="V1226" s="51">
        <v>46048</v>
      </c>
      <c r="W1226" s="49" t="s">
        <v>68</v>
      </c>
      <c r="X1226" s="154" t="s">
        <v>2</v>
      </c>
      <c r="Y1226" s="154">
        <v>0</v>
      </c>
    </row>
    <row r="1227" spans="1:25" ht="13" customHeight="1">
      <c r="A1227" s="11">
        <v>1221</v>
      </c>
      <c r="B1227" s="47">
        <v>205839953</v>
      </c>
      <c r="C1227" s="88" t="s">
        <v>1393</v>
      </c>
      <c r="D1227" s="11" t="s">
        <v>1394</v>
      </c>
      <c r="E1227" s="48" t="s">
        <v>31</v>
      </c>
      <c r="F1227" s="48" t="s">
        <v>74</v>
      </c>
      <c r="G1227" s="11" t="s">
        <v>65</v>
      </c>
      <c r="H1227" s="11" t="s">
        <v>1319</v>
      </c>
      <c r="I1227" s="11">
        <v>1181</v>
      </c>
      <c r="J1227" s="49" t="s">
        <v>39</v>
      </c>
      <c r="K1227" s="49" t="s">
        <v>76</v>
      </c>
      <c r="L1227" s="49" t="s">
        <v>85</v>
      </c>
      <c r="M1227" s="49" t="s">
        <v>88</v>
      </c>
      <c r="N1227" s="49" t="s">
        <v>89</v>
      </c>
      <c r="O1227" s="49" t="s">
        <v>68</v>
      </c>
      <c r="P1227" s="11" t="s">
        <v>80</v>
      </c>
      <c r="Q1227" s="11" t="s">
        <v>90</v>
      </c>
      <c r="R1227" s="11" t="s">
        <v>2660</v>
      </c>
      <c r="S1227" s="11" t="s">
        <v>2661</v>
      </c>
      <c r="T1227" s="105" t="s">
        <v>1</v>
      </c>
      <c r="U1227" s="98"/>
      <c r="V1227" s="51">
        <v>45894</v>
      </c>
      <c r="W1227" s="49" t="s">
        <v>68</v>
      </c>
      <c r="X1227" s="154" t="s">
        <v>2</v>
      </c>
      <c r="Y1227" s="154">
        <v>0</v>
      </c>
    </row>
    <row r="1228" spans="1:25" ht="13" customHeight="1">
      <c r="A1228" s="11">
        <v>1222</v>
      </c>
      <c r="B1228" s="47">
        <v>203555221</v>
      </c>
      <c r="C1228" s="88" t="s">
        <v>1395</v>
      </c>
      <c r="D1228" s="11" t="s">
        <v>1396</v>
      </c>
      <c r="E1228" s="48" t="s">
        <v>31</v>
      </c>
      <c r="F1228" s="48" t="s">
        <v>74</v>
      </c>
      <c r="G1228" s="11" t="s">
        <v>65</v>
      </c>
      <c r="H1228" s="11" t="s">
        <v>1319</v>
      </c>
      <c r="I1228" s="11">
        <v>1181</v>
      </c>
      <c r="J1228" s="49" t="s">
        <v>32</v>
      </c>
      <c r="K1228" s="49" t="s">
        <v>76</v>
      </c>
      <c r="L1228" s="49" t="s">
        <v>77</v>
      </c>
      <c r="M1228" s="49" t="s">
        <v>78</v>
      </c>
      <c r="N1228" s="48" t="s">
        <v>79</v>
      </c>
      <c r="O1228" s="49" t="s">
        <v>68</v>
      </c>
      <c r="P1228" s="11" t="s">
        <v>80</v>
      </c>
      <c r="Q1228" s="11" t="s">
        <v>81</v>
      </c>
      <c r="R1228" s="11" t="s">
        <v>1323</v>
      </c>
      <c r="S1228" s="11" t="s">
        <v>1324</v>
      </c>
      <c r="T1228" s="105" t="s">
        <v>10</v>
      </c>
      <c r="U1228" s="98"/>
      <c r="V1228" s="51">
        <v>45470</v>
      </c>
      <c r="W1228" s="49" t="s">
        <v>68</v>
      </c>
      <c r="X1228" s="154" t="s">
        <v>2948</v>
      </c>
      <c r="Y1228" s="154">
        <v>0</v>
      </c>
    </row>
    <row r="1229" spans="1:25" ht="13" customHeight="1">
      <c r="A1229" s="11">
        <v>1223</v>
      </c>
      <c r="B1229" s="47">
        <v>206361787</v>
      </c>
      <c r="C1229" s="88" t="s">
        <v>2388</v>
      </c>
      <c r="D1229" s="11" t="s">
        <v>2389</v>
      </c>
      <c r="E1229" s="48" t="s">
        <v>31</v>
      </c>
      <c r="F1229" s="48" t="s">
        <v>74</v>
      </c>
      <c r="G1229" s="11" t="s">
        <v>65</v>
      </c>
      <c r="H1229" s="11" t="s">
        <v>1319</v>
      </c>
      <c r="I1229" s="11">
        <v>1181</v>
      </c>
      <c r="J1229" s="49" t="s">
        <v>39</v>
      </c>
      <c r="K1229" s="49" t="s">
        <v>76</v>
      </c>
      <c r="L1229" s="49" t="s">
        <v>84</v>
      </c>
      <c r="M1229" s="49" t="s">
        <v>85</v>
      </c>
      <c r="N1229" s="49" t="s">
        <v>89</v>
      </c>
      <c r="O1229" s="49" t="s">
        <v>68</v>
      </c>
      <c r="P1229" s="11" t="s">
        <v>80</v>
      </c>
      <c r="Q1229" s="11" t="s">
        <v>96</v>
      </c>
      <c r="R1229" s="11" t="s">
        <v>2660</v>
      </c>
      <c r="S1229" s="11" t="s">
        <v>2661</v>
      </c>
      <c r="T1229" s="105" t="s">
        <v>1</v>
      </c>
      <c r="U1229" s="98"/>
      <c r="V1229" s="51">
        <v>45957</v>
      </c>
      <c r="W1229" s="49" t="s">
        <v>68</v>
      </c>
      <c r="X1229" s="154" t="s">
        <v>2</v>
      </c>
      <c r="Y1229" s="154">
        <v>0</v>
      </c>
    </row>
    <row r="1230" spans="1:25" ht="13" customHeight="1">
      <c r="A1230" s="11">
        <v>1224</v>
      </c>
      <c r="B1230" s="47">
        <v>102207635</v>
      </c>
      <c r="C1230" s="88" t="s">
        <v>1397</v>
      </c>
      <c r="D1230" s="11" t="s">
        <v>1398</v>
      </c>
      <c r="E1230" s="48" t="s">
        <v>34</v>
      </c>
      <c r="F1230" s="48" t="s">
        <v>74</v>
      </c>
      <c r="G1230" s="11" t="s">
        <v>65</v>
      </c>
      <c r="H1230" s="11" t="s">
        <v>1319</v>
      </c>
      <c r="I1230" s="11">
        <v>1181</v>
      </c>
      <c r="J1230" s="49" t="s">
        <v>32</v>
      </c>
      <c r="K1230" s="49" t="s">
        <v>76</v>
      </c>
      <c r="L1230" s="49" t="s">
        <v>92</v>
      </c>
      <c r="M1230" s="49" t="s">
        <v>84</v>
      </c>
      <c r="N1230" s="48" t="s">
        <v>1320</v>
      </c>
      <c r="O1230" s="49" t="s">
        <v>68</v>
      </c>
      <c r="P1230" s="11" t="s">
        <v>80</v>
      </c>
      <c r="Q1230" s="11" t="s">
        <v>98</v>
      </c>
      <c r="R1230" s="11" t="s">
        <v>1323</v>
      </c>
      <c r="S1230" s="11" t="s">
        <v>1324</v>
      </c>
      <c r="T1230" s="105" t="s">
        <v>1</v>
      </c>
      <c r="U1230" s="98"/>
      <c r="V1230" s="51">
        <v>42868</v>
      </c>
      <c r="W1230" s="49" t="s">
        <v>68</v>
      </c>
      <c r="X1230" s="154" t="s">
        <v>2</v>
      </c>
      <c r="Y1230" s="154">
        <v>0</v>
      </c>
    </row>
    <row r="1231" spans="1:25" ht="13" customHeight="1">
      <c r="A1231" s="11">
        <v>1225</v>
      </c>
      <c r="B1231" s="47">
        <v>204137712</v>
      </c>
      <c r="C1231" s="88" t="s">
        <v>1399</v>
      </c>
      <c r="D1231" s="11" t="s">
        <v>1400</v>
      </c>
      <c r="E1231" s="48" t="s">
        <v>31</v>
      </c>
      <c r="F1231" s="48" t="s">
        <v>74</v>
      </c>
      <c r="G1231" s="11" t="s">
        <v>65</v>
      </c>
      <c r="H1231" s="11" t="s">
        <v>1319</v>
      </c>
      <c r="I1231" s="11">
        <v>1181</v>
      </c>
      <c r="J1231" s="49" t="s">
        <v>32</v>
      </c>
      <c r="K1231" s="49" t="s">
        <v>76</v>
      </c>
      <c r="L1231" s="49" t="s">
        <v>85</v>
      </c>
      <c r="M1231" s="49" t="s">
        <v>88</v>
      </c>
      <c r="N1231" s="48" t="s">
        <v>86</v>
      </c>
      <c r="O1231" s="49" t="s">
        <v>68</v>
      </c>
      <c r="P1231" s="11" t="s">
        <v>80</v>
      </c>
      <c r="Q1231" s="11" t="s">
        <v>87</v>
      </c>
      <c r="R1231" s="11" t="s">
        <v>1323</v>
      </c>
      <c r="S1231" s="11" t="s">
        <v>1324</v>
      </c>
      <c r="T1231" s="105" t="s">
        <v>1</v>
      </c>
      <c r="U1231" s="98"/>
      <c r="V1231" s="51">
        <v>45565</v>
      </c>
      <c r="W1231" s="49" t="s">
        <v>68</v>
      </c>
      <c r="X1231" s="154" t="s">
        <v>2</v>
      </c>
      <c r="Y1231" s="154">
        <v>0</v>
      </c>
    </row>
    <row r="1232" spans="1:25" ht="13" customHeight="1">
      <c r="A1232" s="11">
        <v>1226</v>
      </c>
      <c r="B1232" s="47">
        <v>203513499</v>
      </c>
      <c r="C1232" s="88" t="s">
        <v>1401</v>
      </c>
      <c r="D1232" s="11" t="s">
        <v>1402</v>
      </c>
      <c r="E1232" s="48" t="s">
        <v>31</v>
      </c>
      <c r="F1232" s="48" t="s">
        <v>74</v>
      </c>
      <c r="G1232" s="11" t="s">
        <v>65</v>
      </c>
      <c r="H1232" s="11" t="s">
        <v>1319</v>
      </c>
      <c r="I1232" s="11">
        <v>1181</v>
      </c>
      <c r="J1232" s="49" t="s">
        <v>39</v>
      </c>
      <c r="K1232" s="49" t="s">
        <v>76</v>
      </c>
      <c r="L1232" s="49" t="s">
        <v>78</v>
      </c>
      <c r="M1232" s="49" t="s">
        <v>92</v>
      </c>
      <c r="N1232" s="48" t="s">
        <v>79</v>
      </c>
      <c r="O1232" s="49" t="s">
        <v>68</v>
      </c>
      <c r="P1232" s="11" t="s">
        <v>80</v>
      </c>
      <c r="Q1232" s="11" t="s">
        <v>81</v>
      </c>
      <c r="R1232" s="11" t="s">
        <v>2660</v>
      </c>
      <c r="S1232" s="11" t="s">
        <v>2661</v>
      </c>
      <c r="T1232" s="105" t="s">
        <v>1</v>
      </c>
      <c r="U1232" s="98"/>
      <c r="V1232" s="51">
        <v>45463</v>
      </c>
      <c r="W1232" s="49" t="s">
        <v>68</v>
      </c>
      <c r="X1232" s="154" t="s">
        <v>2</v>
      </c>
      <c r="Y1232" s="154">
        <v>0</v>
      </c>
    </row>
    <row r="1233" spans="1:25" ht="13" customHeight="1">
      <c r="A1233" s="11">
        <v>1227</v>
      </c>
      <c r="B1233" s="47">
        <v>204094495</v>
      </c>
      <c r="C1233" s="88" t="s">
        <v>1176</v>
      </c>
      <c r="D1233" s="11" t="s">
        <v>1177</v>
      </c>
      <c r="E1233" s="48" t="s">
        <v>31</v>
      </c>
      <c r="F1233" s="48" t="s">
        <v>74</v>
      </c>
      <c r="G1233" s="11" t="s">
        <v>65</v>
      </c>
      <c r="H1233" s="11" t="s">
        <v>1319</v>
      </c>
      <c r="I1233" s="11">
        <v>1181</v>
      </c>
      <c r="J1233" s="49" t="s">
        <v>39</v>
      </c>
      <c r="K1233" s="49" t="s">
        <v>76</v>
      </c>
      <c r="L1233" s="49" t="s">
        <v>78</v>
      </c>
      <c r="M1233" s="49" t="s">
        <v>92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2660</v>
      </c>
      <c r="S1233" s="11" t="s">
        <v>2661</v>
      </c>
      <c r="T1233" s="105" t="s">
        <v>1</v>
      </c>
      <c r="U1233" s="98"/>
      <c r="V1233" s="51">
        <v>45561</v>
      </c>
      <c r="W1233" s="49" t="s">
        <v>68</v>
      </c>
      <c r="X1233" s="154" t="s">
        <v>2</v>
      </c>
      <c r="Y1233" s="154">
        <v>0</v>
      </c>
    </row>
    <row r="1234" spans="1:25" ht="13" customHeight="1">
      <c r="A1234" s="11">
        <v>1228</v>
      </c>
      <c r="B1234" s="47">
        <v>204013731</v>
      </c>
      <c r="C1234" s="88" t="s">
        <v>1403</v>
      </c>
      <c r="D1234" s="11" t="s">
        <v>1404</v>
      </c>
      <c r="E1234" s="48" t="s">
        <v>31</v>
      </c>
      <c r="F1234" s="48" t="s">
        <v>74</v>
      </c>
      <c r="G1234" s="11" t="s">
        <v>65</v>
      </c>
      <c r="H1234" s="11" t="s">
        <v>1319</v>
      </c>
      <c r="I1234" s="11">
        <v>1181</v>
      </c>
      <c r="J1234" s="49" t="s">
        <v>32</v>
      </c>
      <c r="K1234" s="49" t="s">
        <v>76</v>
      </c>
      <c r="L1234" s="49" t="s">
        <v>92</v>
      </c>
      <c r="M1234" s="49" t="s">
        <v>84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1323</v>
      </c>
      <c r="S1234" s="11" t="s">
        <v>1324</v>
      </c>
      <c r="T1234" s="105" t="s">
        <v>7</v>
      </c>
      <c r="U1234" s="98" t="s">
        <v>2941</v>
      </c>
      <c r="V1234" s="51">
        <v>45551</v>
      </c>
      <c r="W1234" s="49" t="s">
        <v>68</v>
      </c>
      <c r="X1234" s="154" t="s">
        <v>2948</v>
      </c>
      <c r="Y1234" s="154" t="s">
        <v>2941</v>
      </c>
    </row>
    <row r="1235" spans="1:25" ht="13" customHeight="1">
      <c r="A1235" s="11">
        <v>1229</v>
      </c>
      <c r="B1235" s="47">
        <v>205276101</v>
      </c>
      <c r="C1235" s="88" t="s">
        <v>1405</v>
      </c>
      <c r="D1235" s="11" t="s">
        <v>1406</v>
      </c>
      <c r="E1235" s="48" t="s">
        <v>31</v>
      </c>
      <c r="F1235" s="48" t="s">
        <v>74</v>
      </c>
      <c r="G1235" s="11" t="s">
        <v>65</v>
      </c>
      <c r="H1235" s="11" t="s">
        <v>1319</v>
      </c>
      <c r="I1235" s="11">
        <v>1181</v>
      </c>
      <c r="J1235" s="49" t="s">
        <v>39</v>
      </c>
      <c r="K1235" s="49" t="s">
        <v>76</v>
      </c>
      <c r="L1235" s="49" t="s">
        <v>85</v>
      </c>
      <c r="M1235" s="49" t="s">
        <v>88</v>
      </c>
      <c r="N1235" s="48" t="s">
        <v>89</v>
      </c>
      <c r="O1235" s="49" t="s">
        <v>68</v>
      </c>
      <c r="P1235" s="11" t="s">
        <v>80</v>
      </c>
      <c r="Q1235" s="11" t="s">
        <v>90</v>
      </c>
      <c r="R1235" s="11" t="s">
        <v>2660</v>
      </c>
      <c r="S1235" s="11" t="s">
        <v>2661</v>
      </c>
      <c r="T1235" s="105" t="s">
        <v>7</v>
      </c>
      <c r="U1235" s="98" t="s">
        <v>2941</v>
      </c>
      <c r="V1235" s="51">
        <v>45796</v>
      </c>
      <c r="W1235" s="49" t="s">
        <v>68</v>
      </c>
      <c r="X1235" s="154" t="s">
        <v>2948</v>
      </c>
      <c r="Y1235" s="154" t="s">
        <v>2949</v>
      </c>
    </row>
    <row r="1236" spans="1:25" ht="13" customHeight="1">
      <c r="A1236" s="11">
        <v>1230</v>
      </c>
      <c r="B1236" s="47">
        <v>102205690</v>
      </c>
      <c r="C1236" s="88" t="s">
        <v>1407</v>
      </c>
      <c r="D1236" s="11" t="s">
        <v>1408</v>
      </c>
      <c r="E1236" s="48" t="s">
        <v>34</v>
      </c>
      <c r="F1236" s="48" t="s">
        <v>74</v>
      </c>
      <c r="G1236" s="11" t="s">
        <v>65</v>
      </c>
      <c r="H1236" s="11" t="s">
        <v>1319</v>
      </c>
      <c r="I1236" s="11">
        <v>1182</v>
      </c>
      <c r="J1236" s="49" t="s">
        <v>39</v>
      </c>
      <c r="K1236" s="49" t="s">
        <v>76</v>
      </c>
      <c r="L1236" s="49" t="s">
        <v>92</v>
      </c>
      <c r="M1236" s="49" t="s">
        <v>84</v>
      </c>
      <c r="N1236" s="48" t="s">
        <v>108</v>
      </c>
      <c r="O1236" s="49" t="s">
        <v>68</v>
      </c>
      <c r="P1236" s="11" t="s">
        <v>80</v>
      </c>
      <c r="Q1236" s="11" t="s">
        <v>98</v>
      </c>
      <c r="R1236" s="11" t="s">
        <v>2660</v>
      </c>
      <c r="S1236" s="11" t="s">
        <v>2661</v>
      </c>
      <c r="T1236" s="105" t="s">
        <v>1</v>
      </c>
      <c r="U1236" s="98"/>
      <c r="V1236" s="51">
        <v>42868</v>
      </c>
      <c r="W1236" s="49" t="s">
        <v>68</v>
      </c>
      <c r="X1236" s="154" t="s">
        <v>2</v>
      </c>
      <c r="Y1236" s="154">
        <v>0</v>
      </c>
    </row>
    <row r="1237" spans="1:25" ht="13" customHeight="1">
      <c r="A1237" s="11">
        <v>1231</v>
      </c>
      <c r="B1237" s="47">
        <v>102582357</v>
      </c>
      <c r="C1237" s="88" t="s">
        <v>1409</v>
      </c>
      <c r="D1237" s="11" t="s">
        <v>1410</v>
      </c>
      <c r="E1237" s="48" t="s">
        <v>34</v>
      </c>
      <c r="F1237" s="48" t="s">
        <v>74</v>
      </c>
      <c r="G1237" s="11" t="s">
        <v>65</v>
      </c>
      <c r="H1237" s="11" t="s">
        <v>1319</v>
      </c>
      <c r="I1237" s="11">
        <v>1182</v>
      </c>
      <c r="J1237" s="49" t="s">
        <v>39</v>
      </c>
      <c r="K1237" s="49" t="s">
        <v>76</v>
      </c>
      <c r="L1237" s="49" t="s">
        <v>88</v>
      </c>
      <c r="M1237" s="49" t="s">
        <v>95</v>
      </c>
      <c r="N1237" s="48" t="s">
        <v>1320</v>
      </c>
      <c r="O1237" s="49" t="s">
        <v>68</v>
      </c>
      <c r="P1237" s="11" t="s">
        <v>80</v>
      </c>
      <c r="Q1237" s="11" t="s">
        <v>98</v>
      </c>
      <c r="R1237" s="11" t="s">
        <v>2660</v>
      </c>
      <c r="S1237" s="11" t="s">
        <v>2661</v>
      </c>
      <c r="T1237" s="105" t="s">
        <v>1</v>
      </c>
      <c r="U1237" s="98"/>
      <c r="V1237" s="51">
        <v>42962</v>
      </c>
      <c r="W1237" s="49" t="s">
        <v>68</v>
      </c>
      <c r="X1237" s="154" t="s">
        <v>2</v>
      </c>
      <c r="Y1237" s="154">
        <v>0</v>
      </c>
    </row>
    <row r="1238" spans="1:25" ht="13" customHeight="1">
      <c r="A1238" s="11">
        <v>1232</v>
      </c>
      <c r="B1238" s="47">
        <v>205845551</v>
      </c>
      <c r="C1238" s="88" t="s">
        <v>1411</v>
      </c>
      <c r="D1238" s="11" t="s">
        <v>1412</v>
      </c>
      <c r="E1238" s="48" t="s">
        <v>31</v>
      </c>
      <c r="F1238" s="48" t="s">
        <v>74</v>
      </c>
      <c r="G1238" s="11" t="s">
        <v>65</v>
      </c>
      <c r="H1238" s="11" t="s">
        <v>1319</v>
      </c>
      <c r="I1238" s="11">
        <v>1181</v>
      </c>
      <c r="J1238" s="49" t="s">
        <v>39</v>
      </c>
      <c r="K1238" s="49" t="s">
        <v>76</v>
      </c>
      <c r="L1238" s="49" t="s">
        <v>92</v>
      </c>
      <c r="M1238" s="49" t="s">
        <v>84</v>
      </c>
      <c r="N1238" s="49" t="s">
        <v>89</v>
      </c>
      <c r="O1238" s="49" t="s">
        <v>68</v>
      </c>
      <c r="P1238" s="11" t="s">
        <v>80</v>
      </c>
      <c r="Q1238" s="11" t="s">
        <v>90</v>
      </c>
      <c r="R1238" s="11" t="s">
        <v>2660</v>
      </c>
      <c r="S1238" s="11" t="s">
        <v>2661</v>
      </c>
      <c r="T1238" s="105" t="s">
        <v>1</v>
      </c>
      <c r="U1238" s="98"/>
      <c r="V1238" s="51">
        <v>45894</v>
      </c>
      <c r="W1238" s="49" t="s">
        <v>68</v>
      </c>
      <c r="X1238" s="154" t="s">
        <v>2</v>
      </c>
      <c r="Y1238" s="154">
        <v>0</v>
      </c>
    </row>
    <row r="1239" spans="1:25" ht="13" customHeight="1">
      <c r="A1239" s="11">
        <v>1233</v>
      </c>
      <c r="B1239" s="47">
        <v>206296204</v>
      </c>
      <c r="C1239" s="88" t="s">
        <v>1637</v>
      </c>
      <c r="D1239" s="11" t="s">
        <v>1921</v>
      </c>
      <c r="E1239" s="48" t="s">
        <v>31</v>
      </c>
      <c r="F1239" s="48" t="s">
        <v>74</v>
      </c>
      <c r="G1239" s="11" t="s">
        <v>65</v>
      </c>
      <c r="H1239" s="11" t="s">
        <v>1319</v>
      </c>
      <c r="I1239" s="11">
        <v>1299</v>
      </c>
      <c r="J1239" s="49" t="s">
        <v>39</v>
      </c>
      <c r="K1239" s="49" t="s">
        <v>76</v>
      </c>
      <c r="L1239" s="49" t="s">
        <v>84</v>
      </c>
      <c r="M1239" s="49" t="s">
        <v>85</v>
      </c>
      <c r="N1239" s="49" t="s">
        <v>89</v>
      </c>
      <c r="O1239" s="49" t="s">
        <v>68</v>
      </c>
      <c r="P1239" s="11" t="s">
        <v>80</v>
      </c>
      <c r="Q1239" s="11" t="s">
        <v>96</v>
      </c>
      <c r="R1239" s="11" t="s">
        <v>2660</v>
      </c>
      <c r="S1239" s="11" t="s">
        <v>2661</v>
      </c>
      <c r="T1239" s="105" t="s">
        <v>1</v>
      </c>
      <c r="U1239" s="98"/>
      <c r="V1239" s="51">
        <v>45950</v>
      </c>
      <c r="W1239" s="49" t="s">
        <v>68</v>
      </c>
      <c r="X1239" s="154" t="s">
        <v>2</v>
      </c>
      <c r="Y1239" s="154">
        <v>0</v>
      </c>
    </row>
    <row r="1240" spans="1:25" ht="13" customHeight="1">
      <c r="A1240" s="11">
        <v>1234</v>
      </c>
      <c r="B1240" s="47">
        <v>206958074</v>
      </c>
      <c r="C1240" s="88" t="s">
        <v>2122</v>
      </c>
      <c r="D1240" s="11" t="s">
        <v>2123</v>
      </c>
      <c r="E1240" s="101" t="s">
        <v>31</v>
      </c>
      <c r="F1240" s="48" t="s">
        <v>74</v>
      </c>
      <c r="G1240" s="11" t="s">
        <v>65</v>
      </c>
      <c r="H1240" s="11" t="s">
        <v>1319</v>
      </c>
      <c r="I1240" s="11">
        <v>1181</v>
      </c>
      <c r="J1240" s="49" t="s">
        <v>39</v>
      </c>
      <c r="K1240" s="49" t="s">
        <v>76</v>
      </c>
      <c r="L1240" s="49" t="s">
        <v>88</v>
      </c>
      <c r="M1240" s="49" t="s">
        <v>95</v>
      </c>
      <c r="N1240" s="49" t="s">
        <v>79</v>
      </c>
      <c r="O1240" s="49" t="s">
        <v>68</v>
      </c>
      <c r="P1240" s="49" t="s">
        <v>80</v>
      </c>
      <c r="Q1240" s="49" t="s">
        <v>96</v>
      </c>
      <c r="R1240" s="11" t="s">
        <v>2660</v>
      </c>
      <c r="S1240" s="49" t="s">
        <v>2661</v>
      </c>
      <c r="T1240" s="105" t="s">
        <v>1</v>
      </c>
      <c r="U1240" s="98"/>
      <c r="V1240" s="51">
        <v>46048</v>
      </c>
      <c r="W1240" s="49" t="s">
        <v>68</v>
      </c>
      <c r="X1240" s="154" t="s">
        <v>2</v>
      </c>
      <c r="Y1240" s="154">
        <v>0</v>
      </c>
    </row>
    <row r="1241" spans="1:25" ht="13" customHeight="1">
      <c r="A1241" s="11">
        <v>1235</v>
      </c>
      <c r="B1241" s="47">
        <v>206348052</v>
      </c>
      <c r="C1241" s="88" t="s">
        <v>1675</v>
      </c>
      <c r="D1241" s="11" t="s">
        <v>1676</v>
      </c>
      <c r="E1241" s="48" t="s">
        <v>31</v>
      </c>
      <c r="F1241" s="48" t="s">
        <v>74</v>
      </c>
      <c r="G1241" s="11" t="s">
        <v>65</v>
      </c>
      <c r="H1241" s="11" t="s">
        <v>1319</v>
      </c>
      <c r="I1241" s="11">
        <v>1181</v>
      </c>
      <c r="J1241" s="49" t="s">
        <v>32</v>
      </c>
      <c r="K1241" s="49" t="s">
        <v>76</v>
      </c>
      <c r="L1241" s="49" t="s">
        <v>84</v>
      </c>
      <c r="M1241" s="49" t="s">
        <v>85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1323</v>
      </c>
      <c r="S1241" s="11" t="s">
        <v>1324</v>
      </c>
      <c r="T1241" s="105" t="s">
        <v>1</v>
      </c>
      <c r="U1241" s="98"/>
      <c r="V1241" s="51">
        <v>45957</v>
      </c>
      <c r="W1241" s="49" t="s">
        <v>68</v>
      </c>
      <c r="X1241" s="154" t="s">
        <v>2</v>
      </c>
      <c r="Y1241" s="154">
        <v>0</v>
      </c>
    </row>
    <row r="1242" spans="1:25" ht="13" customHeight="1">
      <c r="A1242" s="11">
        <v>1236</v>
      </c>
      <c r="B1242" s="47">
        <v>203513498</v>
      </c>
      <c r="C1242" s="88" t="s">
        <v>1413</v>
      </c>
      <c r="D1242" s="11" t="s">
        <v>1414</v>
      </c>
      <c r="E1242" s="48" t="s">
        <v>31</v>
      </c>
      <c r="F1242" s="48" t="s">
        <v>74</v>
      </c>
      <c r="G1242" s="11" t="s">
        <v>65</v>
      </c>
      <c r="H1242" s="11" t="s">
        <v>1319</v>
      </c>
      <c r="I1242" s="11">
        <v>1181</v>
      </c>
      <c r="J1242" s="49" t="s">
        <v>39</v>
      </c>
      <c r="K1242" s="49" t="s">
        <v>76</v>
      </c>
      <c r="L1242" s="49" t="s">
        <v>84</v>
      </c>
      <c r="M1242" s="49" t="s">
        <v>85</v>
      </c>
      <c r="N1242" s="48" t="s">
        <v>79</v>
      </c>
      <c r="O1242" s="49" t="s">
        <v>68</v>
      </c>
      <c r="P1242" s="11" t="s">
        <v>80</v>
      </c>
      <c r="Q1242" s="11" t="s">
        <v>81</v>
      </c>
      <c r="R1242" s="11" t="s">
        <v>2660</v>
      </c>
      <c r="S1242" s="11" t="s">
        <v>2661</v>
      </c>
      <c r="T1242" s="105" t="s">
        <v>1</v>
      </c>
      <c r="U1242" s="98"/>
      <c r="V1242" s="51">
        <v>45463</v>
      </c>
      <c r="W1242" s="49" t="s">
        <v>68</v>
      </c>
      <c r="X1242" s="154" t="s">
        <v>2</v>
      </c>
      <c r="Y1242" s="154">
        <v>0</v>
      </c>
    </row>
    <row r="1243" spans="1:25" ht="13" customHeight="1">
      <c r="A1243" s="11">
        <v>1237</v>
      </c>
      <c r="B1243" s="47">
        <v>206958090</v>
      </c>
      <c r="C1243" s="88" t="s">
        <v>2124</v>
      </c>
      <c r="D1243" s="11" t="s">
        <v>2125</v>
      </c>
      <c r="E1243" s="101" t="s">
        <v>31</v>
      </c>
      <c r="F1243" s="48" t="s">
        <v>74</v>
      </c>
      <c r="G1243" s="11" t="s">
        <v>65</v>
      </c>
      <c r="H1243" s="11" t="s">
        <v>1319</v>
      </c>
      <c r="I1243" s="11">
        <v>1181</v>
      </c>
      <c r="J1243" s="49" t="s">
        <v>39</v>
      </c>
      <c r="K1243" s="49" t="s">
        <v>76</v>
      </c>
      <c r="L1243" s="49" t="s">
        <v>78</v>
      </c>
      <c r="M1243" s="49" t="s">
        <v>92</v>
      </c>
      <c r="N1243" s="49" t="s">
        <v>89</v>
      </c>
      <c r="O1243" s="49" t="s">
        <v>68</v>
      </c>
      <c r="P1243" s="49" t="s">
        <v>80</v>
      </c>
      <c r="Q1243" s="49" t="s">
        <v>96</v>
      </c>
      <c r="R1243" s="11" t="s">
        <v>2660</v>
      </c>
      <c r="S1243" s="49" t="s">
        <v>2661</v>
      </c>
      <c r="T1243" s="105" t="s">
        <v>1</v>
      </c>
      <c r="U1243" s="98"/>
      <c r="V1243" s="51">
        <v>46048</v>
      </c>
      <c r="W1243" s="49" t="s">
        <v>68</v>
      </c>
      <c r="X1243" s="154" t="s">
        <v>2</v>
      </c>
      <c r="Y1243" s="154">
        <v>0</v>
      </c>
    </row>
    <row r="1244" spans="1:25" ht="13" customHeight="1">
      <c r="A1244" s="11">
        <v>1238</v>
      </c>
      <c r="B1244" s="47">
        <v>203513399</v>
      </c>
      <c r="C1244" s="88" t="s">
        <v>1415</v>
      </c>
      <c r="D1244" s="11" t="s">
        <v>1416</v>
      </c>
      <c r="E1244" s="48" t="s">
        <v>31</v>
      </c>
      <c r="F1244" s="48" t="s">
        <v>74</v>
      </c>
      <c r="G1244" s="11" t="s">
        <v>65</v>
      </c>
      <c r="H1244" s="11" t="s">
        <v>1319</v>
      </c>
      <c r="I1244" s="11">
        <v>1181</v>
      </c>
      <c r="J1244" s="49" t="s">
        <v>32</v>
      </c>
      <c r="K1244" s="49" t="s">
        <v>76</v>
      </c>
      <c r="L1244" s="49" t="s">
        <v>85</v>
      </c>
      <c r="M1244" s="49" t="s">
        <v>88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1323</v>
      </c>
      <c r="S1244" s="11" t="s">
        <v>1324</v>
      </c>
      <c r="T1244" s="105" t="s">
        <v>1</v>
      </c>
      <c r="U1244" s="98"/>
      <c r="V1244" s="51">
        <v>45463</v>
      </c>
      <c r="W1244" s="49" t="s">
        <v>68</v>
      </c>
      <c r="X1244" s="154" t="s">
        <v>2</v>
      </c>
      <c r="Y1244" s="154">
        <v>0</v>
      </c>
    </row>
    <row r="1245" spans="1:25" ht="13" customHeight="1">
      <c r="A1245" s="11">
        <v>1239</v>
      </c>
      <c r="B1245" s="47">
        <v>204115629</v>
      </c>
      <c r="C1245" s="88" t="s">
        <v>1417</v>
      </c>
      <c r="D1245" s="11" t="s">
        <v>1418</v>
      </c>
      <c r="E1245" s="48" t="s">
        <v>31</v>
      </c>
      <c r="F1245" s="48" t="s">
        <v>74</v>
      </c>
      <c r="G1245" s="11" t="s">
        <v>65</v>
      </c>
      <c r="H1245" s="11" t="s">
        <v>1319</v>
      </c>
      <c r="I1245" s="11">
        <v>1181</v>
      </c>
      <c r="J1245" s="49" t="s">
        <v>32</v>
      </c>
      <c r="K1245" s="49" t="s">
        <v>76</v>
      </c>
      <c r="L1245" s="49" t="s">
        <v>77</v>
      </c>
      <c r="M1245" s="49" t="s">
        <v>78</v>
      </c>
      <c r="N1245" s="48" t="s">
        <v>86</v>
      </c>
      <c r="O1245" s="49" t="s">
        <v>68</v>
      </c>
      <c r="P1245" s="11" t="s">
        <v>80</v>
      </c>
      <c r="Q1245" s="11" t="s">
        <v>87</v>
      </c>
      <c r="R1245" s="11" t="s">
        <v>1323</v>
      </c>
      <c r="S1245" s="11" t="s">
        <v>1324</v>
      </c>
      <c r="T1245" s="105" t="s">
        <v>10</v>
      </c>
      <c r="U1245" s="98"/>
      <c r="V1245" s="51">
        <v>45561</v>
      </c>
      <c r="W1245" s="49" t="s">
        <v>68</v>
      </c>
      <c r="X1245" s="154" t="s">
        <v>2948</v>
      </c>
      <c r="Y1245" s="154">
        <v>0</v>
      </c>
    </row>
    <row r="1246" spans="1:25" ht="13" customHeight="1">
      <c r="A1246" s="11">
        <v>1240</v>
      </c>
      <c r="B1246" s="47">
        <v>206958297</v>
      </c>
      <c r="C1246" s="88" t="s">
        <v>2126</v>
      </c>
      <c r="D1246" s="11" t="s">
        <v>2127</v>
      </c>
      <c r="E1246" s="101" t="s">
        <v>31</v>
      </c>
      <c r="F1246" s="48" t="s">
        <v>74</v>
      </c>
      <c r="G1246" s="11" t="s">
        <v>65</v>
      </c>
      <c r="H1246" s="11" t="s">
        <v>1319</v>
      </c>
      <c r="I1246" s="11">
        <v>1181</v>
      </c>
      <c r="J1246" s="49" t="s">
        <v>39</v>
      </c>
      <c r="K1246" s="49" t="s">
        <v>76</v>
      </c>
      <c r="L1246" s="49" t="s">
        <v>88</v>
      </c>
      <c r="M1246" s="49" t="s">
        <v>95</v>
      </c>
      <c r="N1246" s="49" t="s">
        <v>79</v>
      </c>
      <c r="O1246" s="49" t="s">
        <v>68</v>
      </c>
      <c r="P1246" s="49" t="s">
        <v>80</v>
      </c>
      <c r="Q1246" s="49" t="s">
        <v>96</v>
      </c>
      <c r="R1246" s="11" t="s">
        <v>2660</v>
      </c>
      <c r="S1246" s="49" t="s">
        <v>2661</v>
      </c>
      <c r="T1246" s="105" t="s">
        <v>1</v>
      </c>
      <c r="U1246" s="98"/>
      <c r="V1246" s="51">
        <v>46048</v>
      </c>
      <c r="W1246" s="49" t="s">
        <v>68</v>
      </c>
      <c r="X1246" s="154" t="s">
        <v>2</v>
      </c>
      <c r="Y1246" s="154">
        <v>0</v>
      </c>
    </row>
    <row r="1247" spans="1:25" ht="13" customHeight="1">
      <c r="A1247" s="11">
        <v>1241</v>
      </c>
      <c r="B1247" s="47">
        <v>206348054</v>
      </c>
      <c r="C1247" s="88" t="s">
        <v>2390</v>
      </c>
      <c r="D1247" s="11" t="s">
        <v>2391</v>
      </c>
      <c r="E1247" s="48" t="s">
        <v>31</v>
      </c>
      <c r="F1247" s="48" t="s">
        <v>74</v>
      </c>
      <c r="G1247" s="11" t="s">
        <v>65</v>
      </c>
      <c r="H1247" s="11" t="s">
        <v>1319</v>
      </c>
      <c r="I1247" s="11">
        <v>1181</v>
      </c>
      <c r="J1247" s="49" t="s">
        <v>32</v>
      </c>
      <c r="K1247" s="49" t="s">
        <v>76</v>
      </c>
      <c r="L1247" s="49" t="s">
        <v>85</v>
      </c>
      <c r="M1247" s="49" t="s">
        <v>88</v>
      </c>
      <c r="N1247" s="49" t="s">
        <v>89</v>
      </c>
      <c r="O1247" s="49" t="s">
        <v>68</v>
      </c>
      <c r="P1247" s="11" t="s">
        <v>80</v>
      </c>
      <c r="Q1247" s="11" t="s">
        <v>90</v>
      </c>
      <c r="R1247" s="11" t="s">
        <v>1323</v>
      </c>
      <c r="S1247" s="11" t="s">
        <v>1324</v>
      </c>
      <c r="T1247" s="105" t="s">
        <v>1</v>
      </c>
      <c r="U1247" s="98"/>
      <c r="V1247" s="51">
        <v>45957</v>
      </c>
      <c r="W1247" s="49" t="s">
        <v>68</v>
      </c>
      <c r="X1247" s="154" t="s">
        <v>2</v>
      </c>
      <c r="Y1247" s="154">
        <v>0</v>
      </c>
    </row>
    <row r="1248" spans="1:25" ht="13" customHeight="1">
      <c r="A1248" s="11">
        <v>1242</v>
      </c>
      <c r="B1248" s="47">
        <v>204013739</v>
      </c>
      <c r="C1248" s="88" t="s">
        <v>1419</v>
      </c>
      <c r="D1248" s="11" t="s">
        <v>1420</v>
      </c>
      <c r="E1248" s="48" t="s">
        <v>31</v>
      </c>
      <c r="F1248" s="48" t="s">
        <v>74</v>
      </c>
      <c r="G1248" s="11" t="s">
        <v>65</v>
      </c>
      <c r="H1248" s="11" t="s">
        <v>1319</v>
      </c>
      <c r="I1248" s="11">
        <v>1181</v>
      </c>
      <c r="J1248" s="49" t="s">
        <v>39</v>
      </c>
      <c r="K1248" s="49" t="s">
        <v>76</v>
      </c>
      <c r="L1248" s="49" t="s">
        <v>92</v>
      </c>
      <c r="M1248" s="49" t="s">
        <v>84</v>
      </c>
      <c r="N1248" s="48" t="s">
        <v>79</v>
      </c>
      <c r="O1248" s="49" t="s">
        <v>68</v>
      </c>
      <c r="P1248" s="11" t="s">
        <v>80</v>
      </c>
      <c r="Q1248" s="11" t="s">
        <v>81</v>
      </c>
      <c r="R1248" s="11" t="s">
        <v>2660</v>
      </c>
      <c r="S1248" s="11" t="s">
        <v>2661</v>
      </c>
      <c r="T1248" s="105" t="s">
        <v>1</v>
      </c>
      <c r="U1248" s="98"/>
      <c r="V1248" s="51">
        <v>45551</v>
      </c>
      <c r="W1248" s="49" t="s">
        <v>68</v>
      </c>
      <c r="X1248" s="154" t="s">
        <v>2</v>
      </c>
      <c r="Y1248" s="154">
        <v>0</v>
      </c>
    </row>
    <row r="1249" spans="1:25" ht="13" customHeight="1">
      <c r="A1249" s="11">
        <v>1243</v>
      </c>
      <c r="B1249" s="47">
        <v>102205553</v>
      </c>
      <c r="C1249" s="88" t="s">
        <v>1422</v>
      </c>
      <c r="D1249" s="11" t="s">
        <v>1423</v>
      </c>
      <c r="E1249" s="48" t="s">
        <v>34</v>
      </c>
      <c r="F1249" s="48" t="s">
        <v>74</v>
      </c>
      <c r="G1249" s="11" t="s">
        <v>65</v>
      </c>
      <c r="H1249" s="11" t="s">
        <v>1319</v>
      </c>
      <c r="I1249" s="11">
        <v>1182</v>
      </c>
      <c r="J1249" s="49" t="s">
        <v>39</v>
      </c>
      <c r="K1249" s="49" t="s">
        <v>76</v>
      </c>
      <c r="L1249" s="49" t="s">
        <v>95</v>
      </c>
      <c r="M1249" s="49" t="s">
        <v>77</v>
      </c>
      <c r="N1249" s="48" t="s">
        <v>108</v>
      </c>
      <c r="O1249" s="49" t="s">
        <v>68</v>
      </c>
      <c r="P1249" s="11" t="s">
        <v>80</v>
      </c>
      <c r="Q1249" s="11" t="s">
        <v>98</v>
      </c>
      <c r="R1249" s="11" t="s">
        <v>2660</v>
      </c>
      <c r="S1249" s="11" t="s">
        <v>2661</v>
      </c>
      <c r="T1249" s="105" t="s">
        <v>10</v>
      </c>
      <c r="U1249" s="98"/>
      <c r="V1249" s="51">
        <v>42868</v>
      </c>
      <c r="W1249" s="49" t="s">
        <v>68</v>
      </c>
      <c r="X1249" s="154" t="s">
        <v>2948</v>
      </c>
      <c r="Y1249" s="154">
        <v>0</v>
      </c>
    </row>
    <row r="1250" spans="1:25" ht="13" customHeight="1">
      <c r="A1250" s="11">
        <v>1244</v>
      </c>
      <c r="B1250" s="47">
        <v>206958449</v>
      </c>
      <c r="C1250" s="88" t="s">
        <v>2128</v>
      </c>
      <c r="D1250" s="11" t="s">
        <v>2129</v>
      </c>
      <c r="E1250" s="101" t="s">
        <v>31</v>
      </c>
      <c r="F1250" s="48" t="s">
        <v>74</v>
      </c>
      <c r="G1250" s="11" t="s">
        <v>65</v>
      </c>
      <c r="H1250" s="11" t="s">
        <v>1319</v>
      </c>
      <c r="I1250" s="11">
        <v>1181</v>
      </c>
      <c r="J1250" s="49" t="s">
        <v>39</v>
      </c>
      <c r="K1250" s="49" t="s">
        <v>76</v>
      </c>
      <c r="L1250" s="49" t="s">
        <v>88</v>
      </c>
      <c r="M1250" s="49" t="s">
        <v>95</v>
      </c>
      <c r="N1250" s="49" t="s">
        <v>79</v>
      </c>
      <c r="O1250" s="49" t="s">
        <v>68</v>
      </c>
      <c r="P1250" s="49" t="s">
        <v>80</v>
      </c>
      <c r="Q1250" s="49" t="s">
        <v>96</v>
      </c>
      <c r="R1250" s="11" t="s">
        <v>2660</v>
      </c>
      <c r="S1250" s="49" t="s">
        <v>2661</v>
      </c>
      <c r="T1250" s="105" t="s">
        <v>1</v>
      </c>
      <c r="U1250" s="98"/>
      <c r="V1250" s="51">
        <v>46048</v>
      </c>
      <c r="W1250" s="49" t="s">
        <v>68</v>
      </c>
      <c r="X1250" s="154" t="s">
        <v>2</v>
      </c>
      <c r="Y1250" s="154">
        <v>0</v>
      </c>
    </row>
    <row r="1251" spans="1:25" ht="13" customHeight="1">
      <c r="A1251" s="11">
        <v>1245</v>
      </c>
      <c r="B1251" s="101">
        <v>206851162</v>
      </c>
      <c r="C1251" s="88" t="s">
        <v>1716</v>
      </c>
      <c r="D1251" s="11" t="s">
        <v>1717</v>
      </c>
      <c r="E1251" s="48" t="s">
        <v>31</v>
      </c>
      <c r="F1251" s="48" t="s">
        <v>74</v>
      </c>
      <c r="G1251" s="48" t="s">
        <v>65</v>
      </c>
      <c r="H1251" s="48" t="s">
        <v>1319</v>
      </c>
      <c r="I1251" s="11">
        <v>1299</v>
      </c>
      <c r="J1251" s="49" t="s">
        <v>39</v>
      </c>
      <c r="K1251" s="49" t="s">
        <v>76</v>
      </c>
      <c r="L1251" s="49" t="s">
        <v>84</v>
      </c>
      <c r="M1251" s="49" t="s">
        <v>85</v>
      </c>
      <c r="N1251" s="49" t="s">
        <v>89</v>
      </c>
      <c r="O1251" s="49" t="s">
        <v>68</v>
      </c>
      <c r="P1251" s="48" t="s">
        <v>80</v>
      </c>
      <c r="Q1251" s="11" t="s">
        <v>90</v>
      </c>
      <c r="R1251" s="11" t="s">
        <v>2660</v>
      </c>
      <c r="S1251" s="11" t="s">
        <v>2661</v>
      </c>
      <c r="T1251" s="105" t="s">
        <v>1</v>
      </c>
      <c r="U1251" s="98"/>
      <c r="V1251" s="51">
        <v>46020</v>
      </c>
      <c r="W1251" s="49" t="s">
        <v>68</v>
      </c>
      <c r="X1251" s="154" t="s">
        <v>2</v>
      </c>
      <c r="Y1251" s="154">
        <v>0</v>
      </c>
    </row>
    <row r="1252" spans="1:25" ht="13" customHeight="1">
      <c r="A1252" s="11">
        <v>1246</v>
      </c>
      <c r="B1252" s="47">
        <v>104042345</v>
      </c>
      <c r="C1252" s="88" t="s">
        <v>1424</v>
      </c>
      <c r="D1252" s="11" t="s">
        <v>1425</v>
      </c>
      <c r="E1252" s="48" t="s">
        <v>34</v>
      </c>
      <c r="F1252" s="48" t="s">
        <v>74</v>
      </c>
      <c r="G1252" s="11" t="s">
        <v>65</v>
      </c>
      <c r="H1252" s="11" t="s">
        <v>1319</v>
      </c>
      <c r="I1252" s="11">
        <v>1182</v>
      </c>
      <c r="J1252" s="49" t="s">
        <v>32</v>
      </c>
      <c r="K1252" s="49" t="s">
        <v>76</v>
      </c>
      <c r="L1252" s="49" t="s">
        <v>85</v>
      </c>
      <c r="M1252" s="49" t="s">
        <v>88</v>
      </c>
      <c r="N1252" s="48" t="s">
        <v>1320</v>
      </c>
      <c r="O1252" s="49" t="s">
        <v>68</v>
      </c>
      <c r="P1252" s="11" t="s">
        <v>80</v>
      </c>
      <c r="Q1252" s="11" t="s">
        <v>98</v>
      </c>
      <c r="R1252" s="11" t="s">
        <v>1323</v>
      </c>
      <c r="S1252" s="11" t="s">
        <v>1324</v>
      </c>
      <c r="T1252" s="105" t="s">
        <v>1</v>
      </c>
      <c r="U1252" s="98"/>
      <c r="V1252" s="51">
        <v>44724</v>
      </c>
      <c r="W1252" s="49" t="s">
        <v>68</v>
      </c>
      <c r="X1252" s="154" t="s">
        <v>2</v>
      </c>
      <c r="Y1252" s="154">
        <v>0</v>
      </c>
    </row>
    <row r="1253" spans="1:25" ht="13" customHeight="1">
      <c r="A1253" s="11">
        <v>1247</v>
      </c>
      <c r="B1253" s="47">
        <v>205609755</v>
      </c>
      <c r="C1253" s="88" t="s">
        <v>2261</v>
      </c>
      <c r="D1253" s="11" t="s">
        <v>2262</v>
      </c>
      <c r="E1253" s="48" t="s">
        <v>31</v>
      </c>
      <c r="F1253" s="48" t="s">
        <v>74</v>
      </c>
      <c r="G1253" s="11" t="s">
        <v>65</v>
      </c>
      <c r="H1253" s="11" t="s">
        <v>1319</v>
      </c>
      <c r="I1253" s="11">
        <v>1299</v>
      </c>
      <c r="J1253" s="49" t="s">
        <v>39</v>
      </c>
      <c r="K1253" s="49" t="s">
        <v>76</v>
      </c>
      <c r="L1253" s="49" t="s">
        <v>78</v>
      </c>
      <c r="M1253" s="49" t="s">
        <v>92</v>
      </c>
      <c r="N1253" s="49" t="s">
        <v>89</v>
      </c>
      <c r="O1253" s="49" t="s">
        <v>68</v>
      </c>
      <c r="P1253" s="11" t="s">
        <v>80</v>
      </c>
      <c r="Q1253" s="11" t="s">
        <v>90</v>
      </c>
      <c r="R1253" s="11" t="s">
        <v>2660</v>
      </c>
      <c r="S1253" s="11" t="s">
        <v>2661</v>
      </c>
      <c r="T1253" s="105" t="s">
        <v>1</v>
      </c>
      <c r="U1253" s="98"/>
      <c r="V1253" s="51">
        <v>45845</v>
      </c>
      <c r="W1253" s="49" t="s">
        <v>68</v>
      </c>
      <c r="X1253" s="154" t="s">
        <v>2</v>
      </c>
      <c r="Y1253" s="154">
        <v>0</v>
      </c>
    </row>
    <row r="1254" spans="1:25" ht="13" customHeight="1">
      <c r="A1254" s="11">
        <v>1248</v>
      </c>
      <c r="B1254" s="47">
        <v>205285507</v>
      </c>
      <c r="C1254" s="88" t="s">
        <v>1426</v>
      </c>
      <c r="D1254" s="11" t="s">
        <v>1945</v>
      </c>
      <c r="E1254" s="48" t="s">
        <v>31</v>
      </c>
      <c r="F1254" s="48" t="s">
        <v>74</v>
      </c>
      <c r="G1254" s="11" t="s">
        <v>65</v>
      </c>
      <c r="H1254" s="11" t="s">
        <v>1319</v>
      </c>
      <c r="I1254" s="11">
        <v>1299</v>
      </c>
      <c r="J1254" s="49" t="s">
        <v>39</v>
      </c>
      <c r="K1254" s="49" t="s">
        <v>76</v>
      </c>
      <c r="L1254" s="49" t="s">
        <v>95</v>
      </c>
      <c r="M1254" s="49" t="s">
        <v>77</v>
      </c>
      <c r="N1254" s="48" t="s">
        <v>89</v>
      </c>
      <c r="O1254" s="49" t="s">
        <v>68</v>
      </c>
      <c r="P1254" s="11" t="s">
        <v>80</v>
      </c>
      <c r="Q1254" s="11" t="s">
        <v>90</v>
      </c>
      <c r="R1254" s="11" t="s">
        <v>2660</v>
      </c>
      <c r="S1254" s="11" t="s">
        <v>2661</v>
      </c>
      <c r="T1254" s="105" t="s">
        <v>10</v>
      </c>
      <c r="U1254" s="98"/>
      <c r="V1254" s="51">
        <v>45796</v>
      </c>
      <c r="W1254" s="49" t="s">
        <v>68</v>
      </c>
      <c r="X1254" s="154" t="s">
        <v>2948</v>
      </c>
      <c r="Y1254" s="154">
        <v>0</v>
      </c>
    </row>
    <row r="1255" spans="1:25" ht="13" customHeight="1">
      <c r="A1255" s="11">
        <v>1249</v>
      </c>
      <c r="B1255" s="47">
        <v>102207631</v>
      </c>
      <c r="C1255" s="88" t="s">
        <v>1427</v>
      </c>
      <c r="D1255" s="11" t="s">
        <v>1428</v>
      </c>
      <c r="E1255" s="48" t="s">
        <v>34</v>
      </c>
      <c r="F1255" s="48" t="s">
        <v>74</v>
      </c>
      <c r="G1255" s="11" t="s">
        <v>64</v>
      </c>
      <c r="H1255" s="11" t="s">
        <v>75</v>
      </c>
      <c r="I1255" s="11">
        <v>1299</v>
      </c>
      <c r="J1255" s="49" t="s">
        <v>32</v>
      </c>
      <c r="K1255" s="49" t="s">
        <v>76</v>
      </c>
      <c r="L1255" s="49" t="s">
        <v>77</v>
      </c>
      <c r="M1255" s="49" t="s">
        <v>78</v>
      </c>
      <c r="N1255" s="48" t="s">
        <v>1429</v>
      </c>
      <c r="O1255" s="49" t="s">
        <v>67</v>
      </c>
      <c r="P1255" s="11" t="s">
        <v>1430</v>
      </c>
      <c r="Q1255" s="11" t="s">
        <v>98</v>
      </c>
      <c r="R1255" s="11" t="s">
        <v>2662</v>
      </c>
      <c r="S1255" s="11" t="s">
        <v>2663</v>
      </c>
      <c r="T1255" s="105" t="s">
        <v>10</v>
      </c>
      <c r="U1255" s="98"/>
      <c r="V1255" s="51">
        <v>42868</v>
      </c>
      <c r="W1255" s="11" t="s">
        <v>1555</v>
      </c>
      <c r="X1255" s="154" t="e">
        <v>#N/A</v>
      </c>
      <c r="Y1255" s="154" t="e">
        <v>#N/A</v>
      </c>
    </row>
    <row r="1256" spans="1:25" ht="13" customHeight="1">
      <c r="A1256" s="11">
        <v>1250</v>
      </c>
      <c r="B1256" s="47">
        <v>203073699</v>
      </c>
      <c r="C1256" s="88" t="s">
        <v>1431</v>
      </c>
      <c r="D1256" s="11" t="s">
        <v>1432</v>
      </c>
      <c r="E1256" s="48" t="s">
        <v>34</v>
      </c>
      <c r="F1256" s="48" t="s">
        <v>74</v>
      </c>
      <c r="G1256" s="11" t="s">
        <v>64</v>
      </c>
      <c r="H1256" s="11" t="s">
        <v>75</v>
      </c>
      <c r="I1256" s="11">
        <v>1712</v>
      </c>
      <c r="J1256" s="87" t="s">
        <v>38</v>
      </c>
      <c r="K1256" s="49" t="s">
        <v>76</v>
      </c>
      <c r="L1256" s="49" t="s">
        <v>95</v>
      </c>
      <c r="M1256" s="49" t="s">
        <v>77</v>
      </c>
      <c r="N1256" s="48" t="s">
        <v>1433</v>
      </c>
      <c r="O1256" s="49" t="s">
        <v>1434</v>
      </c>
      <c r="P1256" s="11" t="s">
        <v>1430</v>
      </c>
      <c r="Q1256" s="11" t="s">
        <v>98</v>
      </c>
      <c r="R1256" s="11" t="s">
        <v>1435</v>
      </c>
      <c r="S1256" s="11" t="s">
        <v>1436</v>
      </c>
      <c r="T1256" s="105" t="s">
        <v>10</v>
      </c>
      <c r="U1256" s="98"/>
      <c r="V1256" s="51">
        <v>45397</v>
      </c>
      <c r="W1256" s="49" t="s">
        <v>1569</v>
      </c>
      <c r="X1256" s="154" t="e">
        <v>#N/A</v>
      </c>
      <c r="Y1256" s="154" t="e">
        <v>#N/A</v>
      </c>
    </row>
    <row r="1257" spans="1:25" ht="13" customHeight="1">
      <c r="A1257" s="11">
        <v>1251</v>
      </c>
      <c r="B1257" s="47">
        <v>203160008</v>
      </c>
      <c r="C1257" s="88" t="s">
        <v>1437</v>
      </c>
      <c r="D1257" s="11" t="s">
        <v>1438</v>
      </c>
      <c r="E1257" s="48" t="s">
        <v>34</v>
      </c>
      <c r="F1257" s="48" t="s">
        <v>74</v>
      </c>
      <c r="G1257" s="11" t="s">
        <v>64</v>
      </c>
      <c r="H1257" s="11" t="s">
        <v>75</v>
      </c>
      <c r="I1257" s="11">
        <v>1712</v>
      </c>
      <c r="J1257" s="87" t="s">
        <v>39</v>
      </c>
      <c r="K1257" s="49" t="s">
        <v>76</v>
      </c>
      <c r="L1257" s="49" t="s">
        <v>85</v>
      </c>
      <c r="M1257" s="49" t="s">
        <v>88</v>
      </c>
      <c r="N1257" s="48" t="s">
        <v>1433</v>
      </c>
      <c r="O1257" s="49" t="s">
        <v>1434</v>
      </c>
      <c r="P1257" s="11" t="s">
        <v>1430</v>
      </c>
      <c r="Q1257" s="11" t="s">
        <v>98</v>
      </c>
      <c r="R1257" s="11" t="s">
        <v>1435</v>
      </c>
      <c r="S1257" s="11" t="s">
        <v>1436</v>
      </c>
      <c r="T1257" s="105" t="s">
        <v>1</v>
      </c>
      <c r="U1257" s="98"/>
      <c r="V1257" s="51">
        <v>45435</v>
      </c>
      <c r="W1257" s="49" t="s">
        <v>1569</v>
      </c>
      <c r="X1257" s="154" t="e">
        <v>#N/A</v>
      </c>
      <c r="Y1257" s="154" t="e">
        <v>#N/A</v>
      </c>
    </row>
    <row r="1258" spans="1:25" ht="13" customHeight="1">
      <c r="A1258" s="11">
        <v>1252</v>
      </c>
      <c r="B1258" s="47">
        <v>203118578</v>
      </c>
      <c r="C1258" s="88" t="s">
        <v>1439</v>
      </c>
      <c r="D1258" s="11" t="s">
        <v>1440</v>
      </c>
      <c r="E1258" s="48" t="s">
        <v>34</v>
      </c>
      <c r="F1258" s="48" t="s">
        <v>74</v>
      </c>
      <c r="G1258" s="11" t="s">
        <v>64</v>
      </c>
      <c r="H1258" s="11" t="s">
        <v>75</v>
      </c>
      <c r="I1258" s="11">
        <v>1712</v>
      </c>
      <c r="J1258" s="49" t="s">
        <v>32</v>
      </c>
      <c r="K1258" s="49" t="s">
        <v>76</v>
      </c>
      <c r="L1258" s="49" t="s">
        <v>85</v>
      </c>
      <c r="M1258" s="49" t="s">
        <v>88</v>
      </c>
      <c r="N1258" s="48" t="s">
        <v>1433</v>
      </c>
      <c r="O1258" s="49" t="s">
        <v>1434</v>
      </c>
      <c r="P1258" s="11" t="s">
        <v>1430</v>
      </c>
      <c r="Q1258" s="11" t="s">
        <v>98</v>
      </c>
      <c r="R1258" s="11" t="s">
        <v>1435</v>
      </c>
      <c r="S1258" s="11" t="s">
        <v>1436</v>
      </c>
      <c r="T1258" s="105" t="s">
        <v>7</v>
      </c>
      <c r="U1258" s="98" t="s">
        <v>2945</v>
      </c>
      <c r="V1258" s="51">
        <v>45383</v>
      </c>
      <c r="W1258" s="49" t="s">
        <v>1569</v>
      </c>
      <c r="X1258" s="154" t="e">
        <v>#N/A</v>
      </c>
      <c r="Y1258" s="154" t="e">
        <v>#N/A</v>
      </c>
    </row>
    <row r="1259" spans="1:25" ht="13" customHeight="1">
      <c r="A1259" s="11">
        <v>1253</v>
      </c>
      <c r="B1259" s="107">
        <v>206238934</v>
      </c>
      <c r="C1259" s="106" t="s">
        <v>2820</v>
      </c>
      <c r="D1259" s="108" t="s">
        <v>2821</v>
      </c>
      <c r="E1259" s="102" t="s">
        <v>34</v>
      </c>
      <c r="F1259" s="102" t="s">
        <v>74</v>
      </c>
      <c r="G1259" s="98" t="s">
        <v>64</v>
      </c>
      <c r="H1259" s="98" t="s">
        <v>75</v>
      </c>
      <c r="I1259" s="11">
        <v>1299</v>
      </c>
      <c r="J1259" s="49" t="s">
        <v>32</v>
      </c>
      <c r="K1259" s="49" t="s">
        <v>76</v>
      </c>
      <c r="L1259" s="103" t="s">
        <v>77</v>
      </c>
      <c r="M1259" s="103" t="s">
        <v>78</v>
      </c>
      <c r="N1259" s="48" t="s">
        <v>1433</v>
      </c>
      <c r="O1259" s="49" t="s">
        <v>1434</v>
      </c>
      <c r="P1259" s="11" t="s">
        <v>1430</v>
      </c>
      <c r="Q1259" s="11" t="s">
        <v>98</v>
      </c>
      <c r="R1259" s="11" t="s">
        <v>1435</v>
      </c>
      <c r="S1259" s="11" t="s">
        <v>1436</v>
      </c>
      <c r="T1259" s="105" t="s">
        <v>10</v>
      </c>
      <c r="U1259" s="98"/>
      <c r="V1259" s="104">
        <v>46244</v>
      </c>
      <c r="W1259" s="49" t="s">
        <v>1569</v>
      </c>
      <c r="X1259" s="154" t="e">
        <v>#N/A</v>
      </c>
      <c r="Y1259" s="154" t="e">
        <v>#N/A</v>
      </c>
    </row>
    <row r="1260" spans="1:25" ht="13" customHeight="1">
      <c r="A1260" s="11">
        <v>1254</v>
      </c>
      <c r="B1260" s="47">
        <v>204043092</v>
      </c>
      <c r="C1260" s="88" t="s">
        <v>1441</v>
      </c>
      <c r="D1260" s="11" t="s">
        <v>1442</v>
      </c>
      <c r="E1260" s="48" t="s">
        <v>34</v>
      </c>
      <c r="F1260" s="48" t="s">
        <v>74</v>
      </c>
      <c r="G1260" s="11" t="s">
        <v>64</v>
      </c>
      <c r="H1260" s="11" t="s">
        <v>75</v>
      </c>
      <c r="I1260" s="11">
        <v>1712</v>
      </c>
      <c r="J1260" s="49" t="s">
        <v>39</v>
      </c>
      <c r="K1260" s="49" t="s">
        <v>76</v>
      </c>
      <c r="L1260" s="49" t="s">
        <v>84</v>
      </c>
      <c r="M1260" s="49" t="s">
        <v>85</v>
      </c>
      <c r="N1260" s="48" t="s">
        <v>1433</v>
      </c>
      <c r="O1260" s="49" t="s">
        <v>1434</v>
      </c>
      <c r="P1260" s="11" t="s">
        <v>1430</v>
      </c>
      <c r="Q1260" s="11" t="s">
        <v>98</v>
      </c>
      <c r="R1260" s="11" t="s">
        <v>1435</v>
      </c>
      <c r="S1260" s="11" t="s">
        <v>1436</v>
      </c>
      <c r="T1260" s="105" t="s">
        <v>1</v>
      </c>
      <c r="U1260" s="98"/>
      <c r="V1260" s="51">
        <v>45607</v>
      </c>
      <c r="W1260" s="49" t="s">
        <v>1569</v>
      </c>
      <c r="X1260" s="154" t="e">
        <v>#N/A</v>
      </c>
      <c r="Y1260" s="154" t="e">
        <v>#N/A</v>
      </c>
    </row>
    <row r="1261" spans="1:25" ht="13" customHeight="1">
      <c r="A1261" s="11">
        <v>1255</v>
      </c>
      <c r="B1261" s="47">
        <v>203052485</v>
      </c>
      <c r="C1261" s="88" t="s">
        <v>1443</v>
      </c>
      <c r="D1261" s="11" t="s">
        <v>1444</v>
      </c>
      <c r="E1261" s="48" t="s">
        <v>34</v>
      </c>
      <c r="F1261" s="48" t="s">
        <v>74</v>
      </c>
      <c r="G1261" s="11" t="s">
        <v>64</v>
      </c>
      <c r="H1261" s="11" t="s">
        <v>75</v>
      </c>
      <c r="I1261" s="11">
        <v>1712</v>
      </c>
      <c r="J1261" s="49" t="s">
        <v>32</v>
      </c>
      <c r="K1261" s="49" t="s">
        <v>76</v>
      </c>
      <c r="L1261" s="49" t="s">
        <v>36</v>
      </c>
      <c r="M1261" s="49" t="s">
        <v>78</v>
      </c>
      <c r="N1261" s="48" t="s">
        <v>1433</v>
      </c>
      <c r="O1261" s="49" t="s">
        <v>1434</v>
      </c>
      <c r="P1261" s="11" t="s">
        <v>1430</v>
      </c>
      <c r="Q1261" s="11" t="s">
        <v>98</v>
      </c>
      <c r="R1261" s="11" t="s">
        <v>1435</v>
      </c>
      <c r="S1261" s="11" t="s">
        <v>1436</v>
      </c>
      <c r="T1261" s="105" t="s">
        <v>1</v>
      </c>
      <c r="U1261" s="98" t="s">
        <v>2944</v>
      </c>
      <c r="V1261" s="51">
        <v>45397</v>
      </c>
      <c r="W1261" s="49" t="s">
        <v>1569</v>
      </c>
      <c r="X1261" s="154" t="e">
        <v>#N/A</v>
      </c>
      <c r="Y1261" s="154" t="e">
        <v>#N/A</v>
      </c>
    </row>
    <row r="1262" spans="1:25" ht="13" customHeight="1">
      <c r="A1262" s="11">
        <v>1256</v>
      </c>
      <c r="B1262" s="47">
        <v>207574273</v>
      </c>
      <c r="C1262" s="88" t="s">
        <v>2781</v>
      </c>
      <c r="D1262" s="11" t="s">
        <v>2782</v>
      </c>
      <c r="E1262" s="48" t="s">
        <v>34</v>
      </c>
      <c r="F1262" s="48" t="s">
        <v>74</v>
      </c>
      <c r="G1262" s="11" t="s">
        <v>64</v>
      </c>
      <c r="H1262" s="11" t="s">
        <v>75</v>
      </c>
      <c r="I1262" s="11">
        <v>1712</v>
      </c>
      <c r="J1262" s="87" t="s">
        <v>32</v>
      </c>
      <c r="K1262" s="49" t="s">
        <v>76</v>
      </c>
      <c r="L1262" s="49" t="s">
        <v>77</v>
      </c>
      <c r="M1262" s="49" t="s">
        <v>78</v>
      </c>
      <c r="N1262" s="48" t="s">
        <v>1433</v>
      </c>
      <c r="O1262" s="49" t="s">
        <v>1434</v>
      </c>
      <c r="P1262" s="11" t="s">
        <v>1430</v>
      </c>
      <c r="Q1262" s="11" t="s">
        <v>98</v>
      </c>
      <c r="R1262" s="11" t="s">
        <v>1435</v>
      </c>
      <c r="S1262" s="11" t="s">
        <v>1436</v>
      </c>
      <c r="T1262" s="105" t="s">
        <v>10</v>
      </c>
      <c r="U1262" s="98"/>
      <c r="V1262" s="51">
        <v>46230</v>
      </c>
      <c r="W1262" s="49" t="s">
        <v>1569</v>
      </c>
      <c r="X1262" s="154" t="e">
        <v>#N/A</v>
      </c>
      <c r="Y1262" s="154" t="e">
        <v>#N/A</v>
      </c>
    </row>
    <row r="1263" spans="1:25" ht="13" customHeight="1">
      <c r="A1263" s="11">
        <v>1257</v>
      </c>
      <c r="B1263" s="47">
        <v>203160007</v>
      </c>
      <c r="C1263" s="88" t="s">
        <v>1445</v>
      </c>
      <c r="D1263" s="11" t="s">
        <v>1446</v>
      </c>
      <c r="E1263" s="48" t="s">
        <v>34</v>
      </c>
      <c r="F1263" s="48" t="s">
        <v>74</v>
      </c>
      <c r="G1263" s="11" t="s">
        <v>64</v>
      </c>
      <c r="H1263" s="11" t="s">
        <v>75</v>
      </c>
      <c r="I1263" s="11">
        <v>1712</v>
      </c>
      <c r="J1263" s="87" t="s">
        <v>39</v>
      </c>
      <c r="K1263" s="49" t="s">
        <v>76</v>
      </c>
      <c r="L1263" s="49" t="s">
        <v>88</v>
      </c>
      <c r="M1263" s="49" t="s">
        <v>95</v>
      </c>
      <c r="N1263" s="48" t="s">
        <v>1433</v>
      </c>
      <c r="O1263" s="49" t="s">
        <v>1434</v>
      </c>
      <c r="P1263" s="11" t="s">
        <v>1430</v>
      </c>
      <c r="Q1263" s="11" t="s">
        <v>98</v>
      </c>
      <c r="R1263" s="11" t="s">
        <v>1435</v>
      </c>
      <c r="S1263" s="11" t="s">
        <v>1436</v>
      </c>
      <c r="T1263" s="105" t="s">
        <v>7</v>
      </c>
      <c r="U1263" s="98"/>
      <c r="V1263" s="51">
        <v>45453</v>
      </c>
      <c r="W1263" s="49" t="s">
        <v>1569</v>
      </c>
      <c r="X1263" s="154" t="e">
        <v>#N/A</v>
      </c>
      <c r="Y1263" s="154" t="e">
        <v>#N/A</v>
      </c>
    </row>
    <row r="1264" spans="1:25" ht="13" customHeight="1">
      <c r="A1264" s="11">
        <v>1258</v>
      </c>
      <c r="B1264" s="47">
        <v>113015344</v>
      </c>
      <c r="C1264" s="88" t="s">
        <v>1447</v>
      </c>
      <c r="D1264" s="11" t="s">
        <v>1448</v>
      </c>
      <c r="E1264" s="48" t="s">
        <v>34</v>
      </c>
      <c r="F1264" s="48" t="s">
        <v>74</v>
      </c>
      <c r="G1264" s="11" t="s">
        <v>64</v>
      </c>
      <c r="H1264" s="11" t="s">
        <v>75</v>
      </c>
      <c r="I1264" s="11">
        <v>1712</v>
      </c>
      <c r="J1264" s="49" t="s">
        <v>39</v>
      </c>
      <c r="K1264" s="49" t="s">
        <v>76</v>
      </c>
      <c r="L1264" s="49" t="s">
        <v>77</v>
      </c>
      <c r="M1264" s="49" t="s">
        <v>78</v>
      </c>
      <c r="N1264" s="48" t="s">
        <v>1433</v>
      </c>
      <c r="O1264" s="49" t="s">
        <v>1434</v>
      </c>
      <c r="P1264" s="11" t="s">
        <v>1430</v>
      </c>
      <c r="Q1264" s="11" t="s">
        <v>98</v>
      </c>
      <c r="R1264" s="11" t="s">
        <v>1435</v>
      </c>
      <c r="S1264" s="11" t="s">
        <v>1436</v>
      </c>
      <c r="T1264" s="105" t="s">
        <v>10</v>
      </c>
      <c r="U1264" s="98"/>
      <c r="V1264" s="51">
        <v>44823</v>
      </c>
      <c r="W1264" s="49" t="s">
        <v>1569</v>
      </c>
      <c r="X1264" s="154" t="e">
        <v>#N/A</v>
      </c>
      <c r="Y1264" s="154" t="e">
        <v>#N/A</v>
      </c>
    </row>
    <row r="1265" spans="1:25" ht="13" customHeight="1">
      <c r="A1265" s="11">
        <v>1259</v>
      </c>
      <c r="B1265" s="47">
        <v>203160009</v>
      </c>
      <c r="C1265" s="88" t="s">
        <v>1449</v>
      </c>
      <c r="D1265" s="11" t="s">
        <v>1450</v>
      </c>
      <c r="E1265" s="48" t="s">
        <v>34</v>
      </c>
      <c r="F1265" s="48" t="s">
        <v>74</v>
      </c>
      <c r="G1265" s="11" t="s">
        <v>64</v>
      </c>
      <c r="H1265" s="11" t="s">
        <v>75</v>
      </c>
      <c r="I1265" s="11">
        <v>1712</v>
      </c>
      <c r="J1265" s="87" t="s">
        <v>38</v>
      </c>
      <c r="K1265" s="49" t="s">
        <v>76</v>
      </c>
      <c r="L1265" s="49" t="s">
        <v>78</v>
      </c>
      <c r="M1265" s="49" t="s">
        <v>92</v>
      </c>
      <c r="N1265" s="48" t="s">
        <v>1433</v>
      </c>
      <c r="O1265" s="49" t="s">
        <v>1434</v>
      </c>
      <c r="P1265" s="11" t="s">
        <v>1430</v>
      </c>
      <c r="Q1265" s="11" t="s">
        <v>98</v>
      </c>
      <c r="R1265" s="11" t="s">
        <v>1435</v>
      </c>
      <c r="S1265" s="11" t="s">
        <v>1436</v>
      </c>
      <c r="T1265" s="105" t="s">
        <v>1</v>
      </c>
      <c r="U1265" s="98"/>
      <c r="V1265" s="51">
        <v>45446</v>
      </c>
      <c r="W1265" s="49" t="s">
        <v>1569</v>
      </c>
      <c r="X1265" s="154" t="e">
        <v>#N/A</v>
      </c>
      <c r="Y1265" s="154" t="e">
        <v>#N/A</v>
      </c>
    </row>
    <row r="1266" spans="1:25" ht="13" customHeight="1">
      <c r="A1266" s="11">
        <v>1260</v>
      </c>
      <c r="B1266" s="47">
        <v>203118579</v>
      </c>
      <c r="C1266" s="88" t="s">
        <v>1451</v>
      </c>
      <c r="D1266" s="11" t="s">
        <v>1452</v>
      </c>
      <c r="E1266" s="48" t="s">
        <v>34</v>
      </c>
      <c r="F1266" s="48" t="s">
        <v>74</v>
      </c>
      <c r="G1266" s="11" t="s">
        <v>64</v>
      </c>
      <c r="H1266" s="11" t="s">
        <v>75</v>
      </c>
      <c r="I1266" s="11">
        <v>1712</v>
      </c>
      <c r="J1266" s="49" t="s">
        <v>32</v>
      </c>
      <c r="K1266" s="49" t="s">
        <v>76</v>
      </c>
      <c r="L1266" s="49" t="s">
        <v>88</v>
      </c>
      <c r="M1266" s="49" t="s">
        <v>95</v>
      </c>
      <c r="N1266" s="48" t="s">
        <v>1433</v>
      </c>
      <c r="O1266" s="49" t="s">
        <v>1434</v>
      </c>
      <c r="P1266" s="11" t="s">
        <v>1430</v>
      </c>
      <c r="Q1266" s="11" t="s">
        <v>98</v>
      </c>
      <c r="R1266" s="11" t="s">
        <v>1435</v>
      </c>
      <c r="S1266" s="11" t="s">
        <v>1436</v>
      </c>
      <c r="T1266" s="105" t="s">
        <v>1</v>
      </c>
      <c r="U1266" s="98"/>
      <c r="V1266" s="51">
        <v>45378</v>
      </c>
      <c r="W1266" s="49" t="s">
        <v>1569</v>
      </c>
      <c r="X1266" s="154" t="e">
        <v>#N/A</v>
      </c>
      <c r="Y1266" s="154" t="e">
        <v>#N/A</v>
      </c>
    </row>
    <row r="1267" spans="1:25" ht="13" customHeight="1">
      <c r="A1267" s="11">
        <v>1261</v>
      </c>
      <c r="B1267" s="47">
        <v>203073561</v>
      </c>
      <c r="C1267" s="88" t="s">
        <v>1453</v>
      </c>
      <c r="D1267" s="11" t="s">
        <v>1454</v>
      </c>
      <c r="E1267" s="48" t="s">
        <v>34</v>
      </c>
      <c r="F1267" s="48" t="s">
        <v>74</v>
      </c>
      <c r="G1267" s="11" t="s">
        <v>64</v>
      </c>
      <c r="H1267" s="11" t="s">
        <v>75</v>
      </c>
      <c r="I1267" s="11">
        <v>1712</v>
      </c>
      <c r="J1267" s="49" t="s">
        <v>38</v>
      </c>
      <c r="K1267" s="49" t="s">
        <v>76</v>
      </c>
      <c r="L1267" s="49" t="s">
        <v>85</v>
      </c>
      <c r="M1267" s="49" t="s">
        <v>88</v>
      </c>
      <c r="N1267" s="48" t="s">
        <v>1433</v>
      </c>
      <c r="O1267" s="49" t="s">
        <v>1434</v>
      </c>
      <c r="P1267" s="11" t="s">
        <v>1430</v>
      </c>
      <c r="Q1267" s="11" t="s">
        <v>98</v>
      </c>
      <c r="R1267" s="11" t="s">
        <v>1435</v>
      </c>
      <c r="S1267" s="11" t="s">
        <v>1436</v>
      </c>
      <c r="T1267" s="105" t="s">
        <v>1</v>
      </c>
      <c r="U1267" s="98"/>
      <c r="V1267" s="51">
        <v>45397</v>
      </c>
      <c r="W1267" s="49" t="s">
        <v>1569</v>
      </c>
      <c r="X1267" s="154" t="e">
        <v>#N/A</v>
      </c>
      <c r="Y1267" s="154" t="e">
        <v>#N/A</v>
      </c>
    </row>
    <row r="1268" spans="1:25" ht="13" customHeight="1">
      <c r="A1268" s="11">
        <v>1262</v>
      </c>
      <c r="B1268" s="47">
        <v>203052856</v>
      </c>
      <c r="C1268" s="88" t="s">
        <v>1455</v>
      </c>
      <c r="D1268" s="11" t="s">
        <v>1456</v>
      </c>
      <c r="E1268" s="48" t="s">
        <v>34</v>
      </c>
      <c r="F1268" s="48" t="s">
        <v>74</v>
      </c>
      <c r="G1268" s="11" t="s">
        <v>64</v>
      </c>
      <c r="H1268" s="11" t="s">
        <v>75</v>
      </c>
      <c r="I1268" s="11">
        <v>1712</v>
      </c>
      <c r="J1268" s="49" t="s">
        <v>32</v>
      </c>
      <c r="K1268" s="49" t="s">
        <v>76</v>
      </c>
      <c r="L1268" s="49" t="s">
        <v>95</v>
      </c>
      <c r="M1268" s="49" t="s">
        <v>77</v>
      </c>
      <c r="N1268" s="48" t="s">
        <v>1433</v>
      </c>
      <c r="O1268" s="49" t="s">
        <v>1434</v>
      </c>
      <c r="P1268" s="11" t="s">
        <v>1430</v>
      </c>
      <c r="Q1268" s="11" t="s">
        <v>98</v>
      </c>
      <c r="R1268" s="11" t="s">
        <v>1435</v>
      </c>
      <c r="S1268" s="11" t="s">
        <v>1436</v>
      </c>
      <c r="T1268" s="105" t="s">
        <v>10</v>
      </c>
      <c r="U1268" s="98"/>
      <c r="V1268" s="51">
        <v>45411</v>
      </c>
      <c r="W1268" s="49" t="s">
        <v>1569</v>
      </c>
      <c r="X1268" s="154" t="e">
        <v>#N/A</v>
      </c>
      <c r="Y1268" s="154" t="e">
        <v>#N/A</v>
      </c>
    </row>
    <row r="1269" spans="1:25" ht="13" customHeight="1">
      <c r="A1269" s="11">
        <v>1263</v>
      </c>
      <c r="B1269" s="47">
        <v>203073425</v>
      </c>
      <c r="C1269" s="88" t="s">
        <v>1457</v>
      </c>
      <c r="D1269" s="11" t="s">
        <v>1458</v>
      </c>
      <c r="E1269" s="48" t="s">
        <v>34</v>
      </c>
      <c r="F1269" s="48" t="s">
        <v>74</v>
      </c>
      <c r="G1269" s="11" t="s">
        <v>64</v>
      </c>
      <c r="H1269" s="11" t="s">
        <v>75</v>
      </c>
      <c r="I1269" s="11">
        <v>1712</v>
      </c>
      <c r="J1269" s="87" t="s">
        <v>38</v>
      </c>
      <c r="K1269" s="49" t="s">
        <v>76</v>
      </c>
      <c r="L1269" s="49" t="s">
        <v>77</v>
      </c>
      <c r="M1269" s="49" t="s">
        <v>78</v>
      </c>
      <c r="N1269" s="48" t="s">
        <v>1433</v>
      </c>
      <c r="O1269" s="49" t="s">
        <v>1434</v>
      </c>
      <c r="P1269" s="11" t="s">
        <v>1430</v>
      </c>
      <c r="Q1269" s="11" t="s">
        <v>98</v>
      </c>
      <c r="R1269" s="11" t="s">
        <v>1435</v>
      </c>
      <c r="S1269" s="11" t="s">
        <v>1436</v>
      </c>
      <c r="T1269" s="105" t="s">
        <v>10</v>
      </c>
      <c r="U1269" s="98"/>
      <c r="V1269" s="51">
        <v>45411</v>
      </c>
      <c r="W1269" s="49" t="s">
        <v>1569</v>
      </c>
      <c r="X1269" s="154" t="e">
        <v>#N/A</v>
      </c>
      <c r="Y1269" s="154" t="e">
        <v>#N/A</v>
      </c>
    </row>
    <row r="1270" spans="1:25" ht="13" customHeight="1">
      <c r="A1270" s="11">
        <v>1264</v>
      </c>
      <c r="B1270" s="47">
        <v>203940975</v>
      </c>
      <c r="C1270" s="88" t="s">
        <v>1459</v>
      </c>
      <c r="D1270" s="11" t="s">
        <v>1460</v>
      </c>
      <c r="E1270" s="48" t="s">
        <v>31</v>
      </c>
      <c r="F1270" s="48" t="s">
        <v>74</v>
      </c>
      <c r="G1270" s="11" t="s">
        <v>64</v>
      </c>
      <c r="H1270" s="11" t="s">
        <v>75</v>
      </c>
      <c r="I1270" s="11">
        <v>1299</v>
      </c>
      <c r="J1270" s="49" t="s">
        <v>32</v>
      </c>
      <c r="K1270" s="49" t="s">
        <v>76</v>
      </c>
      <c r="L1270" s="49" t="s">
        <v>77</v>
      </c>
      <c r="M1270" s="49" t="s">
        <v>78</v>
      </c>
      <c r="N1270" s="48" t="s">
        <v>2672</v>
      </c>
      <c r="O1270" s="49" t="s">
        <v>1462</v>
      </c>
      <c r="P1270" s="11" t="s">
        <v>1430</v>
      </c>
      <c r="Q1270" s="11" t="s">
        <v>99</v>
      </c>
      <c r="R1270" s="11" t="s">
        <v>2664</v>
      </c>
      <c r="S1270" s="11" t="s">
        <v>2665</v>
      </c>
      <c r="T1270" s="105" t="s">
        <v>10</v>
      </c>
      <c r="U1270" s="98"/>
      <c r="V1270" s="51">
        <v>45540</v>
      </c>
      <c r="W1270" s="49" t="s">
        <v>1570</v>
      </c>
      <c r="X1270" s="154" t="s">
        <v>2948</v>
      </c>
      <c r="Y1270" s="154">
        <v>0</v>
      </c>
    </row>
    <row r="1271" spans="1:25" ht="13" customHeight="1">
      <c r="A1271" s="11">
        <v>1265</v>
      </c>
      <c r="B1271" s="47">
        <v>207383780</v>
      </c>
      <c r="C1271" s="88" t="s">
        <v>2265</v>
      </c>
      <c r="D1271" s="11" t="s">
        <v>2266</v>
      </c>
      <c r="E1271" s="48" t="s">
        <v>31</v>
      </c>
      <c r="F1271" s="48" t="s">
        <v>74</v>
      </c>
      <c r="G1271" s="11" t="s">
        <v>64</v>
      </c>
      <c r="H1271" s="11" t="s">
        <v>75</v>
      </c>
      <c r="I1271" s="11">
        <v>1299</v>
      </c>
      <c r="J1271" s="49" t="s">
        <v>39</v>
      </c>
      <c r="K1271" s="49" t="s">
        <v>76</v>
      </c>
      <c r="L1271" s="49" t="s">
        <v>85</v>
      </c>
      <c r="M1271" s="49" t="s">
        <v>88</v>
      </c>
      <c r="N1271" s="48" t="s">
        <v>2147</v>
      </c>
      <c r="O1271" s="49" t="s">
        <v>1462</v>
      </c>
      <c r="P1271" s="11" t="s">
        <v>1430</v>
      </c>
      <c r="Q1271" s="11" t="s">
        <v>96</v>
      </c>
      <c r="R1271" s="11" t="s">
        <v>2141</v>
      </c>
      <c r="S1271" s="11" t="s">
        <v>2666</v>
      </c>
      <c r="T1271" s="105" t="s">
        <v>1</v>
      </c>
      <c r="U1271" s="98"/>
      <c r="V1271" s="51">
        <v>46141</v>
      </c>
      <c r="W1271" s="49" t="s">
        <v>1570</v>
      </c>
      <c r="X1271" s="154" t="s">
        <v>2</v>
      </c>
      <c r="Y1271" s="154">
        <v>0</v>
      </c>
    </row>
    <row r="1272" spans="1:25" ht="13" customHeight="1">
      <c r="A1272" s="11">
        <v>1266</v>
      </c>
      <c r="B1272" s="47">
        <v>112875012</v>
      </c>
      <c r="C1272" s="88" t="s">
        <v>2285</v>
      </c>
      <c r="D1272" s="11" t="s">
        <v>2286</v>
      </c>
      <c r="E1272" s="48" t="s">
        <v>34</v>
      </c>
      <c r="F1272" s="48" t="s">
        <v>74</v>
      </c>
      <c r="G1272" s="11" t="s">
        <v>64</v>
      </c>
      <c r="H1272" s="11" t="s">
        <v>75</v>
      </c>
      <c r="I1272" s="11">
        <v>1299</v>
      </c>
      <c r="J1272" s="49" t="s">
        <v>32</v>
      </c>
      <c r="K1272" s="49" t="s">
        <v>76</v>
      </c>
      <c r="L1272" s="49" t="s">
        <v>78</v>
      </c>
      <c r="M1272" s="49" t="s">
        <v>92</v>
      </c>
      <c r="N1272" s="48" t="s">
        <v>1463</v>
      </c>
      <c r="O1272" s="49" t="s">
        <v>1462</v>
      </c>
      <c r="P1272" s="11" t="s">
        <v>1430</v>
      </c>
      <c r="Q1272" s="11" t="s">
        <v>98</v>
      </c>
      <c r="R1272" s="11" t="s">
        <v>2141</v>
      </c>
      <c r="S1272" s="11" t="s">
        <v>2666</v>
      </c>
      <c r="T1272" s="105" t="s">
        <v>1</v>
      </c>
      <c r="U1272" s="98"/>
      <c r="V1272" s="51">
        <v>45250</v>
      </c>
      <c r="W1272" s="49" t="s">
        <v>1570</v>
      </c>
      <c r="X1272" s="154" t="e">
        <v>#N/A</v>
      </c>
      <c r="Y1272" s="154" t="e">
        <v>#N/A</v>
      </c>
    </row>
    <row r="1273" spans="1:25" ht="13" customHeight="1">
      <c r="A1273" s="11">
        <v>1267</v>
      </c>
      <c r="B1273" s="47">
        <v>204341339</v>
      </c>
      <c r="C1273" s="88" t="s">
        <v>1464</v>
      </c>
      <c r="D1273" s="11" t="s">
        <v>1465</v>
      </c>
      <c r="E1273" s="48" t="s">
        <v>31</v>
      </c>
      <c r="F1273" s="48" t="s">
        <v>74</v>
      </c>
      <c r="G1273" s="11" t="s">
        <v>64</v>
      </c>
      <c r="H1273" s="11" t="s">
        <v>75</v>
      </c>
      <c r="I1273" s="11">
        <v>1299</v>
      </c>
      <c r="J1273" s="49" t="s">
        <v>32</v>
      </c>
      <c r="K1273" s="49" t="s">
        <v>76</v>
      </c>
      <c r="L1273" s="49" t="s">
        <v>85</v>
      </c>
      <c r="M1273" s="49" t="s">
        <v>88</v>
      </c>
      <c r="N1273" s="48" t="s">
        <v>1466</v>
      </c>
      <c r="O1273" s="49" t="s">
        <v>1462</v>
      </c>
      <c r="P1273" s="11" t="s">
        <v>1430</v>
      </c>
      <c r="Q1273" s="11" t="s">
        <v>90</v>
      </c>
      <c r="R1273" s="11" t="s">
        <v>2141</v>
      </c>
      <c r="S1273" s="11" t="s">
        <v>2666</v>
      </c>
      <c r="T1273" s="105" t="s">
        <v>1</v>
      </c>
      <c r="U1273" s="98"/>
      <c r="V1273" s="51">
        <v>45589</v>
      </c>
      <c r="W1273" s="49" t="s">
        <v>1570</v>
      </c>
      <c r="X1273" s="154" t="s">
        <v>2</v>
      </c>
      <c r="Y1273" s="154">
        <v>0</v>
      </c>
    </row>
    <row r="1274" spans="1:25" ht="13" customHeight="1">
      <c r="A1274" s="11">
        <v>1268</v>
      </c>
      <c r="B1274" s="47">
        <v>203090005</v>
      </c>
      <c r="C1274" s="88" t="s">
        <v>1467</v>
      </c>
      <c r="D1274" s="11" t="s">
        <v>1468</v>
      </c>
      <c r="E1274" s="48" t="s">
        <v>34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77</v>
      </c>
      <c r="M1274" s="49" t="s">
        <v>78</v>
      </c>
      <c r="N1274" s="48" t="s">
        <v>2673</v>
      </c>
      <c r="O1274" s="49" t="s">
        <v>1462</v>
      </c>
      <c r="P1274" s="11" t="s">
        <v>1430</v>
      </c>
      <c r="Q1274" s="11" t="s">
        <v>98</v>
      </c>
      <c r="R1274" s="11" t="s">
        <v>2667</v>
      </c>
      <c r="S1274" s="11" t="s">
        <v>2817</v>
      </c>
      <c r="T1274" s="105" t="s">
        <v>10</v>
      </c>
      <c r="U1274" s="98"/>
      <c r="V1274" s="51">
        <v>45377</v>
      </c>
      <c r="W1274" s="49" t="s">
        <v>1570</v>
      </c>
      <c r="X1274" s="154" t="e">
        <v>#N/A</v>
      </c>
      <c r="Y1274" s="154" t="e">
        <v>#N/A</v>
      </c>
    </row>
    <row r="1275" spans="1:25" ht="13" customHeight="1">
      <c r="A1275" s="11">
        <v>1269</v>
      </c>
      <c r="B1275" s="47">
        <v>204155451</v>
      </c>
      <c r="C1275" s="88" t="s">
        <v>1469</v>
      </c>
      <c r="D1275" s="11" t="s">
        <v>1470</v>
      </c>
      <c r="E1275" s="48" t="s">
        <v>31</v>
      </c>
      <c r="F1275" s="48" t="s">
        <v>74</v>
      </c>
      <c r="G1275" s="11" t="s">
        <v>64</v>
      </c>
      <c r="H1275" s="11" t="s">
        <v>75</v>
      </c>
      <c r="I1275" s="11">
        <v>1299</v>
      </c>
      <c r="J1275" s="49" t="s">
        <v>32</v>
      </c>
      <c r="K1275" s="49" t="s">
        <v>76</v>
      </c>
      <c r="L1275" s="49" t="s">
        <v>92</v>
      </c>
      <c r="M1275" s="49" t="s">
        <v>84</v>
      </c>
      <c r="N1275" s="48" t="s">
        <v>1466</v>
      </c>
      <c r="O1275" s="49" t="s">
        <v>1462</v>
      </c>
      <c r="P1275" s="11" t="s">
        <v>1430</v>
      </c>
      <c r="Q1275" s="11" t="s">
        <v>90</v>
      </c>
      <c r="R1275" s="11" t="s">
        <v>2141</v>
      </c>
      <c r="S1275" s="11" t="s">
        <v>2666</v>
      </c>
      <c r="T1275" s="105" t="s">
        <v>3</v>
      </c>
      <c r="U1275" s="98"/>
      <c r="V1275" s="51">
        <v>45567</v>
      </c>
      <c r="W1275" s="49" t="s">
        <v>1570</v>
      </c>
      <c r="X1275" s="154" t="s">
        <v>2948</v>
      </c>
      <c r="Y1275" s="154">
        <v>0</v>
      </c>
    </row>
    <row r="1276" spans="1:25" ht="13" customHeight="1">
      <c r="A1276" s="11">
        <v>1270</v>
      </c>
      <c r="B1276" s="47">
        <v>204469338</v>
      </c>
      <c r="C1276" s="88" t="s">
        <v>1471</v>
      </c>
      <c r="D1276" s="11" t="s">
        <v>1472</v>
      </c>
      <c r="E1276" s="48" t="s">
        <v>31</v>
      </c>
      <c r="F1276" s="48" t="s">
        <v>74</v>
      </c>
      <c r="G1276" s="11" t="s">
        <v>64</v>
      </c>
      <c r="H1276" s="11" t="s">
        <v>75</v>
      </c>
      <c r="I1276" s="11">
        <v>1299</v>
      </c>
      <c r="J1276" s="49" t="s">
        <v>32</v>
      </c>
      <c r="K1276" s="49" t="s">
        <v>76</v>
      </c>
      <c r="L1276" s="49" t="s">
        <v>95</v>
      </c>
      <c r="M1276" s="49" t="s">
        <v>77</v>
      </c>
      <c r="N1276" s="48" t="s">
        <v>1473</v>
      </c>
      <c r="O1276" s="49" t="s">
        <v>1462</v>
      </c>
      <c r="P1276" s="11" t="s">
        <v>1430</v>
      </c>
      <c r="Q1276" s="11" t="s">
        <v>81</v>
      </c>
      <c r="R1276" s="11" t="s">
        <v>2141</v>
      </c>
      <c r="S1276" s="11" t="s">
        <v>2666</v>
      </c>
      <c r="T1276" s="105" t="s">
        <v>10</v>
      </c>
      <c r="U1276" s="98"/>
      <c r="V1276" s="51">
        <v>45603</v>
      </c>
      <c r="W1276" s="49" t="s">
        <v>1570</v>
      </c>
      <c r="X1276" s="154" t="s">
        <v>2948</v>
      </c>
      <c r="Y1276" s="154">
        <v>0</v>
      </c>
    </row>
    <row r="1277" spans="1:25" ht="13" customHeight="1">
      <c r="A1277" s="11">
        <v>1271</v>
      </c>
      <c r="B1277" s="47">
        <v>205837449</v>
      </c>
      <c r="C1277" s="88" t="s">
        <v>2145</v>
      </c>
      <c r="D1277" s="11" t="s">
        <v>2146</v>
      </c>
      <c r="E1277" s="48" t="s">
        <v>31</v>
      </c>
      <c r="F1277" s="48" t="s">
        <v>74</v>
      </c>
      <c r="G1277" s="11" t="s">
        <v>64</v>
      </c>
      <c r="H1277" s="11" t="s">
        <v>75</v>
      </c>
      <c r="I1277" s="11">
        <v>1299</v>
      </c>
      <c r="J1277" s="49" t="s">
        <v>32</v>
      </c>
      <c r="K1277" s="49" t="s">
        <v>76</v>
      </c>
      <c r="L1277" s="49" t="s">
        <v>95</v>
      </c>
      <c r="M1277" s="49" t="s">
        <v>77</v>
      </c>
      <c r="N1277" s="48" t="s">
        <v>2147</v>
      </c>
      <c r="O1277" s="49" t="s">
        <v>1462</v>
      </c>
      <c r="P1277" s="11" t="s">
        <v>1430</v>
      </c>
      <c r="Q1277" s="11" t="s">
        <v>96</v>
      </c>
      <c r="R1277" s="11" t="s">
        <v>2141</v>
      </c>
      <c r="S1277" s="11" t="s">
        <v>2666</v>
      </c>
      <c r="T1277" s="105" t="s">
        <v>10</v>
      </c>
      <c r="U1277" s="98"/>
      <c r="V1277" s="51">
        <v>45890</v>
      </c>
      <c r="W1277" s="49" t="s">
        <v>1570</v>
      </c>
      <c r="X1277" s="154" t="s">
        <v>2948</v>
      </c>
      <c r="Y1277" s="154">
        <v>0</v>
      </c>
    </row>
    <row r="1278" spans="1:25" ht="13" customHeight="1">
      <c r="A1278" s="11">
        <v>1272</v>
      </c>
      <c r="B1278" s="47">
        <v>203174504</v>
      </c>
      <c r="C1278" s="88" t="s">
        <v>2403</v>
      </c>
      <c r="D1278" s="11" t="s">
        <v>2404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1299</v>
      </c>
      <c r="J1278" s="49" t="s">
        <v>32</v>
      </c>
      <c r="K1278" s="49" t="s">
        <v>76</v>
      </c>
      <c r="L1278" s="49" t="s">
        <v>88</v>
      </c>
      <c r="M1278" s="49" t="s">
        <v>95</v>
      </c>
      <c r="N1278" s="48" t="s">
        <v>1463</v>
      </c>
      <c r="O1278" s="49" t="s">
        <v>1462</v>
      </c>
      <c r="P1278" s="11" t="s">
        <v>1430</v>
      </c>
      <c r="Q1278" s="11" t="s">
        <v>98</v>
      </c>
      <c r="R1278" s="11" t="s">
        <v>2141</v>
      </c>
      <c r="S1278" s="11" t="s">
        <v>2666</v>
      </c>
      <c r="T1278" s="105" t="s">
        <v>1</v>
      </c>
      <c r="U1278" s="98"/>
      <c r="V1278" s="51">
        <v>46076</v>
      </c>
      <c r="W1278" s="49" t="s">
        <v>1570</v>
      </c>
      <c r="X1278" s="154" t="e">
        <v>#N/A</v>
      </c>
      <c r="Y1278" s="154" t="e">
        <v>#N/A</v>
      </c>
    </row>
    <row r="1279" spans="1:25" ht="13" customHeight="1">
      <c r="A1279" s="11">
        <v>1273</v>
      </c>
      <c r="B1279" s="47">
        <v>204033425</v>
      </c>
      <c r="C1279" s="88" t="s">
        <v>1474</v>
      </c>
      <c r="D1279" s="11" t="s">
        <v>1475</v>
      </c>
      <c r="E1279" s="48" t="s">
        <v>31</v>
      </c>
      <c r="F1279" s="48" t="s">
        <v>74</v>
      </c>
      <c r="G1279" s="11" t="s">
        <v>64</v>
      </c>
      <c r="H1279" s="11" t="s">
        <v>75</v>
      </c>
      <c r="I1279" s="11">
        <v>1299</v>
      </c>
      <c r="J1279" s="49" t="s">
        <v>39</v>
      </c>
      <c r="K1279" s="49" t="s">
        <v>76</v>
      </c>
      <c r="L1279" s="49" t="s">
        <v>92</v>
      </c>
      <c r="M1279" s="49" t="s">
        <v>84</v>
      </c>
      <c r="N1279" s="48" t="s">
        <v>1473</v>
      </c>
      <c r="O1279" s="49" t="s">
        <v>1462</v>
      </c>
      <c r="P1279" s="11" t="s">
        <v>1430</v>
      </c>
      <c r="Q1279" s="11" t="s">
        <v>81</v>
      </c>
      <c r="R1279" s="11" t="s">
        <v>2141</v>
      </c>
      <c r="S1279" s="11" t="s">
        <v>2666</v>
      </c>
      <c r="T1279" s="105" t="s">
        <v>7</v>
      </c>
      <c r="U1279" s="98" t="s">
        <v>2941</v>
      </c>
      <c r="V1279" s="51">
        <v>45553</v>
      </c>
      <c r="W1279" s="49" t="s">
        <v>1570</v>
      </c>
      <c r="X1279" s="154" t="s">
        <v>2948</v>
      </c>
      <c r="Y1279" s="154" t="s">
        <v>2951</v>
      </c>
    </row>
    <row r="1280" spans="1:25" ht="13" customHeight="1">
      <c r="A1280" s="11">
        <v>1274</v>
      </c>
      <c r="B1280" s="47">
        <v>207282341</v>
      </c>
      <c r="C1280" s="88" t="s">
        <v>2267</v>
      </c>
      <c r="D1280" s="11" t="s">
        <v>2268</v>
      </c>
      <c r="E1280" s="48" t="s">
        <v>31</v>
      </c>
      <c r="F1280" s="48" t="s">
        <v>74</v>
      </c>
      <c r="G1280" s="11" t="s">
        <v>64</v>
      </c>
      <c r="H1280" s="11" t="s">
        <v>75</v>
      </c>
      <c r="I1280" s="11">
        <v>1299</v>
      </c>
      <c r="J1280" s="49" t="s">
        <v>39</v>
      </c>
      <c r="K1280" s="49" t="s">
        <v>76</v>
      </c>
      <c r="L1280" s="49" t="s">
        <v>85</v>
      </c>
      <c r="M1280" s="49" t="s">
        <v>88</v>
      </c>
      <c r="N1280" s="48" t="s">
        <v>2147</v>
      </c>
      <c r="O1280" s="49" t="s">
        <v>1462</v>
      </c>
      <c r="P1280" s="11" t="s">
        <v>1430</v>
      </c>
      <c r="Q1280" s="11" t="s">
        <v>96</v>
      </c>
      <c r="R1280" s="11" t="s">
        <v>2141</v>
      </c>
      <c r="S1280" s="11" t="s">
        <v>2666</v>
      </c>
      <c r="T1280" s="105" t="s">
        <v>1</v>
      </c>
      <c r="U1280" s="98"/>
      <c r="V1280" s="51">
        <v>46123</v>
      </c>
      <c r="W1280" s="49" t="s">
        <v>1570</v>
      </c>
      <c r="X1280" s="154" t="s">
        <v>2</v>
      </c>
      <c r="Y1280" s="154">
        <v>0</v>
      </c>
    </row>
    <row r="1281" spans="1:25" ht="13" customHeight="1">
      <c r="A1281" s="11">
        <v>1275</v>
      </c>
      <c r="B1281" s="47">
        <v>203555938</v>
      </c>
      <c r="C1281" s="88" t="s">
        <v>2399</v>
      </c>
      <c r="D1281" s="11" t="s">
        <v>2400</v>
      </c>
      <c r="E1281" s="48" t="s">
        <v>31</v>
      </c>
      <c r="F1281" s="48" t="s">
        <v>74</v>
      </c>
      <c r="G1281" s="11" t="s">
        <v>64</v>
      </c>
      <c r="H1281" s="11" t="s">
        <v>75</v>
      </c>
      <c r="I1281" s="11">
        <v>1299</v>
      </c>
      <c r="J1281" s="49" t="s">
        <v>32</v>
      </c>
      <c r="K1281" s="49" t="s">
        <v>76</v>
      </c>
      <c r="L1281" s="49" t="s">
        <v>84</v>
      </c>
      <c r="M1281" s="49" t="s">
        <v>85</v>
      </c>
      <c r="N1281" s="48" t="s">
        <v>1461</v>
      </c>
      <c r="O1281" s="49" t="s">
        <v>1462</v>
      </c>
      <c r="P1281" s="11" t="s">
        <v>1430</v>
      </c>
      <c r="Q1281" s="11" t="s">
        <v>99</v>
      </c>
      <c r="R1281" s="11" t="s">
        <v>2141</v>
      </c>
      <c r="S1281" s="11" t="s">
        <v>2666</v>
      </c>
      <c r="T1281" s="105" t="s">
        <v>1</v>
      </c>
      <c r="U1281" s="98"/>
      <c r="V1281" s="51">
        <v>45469</v>
      </c>
      <c r="W1281" s="49" t="s">
        <v>1570</v>
      </c>
      <c r="X1281" s="154" t="s">
        <v>2948</v>
      </c>
      <c r="Y1281" s="154">
        <v>0</v>
      </c>
    </row>
    <row r="1282" spans="1:25" ht="13" customHeight="1">
      <c r="A1282" s="11">
        <v>1276</v>
      </c>
      <c r="B1282" s="47">
        <v>203815279</v>
      </c>
      <c r="C1282" s="88" t="s">
        <v>2621</v>
      </c>
      <c r="D1282" s="11" t="s">
        <v>2622</v>
      </c>
      <c r="E1282" s="48" t="s">
        <v>31</v>
      </c>
      <c r="F1282" s="48" t="s">
        <v>74</v>
      </c>
      <c r="G1282" s="11" t="s">
        <v>64</v>
      </c>
      <c r="H1282" s="11" t="s">
        <v>75</v>
      </c>
      <c r="I1282" s="11">
        <v>1299</v>
      </c>
      <c r="J1282" s="49" t="s">
        <v>32</v>
      </c>
      <c r="K1282" s="49" t="s">
        <v>76</v>
      </c>
      <c r="L1282" s="49" t="s">
        <v>84</v>
      </c>
      <c r="M1282" s="49" t="s">
        <v>85</v>
      </c>
      <c r="N1282" s="48" t="s">
        <v>1473</v>
      </c>
      <c r="O1282" s="49" t="s">
        <v>1462</v>
      </c>
      <c r="P1282" s="11" t="s">
        <v>1430</v>
      </c>
      <c r="Q1282" s="11" t="s">
        <v>81</v>
      </c>
      <c r="R1282" s="11" t="s">
        <v>2141</v>
      </c>
      <c r="S1282" s="11" t="s">
        <v>2666</v>
      </c>
      <c r="T1282" s="105" t="s">
        <v>7</v>
      </c>
      <c r="U1282" s="98" t="s">
        <v>2941</v>
      </c>
      <c r="V1282" s="51">
        <v>45516</v>
      </c>
      <c r="W1282" s="49" t="s">
        <v>1570</v>
      </c>
      <c r="X1282" s="154" t="s">
        <v>2948</v>
      </c>
      <c r="Y1282" s="154" t="s">
        <v>2941</v>
      </c>
    </row>
    <row r="1283" spans="1:25" ht="13" customHeight="1">
      <c r="A1283" s="11">
        <v>1277</v>
      </c>
      <c r="B1283" s="47">
        <v>203750137</v>
      </c>
      <c r="C1283" s="88" t="s">
        <v>1476</v>
      </c>
      <c r="D1283" s="11" t="s">
        <v>1477</v>
      </c>
      <c r="E1283" s="48" t="s">
        <v>31</v>
      </c>
      <c r="F1283" s="48" t="s">
        <v>74</v>
      </c>
      <c r="G1283" s="11" t="s">
        <v>64</v>
      </c>
      <c r="H1283" s="11" t="s">
        <v>75</v>
      </c>
      <c r="I1283" s="11">
        <v>1299</v>
      </c>
      <c r="J1283" s="49" t="s">
        <v>39</v>
      </c>
      <c r="K1283" s="49" t="s">
        <v>76</v>
      </c>
      <c r="L1283" s="49" t="s">
        <v>85</v>
      </c>
      <c r="M1283" s="49" t="s">
        <v>88</v>
      </c>
      <c r="N1283" s="48" t="s">
        <v>1473</v>
      </c>
      <c r="O1283" s="49" t="s">
        <v>1462</v>
      </c>
      <c r="P1283" s="11" t="s">
        <v>1430</v>
      </c>
      <c r="Q1283" s="11" t="s">
        <v>81</v>
      </c>
      <c r="R1283" s="11" t="s">
        <v>2141</v>
      </c>
      <c r="S1283" s="11" t="s">
        <v>2666</v>
      </c>
      <c r="T1283" s="105" t="s">
        <v>3</v>
      </c>
      <c r="U1283" s="98"/>
      <c r="V1283" s="51">
        <v>45503</v>
      </c>
      <c r="W1283" s="49" t="s">
        <v>1570</v>
      </c>
      <c r="X1283" s="154" t="s">
        <v>2948</v>
      </c>
      <c r="Y1283" s="154">
        <v>0</v>
      </c>
    </row>
    <row r="1284" spans="1:25" ht="13" customHeight="1">
      <c r="A1284" s="11">
        <v>1278</v>
      </c>
      <c r="B1284" s="47">
        <v>203974084</v>
      </c>
      <c r="C1284" s="88" t="s">
        <v>1478</v>
      </c>
      <c r="D1284" s="11" t="s">
        <v>1479</v>
      </c>
      <c r="E1284" s="48" t="s">
        <v>31</v>
      </c>
      <c r="F1284" s="48" t="s">
        <v>74</v>
      </c>
      <c r="G1284" s="11" t="s">
        <v>64</v>
      </c>
      <c r="H1284" s="11" t="s">
        <v>75</v>
      </c>
      <c r="I1284" s="11">
        <v>1299</v>
      </c>
      <c r="J1284" s="49" t="s">
        <v>39</v>
      </c>
      <c r="K1284" s="49" t="s">
        <v>76</v>
      </c>
      <c r="L1284" s="49" t="s">
        <v>84</v>
      </c>
      <c r="M1284" s="49" t="s">
        <v>85</v>
      </c>
      <c r="N1284" s="48" t="s">
        <v>1466</v>
      </c>
      <c r="O1284" s="49" t="s">
        <v>1462</v>
      </c>
      <c r="P1284" s="11" t="s">
        <v>1430</v>
      </c>
      <c r="Q1284" s="11" t="s">
        <v>90</v>
      </c>
      <c r="R1284" s="11" t="s">
        <v>2141</v>
      </c>
      <c r="S1284" s="11" t="s">
        <v>2666</v>
      </c>
      <c r="T1284" s="105" t="s">
        <v>7</v>
      </c>
      <c r="U1284" s="98" t="s">
        <v>2941</v>
      </c>
      <c r="V1284" s="51">
        <v>45545</v>
      </c>
      <c r="W1284" s="49" t="s">
        <v>1570</v>
      </c>
      <c r="X1284" s="154" t="s">
        <v>2948</v>
      </c>
      <c r="Y1284" s="154" t="s">
        <v>2949</v>
      </c>
    </row>
    <row r="1285" spans="1:25" ht="13" customHeight="1">
      <c r="A1285" s="11">
        <v>1279</v>
      </c>
      <c r="B1285" s="77">
        <v>206332542</v>
      </c>
      <c r="C1285" s="90" t="s">
        <v>1677</v>
      </c>
      <c r="D1285" s="75" t="s">
        <v>1678</v>
      </c>
      <c r="E1285" s="76" t="s">
        <v>31</v>
      </c>
      <c r="F1285" s="76" t="s">
        <v>74</v>
      </c>
      <c r="G1285" s="75" t="s">
        <v>64</v>
      </c>
      <c r="H1285" s="75" t="s">
        <v>75</v>
      </c>
      <c r="I1285" s="75">
        <v>1299</v>
      </c>
      <c r="J1285" s="73" t="s">
        <v>39</v>
      </c>
      <c r="K1285" s="73" t="s">
        <v>76</v>
      </c>
      <c r="L1285" s="49" t="s">
        <v>78</v>
      </c>
      <c r="M1285" s="49" t="s">
        <v>92</v>
      </c>
      <c r="N1285" s="76" t="s">
        <v>1466</v>
      </c>
      <c r="O1285" s="73" t="s">
        <v>1462</v>
      </c>
      <c r="P1285" s="75" t="s">
        <v>1430</v>
      </c>
      <c r="Q1285" s="75" t="s">
        <v>90</v>
      </c>
      <c r="R1285" s="75" t="s">
        <v>2141</v>
      </c>
      <c r="S1285" s="75" t="s">
        <v>2666</v>
      </c>
      <c r="T1285" s="105" t="s">
        <v>1</v>
      </c>
      <c r="U1285" s="98"/>
      <c r="V1285" s="97">
        <v>45957</v>
      </c>
      <c r="W1285" s="73" t="s">
        <v>1570</v>
      </c>
      <c r="X1285" s="154" t="s">
        <v>2</v>
      </c>
      <c r="Y1285" s="154">
        <v>0</v>
      </c>
    </row>
    <row r="1286" spans="1:25" ht="13" customHeight="1">
      <c r="A1286" s="11">
        <v>1280</v>
      </c>
      <c r="B1286" s="47">
        <v>205247340</v>
      </c>
      <c r="C1286" s="88" t="s">
        <v>2623</v>
      </c>
      <c r="D1286" s="11" t="s">
        <v>2624</v>
      </c>
      <c r="E1286" s="48" t="s">
        <v>31</v>
      </c>
      <c r="F1286" s="48" t="s">
        <v>74</v>
      </c>
      <c r="G1286" s="11" t="s">
        <v>64</v>
      </c>
      <c r="H1286" s="11" t="s">
        <v>75</v>
      </c>
      <c r="I1286" s="11">
        <v>1299</v>
      </c>
      <c r="J1286" s="49" t="s">
        <v>32</v>
      </c>
      <c r="K1286" s="49" t="s">
        <v>76</v>
      </c>
      <c r="L1286" s="49" t="s">
        <v>78</v>
      </c>
      <c r="M1286" s="49" t="s">
        <v>92</v>
      </c>
      <c r="N1286" s="48" t="s">
        <v>1480</v>
      </c>
      <c r="O1286" s="49" t="s">
        <v>1462</v>
      </c>
      <c r="P1286" s="11" t="s">
        <v>1430</v>
      </c>
      <c r="Q1286" s="11" t="s">
        <v>87</v>
      </c>
      <c r="R1286" s="11" t="s">
        <v>2141</v>
      </c>
      <c r="S1286" s="11" t="s">
        <v>2666</v>
      </c>
      <c r="T1286" s="105" t="s">
        <v>1</v>
      </c>
      <c r="U1286" s="98"/>
      <c r="V1286" s="51">
        <v>45784</v>
      </c>
      <c r="W1286" s="49" t="s">
        <v>1570</v>
      </c>
      <c r="X1286" s="154" t="s">
        <v>2</v>
      </c>
      <c r="Y1286" s="154">
        <v>0</v>
      </c>
    </row>
    <row r="1287" spans="1:25" ht="13" customHeight="1">
      <c r="A1287" s="11">
        <v>1281</v>
      </c>
      <c r="B1287" s="47">
        <v>204886250</v>
      </c>
      <c r="C1287" s="88" t="s">
        <v>1481</v>
      </c>
      <c r="D1287" s="11" t="s">
        <v>1482</v>
      </c>
      <c r="E1287" s="48" t="s">
        <v>31</v>
      </c>
      <c r="F1287" s="48" t="s">
        <v>74</v>
      </c>
      <c r="G1287" s="11" t="s">
        <v>64</v>
      </c>
      <c r="H1287" s="11" t="s">
        <v>75</v>
      </c>
      <c r="I1287" s="11">
        <v>1299</v>
      </c>
      <c r="J1287" s="49" t="s">
        <v>39</v>
      </c>
      <c r="K1287" s="49" t="s">
        <v>76</v>
      </c>
      <c r="L1287" s="49" t="s">
        <v>95</v>
      </c>
      <c r="M1287" s="49" t="s">
        <v>77</v>
      </c>
      <c r="N1287" s="48" t="s">
        <v>1480</v>
      </c>
      <c r="O1287" s="49" t="s">
        <v>1462</v>
      </c>
      <c r="P1287" s="11" t="s">
        <v>1430</v>
      </c>
      <c r="Q1287" s="11" t="s">
        <v>87</v>
      </c>
      <c r="R1287" s="11" t="s">
        <v>2141</v>
      </c>
      <c r="S1287" s="11" t="s">
        <v>2666</v>
      </c>
      <c r="T1287" s="105" t="s">
        <v>10</v>
      </c>
      <c r="U1287" s="98"/>
      <c r="V1287" s="51">
        <v>45691</v>
      </c>
      <c r="W1287" s="49" t="s">
        <v>1570</v>
      </c>
      <c r="X1287" s="154" t="s">
        <v>2948</v>
      </c>
      <c r="Y1287" s="154" t="s">
        <v>2949</v>
      </c>
    </row>
    <row r="1288" spans="1:25" ht="13" customHeight="1">
      <c r="A1288" s="11">
        <v>1282</v>
      </c>
      <c r="B1288" s="47">
        <v>207283258</v>
      </c>
      <c r="C1288" s="88" t="s">
        <v>2269</v>
      </c>
      <c r="D1288" s="11" t="s">
        <v>2270</v>
      </c>
      <c r="E1288" s="48" t="s">
        <v>31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39</v>
      </c>
      <c r="K1288" s="49" t="s">
        <v>76</v>
      </c>
      <c r="L1288" s="49" t="s">
        <v>88</v>
      </c>
      <c r="M1288" s="49" t="s">
        <v>95</v>
      </c>
      <c r="N1288" s="48" t="s">
        <v>1466</v>
      </c>
      <c r="O1288" s="49" t="s">
        <v>1462</v>
      </c>
      <c r="P1288" s="11" t="s">
        <v>1430</v>
      </c>
      <c r="Q1288" s="11" t="s">
        <v>90</v>
      </c>
      <c r="R1288" s="11" t="s">
        <v>2141</v>
      </c>
      <c r="S1288" s="11" t="s">
        <v>2666</v>
      </c>
      <c r="T1288" s="105" t="s">
        <v>1</v>
      </c>
      <c r="U1288" s="98"/>
      <c r="V1288" s="51">
        <v>46123</v>
      </c>
      <c r="W1288" s="49" t="s">
        <v>1570</v>
      </c>
      <c r="X1288" s="154" t="s">
        <v>2</v>
      </c>
      <c r="Y1288" s="154">
        <v>0</v>
      </c>
    </row>
    <row r="1289" spans="1:25" ht="13" customHeight="1">
      <c r="A1289" s="11">
        <v>1283</v>
      </c>
      <c r="B1289" s="47">
        <v>202383469</v>
      </c>
      <c r="C1289" s="88" t="s">
        <v>1483</v>
      </c>
      <c r="D1289" s="11" t="s">
        <v>1484</v>
      </c>
      <c r="E1289" s="48" t="s">
        <v>31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39</v>
      </c>
      <c r="K1289" s="49" t="s">
        <v>76</v>
      </c>
      <c r="L1289" s="49" t="s">
        <v>84</v>
      </c>
      <c r="M1289" s="49" t="s">
        <v>85</v>
      </c>
      <c r="N1289" s="48" t="s">
        <v>1480</v>
      </c>
      <c r="O1289" s="49" t="s">
        <v>1462</v>
      </c>
      <c r="P1289" s="11" t="s">
        <v>1430</v>
      </c>
      <c r="Q1289" s="11" t="s">
        <v>87</v>
      </c>
      <c r="R1289" s="11" t="s">
        <v>2141</v>
      </c>
      <c r="S1289" s="11" t="s">
        <v>2666</v>
      </c>
      <c r="T1289" s="105" t="s">
        <v>1</v>
      </c>
      <c r="U1289" s="98"/>
      <c r="V1289" s="51">
        <v>45596</v>
      </c>
      <c r="W1289" s="49" t="s">
        <v>1570</v>
      </c>
      <c r="X1289" s="154" t="s">
        <v>2</v>
      </c>
      <c r="Y1289" s="154">
        <v>0</v>
      </c>
    </row>
    <row r="1290" spans="1:25" ht="13" customHeight="1">
      <c r="A1290" s="11">
        <v>1284</v>
      </c>
      <c r="B1290" s="47">
        <v>106495539</v>
      </c>
      <c r="C1290" s="88" t="s">
        <v>1485</v>
      </c>
      <c r="D1290" s="11" t="s">
        <v>1486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1728</v>
      </c>
      <c r="J1290" s="49" t="s">
        <v>39</v>
      </c>
      <c r="K1290" s="49" t="s">
        <v>76</v>
      </c>
      <c r="L1290" s="49" t="s">
        <v>95</v>
      </c>
      <c r="M1290" s="49" t="s">
        <v>77</v>
      </c>
      <c r="N1290" s="48" t="s">
        <v>1463</v>
      </c>
      <c r="O1290" s="49" t="s">
        <v>1462</v>
      </c>
      <c r="P1290" s="11" t="s">
        <v>1430</v>
      </c>
      <c r="Q1290" s="11" t="s">
        <v>98</v>
      </c>
      <c r="R1290" s="11" t="s">
        <v>2141</v>
      </c>
      <c r="S1290" s="11" t="s">
        <v>2666</v>
      </c>
      <c r="T1290" s="105" t="s">
        <v>10</v>
      </c>
      <c r="U1290" s="98"/>
      <c r="V1290" s="51">
        <v>45502</v>
      </c>
      <c r="W1290" s="49" t="s">
        <v>1570</v>
      </c>
      <c r="X1290" s="154" t="e">
        <v>#N/A</v>
      </c>
      <c r="Y1290" s="154" t="e">
        <v>#N/A</v>
      </c>
    </row>
    <row r="1291" spans="1:25" ht="13" customHeight="1">
      <c r="A1291" s="11">
        <v>1285</v>
      </c>
      <c r="B1291" s="47">
        <v>203737146</v>
      </c>
      <c r="C1291" s="88" t="s">
        <v>1487</v>
      </c>
      <c r="D1291" s="11" t="s">
        <v>1488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78</v>
      </c>
      <c r="M1291" s="49" t="s">
        <v>92</v>
      </c>
      <c r="N1291" s="48" t="s">
        <v>79</v>
      </c>
      <c r="O1291" s="49" t="s">
        <v>35</v>
      </c>
      <c r="P1291" s="11" t="s">
        <v>1430</v>
      </c>
      <c r="Q1291" s="11" t="s">
        <v>81</v>
      </c>
      <c r="R1291" s="49" t="s">
        <v>644</v>
      </c>
      <c r="S1291" s="11" t="s">
        <v>1777</v>
      </c>
      <c r="T1291" s="105" t="s">
        <v>1</v>
      </c>
      <c r="U1291" s="98"/>
      <c r="V1291" s="51">
        <v>45502</v>
      </c>
      <c r="W1291" s="49" t="s">
        <v>1570</v>
      </c>
      <c r="X1291" s="154" t="s">
        <v>2</v>
      </c>
      <c r="Y1291" s="154">
        <v>0</v>
      </c>
    </row>
    <row r="1292" spans="1:25" ht="13" customHeight="1">
      <c r="A1292" s="11">
        <v>1286</v>
      </c>
      <c r="B1292" s="47">
        <v>102865829</v>
      </c>
      <c r="C1292" s="88" t="s">
        <v>1489</v>
      </c>
      <c r="D1292" s="11" t="s">
        <v>1490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84</v>
      </c>
      <c r="M1292" s="49" t="s">
        <v>85</v>
      </c>
      <c r="N1292" s="48" t="s">
        <v>108</v>
      </c>
      <c r="O1292" s="49" t="s">
        <v>37</v>
      </c>
      <c r="P1292" s="11" t="s">
        <v>1430</v>
      </c>
      <c r="Q1292" s="11" t="s">
        <v>98</v>
      </c>
      <c r="R1292" s="11" t="s">
        <v>2779</v>
      </c>
      <c r="S1292" s="11" t="s">
        <v>2780</v>
      </c>
      <c r="T1292" s="105" t="s">
        <v>7</v>
      </c>
      <c r="U1292" s="98" t="s">
        <v>2941</v>
      </c>
      <c r="V1292" s="51">
        <v>43012</v>
      </c>
      <c r="W1292" s="49" t="s">
        <v>1570</v>
      </c>
      <c r="X1292" s="154" t="s">
        <v>2948</v>
      </c>
      <c r="Y1292" s="154">
        <v>0</v>
      </c>
    </row>
    <row r="1293" spans="1:25" ht="13" customHeight="1">
      <c r="A1293" s="11">
        <v>1287</v>
      </c>
      <c r="B1293" s="47">
        <v>203183500</v>
      </c>
      <c r="C1293" s="88" t="s">
        <v>1491</v>
      </c>
      <c r="D1293" s="11" t="s">
        <v>1492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1230</v>
      </c>
      <c r="J1293" s="49" t="s">
        <v>32</v>
      </c>
      <c r="K1293" s="49" t="s">
        <v>76</v>
      </c>
      <c r="L1293" s="49" t="s">
        <v>78</v>
      </c>
      <c r="M1293" s="49" t="s">
        <v>92</v>
      </c>
      <c r="N1293" s="48" t="s">
        <v>1493</v>
      </c>
      <c r="O1293" s="49" t="s">
        <v>1494</v>
      </c>
      <c r="P1293" s="11" t="s">
        <v>1430</v>
      </c>
      <c r="Q1293" s="11" t="s">
        <v>98</v>
      </c>
      <c r="R1293" s="11" t="s">
        <v>1495</v>
      </c>
      <c r="S1293" s="11" t="s">
        <v>1496</v>
      </c>
      <c r="T1293" s="105" t="s">
        <v>1</v>
      </c>
      <c r="U1293" s="98"/>
      <c r="V1293" s="51">
        <v>45439</v>
      </c>
      <c r="W1293" s="49" t="s">
        <v>1570</v>
      </c>
      <c r="X1293" s="154" t="e">
        <v>#N/A</v>
      </c>
      <c r="Y1293" s="154" t="e">
        <v>#N/A</v>
      </c>
    </row>
    <row r="1294" spans="1:25" ht="13" customHeight="1">
      <c r="A1294" s="11">
        <v>1288</v>
      </c>
      <c r="B1294" s="47">
        <v>203183769</v>
      </c>
      <c r="C1294" s="88" t="s">
        <v>1497</v>
      </c>
      <c r="D1294" s="11" t="s">
        <v>1498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1230</v>
      </c>
      <c r="J1294" s="49" t="s">
        <v>39</v>
      </c>
      <c r="K1294" s="49" t="s">
        <v>76</v>
      </c>
      <c r="L1294" s="49" t="s">
        <v>78</v>
      </c>
      <c r="M1294" s="49" t="s">
        <v>92</v>
      </c>
      <c r="N1294" s="48" t="s">
        <v>1493</v>
      </c>
      <c r="O1294" s="49" t="s">
        <v>1494</v>
      </c>
      <c r="P1294" s="11" t="s">
        <v>1430</v>
      </c>
      <c r="Q1294" s="11" t="s">
        <v>98</v>
      </c>
      <c r="R1294" s="11" t="s">
        <v>1495</v>
      </c>
      <c r="S1294" s="11" t="s">
        <v>1496</v>
      </c>
      <c r="T1294" s="105" t="s">
        <v>1</v>
      </c>
      <c r="U1294" s="98" t="s">
        <v>2952</v>
      </c>
      <c r="V1294" s="51">
        <v>45439</v>
      </c>
      <c r="W1294" s="49" t="s">
        <v>1570</v>
      </c>
      <c r="X1294" s="154" t="e">
        <v>#N/A</v>
      </c>
      <c r="Y1294" s="154" t="e">
        <v>#N/A</v>
      </c>
    </row>
    <row r="1295" spans="1:25" ht="13" customHeight="1">
      <c r="A1295" s="11">
        <v>1289</v>
      </c>
      <c r="B1295" s="47">
        <v>205280740</v>
      </c>
      <c r="C1295" s="88" t="s">
        <v>1499</v>
      </c>
      <c r="D1295" s="11" t="s">
        <v>1500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1230</v>
      </c>
      <c r="J1295" s="49" t="s">
        <v>32</v>
      </c>
      <c r="K1295" s="49" t="s">
        <v>76</v>
      </c>
      <c r="L1295" s="49" t="s">
        <v>95</v>
      </c>
      <c r="M1295" s="49" t="s">
        <v>77</v>
      </c>
      <c r="N1295" s="48" t="s">
        <v>1493</v>
      </c>
      <c r="O1295" s="49" t="s">
        <v>1494</v>
      </c>
      <c r="P1295" s="11" t="s">
        <v>1430</v>
      </c>
      <c r="Q1295" s="11" t="s">
        <v>98</v>
      </c>
      <c r="R1295" s="11" t="s">
        <v>1495</v>
      </c>
      <c r="S1295" s="11" t="s">
        <v>1496</v>
      </c>
      <c r="T1295" s="105" t="s">
        <v>10</v>
      </c>
      <c r="U1295" s="98"/>
      <c r="V1295" s="51">
        <v>45859</v>
      </c>
      <c r="W1295" s="49" t="s">
        <v>1570</v>
      </c>
      <c r="X1295" s="154" t="e">
        <v>#N/A</v>
      </c>
      <c r="Y1295" s="154" t="e">
        <v>#N/A</v>
      </c>
    </row>
    <row r="1296" spans="1:25" ht="13" customHeight="1">
      <c r="A1296" s="11">
        <v>1290</v>
      </c>
      <c r="B1296" s="47">
        <v>205665079</v>
      </c>
      <c r="C1296" s="88" t="s">
        <v>1501</v>
      </c>
      <c r="D1296" s="11" t="s">
        <v>1502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39</v>
      </c>
      <c r="K1296" s="49" t="s">
        <v>76</v>
      </c>
      <c r="L1296" s="49" t="s">
        <v>95</v>
      </c>
      <c r="M1296" s="49" t="s">
        <v>77</v>
      </c>
      <c r="N1296" s="48" t="s">
        <v>1503</v>
      </c>
      <c r="O1296" s="49" t="s">
        <v>1504</v>
      </c>
      <c r="P1296" s="11" t="s">
        <v>1430</v>
      </c>
      <c r="Q1296" s="11" t="s">
        <v>98</v>
      </c>
      <c r="R1296" s="11" t="s">
        <v>1505</v>
      </c>
      <c r="S1296" s="11" t="s">
        <v>2668</v>
      </c>
      <c r="T1296" s="105" t="s">
        <v>10</v>
      </c>
      <c r="U1296" s="98"/>
      <c r="V1296" s="51">
        <v>45908</v>
      </c>
      <c r="W1296" s="49" t="s">
        <v>1571</v>
      </c>
      <c r="X1296" s="154" t="e">
        <v>#N/A</v>
      </c>
      <c r="Y1296" s="154" t="e">
        <v>#N/A</v>
      </c>
    </row>
    <row r="1297" spans="1:25" ht="13" customHeight="1">
      <c r="A1297" s="11">
        <v>1291</v>
      </c>
      <c r="B1297" s="47">
        <v>205537427</v>
      </c>
      <c r="C1297" s="88" t="s">
        <v>1612</v>
      </c>
      <c r="D1297" s="11" t="s">
        <v>1613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32</v>
      </c>
      <c r="K1297" s="49" t="s">
        <v>76</v>
      </c>
      <c r="L1297" s="49" t="s">
        <v>95</v>
      </c>
      <c r="M1297" s="49" t="s">
        <v>77</v>
      </c>
      <c r="N1297" s="48" t="s">
        <v>1503</v>
      </c>
      <c r="O1297" s="49" t="s">
        <v>1504</v>
      </c>
      <c r="P1297" s="11" t="s">
        <v>1430</v>
      </c>
      <c r="Q1297" s="11" t="s">
        <v>98</v>
      </c>
      <c r="R1297" s="11" t="s">
        <v>1505</v>
      </c>
      <c r="S1297" s="11" t="s">
        <v>2668</v>
      </c>
      <c r="T1297" s="105" t="s">
        <v>10</v>
      </c>
      <c r="U1297" s="98"/>
      <c r="V1297" s="51">
        <v>45943</v>
      </c>
      <c r="W1297" s="49" t="s">
        <v>1571</v>
      </c>
      <c r="X1297" s="154" t="e">
        <v>#N/A</v>
      </c>
      <c r="Y1297" s="154" t="e">
        <v>#N/A</v>
      </c>
    </row>
    <row r="1298" spans="1:25" ht="13" customHeight="1">
      <c r="A1298" s="11">
        <v>1292</v>
      </c>
      <c r="B1298" s="47">
        <v>205079247</v>
      </c>
      <c r="C1298" s="88" t="s">
        <v>1506</v>
      </c>
      <c r="D1298" s="11" t="s">
        <v>1507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95</v>
      </c>
      <c r="M1298" s="49" t="s">
        <v>77</v>
      </c>
      <c r="N1298" s="48" t="s">
        <v>1503</v>
      </c>
      <c r="O1298" s="49" t="s">
        <v>1504</v>
      </c>
      <c r="P1298" s="11" t="s">
        <v>1430</v>
      </c>
      <c r="Q1298" s="11" t="s">
        <v>98</v>
      </c>
      <c r="R1298" s="11" t="s">
        <v>1505</v>
      </c>
      <c r="S1298" s="11" t="s">
        <v>2668</v>
      </c>
      <c r="T1298" s="105" t="s">
        <v>10</v>
      </c>
      <c r="U1298" s="98"/>
      <c r="V1298" s="51">
        <v>45789</v>
      </c>
      <c r="W1298" s="49" t="s">
        <v>1571</v>
      </c>
      <c r="X1298" s="154" t="e">
        <v>#N/A</v>
      </c>
      <c r="Y1298" s="154" t="e">
        <v>#N/A</v>
      </c>
    </row>
    <row r="1299" spans="1:25" ht="13" customHeight="1">
      <c r="A1299" s="11">
        <v>1293</v>
      </c>
      <c r="B1299" s="47">
        <v>205001264</v>
      </c>
      <c r="C1299" s="88" t="s">
        <v>1508</v>
      </c>
      <c r="D1299" s="11" t="s">
        <v>1509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39</v>
      </c>
      <c r="K1299" s="49" t="s">
        <v>76</v>
      </c>
      <c r="L1299" s="49" t="s">
        <v>78</v>
      </c>
      <c r="M1299" s="49" t="s">
        <v>92</v>
      </c>
      <c r="N1299" s="48" t="s">
        <v>1503</v>
      </c>
      <c r="O1299" s="49" t="s">
        <v>1504</v>
      </c>
      <c r="P1299" s="11" t="s">
        <v>1430</v>
      </c>
      <c r="Q1299" s="11" t="s">
        <v>98</v>
      </c>
      <c r="R1299" s="11" t="s">
        <v>1505</v>
      </c>
      <c r="S1299" s="11" t="s">
        <v>2668</v>
      </c>
      <c r="T1299" s="105" t="s">
        <v>1</v>
      </c>
      <c r="U1299" s="98"/>
      <c r="V1299" s="51">
        <v>45754</v>
      </c>
      <c r="W1299" s="49" t="s">
        <v>1571</v>
      </c>
      <c r="X1299" s="154" t="e">
        <v>#N/A</v>
      </c>
      <c r="Y1299" s="154" t="e">
        <v>#N/A</v>
      </c>
    </row>
    <row r="1300" spans="1:25" ht="13" customHeight="1">
      <c r="A1300" s="11">
        <v>1294</v>
      </c>
      <c r="B1300" s="47">
        <v>205024343</v>
      </c>
      <c r="C1300" s="88" t="s">
        <v>1510</v>
      </c>
      <c r="D1300" s="11" t="s">
        <v>1511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32</v>
      </c>
      <c r="K1300" s="49" t="s">
        <v>76</v>
      </c>
      <c r="L1300" s="49" t="s">
        <v>78</v>
      </c>
      <c r="M1300" s="49" t="s">
        <v>92</v>
      </c>
      <c r="N1300" s="48" t="s">
        <v>1503</v>
      </c>
      <c r="O1300" s="49" t="s">
        <v>1504</v>
      </c>
      <c r="P1300" s="11" t="s">
        <v>1430</v>
      </c>
      <c r="Q1300" s="11" t="s">
        <v>98</v>
      </c>
      <c r="R1300" s="11" t="s">
        <v>1505</v>
      </c>
      <c r="S1300" s="11" t="s">
        <v>2668</v>
      </c>
      <c r="T1300" s="105" t="s">
        <v>7</v>
      </c>
      <c r="U1300" s="98" t="s">
        <v>2941</v>
      </c>
      <c r="V1300" s="51">
        <v>45775</v>
      </c>
      <c r="W1300" s="49" t="s">
        <v>1571</v>
      </c>
      <c r="X1300" s="154" t="e">
        <v>#N/A</v>
      </c>
      <c r="Y1300" s="154" t="e">
        <v>#N/A</v>
      </c>
    </row>
    <row r="1301" spans="1:25" ht="13" customHeight="1">
      <c r="A1301" s="11">
        <v>1295</v>
      </c>
      <c r="B1301" s="47">
        <v>203794558</v>
      </c>
      <c r="C1301" s="88" t="s">
        <v>1512</v>
      </c>
      <c r="D1301" s="11" t="s">
        <v>1513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32</v>
      </c>
      <c r="K1301" s="49" t="s">
        <v>76</v>
      </c>
      <c r="L1301" s="49" t="s">
        <v>95</v>
      </c>
      <c r="M1301" s="49" t="s">
        <v>77</v>
      </c>
      <c r="N1301" s="48" t="s">
        <v>1503</v>
      </c>
      <c r="O1301" s="49" t="s">
        <v>1504</v>
      </c>
      <c r="P1301" s="11" t="s">
        <v>1430</v>
      </c>
      <c r="Q1301" s="11" t="s">
        <v>98</v>
      </c>
      <c r="R1301" s="11" t="s">
        <v>1505</v>
      </c>
      <c r="S1301" s="11" t="s">
        <v>2668</v>
      </c>
      <c r="T1301" s="105" t="s">
        <v>10</v>
      </c>
      <c r="U1301" s="98"/>
      <c r="V1301" s="51">
        <v>45593</v>
      </c>
      <c r="W1301" s="49" t="s">
        <v>1571</v>
      </c>
      <c r="X1301" s="154" t="e">
        <v>#N/A</v>
      </c>
      <c r="Y1301" s="154" t="e">
        <v>#N/A</v>
      </c>
    </row>
    <row r="1302" spans="1:25" ht="13" customHeight="1">
      <c r="A1302" s="11">
        <v>1296</v>
      </c>
      <c r="B1302" s="47">
        <v>203927111</v>
      </c>
      <c r="C1302" s="88" t="s">
        <v>1514</v>
      </c>
      <c r="D1302" s="11" t="s">
        <v>1515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1299</v>
      </c>
      <c r="J1302" s="49" t="s">
        <v>32</v>
      </c>
      <c r="K1302" s="49" t="s">
        <v>76</v>
      </c>
      <c r="L1302" s="49" t="s">
        <v>78</v>
      </c>
      <c r="M1302" s="49" t="s">
        <v>92</v>
      </c>
      <c r="N1302" s="48" t="s">
        <v>1503</v>
      </c>
      <c r="O1302" s="49" t="s">
        <v>1504</v>
      </c>
      <c r="P1302" s="11" t="s">
        <v>1430</v>
      </c>
      <c r="Q1302" s="11" t="s">
        <v>98</v>
      </c>
      <c r="R1302" s="11" t="s">
        <v>1505</v>
      </c>
      <c r="S1302" s="11" t="s">
        <v>2668</v>
      </c>
      <c r="T1302" s="105" t="s">
        <v>4</v>
      </c>
      <c r="U1302" s="98"/>
      <c r="V1302" s="51">
        <v>45908</v>
      </c>
      <c r="W1302" s="49" t="s">
        <v>1571</v>
      </c>
      <c r="X1302" s="154" t="e">
        <v>#N/A</v>
      </c>
      <c r="Y1302" s="154" t="e">
        <v>#N/A</v>
      </c>
    </row>
    <row r="1303" spans="1:25" ht="13" customHeight="1">
      <c r="A1303" s="11">
        <v>1297</v>
      </c>
      <c r="B1303" s="47">
        <v>205207923</v>
      </c>
      <c r="C1303" s="88" t="s">
        <v>1516</v>
      </c>
      <c r="D1303" s="11" t="s">
        <v>1517</v>
      </c>
      <c r="E1303" s="48" t="s">
        <v>34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32</v>
      </c>
      <c r="K1303" s="49" t="s">
        <v>76</v>
      </c>
      <c r="L1303" s="49" t="s">
        <v>95</v>
      </c>
      <c r="M1303" s="49" t="s">
        <v>77</v>
      </c>
      <c r="N1303" s="48" t="s">
        <v>1503</v>
      </c>
      <c r="O1303" s="49" t="s">
        <v>1504</v>
      </c>
      <c r="P1303" s="11" t="s">
        <v>1430</v>
      </c>
      <c r="Q1303" s="11" t="s">
        <v>98</v>
      </c>
      <c r="R1303" s="11" t="s">
        <v>1505</v>
      </c>
      <c r="S1303" s="11" t="s">
        <v>2668</v>
      </c>
      <c r="T1303" s="105" t="s">
        <v>10</v>
      </c>
      <c r="U1303" s="98"/>
      <c r="V1303" s="51">
        <v>45831</v>
      </c>
      <c r="W1303" s="49" t="s">
        <v>1571</v>
      </c>
      <c r="X1303" s="154" t="e">
        <v>#N/A</v>
      </c>
      <c r="Y1303" s="154" t="e">
        <v>#N/A</v>
      </c>
    </row>
    <row r="1304" spans="1:25" ht="13" customHeight="1">
      <c r="A1304" s="11">
        <v>1298</v>
      </c>
      <c r="B1304" s="47">
        <v>112836630</v>
      </c>
      <c r="C1304" s="88" t="s">
        <v>1518</v>
      </c>
      <c r="D1304" s="11" t="s">
        <v>1519</v>
      </c>
      <c r="E1304" s="48" t="s">
        <v>34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32</v>
      </c>
      <c r="K1304" s="49" t="s">
        <v>76</v>
      </c>
      <c r="L1304" s="49" t="s">
        <v>78</v>
      </c>
      <c r="M1304" s="49" t="s">
        <v>92</v>
      </c>
      <c r="N1304" s="48" t="s">
        <v>1520</v>
      </c>
      <c r="O1304" s="49" t="s">
        <v>1521</v>
      </c>
      <c r="P1304" s="11" t="s">
        <v>1430</v>
      </c>
      <c r="Q1304" s="11" t="s">
        <v>98</v>
      </c>
      <c r="R1304" s="11" t="s">
        <v>2669</v>
      </c>
      <c r="S1304" s="11" t="s">
        <v>2670</v>
      </c>
      <c r="T1304" s="105" t="s">
        <v>1</v>
      </c>
      <c r="U1304" s="98"/>
      <c r="V1304" s="51">
        <v>44767</v>
      </c>
      <c r="W1304" s="49" t="s">
        <v>1570</v>
      </c>
      <c r="X1304" s="154" t="e">
        <v>#N/A</v>
      </c>
      <c r="Y1304" s="154" t="e">
        <v>#N/A</v>
      </c>
    </row>
    <row r="1305" spans="1:25" ht="13" customHeight="1">
      <c r="A1305" s="11">
        <v>1299</v>
      </c>
      <c r="B1305" s="47">
        <v>102865821</v>
      </c>
      <c r="C1305" s="88" t="s">
        <v>1522</v>
      </c>
      <c r="D1305" s="11" t="s">
        <v>1523</v>
      </c>
      <c r="E1305" s="48" t="s">
        <v>34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32</v>
      </c>
      <c r="K1305" s="49" t="s">
        <v>76</v>
      </c>
      <c r="L1305" s="49" t="s">
        <v>36</v>
      </c>
      <c r="M1305" s="49" t="s">
        <v>78</v>
      </c>
      <c r="N1305" s="48" t="s">
        <v>2674</v>
      </c>
      <c r="O1305" s="49" t="s">
        <v>1524</v>
      </c>
      <c r="P1305" s="11" t="s">
        <v>1430</v>
      </c>
      <c r="Q1305" s="11" t="s">
        <v>98</v>
      </c>
      <c r="R1305" s="11" t="s">
        <v>1525</v>
      </c>
      <c r="S1305" s="11" t="s">
        <v>1526</v>
      </c>
      <c r="T1305" s="105" t="s">
        <v>1</v>
      </c>
      <c r="U1305" s="98" t="s">
        <v>2944</v>
      </c>
      <c r="V1305" s="51">
        <v>43012</v>
      </c>
      <c r="W1305" s="49" t="s">
        <v>1570</v>
      </c>
      <c r="X1305" s="154" t="s">
        <v>2</v>
      </c>
      <c r="Y1305" s="154">
        <v>0</v>
      </c>
    </row>
    <row r="1306" spans="1:25" ht="13" customHeight="1">
      <c r="A1306" s="11">
        <v>1300</v>
      </c>
      <c r="B1306" s="47">
        <v>206884114</v>
      </c>
      <c r="C1306" s="88" t="s">
        <v>2149</v>
      </c>
      <c r="D1306" s="11" t="s">
        <v>2150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39</v>
      </c>
      <c r="K1306" s="49" t="s">
        <v>76</v>
      </c>
      <c r="L1306" s="49" t="s">
        <v>78</v>
      </c>
      <c r="M1306" s="49" t="s">
        <v>92</v>
      </c>
      <c r="N1306" s="48" t="s">
        <v>2671</v>
      </c>
      <c r="O1306" s="49" t="s">
        <v>1527</v>
      </c>
      <c r="P1306" s="11" t="s">
        <v>1430</v>
      </c>
      <c r="Q1306" s="11" t="s">
        <v>98</v>
      </c>
      <c r="R1306" s="11" t="s">
        <v>1528</v>
      </c>
      <c r="S1306" s="11" t="s">
        <v>1529</v>
      </c>
      <c r="T1306" s="105" t="s">
        <v>1</v>
      </c>
      <c r="U1306" s="98"/>
      <c r="V1306" s="51">
        <v>46069</v>
      </c>
      <c r="W1306" s="113" t="s">
        <v>1570</v>
      </c>
      <c r="X1306" s="154" t="e">
        <v>#N/A</v>
      </c>
      <c r="Y1306" s="154" t="e">
        <v>#N/A</v>
      </c>
    </row>
    <row r="1307" spans="1:25" ht="13" customHeight="1">
      <c r="A1307" s="11">
        <v>1301</v>
      </c>
      <c r="B1307" s="47">
        <v>206980506</v>
      </c>
      <c r="C1307" s="88" t="s">
        <v>2822</v>
      </c>
      <c r="D1307" s="11" t="s">
        <v>2142</v>
      </c>
      <c r="E1307" s="48" t="s">
        <v>34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88</v>
      </c>
      <c r="M1307" s="49" t="s">
        <v>95</v>
      </c>
      <c r="N1307" s="48" t="s">
        <v>2671</v>
      </c>
      <c r="O1307" s="49" t="s">
        <v>1527</v>
      </c>
      <c r="P1307" s="11" t="s">
        <v>1430</v>
      </c>
      <c r="Q1307" s="11" t="s">
        <v>98</v>
      </c>
      <c r="R1307" s="11" t="s">
        <v>1528</v>
      </c>
      <c r="S1307" s="11" t="s">
        <v>1529</v>
      </c>
      <c r="T1307" s="105" t="s">
        <v>1</v>
      </c>
      <c r="U1307" s="98"/>
      <c r="V1307" s="51">
        <v>46125</v>
      </c>
      <c r="W1307" s="49" t="s">
        <v>1570</v>
      </c>
      <c r="X1307" s="154" t="e">
        <v>#N/A</v>
      </c>
      <c r="Y1307" s="154" t="e">
        <v>#N/A</v>
      </c>
    </row>
    <row r="1308" spans="1:25" ht="13" customHeight="1">
      <c r="A1308" s="11">
        <v>1302</v>
      </c>
      <c r="B1308" s="47">
        <v>206930467</v>
      </c>
      <c r="C1308" s="88" t="s">
        <v>2151</v>
      </c>
      <c r="D1308" s="11" t="s">
        <v>2152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39</v>
      </c>
      <c r="K1308" s="49" t="s">
        <v>76</v>
      </c>
      <c r="L1308" s="49" t="s">
        <v>95</v>
      </c>
      <c r="M1308" s="49" t="s">
        <v>77</v>
      </c>
      <c r="N1308" s="48" t="s">
        <v>2671</v>
      </c>
      <c r="O1308" s="49" t="s">
        <v>1527</v>
      </c>
      <c r="P1308" s="11" t="s">
        <v>1430</v>
      </c>
      <c r="Q1308" s="11" t="s">
        <v>98</v>
      </c>
      <c r="R1308" s="11" t="s">
        <v>1528</v>
      </c>
      <c r="S1308" s="11" t="s">
        <v>1529</v>
      </c>
      <c r="T1308" s="105" t="s">
        <v>10</v>
      </c>
      <c r="U1308" s="98"/>
      <c r="V1308" s="51">
        <v>46069</v>
      </c>
      <c r="W1308" s="113" t="s">
        <v>1570</v>
      </c>
      <c r="X1308" s="154" t="e">
        <v>#N/A</v>
      </c>
      <c r="Y1308" s="154" t="e">
        <v>#N/A</v>
      </c>
    </row>
    <row r="1309" spans="1:25" ht="13" customHeight="1">
      <c r="A1309" s="11">
        <v>1303</v>
      </c>
      <c r="B1309" s="47">
        <v>113239078</v>
      </c>
      <c r="C1309" s="88" t="s">
        <v>1681</v>
      </c>
      <c r="D1309" s="11" t="s">
        <v>1530</v>
      </c>
      <c r="E1309" s="48" t="s">
        <v>34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39</v>
      </c>
      <c r="K1309" s="49" t="s">
        <v>76</v>
      </c>
      <c r="L1309" s="49" t="s">
        <v>85</v>
      </c>
      <c r="M1309" s="49" t="s">
        <v>88</v>
      </c>
      <c r="N1309" s="48" t="s">
        <v>2671</v>
      </c>
      <c r="O1309" s="49" t="s">
        <v>1527</v>
      </c>
      <c r="P1309" s="11" t="s">
        <v>1430</v>
      </c>
      <c r="Q1309" s="11" t="s">
        <v>98</v>
      </c>
      <c r="R1309" s="11" t="s">
        <v>1528</v>
      </c>
      <c r="S1309" s="11" t="s">
        <v>1529</v>
      </c>
      <c r="T1309" s="105" t="s">
        <v>7</v>
      </c>
      <c r="U1309" s="98"/>
      <c r="V1309" s="51">
        <v>44935</v>
      </c>
      <c r="W1309" s="49" t="s">
        <v>1570</v>
      </c>
      <c r="X1309" s="154" t="e">
        <v>#N/A</v>
      </c>
      <c r="Y1309" s="154" t="e">
        <v>#N/A</v>
      </c>
    </row>
    <row r="1310" spans="1:25" ht="13" customHeight="1">
      <c r="A1310" s="11">
        <v>1304</v>
      </c>
      <c r="B1310" s="47">
        <v>203875181</v>
      </c>
      <c r="C1310" s="88" t="s">
        <v>1531</v>
      </c>
      <c r="D1310" s="11" t="s">
        <v>1532</v>
      </c>
      <c r="E1310" s="48" t="s">
        <v>31</v>
      </c>
      <c r="F1310" s="48" t="s">
        <v>74</v>
      </c>
      <c r="G1310" s="11" t="s">
        <v>66</v>
      </c>
      <c r="H1310" s="11" t="s">
        <v>1319</v>
      </c>
      <c r="I1310" s="11">
        <v>1181</v>
      </c>
      <c r="J1310" s="49" t="s">
        <v>39</v>
      </c>
      <c r="K1310" s="49" t="s">
        <v>76</v>
      </c>
      <c r="L1310" s="49" t="s">
        <v>85</v>
      </c>
      <c r="M1310" s="49" t="s">
        <v>88</v>
      </c>
      <c r="N1310" s="48" t="s">
        <v>79</v>
      </c>
      <c r="O1310" s="49" t="s">
        <v>68</v>
      </c>
      <c r="P1310" s="11" t="s">
        <v>1430</v>
      </c>
      <c r="Q1310" s="11" t="s">
        <v>81</v>
      </c>
      <c r="R1310" s="11" t="s">
        <v>2660</v>
      </c>
      <c r="S1310" s="11" t="s">
        <v>2661</v>
      </c>
      <c r="T1310" s="105" t="s">
        <v>1</v>
      </c>
      <c r="U1310" s="98"/>
      <c r="V1310" s="51">
        <v>45530</v>
      </c>
      <c r="W1310" s="49" t="s">
        <v>68</v>
      </c>
      <c r="X1310" s="154" t="s">
        <v>2</v>
      </c>
      <c r="Y1310" s="154">
        <v>0</v>
      </c>
    </row>
    <row r="1311" spans="1:25" ht="13" customHeight="1">
      <c r="A1311" s="11">
        <v>1305</v>
      </c>
      <c r="B1311" s="47">
        <v>203875184</v>
      </c>
      <c r="C1311" s="88" t="s">
        <v>1533</v>
      </c>
      <c r="D1311" s="11" t="s">
        <v>1534</v>
      </c>
      <c r="E1311" s="48" t="s">
        <v>31</v>
      </c>
      <c r="F1311" s="48" t="s">
        <v>74</v>
      </c>
      <c r="G1311" s="11" t="s">
        <v>66</v>
      </c>
      <c r="H1311" s="11" t="s">
        <v>1319</v>
      </c>
      <c r="I1311" s="11">
        <v>1181</v>
      </c>
      <c r="J1311" s="49" t="s">
        <v>39</v>
      </c>
      <c r="K1311" s="49" t="s">
        <v>76</v>
      </c>
      <c r="L1311" s="49" t="s">
        <v>88</v>
      </c>
      <c r="M1311" s="49" t="s">
        <v>95</v>
      </c>
      <c r="N1311" s="48" t="s">
        <v>79</v>
      </c>
      <c r="O1311" s="49" t="s">
        <v>68</v>
      </c>
      <c r="P1311" s="11" t="s">
        <v>1430</v>
      </c>
      <c r="Q1311" s="11" t="s">
        <v>81</v>
      </c>
      <c r="R1311" s="11" t="s">
        <v>2660</v>
      </c>
      <c r="S1311" s="11" t="s">
        <v>2661</v>
      </c>
      <c r="T1311" s="105" t="s">
        <v>1</v>
      </c>
      <c r="U1311" s="98"/>
      <c r="V1311" s="51">
        <v>45530</v>
      </c>
      <c r="W1311" s="49" t="s">
        <v>68</v>
      </c>
      <c r="X1311" s="154" t="s">
        <v>2</v>
      </c>
      <c r="Y1311" s="154">
        <v>0</v>
      </c>
    </row>
    <row r="1312" spans="1:25" ht="13" customHeight="1">
      <c r="A1312" s="11">
        <v>1306</v>
      </c>
      <c r="B1312" s="47">
        <v>203875092</v>
      </c>
      <c r="C1312" s="88" t="s">
        <v>1535</v>
      </c>
      <c r="D1312" s="11" t="s">
        <v>1536</v>
      </c>
      <c r="E1312" s="48" t="s">
        <v>31</v>
      </c>
      <c r="F1312" s="48" t="s">
        <v>74</v>
      </c>
      <c r="G1312" s="11" t="s">
        <v>66</v>
      </c>
      <c r="H1312" s="11" t="s">
        <v>1319</v>
      </c>
      <c r="I1312" s="11">
        <v>1181</v>
      </c>
      <c r="J1312" s="49" t="s">
        <v>39</v>
      </c>
      <c r="K1312" s="49" t="s">
        <v>76</v>
      </c>
      <c r="L1312" s="49" t="s">
        <v>84</v>
      </c>
      <c r="M1312" s="49" t="s">
        <v>85</v>
      </c>
      <c r="N1312" s="48" t="s">
        <v>79</v>
      </c>
      <c r="O1312" s="49" t="s">
        <v>68</v>
      </c>
      <c r="P1312" s="11" t="s">
        <v>1430</v>
      </c>
      <c r="Q1312" s="11" t="s">
        <v>81</v>
      </c>
      <c r="R1312" s="11" t="s">
        <v>2660</v>
      </c>
      <c r="S1312" s="11" t="s">
        <v>2661</v>
      </c>
      <c r="T1312" s="105" t="s">
        <v>1</v>
      </c>
      <c r="U1312" s="98"/>
      <c r="V1312" s="51">
        <v>45530</v>
      </c>
      <c r="W1312" s="49" t="s">
        <v>68</v>
      </c>
      <c r="X1312" s="154" t="s">
        <v>2</v>
      </c>
      <c r="Y1312" s="154">
        <v>0</v>
      </c>
    </row>
    <row r="1313" spans="1:25" ht="13" customHeight="1">
      <c r="A1313" s="11">
        <v>1307</v>
      </c>
      <c r="B1313" s="47">
        <v>203875089</v>
      </c>
      <c r="C1313" s="88" t="s">
        <v>1537</v>
      </c>
      <c r="D1313" s="11" t="s">
        <v>1538</v>
      </c>
      <c r="E1313" s="48" t="s">
        <v>31</v>
      </c>
      <c r="F1313" s="48" t="s">
        <v>74</v>
      </c>
      <c r="G1313" s="11" t="s">
        <v>66</v>
      </c>
      <c r="H1313" s="11" t="s">
        <v>1319</v>
      </c>
      <c r="I1313" s="11">
        <v>1181</v>
      </c>
      <c r="J1313" s="49" t="s">
        <v>39</v>
      </c>
      <c r="K1313" s="49" t="s">
        <v>76</v>
      </c>
      <c r="L1313" s="49" t="s">
        <v>88</v>
      </c>
      <c r="M1313" s="49" t="s">
        <v>95</v>
      </c>
      <c r="N1313" s="48" t="s">
        <v>79</v>
      </c>
      <c r="O1313" s="49" t="s">
        <v>68</v>
      </c>
      <c r="P1313" s="11" t="s">
        <v>1430</v>
      </c>
      <c r="Q1313" s="11" t="s">
        <v>81</v>
      </c>
      <c r="R1313" s="11" t="s">
        <v>2660</v>
      </c>
      <c r="S1313" s="11" t="s">
        <v>2661</v>
      </c>
      <c r="T1313" s="105" t="s">
        <v>1</v>
      </c>
      <c r="U1313" s="98"/>
      <c r="V1313" s="51">
        <v>45530</v>
      </c>
      <c r="W1313" s="49" t="s">
        <v>68</v>
      </c>
      <c r="X1313" s="154" t="s">
        <v>2</v>
      </c>
      <c r="Y1313" s="154">
        <v>0</v>
      </c>
    </row>
    <row r="1314" spans="1:25" ht="13" customHeight="1">
      <c r="A1314" s="11">
        <v>1308</v>
      </c>
      <c r="B1314" s="47">
        <v>203875090</v>
      </c>
      <c r="C1314" s="88" t="s">
        <v>1539</v>
      </c>
      <c r="D1314" s="11" t="s">
        <v>1540</v>
      </c>
      <c r="E1314" s="48" t="s">
        <v>31</v>
      </c>
      <c r="F1314" s="48" t="s">
        <v>74</v>
      </c>
      <c r="G1314" s="11" t="s">
        <v>66</v>
      </c>
      <c r="H1314" s="11" t="s">
        <v>1319</v>
      </c>
      <c r="I1314" s="11">
        <v>1181</v>
      </c>
      <c r="J1314" s="49" t="s">
        <v>39</v>
      </c>
      <c r="K1314" s="49" t="s">
        <v>76</v>
      </c>
      <c r="L1314" s="49" t="s">
        <v>95</v>
      </c>
      <c r="M1314" s="49" t="s">
        <v>77</v>
      </c>
      <c r="N1314" s="48" t="s">
        <v>79</v>
      </c>
      <c r="O1314" s="49" t="s">
        <v>68</v>
      </c>
      <c r="P1314" s="11" t="s">
        <v>1430</v>
      </c>
      <c r="Q1314" s="11" t="s">
        <v>81</v>
      </c>
      <c r="R1314" s="11" t="s">
        <v>2660</v>
      </c>
      <c r="S1314" s="11" t="s">
        <v>2661</v>
      </c>
      <c r="T1314" s="105" t="s">
        <v>10</v>
      </c>
      <c r="U1314" s="98"/>
      <c r="V1314" s="51">
        <v>45530</v>
      </c>
      <c r="W1314" s="49" t="s">
        <v>68</v>
      </c>
      <c r="X1314" s="154" t="s">
        <v>2948</v>
      </c>
      <c r="Y1314" s="154">
        <v>0</v>
      </c>
    </row>
    <row r="1315" spans="1:25" ht="13" customHeight="1">
      <c r="A1315" s="11">
        <v>1309</v>
      </c>
      <c r="B1315" s="47">
        <v>203875180</v>
      </c>
      <c r="C1315" s="88" t="s">
        <v>1541</v>
      </c>
      <c r="D1315" s="11" t="s">
        <v>1542</v>
      </c>
      <c r="E1315" s="48" t="s">
        <v>31</v>
      </c>
      <c r="F1315" s="48" t="s">
        <v>74</v>
      </c>
      <c r="G1315" s="11" t="s">
        <v>66</v>
      </c>
      <c r="H1315" s="11" t="s">
        <v>1319</v>
      </c>
      <c r="I1315" s="11">
        <v>1181</v>
      </c>
      <c r="J1315" s="49" t="s">
        <v>39</v>
      </c>
      <c r="K1315" s="49" t="s">
        <v>76</v>
      </c>
      <c r="L1315" s="49" t="s">
        <v>78</v>
      </c>
      <c r="M1315" s="49" t="s">
        <v>92</v>
      </c>
      <c r="N1315" s="48" t="s">
        <v>79</v>
      </c>
      <c r="O1315" s="49" t="s">
        <v>68</v>
      </c>
      <c r="P1315" s="11" t="s">
        <v>1430</v>
      </c>
      <c r="Q1315" s="11" t="s">
        <v>81</v>
      </c>
      <c r="R1315" s="11" t="s">
        <v>2660</v>
      </c>
      <c r="S1315" s="11" t="s">
        <v>2661</v>
      </c>
      <c r="T1315" s="105" t="s">
        <v>1</v>
      </c>
      <c r="U1315" s="98"/>
      <c r="V1315" s="51">
        <v>45530</v>
      </c>
      <c r="W1315" s="49" t="s">
        <v>68</v>
      </c>
      <c r="X1315" s="154" t="s">
        <v>2</v>
      </c>
      <c r="Y1315" s="154">
        <v>0</v>
      </c>
    </row>
    <row r="1316" spans="1:25" ht="13" customHeight="1">
      <c r="A1316" s="11">
        <v>1310</v>
      </c>
      <c r="B1316" s="47">
        <v>203875183</v>
      </c>
      <c r="C1316" s="88" t="s">
        <v>1543</v>
      </c>
      <c r="D1316" s="11" t="s">
        <v>1544</v>
      </c>
      <c r="E1316" s="48" t="s">
        <v>31</v>
      </c>
      <c r="F1316" s="48" t="s">
        <v>74</v>
      </c>
      <c r="G1316" s="11" t="s">
        <v>66</v>
      </c>
      <c r="H1316" s="11" t="s">
        <v>1319</v>
      </c>
      <c r="I1316" s="11">
        <v>1181</v>
      </c>
      <c r="J1316" s="49" t="s">
        <v>39</v>
      </c>
      <c r="K1316" s="49" t="s">
        <v>76</v>
      </c>
      <c r="L1316" s="49" t="s">
        <v>85</v>
      </c>
      <c r="M1316" s="49" t="s">
        <v>88</v>
      </c>
      <c r="N1316" s="48" t="s">
        <v>79</v>
      </c>
      <c r="O1316" s="49" t="s">
        <v>68</v>
      </c>
      <c r="P1316" s="11" t="s">
        <v>1430</v>
      </c>
      <c r="Q1316" s="11" t="s">
        <v>81</v>
      </c>
      <c r="R1316" s="11" t="s">
        <v>2660</v>
      </c>
      <c r="S1316" s="11" t="s">
        <v>2661</v>
      </c>
      <c r="T1316" s="105" t="s">
        <v>1</v>
      </c>
      <c r="U1316" s="98"/>
      <c r="V1316" s="51">
        <v>45530</v>
      </c>
      <c r="W1316" s="49" t="s">
        <v>68</v>
      </c>
      <c r="X1316" s="154" t="s">
        <v>2</v>
      </c>
      <c r="Y1316" s="154">
        <v>0</v>
      </c>
    </row>
    <row r="1317" spans="1:25" ht="13" customHeight="1">
      <c r="A1317" s="11">
        <v>1311</v>
      </c>
      <c r="B1317" s="47">
        <v>112463068</v>
      </c>
      <c r="C1317" s="88" t="s">
        <v>1545</v>
      </c>
      <c r="D1317" s="11" t="s">
        <v>1546</v>
      </c>
      <c r="E1317" s="48" t="s">
        <v>31</v>
      </c>
      <c r="F1317" s="48" t="s">
        <v>74</v>
      </c>
      <c r="G1317" s="11" t="s">
        <v>66</v>
      </c>
      <c r="H1317" s="11" t="s">
        <v>1319</v>
      </c>
      <c r="I1317" s="11">
        <v>1181</v>
      </c>
      <c r="J1317" s="49" t="s">
        <v>39</v>
      </c>
      <c r="K1317" s="49" t="s">
        <v>76</v>
      </c>
      <c r="L1317" s="49" t="s">
        <v>88</v>
      </c>
      <c r="M1317" s="49" t="s">
        <v>95</v>
      </c>
      <c r="N1317" s="48" t="s">
        <v>79</v>
      </c>
      <c r="O1317" s="49" t="s">
        <v>68</v>
      </c>
      <c r="P1317" s="11" t="s">
        <v>1430</v>
      </c>
      <c r="Q1317" s="11" t="s">
        <v>81</v>
      </c>
      <c r="R1317" s="11" t="s">
        <v>2660</v>
      </c>
      <c r="S1317" s="11" t="s">
        <v>2661</v>
      </c>
      <c r="T1317" s="105" t="s">
        <v>1</v>
      </c>
      <c r="U1317" s="98"/>
      <c r="V1317" s="51">
        <v>45530</v>
      </c>
      <c r="W1317" s="49" t="s">
        <v>68</v>
      </c>
      <c r="X1317" s="154" t="s">
        <v>2</v>
      </c>
      <c r="Y1317" s="154">
        <v>0</v>
      </c>
    </row>
    <row r="1318" spans="1:25" ht="13" customHeight="1">
      <c r="A1318" s="11">
        <v>1312</v>
      </c>
      <c r="B1318" s="47">
        <v>203875088</v>
      </c>
      <c r="C1318" s="88" t="s">
        <v>1547</v>
      </c>
      <c r="D1318" s="11" t="s">
        <v>1548</v>
      </c>
      <c r="E1318" s="48" t="s">
        <v>31</v>
      </c>
      <c r="F1318" s="48" t="s">
        <v>74</v>
      </c>
      <c r="G1318" s="11" t="s">
        <v>66</v>
      </c>
      <c r="H1318" s="11" t="s">
        <v>1319</v>
      </c>
      <c r="I1318" s="11">
        <v>1181</v>
      </c>
      <c r="J1318" s="49" t="s">
        <v>39</v>
      </c>
      <c r="K1318" s="49" t="s">
        <v>76</v>
      </c>
      <c r="L1318" s="49" t="s">
        <v>92</v>
      </c>
      <c r="M1318" s="49" t="s">
        <v>84</v>
      </c>
      <c r="N1318" s="48" t="s">
        <v>79</v>
      </c>
      <c r="O1318" s="49" t="s">
        <v>68</v>
      </c>
      <c r="P1318" s="11" t="s">
        <v>1430</v>
      </c>
      <c r="Q1318" s="11" t="s">
        <v>81</v>
      </c>
      <c r="R1318" s="11" t="s">
        <v>2660</v>
      </c>
      <c r="S1318" s="11" t="s">
        <v>2661</v>
      </c>
      <c r="T1318" s="105" t="s">
        <v>3</v>
      </c>
      <c r="U1318" s="98"/>
      <c r="V1318" s="51">
        <v>45530</v>
      </c>
      <c r="W1318" s="49" t="s">
        <v>68</v>
      </c>
      <c r="X1318" s="154" t="s">
        <v>2948</v>
      </c>
      <c r="Y1318" s="154" t="s">
        <v>2950</v>
      </c>
    </row>
    <row r="1319" spans="1:25" ht="13" customHeight="1">
      <c r="A1319" s="11">
        <v>1313</v>
      </c>
      <c r="B1319" s="47">
        <v>203875091</v>
      </c>
      <c r="C1319" s="88" t="s">
        <v>1549</v>
      </c>
      <c r="D1319" s="11" t="s">
        <v>1550</v>
      </c>
      <c r="E1319" s="48" t="s">
        <v>31</v>
      </c>
      <c r="F1319" s="48" t="s">
        <v>74</v>
      </c>
      <c r="G1319" s="11" t="s">
        <v>66</v>
      </c>
      <c r="H1319" s="11" t="s">
        <v>1319</v>
      </c>
      <c r="I1319" s="11">
        <v>1181</v>
      </c>
      <c r="J1319" s="49" t="s">
        <v>39</v>
      </c>
      <c r="K1319" s="49" t="s">
        <v>76</v>
      </c>
      <c r="L1319" s="49" t="s">
        <v>84</v>
      </c>
      <c r="M1319" s="49" t="s">
        <v>85</v>
      </c>
      <c r="N1319" s="48" t="s">
        <v>79</v>
      </c>
      <c r="O1319" s="49" t="s">
        <v>68</v>
      </c>
      <c r="P1319" s="11" t="s">
        <v>1430</v>
      </c>
      <c r="Q1319" s="11" t="s">
        <v>81</v>
      </c>
      <c r="R1319" s="11" t="s">
        <v>2660</v>
      </c>
      <c r="S1319" s="11" t="s">
        <v>2661</v>
      </c>
      <c r="T1319" s="105" t="s">
        <v>1</v>
      </c>
      <c r="U1319" s="98"/>
      <c r="V1319" s="51">
        <v>45530</v>
      </c>
      <c r="W1319" s="49" t="s">
        <v>68</v>
      </c>
      <c r="X1319" s="154" t="s">
        <v>2</v>
      </c>
      <c r="Y1319" s="154">
        <v>0</v>
      </c>
    </row>
    <row r="1320" spans="1:25" ht="13" customHeight="1">
      <c r="A1320" s="11">
        <v>1314</v>
      </c>
      <c r="B1320" s="47">
        <v>203875185</v>
      </c>
      <c r="C1320" s="88" t="s">
        <v>1551</v>
      </c>
      <c r="D1320" s="11" t="s">
        <v>1552</v>
      </c>
      <c r="E1320" s="48" t="s">
        <v>31</v>
      </c>
      <c r="F1320" s="48" t="s">
        <v>74</v>
      </c>
      <c r="G1320" s="11" t="s">
        <v>66</v>
      </c>
      <c r="H1320" s="11" t="s">
        <v>1319</v>
      </c>
      <c r="I1320" s="11">
        <v>1181</v>
      </c>
      <c r="J1320" s="49" t="s">
        <v>39</v>
      </c>
      <c r="K1320" s="49" t="s">
        <v>76</v>
      </c>
      <c r="L1320" s="49" t="s">
        <v>95</v>
      </c>
      <c r="M1320" s="49" t="s">
        <v>77</v>
      </c>
      <c r="N1320" s="48" t="s">
        <v>79</v>
      </c>
      <c r="O1320" s="49" t="s">
        <v>68</v>
      </c>
      <c r="P1320" s="11" t="s">
        <v>1430</v>
      </c>
      <c r="Q1320" s="11" t="s">
        <v>81</v>
      </c>
      <c r="R1320" s="11" t="s">
        <v>2660</v>
      </c>
      <c r="S1320" s="11" t="s">
        <v>2661</v>
      </c>
      <c r="T1320" s="105" t="s">
        <v>10</v>
      </c>
      <c r="U1320" s="98"/>
      <c r="V1320" s="51">
        <v>45530</v>
      </c>
      <c r="W1320" s="49" t="s">
        <v>68</v>
      </c>
      <c r="X1320" s="154" t="s">
        <v>2948</v>
      </c>
      <c r="Y1320" s="154">
        <v>0</v>
      </c>
    </row>
    <row r="1321" spans="1:25" ht="13" customHeight="1">
      <c r="A1321" s="11">
        <v>1315</v>
      </c>
      <c r="B1321" s="47">
        <v>203875186</v>
      </c>
      <c r="C1321" s="88" t="s">
        <v>1553</v>
      </c>
      <c r="D1321" s="11" t="s">
        <v>1554</v>
      </c>
      <c r="E1321" s="48" t="s">
        <v>31</v>
      </c>
      <c r="F1321" s="48" t="s">
        <v>74</v>
      </c>
      <c r="G1321" s="11" t="s">
        <v>66</v>
      </c>
      <c r="H1321" s="11" t="s">
        <v>1319</v>
      </c>
      <c r="I1321" s="11">
        <v>1181</v>
      </c>
      <c r="J1321" s="49" t="s">
        <v>39</v>
      </c>
      <c r="K1321" s="49" t="s">
        <v>76</v>
      </c>
      <c r="L1321" s="49" t="s">
        <v>77</v>
      </c>
      <c r="M1321" s="49" t="s">
        <v>78</v>
      </c>
      <c r="N1321" s="48" t="s">
        <v>79</v>
      </c>
      <c r="O1321" s="49" t="s">
        <v>68</v>
      </c>
      <c r="P1321" s="11" t="s">
        <v>1430</v>
      </c>
      <c r="Q1321" s="11" t="s">
        <v>81</v>
      </c>
      <c r="R1321" s="11" t="s">
        <v>2660</v>
      </c>
      <c r="S1321" s="11" t="s">
        <v>2661</v>
      </c>
      <c r="T1321" s="105" t="s">
        <v>10</v>
      </c>
      <c r="U1321" s="98"/>
      <c r="V1321" s="51">
        <v>45528</v>
      </c>
      <c r="W1321" s="49" t="s">
        <v>68</v>
      </c>
      <c r="X1321" s="154" t="s">
        <v>2948</v>
      </c>
      <c r="Y1321" s="154">
        <v>0</v>
      </c>
    </row>
    <row r="1322" spans="1:25" ht="13" customHeight="1">
      <c r="A1322" s="11">
        <v>1316</v>
      </c>
      <c r="B1322" s="47">
        <v>206926977</v>
      </c>
      <c r="C1322" s="88" t="s">
        <v>2823</v>
      </c>
      <c r="D1322" s="88" t="s">
        <v>2843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92</v>
      </c>
      <c r="M1322" s="49" t="s">
        <v>84</v>
      </c>
      <c r="N1322" s="49" t="s">
        <v>89</v>
      </c>
      <c r="O1322" s="49" t="s">
        <v>37</v>
      </c>
      <c r="P1322" s="49" t="s">
        <v>80</v>
      </c>
      <c r="Q1322" s="49" t="s">
        <v>81</v>
      </c>
      <c r="R1322" s="49" t="s">
        <v>2779</v>
      </c>
      <c r="S1322" s="49" t="s">
        <v>2780</v>
      </c>
      <c r="T1322" s="105" t="s">
        <v>1</v>
      </c>
      <c r="U1322" s="98"/>
      <c r="V1322" s="51">
        <v>46247</v>
      </c>
      <c r="W1322" s="49" t="s">
        <v>1563</v>
      </c>
      <c r="X1322" s="154" t="s">
        <v>2</v>
      </c>
      <c r="Y1322" s="154" t="s">
        <v>2941</v>
      </c>
    </row>
    <row r="1323" spans="1:25" ht="13" customHeight="1">
      <c r="A1323" s="11">
        <v>1317</v>
      </c>
      <c r="B1323" s="47">
        <v>206897639</v>
      </c>
      <c r="C1323" s="88" t="s">
        <v>2824</v>
      </c>
      <c r="D1323" s="88" t="s">
        <v>2844</v>
      </c>
      <c r="E1323" s="48" t="s">
        <v>31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39</v>
      </c>
      <c r="K1323" s="49" t="s">
        <v>76</v>
      </c>
      <c r="L1323" s="49" t="s">
        <v>92</v>
      </c>
      <c r="M1323" s="49" t="s">
        <v>84</v>
      </c>
      <c r="N1323" s="49" t="s">
        <v>89</v>
      </c>
      <c r="O1323" s="49" t="s">
        <v>37</v>
      </c>
      <c r="P1323" s="49" t="s">
        <v>80</v>
      </c>
      <c r="Q1323" s="49" t="s">
        <v>81</v>
      </c>
      <c r="R1323" s="49" t="s">
        <v>1057</v>
      </c>
      <c r="S1323" s="49" t="s">
        <v>2657</v>
      </c>
      <c r="T1323" s="105" t="s">
        <v>1</v>
      </c>
      <c r="U1323" s="98"/>
      <c r="V1323" s="51">
        <v>46247</v>
      </c>
      <c r="W1323" s="49" t="s">
        <v>1563</v>
      </c>
      <c r="X1323" s="154" t="s">
        <v>2</v>
      </c>
      <c r="Y1323" s="154">
        <v>0</v>
      </c>
    </row>
    <row r="1324" spans="1:25" ht="13" customHeight="1">
      <c r="A1324" s="11">
        <v>1318</v>
      </c>
      <c r="B1324" s="47">
        <v>206239217</v>
      </c>
      <c r="C1324" s="88" t="s">
        <v>2825</v>
      </c>
      <c r="D1324" s="88" t="s">
        <v>2845</v>
      </c>
      <c r="E1324" s="48" t="s">
        <v>31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39</v>
      </c>
      <c r="K1324" s="49" t="s">
        <v>76</v>
      </c>
      <c r="L1324" s="49" t="s">
        <v>85</v>
      </c>
      <c r="M1324" s="49" t="s">
        <v>88</v>
      </c>
      <c r="N1324" s="49" t="s">
        <v>89</v>
      </c>
      <c r="O1324" s="49" t="s">
        <v>37</v>
      </c>
      <c r="P1324" s="49" t="s">
        <v>80</v>
      </c>
      <c r="Q1324" s="49" t="s">
        <v>81</v>
      </c>
      <c r="R1324" s="49" t="s">
        <v>2779</v>
      </c>
      <c r="S1324" s="49" t="s">
        <v>2780</v>
      </c>
      <c r="T1324" s="105" t="s">
        <v>1</v>
      </c>
      <c r="U1324" s="98"/>
      <c r="V1324" s="51">
        <v>46247</v>
      </c>
      <c r="W1324" s="49" t="s">
        <v>1563</v>
      </c>
      <c r="X1324" s="154" t="s">
        <v>2</v>
      </c>
      <c r="Y1324" s="154">
        <v>0</v>
      </c>
    </row>
    <row r="1325" spans="1:25" ht="13" customHeight="1">
      <c r="A1325" s="11">
        <v>1319</v>
      </c>
      <c r="B1325" s="47">
        <v>206926985</v>
      </c>
      <c r="C1325" s="88" t="s">
        <v>2826</v>
      </c>
      <c r="D1325" s="88" t="s">
        <v>2846</v>
      </c>
      <c r="E1325" s="48" t="s">
        <v>31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39</v>
      </c>
      <c r="K1325" s="49" t="s">
        <v>76</v>
      </c>
      <c r="L1325" s="49" t="s">
        <v>95</v>
      </c>
      <c r="M1325" s="49" t="s">
        <v>77</v>
      </c>
      <c r="N1325" s="49" t="s">
        <v>79</v>
      </c>
      <c r="O1325" s="49" t="s">
        <v>37</v>
      </c>
      <c r="P1325" s="49" t="s">
        <v>80</v>
      </c>
      <c r="Q1325" s="49" t="s">
        <v>81</v>
      </c>
      <c r="R1325" s="49" t="s">
        <v>628</v>
      </c>
      <c r="S1325" s="49" t="s">
        <v>629</v>
      </c>
      <c r="T1325" s="105" t="s">
        <v>10</v>
      </c>
      <c r="U1325" s="98"/>
      <c r="V1325" s="51">
        <v>46247</v>
      </c>
      <c r="W1325" s="49" t="s">
        <v>1563</v>
      </c>
      <c r="X1325" s="154" t="s">
        <v>2948</v>
      </c>
      <c r="Y1325" s="154">
        <v>0</v>
      </c>
    </row>
    <row r="1326" spans="1:25" ht="13" customHeight="1">
      <c r="A1326" s="11">
        <v>1320</v>
      </c>
      <c r="B1326" s="47">
        <v>206868290</v>
      </c>
      <c r="C1326" s="88" t="s">
        <v>2827</v>
      </c>
      <c r="D1326" s="88" t="s">
        <v>2847</v>
      </c>
      <c r="E1326" s="48" t="s">
        <v>31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39</v>
      </c>
      <c r="K1326" s="49" t="s">
        <v>76</v>
      </c>
      <c r="L1326" s="49" t="s">
        <v>95</v>
      </c>
      <c r="M1326" s="49" t="s">
        <v>77</v>
      </c>
      <c r="N1326" s="49" t="s">
        <v>89</v>
      </c>
      <c r="O1326" s="49" t="s">
        <v>37</v>
      </c>
      <c r="P1326" s="49" t="s">
        <v>80</v>
      </c>
      <c r="Q1326" s="49" t="s">
        <v>81</v>
      </c>
      <c r="R1326" s="49" t="s">
        <v>624</v>
      </c>
      <c r="S1326" s="49" t="s">
        <v>625</v>
      </c>
      <c r="T1326" s="105" t="s">
        <v>10</v>
      </c>
      <c r="U1326" s="98"/>
      <c r="V1326" s="51">
        <v>46247</v>
      </c>
      <c r="W1326" s="49" t="s">
        <v>1563</v>
      </c>
      <c r="X1326" s="154" t="s">
        <v>2948</v>
      </c>
      <c r="Y1326" s="154">
        <v>0</v>
      </c>
    </row>
    <row r="1327" spans="1:25" ht="13" customHeight="1">
      <c r="A1327" s="11">
        <v>1321</v>
      </c>
      <c r="B1327" s="47">
        <v>206191963</v>
      </c>
      <c r="C1327" s="88" t="s">
        <v>2828</v>
      </c>
      <c r="D1327" s="88" t="s">
        <v>2848</v>
      </c>
      <c r="E1327" s="48" t="s">
        <v>31</v>
      </c>
      <c r="F1327" s="48" t="s">
        <v>74</v>
      </c>
      <c r="G1327" s="11" t="s">
        <v>64</v>
      </c>
      <c r="H1327" s="11" t="s">
        <v>75</v>
      </c>
      <c r="I1327" s="11">
        <v>1299</v>
      </c>
      <c r="J1327" s="49" t="s">
        <v>39</v>
      </c>
      <c r="K1327" s="49" t="s">
        <v>76</v>
      </c>
      <c r="L1327" s="49" t="s">
        <v>78</v>
      </c>
      <c r="M1327" s="49" t="s">
        <v>92</v>
      </c>
      <c r="N1327" s="49" t="s">
        <v>89</v>
      </c>
      <c r="O1327" s="49" t="s">
        <v>37</v>
      </c>
      <c r="P1327" s="49" t="s">
        <v>80</v>
      </c>
      <c r="Q1327" s="49" t="s">
        <v>96</v>
      </c>
      <c r="R1327" s="49" t="s">
        <v>2779</v>
      </c>
      <c r="S1327" s="49" t="s">
        <v>2780</v>
      </c>
      <c r="T1327" s="105" t="s">
        <v>1</v>
      </c>
      <c r="U1327" s="98"/>
      <c r="V1327" s="51">
        <v>46247</v>
      </c>
      <c r="W1327" s="49" t="s">
        <v>1565</v>
      </c>
      <c r="X1327" s="154" t="s">
        <v>2</v>
      </c>
      <c r="Y1327" s="154">
        <v>0</v>
      </c>
    </row>
    <row r="1328" spans="1:25" ht="13" customHeight="1">
      <c r="A1328" s="11">
        <v>1322</v>
      </c>
      <c r="B1328" s="47">
        <v>205275633</v>
      </c>
      <c r="C1328" s="88" t="s">
        <v>2829</v>
      </c>
      <c r="D1328" s="88" t="s">
        <v>2849</v>
      </c>
      <c r="E1328" s="48" t="s">
        <v>31</v>
      </c>
      <c r="F1328" s="48" t="s">
        <v>74</v>
      </c>
      <c r="G1328" s="11" t="s">
        <v>64</v>
      </c>
      <c r="H1328" s="11" t="s">
        <v>75</v>
      </c>
      <c r="I1328" s="11">
        <v>1299</v>
      </c>
      <c r="J1328" s="49" t="s">
        <v>39</v>
      </c>
      <c r="K1328" s="49" t="s">
        <v>76</v>
      </c>
      <c r="L1328" s="49" t="s">
        <v>78</v>
      </c>
      <c r="M1328" s="49" t="s">
        <v>92</v>
      </c>
      <c r="N1328" s="49" t="s">
        <v>89</v>
      </c>
      <c r="O1328" s="49" t="s">
        <v>37</v>
      </c>
      <c r="P1328" s="49" t="s">
        <v>80</v>
      </c>
      <c r="Q1328" s="49" t="s">
        <v>96</v>
      </c>
      <c r="R1328" s="49" t="s">
        <v>628</v>
      </c>
      <c r="S1328" s="49" t="s">
        <v>629</v>
      </c>
      <c r="T1328" s="105" t="s">
        <v>1</v>
      </c>
      <c r="U1328" s="98"/>
      <c r="V1328" s="51">
        <v>46247</v>
      </c>
      <c r="W1328" s="49" t="s">
        <v>1565</v>
      </c>
      <c r="X1328" s="154" t="s">
        <v>2</v>
      </c>
      <c r="Y1328" s="154">
        <v>0</v>
      </c>
    </row>
    <row r="1329" spans="1:25" ht="13" customHeight="1">
      <c r="A1329" s="11">
        <v>1323</v>
      </c>
      <c r="B1329" s="47">
        <v>206606700</v>
      </c>
      <c r="C1329" s="88" t="s">
        <v>2830</v>
      </c>
      <c r="D1329" s="88" t="s">
        <v>2850</v>
      </c>
      <c r="E1329" s="48" t="s">
        <v>31</v>
      </c>
      <c r="F1329" s="48" t="s">
        <v>74</v>
      </c>
      <c r="G1329" s="11" t="s">
        <v>64</v>
      </c>
      <c r="H1329" s="11" t="s">
        <v>75</v>
      </c>
      <c r="I1329" s="11">
        <v>1299</v>
      </c>
      <c r="J1329" s="49" t="s">
        <v>39</v>
      </c>
      <c r="K1329" s="49" t="s">
        <v>76</v>
      </c>
      <c r="L1329" s="49" t="s">
        <v>92</v>
      </c>
      <c r="M1329" s="49" t="s">
        <v>84</v>
      </c>
      <c r="N1329" s="49" t="s">
        <v>89</v>
      </c>
      <c r="O1329" s="49" t="s">
        <v>37</v>
      </c>
      <c r="P1329" s="49" t="s">
        <v>80</v>
      </c>
      <c r="Q1329" s="49" t="s">
        <v>96</v>
      </c>
      <c r="R1329" s="49" t="s">
        <v>624</v>
      </c>
      <c r="S1329" s="49" t="s">
        <v>625</v>
      </c>
      <c r="T1329" s="105" t="s">
        <v>10</v>
      </c>
      <c r="U1329" s="98"/>
      <c r="V1329" s="51">
        <v>46247</v>
      </c>
      <c r="W1329" s="49" t="s">
        <v>1564</v>
      </c>
      <c r="X1329" s="154" t="s">
        <v>2948</v>
      </c>
      <c r="Y1329" s="154">
        <v>0</v>
      </c>
    </row>
    <row r="1330" spans="1:25" ht="13" customHeight="1">
      <c r="A1330" s="11">
        <v>1324</v>
      </c>
      <c r="B1330" s="47">
        <v>206128850</v>
      </c>
      <c r="C1330" s="88" t="s">
        <v>2831</v>
      </c>
      <c r="D1330" s="88" t="s">
        <v>2851</v>
      </c>
      <c r="E1330" s="48" t="s">
        <v>31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49" t="s">
        <v>39</v>
      </c>
      <c r="K1330" s="49" t="s">
        <v>76</v>
      </c>
      <c r="L1330" s="49" t="s">
        <v>84</v>
      </c>
      <c r="M1330" s="49" t="s">
        <v>85</v>
      </c>
      <c r="N1330" s="49" t="s">
        <v>89</v>
      </c>
      <c r="O1330" s="49" t="s">
        <v>37</v>
      </c>
      <c r="P1330" s="49" t="s">
        <v>80</v>
      </c>
      <c r="Q1330" s="49" t="s">
        <v>96</v>
      </c>
      <c r="R1330" s="49" t="s">
        <v>644</v>
      </c>
      <c r="S1330" s="49" t="s">
        <v>1777</v>
      </c>
      <c r="T1330" s="105" t="s">
        <v>1</v>
      </c>
      <c r="U1330" s="98"/>
      <c r="V1330" s="51">
        <v>46247</v>
      </c>
      <c r="W1330" s="49" t="s">
        <v>1563</v>
      </c>
      <c r="X1330" s="154" t="s">
        <v>2</v>
      </c>
      <c r="Y1330" s="154">
        <v>0</v>
      </c>
    </row>
    <row r="1331" spans="1:25" ht="13" customHeight="1">
      <c r="A1331" s="11">
        <v>1325</v>
      </c>
      <c r="B1331" s="47">
        <v>205853572</v>
      </c>
      <c r="C1331" s="88" t="s">
        <v>2832</v>
      </c>
      <c r="D1331" s="88" t="s">
        <v>2852</v>
      </c>
      <c r="E1331" s="48" t="s">
        <v>31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49" t="s">
        <v>39</v>
      </c>
      <c r="K1331" s="49" t="s">
        <v>76</v>
      </c>
      <c r="L1331" s="49" t="s">
        <v>85</v>
      </c>
      <c r="M1331" s="49" t="s">
        <v>88</v>
      </c>
      <c r="N1331" s="49" t="s">
        <v>89</v>
      </c>
      <c r="O1331" s="49" t="s">
        <v>37</v>
      </c>
      <c r="P1331" s="49" t="s">
        <v>80</v>
      </c>
      <c r="Q1331" s="49" t="s">
        <v>96</v>
      </c>
      <c r="R1331" s="49" t="s">
        <v>1057</v>
      </c>
      <c r="S1331" s="49" t="s">
        <v>2657</v>
      </c>
      <c r="T1331" s="105" t="s">
        <v>1</v>
      </c>
      <c r="U1331" s="98"/>
      <c r="V1331" s="51">
        <v>46247</v>
      </c>
      <c r="W1331" s="49" t="s">
        <v>1564</v>
      </c>
      <c r="X1331" s="154" t="s">
        <v>2</v>
      </c>
      <c r="Y1331" s="154">
        <v>0</v>
      </c>
    </row>
    <row r="1332" spans="1:25" ht="13" customHeight="1">
      <c r="A1332" s="11">
        <v>1326</v>
      </c>
      <c r="B1332" s="47">
        <v>205271087</v>
      </c>
      <c r="C1332" s="88" t="s">
        <v>2833</v>
      </c>
      <c r="D1332" s="88" t="s">
        <v>2853</v>
      </c>
      <c r="E1332" s="48" t="s">
        <v>31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49" t="s">
        <v>39</v>
      </c>
      <c r="K1332" s="49" t="s">
        <v>76</v>
      </c>
      <c r="L1332" s="49" t="s">
        <v>95</v>
      </c>
      <c r="M1332" s="49" t="s">
        <v>77</v>
      </c>
      <c r="N1332" s="49" t="s">
        <v>89</v>
      </c>
      <c r="O1332" s="49" t="s">
        <v>37</v>
      </c>
      <c r="P1332" s="49" t="s">
        <v>80</v>
      </c>
      <c r="Q1332" s="49" t="s">
        <v>96</v>
      </c>
      <c r="R1332" s="49" t="s">
        <v>628</v>
      </c>
      <c r="S1332" s="49" t="s">
        <v>629</v>
      </c>
      <c r="T1332" s="105" t="s">
        <v>10</v>
      </c>
      <c r="U1332" s="98"/>
      <c r="V1332" s="51">
        <v>46247</v>
      </c>
      <c r="W1332" s="49" t="s">
        <v>1564</v>
      </c>
      <c r="X1332" s="154" t="s">
        <v>2948</v>
      </c>
      <c r="Y1332" s="154">
        <v>0</v>
      </c>
    </row>
    <row r="1333" spans="1:25" ht="13" customHeight="1">
      <c r="A1333" s="11">
        <v>1327</v>
      </c>
      <c r="B1333" s="47">
        <v>206890214</v>
      </c>
      <c r="C1333" s="88" t="s">
        <v>2834</v>
      </c>
      <c r="D1333" s="88" t="s">
        <v>2854</v>
      </c>
      <c r="E1333" s="48" t="s">
        <v>31</v>
      </c>
      <c r="F1333" s="48" t="s">
        <v>74</v>
      </c>
      <c r="G1333" s="11" t="s">
        <v>64</v>
      </c>
      <c r="H1333" s="11" t="s">
        <v>75</v>
      </c>
      <c r="I1333" s="11">
        <v>1299</v>
      </c>
      <c r="J1333" s="49" t="s">
        <v>39</v>
      </c>
      <c r="K1333" s="49" t="s">
        <v>76</v>
      </c>
      <c r="L1333" s="49" t="s">
        <v>77</v>
      </c>
      <c r="M1333" s="49" t="s">
        <v>78</v>
      </c>
      <c r="N1333" s="49" t="s">
        <v>89</v>
      </c>
      <c r="O1333" s="49" t="s">
        <v>37</v>
      </c>
      <c r="P1333" s="49" t="s">
        <v>80</v>
      </c>
      <c r="Q1333" s="49" t="s">
        <v>96</v>
      </c>
      <c r="R1333" s="49" t="s">
        <v>644</v>
      </c>
      <c r="S1333" s="49" t="s">
        <v>1777</v>
      </c>
      <c r="T1333" s="105" t="s">
        <v>10</v>
      </c>
      <c r="U1333" s="98"/>
      <c r="V1333" s="51">
        <v>46247</v>
      </c>
      <c r="W1333" s="49" t="s">
        <v>1564</v>
      </c>
      <c r="X1333" s="154" t="s">
        <v>2948</v>
      </c>
      <c r="Y1333" s="154">
        <v>0</v>
      </c>
    </row>
    <row r="1334" spans="1:25" ht="13" customHeight="1">
      <c r="A1334" s="11">
        <v>1328</v>
      </c>
      <c r="B1334" s="47">
        <v>206192238</v>
      </c>
      <c r="C1334" s="88" t="s">
        <v>2835</v>
      </c>
      <c r="D1334" s="88" t="s">
        <v>2855</v>
      </c>
      <c r="E1334" s="48" t="s">
        <v>31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49" t="s">
        <v>39</v>
      </c>
      <c r="K1334" s="49" t="s">
        <v>76</v>
      </c>
      <c r="L1334" s="49" t="s">
        <v>78</v>
      </c>
      <c r="M1334" s="49" t="s">
        <v>92</v>
      </c>
      <c r="N1334" s="49" t="s">
        <v>89</v>
      </c>
      <c r="O1334" s="49" t="s">
        <v>37</v>
      </c>
      <c r="P1334" s="49" t="s">
        <v>80</v>
      </c>
      <c r="Q1334" s="49" t="s">
        <v>96</v>
      </c>
      <c r="R1334" s="49" t="s">
        <v>2779</v>
      </c>
      <c r="S1334" s="49" t="s">
        <v>2780</v>
      </c>
      <c r="T1334" s="105" t="s">
        <v>1</v>
      </c>
      <c r="U1334" s="98"/>
      <c r="V1334" s="51">
        <v>46247</v>
      </c>
      <c r="W1334" s="49" t="s">
        <v>1565</v>
      </c>
      <c r="X1334" s="154" t="s">
        <v>2</v>
      </c>
      <c r="Y1334" s="154">
        <v>0</v>
      </c>
    </row>
    <row r="1335" spans="1:25" ht="13" customHeight="1">
      <c r="A1335" s="11">
        <v>1329</v>
      </c>
      <c r="B1335" s="47">
        <v>205853574</v>
      </c>
      <c r="C1335" s="88" t="s">
        <v>2836</v>
      </c>
      <c r="D1335" s="88" t="s">
        <v>2842</v>
      </c>
      <c r="E1335" s="48" t="s">
        <v>31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49" t="s">
        <v>39</v>
      </c>
      <c r="K1335" s="49" t="s">
        <v>76</v>
      </c>
      <c r="L1335" s="49" t="s">
        <v>95</v>
      </c>
      <c r="M1335" s="49" t="s">
        <v>77</v>
      </c>
      <c r="N1335" s="49" t="s">
        <v>79</v>
      </c>
      <c r="O1335" s="49" t="s">
        <v>37</v>
      </c>
      <c r="P1335" s="49" t="s">
        <v>80</v>
      </c>
      <c r="Q1335" s="49" t="s">
        <v>96</v>
      </c>
      <c r="R1335" s="49" t="s">
        <v>1057</v>
      </c>
      <c r="S1335" s="49" t="s">
        <v>2657</v>
      </c>
      <c r="T1335" s="105" t="s">
        <v>10</v>
      </c>
      <c r="U1335" s="98"/>
      <c r="V1335" s="51">
        <v>46247</v>
      </c>
      <c r="W1335" s="49" t="s">
        <v>1564</v>
      </c>
      <c r="X1335" s="154" t="s">
        <v>2948</v>
      </c>
      <c r="Y1335" s="154">
        <v>0</v>
      </c>
    </row>
    <row r="1336" spans="1:25" ht="13" customHeight="1">
      <c r="A1336" s="11">
        <v>1330</v>
      </c>
      <c r="B1336" s="11">
        <v>205281151</v>
      </c>
      <c r="C1336" s="88" t="s">
        <v>2856</v>
      </c>
      <c r="D1336" s="11" t="s">
        <v>2895</v>
      </c>
      <c r="E1336" s="11" t="s">
        <v>31</v>
      </c>
      <c r="F1336" s="11" t="s">
        <v>74</v>
      </c>
      <c r="G1336" s="11" t="s">
        <v>64</v>
      </c>
      <c r="H1336" s="11" t="s">
        <v>75</v>
      </c>
      <c r="I1336" s="11">
        <v>1299</v>
      </c>
      <c r="J1336" s="11" t="s">
        <v>39</v>
      </c>
      <c r="K1336" s="11" t="s">
        <v>76</v>
      </c>
      <c r="L1336" s="11" t="s">
        <v>2934</v>
      </c>
      <c r="M1336" s="11" t="s">
        <v>2935</v>
      </c>
      <c r="N1336" s="11" t="s">
        <v>89</v>
      </c>
      <c r="O1336" s="11" t="s">
        <v>37</v>
      </c>
      <c r="P1336" s="11" t="s">
        <v>80</v>
      </c>
      <c r="Q1336" s="11" t="s">
        <v>96</v>
      </c>
      <c r="R1336" s="11" t="s">
        <v>628</v>
      </c>
      <c r="S1336" s="11" t="s">
        <v>629</v>
      </c>
      <c r="T1336" s="105" t="s">
        <v>1</v>
      </c>
      <c r="U1336" s="98"/>
      <c r="V1336" s="51">
        <v>46252</v>
      </c>
      <c r="W1336" s="49" t="s">
        <v>1564</v>
      </c>
      <c r="X1336" s="154" t="s">
        <v>2</v>
      </c>
      <c r="Y1336" s="154" t="s">
        <v>2941</v>
      </c>
    </row>
    <row r="1337" spans="1:25" ht="13" customHeight="1">
      <c r="A1337" s="11">
        <v>1331</v>
      </c>
      <c r="B1337" s="11">
        <v>206897551</v>
      </c>
      <c r="C1337" s="88" t="s">
        <v>2857</v>
      </c>
      <c r="D1337" s="11" t="s">
        <v>2896</v>
      </c>
      <c r="E1337" s="11" t="s">
        <v>31</v>
      </c>
      <c r="F1337" s="11" t="s">
        <v>74</v>
      </c>
      <c r="G1337" s="11" t="s">
        <v>64</v>
      </c>
      <c r="H1337" s="11" t="s">
        <v>75</v>
      </c>
      <c r="I1337" s="11">
        <v>1299</v>
      </c>
      <c r="J1337" s="11" t="s">
        <v>39</v>
      </c>
      <c r="K1337" s="11" t="s">
        <v>76</v>
      </c>
      <c r="L1337" s="11" t="s">
        <v>2935</v>
      </c>
      <c r="M1337" s="11" t="s">
        <v>2936</v>
      </c>
      <c r="N1337" s="49" t="s">
        <v>79</v>
      </c>
      <c r="O1337" s="11" t="s">
        <v>37</v>
      </c>
      <c r="P1337" s="11" t="s">
        <v>80</v>
      </c>
      <c r="Q1337" s="11" t="s">
        <v>81</v>
      </c>
      <c r="R1337" s="11" t="s">
        <v>624</v>
      </c>
      <c r="S1337" s="11" t="s">
        <v>625</v>
      </c>
      <c r="T1337" s="105" t="s">
        <v>1</v>
      </c>
      <c r="U1337" s="98"/>
      <c r="V1337" s="51">
        <v>46252</v>
      </c>
      <c r="W1337" s="49" t="s">
        <v>1565</v>
      </c>
      <c r="X1337" s="154" t="s">
        <v>2</v>
      </c>
      <c r="Y1337" s="154">
        <v>0</v>
      </c>
    </row>
    <row r="1338" spans="1:25" ht="13" customHeight="1">
      <c r="A1338" s="11">
        <v>1332</v>
      </c>
      <c r="B1338" s="11">
        <v>205276302</v>
      </c>
      <c r="C1338" s="88" t="s">
        <v>2858</v>
      </c>
      <c r="D1338" s="11" t="s">
        <v>2897</v>
      </c>
      <c r="E1338" s="11" t="s">
        <v>31</v>
      </c>
      <c r="F1338" s="11" t="s">
        <v>74</v>
      </c>
      <c r="G1338" s="11" t="s">
        <v>64</v>
      </c>
      <c r="H1338" s="11" t="s">
        <v>75</v>
      </c>
      <c r="I1338" s="11">
        <v>1299</v>
      </c>
      <c r="J1338" s="11" t="s">
        <v>39</v>
      </c>
      <c r="K1338" s="11" t="s">
        <v>76</v>
      </c>
      <c r="L1338" s="11" t="s">
        <v>85</v>
      </c>
      <c r="M1338" s="11" t="s">
        <v>88</v>
      </c>
      <c r="N1338" s="11" t="s">
        <v>89</v>
      </c>
      <c r="O1338" s="11" t="s">
        <v>37</v>
      </c>
      <c r="P1338" s="11" t="s">
        <v>80</v>
      </c>
      <c r="Q1338" s="11" t="s">
        <v>96</v>
      </c>
      <c r="R1338" s="11" t="s">
        <v>628</v>
      </c>
      <c r="S1338" s="11" t="s">
        <v>629</v>
      </c>
      <c r="T1338" s="105" t="s">
        <v>1</v>
      </c>
      <c r="U1338" s="98"/>
      <c r="V1338" s="51">
        <v>46252</v>
      </c>
      <c r="W1338" s="49" t="s">
        <v>1564</v>
      </c>
      <c r="X1338" s="154" t="s">
        <v>2</v>
      </c>
      <c r="Y1338" s="154">
        <v>0</v>
      </c>
    </row>
    <row r="1339" spans="1:25" ht="13" customHeight="1">
      <c r="A1339" s="11">
        <v>1333</v>
      </c>
      <c r="B1339" s="11">
        <v>206897556</v>
      </c>
      <c r="C1339" s="88" t="s">
        <v>2859</v>
      </c>
      <c r="D1339" s="11" t="s">
        <v>2898</v>
      </c>
      <c r="E1339" s="11" t="s">
        <v>31</v>
      </c>
      <c r="F1339" s="11" t="s">
        <v>74</v>
      </c>
      <c r="G1339" s="11" t="s">
        <v>64</v>
      </c>
      <c r="H1339" s="11" t="s">
        <v>75</v>
      </c>
      <c r="I1339" s="11">
        <v>1299</v>
      </c>
      <c r="J1339" s="11" t="s">
        <v>39</v>
      </c>
      <c r="K1339" s="11" t="s">
        <v>76</v>
      </c>
      <c r="L1339" s="11" t="s">
        <v>2937</v>
      </c>
      <c r="M1339" s="11" t="s">
        <v>2934</v>
      </c>
      <c r="N1339" s="49" t="s">
        <v>79</v>
      </c>
      <c r="O1339" s="11" t="s">
        <v>37</v>
      </c>
      <c r="P1339" s="11" t="s">
        <v>80</v>
      </c>
      <c r="Q1339" s="11" t="s">
        <v>81</v>
      </c>
      <c r="R1339" s="11" t="s">
        <v>624</v>
      </c>
      <c r="S1339" s="11" t="s">
        <v>625</v>
      </c>
      <c r="T1339" s="105" t="s">
        <v>1</v>
      </c>
      <c r="U1339" s="98"/>
      <c r="V1339" s="51">
        <v>46252</v>
      </c>
      <c r="W1339" s="49" t="s">
        <v>1564</v>
      </c>
      <c r="X1339" s="154" t="s">
        <v>2</v>
      </c>
      <c r="Y1339" s="154">
        <v>0</v>
      </c>
    </row>
    <row r="1340" spans="1:25" ht="13" customHeight="1">
      <c r="A1340" s="11">
        <v>1334</v>
      </c>
      <c r="B1340" s="11">
        <v>206128580</v>
      </c>
      <c r="C1340" s="88" t="s">
        <v>2860</v>
      </c>
      <c r="D1340" s="11" t="s">
        <v>2899</v>
      </c>
      <c r="E1340" s="11" t="s">
        <v>31</v>
      </c>
      <c r="F1340" s="11" t="s">
        <v>74</v>
      </c>
      <c r="G1340" s="11" t="s">
        <v>64</v>
      </c>
      <c r="H1340" s="11" t="s">
        <v>75</v>
      </c>
      <c r="I1340" s="11">
        <v>1299</v>
      </c>
      <c r="J1340" s="11" t="s">
        <v>39</v>
      </c>
      <c r="K1340" s="11" t="s">
        <v>76</v>
      </c>
      <c r="L1340" s="11" t="s">
        <v>2934</v>
      </c>
      <c r="M1340" s="11" t="s">
        <v>2935</v>
      </c>
      <c r="N1340" s="11" t="s">
        <v>89</v>
      </c>
      <c r="O1340" s="11" t="s">
        <v>37</v>
      </c>
      <c r="P1340" s="11" t="s">
        <v>80</v>
      </c>
      <c r="Q1340" s="11" t="s">
        <v>96</v>
      </c>
      <c r="R1340" s="11" t="s">
        <v>628</v>
      </c>
      <c r="S1340" s="11" t="s">
        <v>629</v>
      </c>
      <c r="T1340" s="105" t="s">
        <v>1</v>
      </c>
      <c r="U1340" s="98"/>
      <c r="V1340" s="51">
        <v>46252</v>
      </c>
      <c r="W1340" s="49" t="s">
        <v>1563</v>
      </c>
      <c r="X1340" s="154" t="s">
        <v>2</v>
      </c>
      <c r="Y1340" s="154">
        <v>0</v>
      </c>
    </row>
    <row r="1341" spans="1:25" ht="13" customHeight="1">
      <c r="A1341" s="11">
        <v>1335</v>
      </c>
      <c r="B1341" s="11">
        <v>205854276</v>
      </c>
      <c r="C1341" s="88" t="s">
        <v>2861</v>
      </c>
      <c r="D1341" s="11" t="s">
        <v>2900</v>
      </c>
      <c r="E1341" s="11" t="s">
        <v>31</v>
      </c>
      <c r="F1341" s="11" t="s">
        <v>74</v>
      </c>
      <c r="G1341" s="11" t="s">
        <v>64</v>
      </c>
      <c r="H1341" s="11" t="s">
        <v>75</v>
      </c>
      <c r="I1341" s="11">
        <v>1299</v>
      </c>
      <c r="J1341" s="11" t="s">
        <v>39</v>
      </c>
      <c r="K1341" s="11" t="s">
        <v>76</v>
      </c>
      <c r="L1341" s="11" t="s">
        <v>2935</v>
      </c>
      <c r="M1341" s="11" t="s">
        <v>2936</v>
      </c>
      <c r="N1341" s="11" t="s">
        <v>89</v>
      </c>
      <c r="O1341" s="11" t="s">
        <v>37</v>
      </c>
      <c r="P1341" s="11" t="s">
        <v>80</v>
      </c>
      <c r="Q1341" s="11" t="s">
        <v>96</v>
      </c>
      <c r="R1341" s="11" t="s">
        <v>628</v>
      </c>
      <c r="S1341" s="11" t="s">
        <v>629</v>
      </c>
      <c r="T1341" s="105" t="s">
        <v>1</v>
      </c>
      <c r="U1341" s="98"/>
      <c r="V1341" s="51">
        <v>46252</v>
      </c>
      <c r="W1341" s="49" t="s">
        <v>1564</v>
      </c>
      <c r="X1341" s="154" t="s">
        <v>2</v>
      </c>
      <c r="Y1341" s="154">
        <v>0</v>
      </c>
    </row>
    <row r="1342" spans="1:25" ht="13" customHeight="1">
      <c r="A1342" s="11">
        <v>1336</v>
      </c>
      <c r="B1342" s="11">
        <v>206886517</v>
      </c>
      <c r="C1342" s="88" t="s">
        <v>2862</v>
      </c>
      <c r="D1342" s="11" t="s">
        <v>2901</v>
      </c>
      <c r="E1342" s="11" t="s">
        <v>31</v>
      </c>
      <c r="F1342" s="11" t="s">
        <v>74</v>
      </c>
      <c r="G1342" s="11" t="s">
        <v>64</v>
      </c>
      <c r="H1342" s="11" t="s">
        <v>75</v>
      </c>
      <c r="I1342" s="11">
        <v>1299</v>
      </c>
      <c r="J1342" s="11" t="s">
        <v>39</v>
      </c>
      <c r="K1342" s="11" t="s">
        <v>76</v>
      </c>
      <c r="L1342" s="11" t="s">
        <v>2936</v>
      </c>
      <c r="M1342" s="11" t="s">
        <v>2938</v>
      </c>
      <c r="N1342" s="11" t="s">
        <v>89</v>
      </c>
      <c r="O1342" s="11" t="s">
        <v>37</v>
      </c>
      <c r="P1342" s="11" t="s">
        <v>80</v>
      </c>
      <c r="Q1342" s="11" t="s">
        <v>96</v>
      </c>
      <c r="R1342" s="11" t="s">
        <v>628</v>
      </c>
      <c r="S1342" s="11" t="s">
        <v>629</v>
      </c>
      <c r="T1342" s="105" t="s">
        <v>1</v>
      </c>
      <c r="U1342" s="98"/>
      <c r="V1342" s="51">
        <v>46252</v>
      </c>
      <c r="W1342" s="49" t="s">
        <v>1564</v>
      </c>
      <c r="X1342" s="154" t="s">
        <v>2</v>
      </c>
      <c r="Y1342" s="154">
        <v>0</v>
      </c>
    </row>
    <row r="1343" spans="1:25" ht="13" customHeight="1">
      <c r="A1343" s="11">
        <v>1337</v>
      </c>
      <c r="B1343" s="11">
        <v>205271074</v>
      </c>
      <c r="C1343" s="88" t="s">
        <v>2863</v>
      </c>
      <c r="D1343" s="11" t="s">
        <v>2902</v>
      </c>
      <c r="E1343" s="11" t="s">
        <v>31</v>
      </c>
      <c r="F1343" s="11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2938</v>
      </c>
      <c r="M1343" s="11" t="s">
        <v>2939</v>
      </c>
      <c r="N1343" s="11" t="s">
        <v>89</v>
      </c>
      <c r="O1343" s="11" t="s">
        <v>37</v>
      </c>
      <c r="P1343" s="11" t="s">
        <v>80</v>
      </c>
      <c r="Q1343" s="11" t="s">
        <v>96</v>
      </c>
      <c r="R1343" s="11" t="s">
        <v>628</v>
      </c>
      <c r="S1343" s="11" t="s">
        <v>629</v>
      </c>
      <c r="T1343" s="105" t="s">
        <v>1</v>
      </c>
      <c r="U1343" s="98"/>
      <c r="V1343" s="51">
        <v>46252</v>
      </c>
      <c r="W1343" s="49" t="s">
        <v>1564</v>
      </c>
      <c r="X1343" s="154" t="s">
        <v>2</v>
      </c>
      <c r="Y1343" s="154">
        <v>0</v>
      </c>
    </row>
    <row r="1344" spans="1:25" ht="13" customHeight="1">
      <c r="A1344" s="11">
        <v>1338</v>
      </c>
      <c r="B1344" s="11">
        <v>205852634</v>
      </c>
      <c r="C1344" s="88" t="s">
        <v>2864</v>
      </c>
      <c r="D1344" s="11" t="s">
        <v>2903</v>
      </c>
      <c r="E1344" s="11" t="s">
        <v>31</v>
      </c>
      <c r="F1344" s="11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2939</v>
      </c>
      <c r="M1344" s="11" t="s">
        <v>2940</v>
      </c>
      <c r="N1344" s="49" t="s">
        <v>79</v>
      </c>
      <c r="O1344" s="11" t="s">
        <v>37</v>
      </c>
      <c r="P1344" s="11" t="s">
        <v>80</v>
      </c>
      <c r="Q1344" s="11" t="s">
        <v>96</v>
      </c>
      <c r="R1344" s="11" t="s">
        <v>628</v>
      </c>
      <c r="S1344" s="11" t="s">
        <v>629</v>
      </c>
      <c r="T1344" s="105" t="s">
        <v>10</v>
      </c>
      <c r="U1344" s="98"/>
      <c r="V1344" s="51">
        <v>46252</v>
      </c>
      <c r="W1344" s="49" t="s">
        <v>1564</v>
      </c>
      <c r="X1344" s="154" t="s">
        <v>2948</v>
      </c>
      <c r="Y1344" s="154">
        <v>0</v>
      </c>
    </row>
    <row r="1345" spans="1:25" ht="13" customHeight="1">
      <c r="A1345" s="11">
        <v>1339</v>
      </c>
      <c r="B1345" s="11">
        <v>205127248</v>
      </c>
      <c r="C1345" s="88" t="s">
        <v>2865</v>
      </c>
      <c r="D1345" s="11" t="s">
        <v>2904</v>
      </c>
      <c r="E1345" s="11" t="s">
        <v>31</v>
      </c>
      <c r="F1345" s="11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2940</v>
      </c>
      <c r="M1345" s="11" t="s">
        <v>78</v>
      </c>
      <c r="N1345" s="11" t="s">
        <v>89</v>
      </c>
      <c r="O1345" s="11" t="s">
        <v>37</v>
      </c>
      <c r="P1345" s="11" t="s">
        <v>80</v>
      </c>
      <c r="Q1345" s="11" t="s">
        <v>96</v>
      </c>
      <c r="R1345" s="11" t="s">
        <v>628</v>
      </c>
      <c r="S1345" s="11" t="s">
        <v>629</v>
      </c>
      <c r="T1345" s="105" t="s">
        <v>10</v>
      </c>
      <c r="U1345" s="98"/>
      <c r="V1345" s="51">
        <v>46252</v>
      </c>
      <c r="W1345" s="49" t="s">
        <v>1564</v>
      </c>
      <c r="X1345" s="154" t="s">
        <v>2948</v>
      </c>
      <c r="Y1345" s="154">
        <v>0</v>
      </c>
    </row>
    <row r="1346" spans="1:25" ht="13" customHeight="1">
      <c r="A1346" s="11">
        <v>1340</v>
      </c>
      <c r="B1346" s="11">
        <v>206138681</v>
      </c>
      <c r="C1346" s="88" t="s">
        <v>2866</v>
      </c>
      <c r="D1346" s="11" t="s">
        <v>2905</v>
      </c>
      <c r="E1346" s="11" t="s">
        <v>31</v>
      </c>
      <c r="F1346" s="11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2937</v>
      </c>
      <c r="M1346" s="11" t="s">
        <v>2934</v>
      </c>
      <c r="N1346" s="49" t="s">
        <v>79</v>
      </c>
      <c r="O1346" s="11" t="s">
        <v>37</v>
      </c>
      <c r="P1346" s="11" t="s">
        <v>80</v>
      </c>
      <c r="Q1346" s="11" t="s">
        <v>81</v>
      </c>
      <c r="R1346" s="11" t="s">
        <v>624</v>
      </c>
      <c r="S1346" s="11" t="s">
        <v>625</v>
      </c>
      <c r="T1346" s="105" t="s">
        <v>1</v>
      </c>
      <c r="U1346" s="98"/>
      <c r="V1346" s="51">
        <v>46252</v>
      </c>
      <c r="W1346" s="49" t="s">
        <v>1564</v>
      </c>
      <c r="X1346" s="154" t="s">
        <v>2</v>
      </c>
      <c r="Y1346" s="154">
        <v>0</v>
      </c>
    </row>
    <row r="1347" spans="1:25" ht="13" customHeight="1">
      <c r="A1347" s="11">
        <v>1341</v>
      </c>
      <c r="B1347" s="11">
        <v>205252530</v>
      </c>
      <c r="C1347" s="88" t="s">
        <v>2867</v>
      </c>
      <c r="D1347" s="11" t="s">
        <v>2906</v>
      </c>
      <c r="E1347" s="11" t="s">
        <v>31</v>
      </c>
      <c r="F1347" s="11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2935</v>
      </c>
      <c r="M1347" s="11" t="s">
        <v>2936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628</v>
      </c>
      <c r="S1347" s="11" t="s">
        <v>629</v>
      </c>
      <c r="T1347" s="105" t="s">
        <v>1</v>
      </c>
      <c r="U1347" s="98"/>
      <c r="V1347" s="51">
        <v>46252</v>
      </c>
      <c r="W1347" s="49" t="s">
        <v>1564</v>
      </c>
      <c r="X1347" s="154" t="s">
        <v>2</v>
      </c>
      <c r="Y1347" s="154">
        <v>0</v>
      </c>
    </row>
    <row r="1348" spans="1:25" ht="13" customHeight="1">
      <c r="A1348" s="11">
        <v>1342</v>
      </c>
      <c r="B1348" s="11">
        <v>205852637</v>
      </c>
      <c r="C1348" s="88" t="s">
        <v>2868</v>
      </c>
      <c r="D1348" s="11" t="s">
        <v>2907</v>
      </c>
      <c r="E1348" s="11" t="s">
        <v>31</v>
      </c>
      <c r="F1348" s="11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2936</v>
      </c>
      <c r="M1348" s="11" t="s">
        <v>2938</v>
      </c>
      <c r="N1348" s="49" t="s">
        <v>79</v>
      </c>
      <c r="O1348" s="11" t="s">
        <v>37</v>
      </c>
      <c r="P1348" s="11" t="s">
        <v>80</v>
      </c>
      <c r="Q1348" s="11" t="s">
        <v>96</v>
      </c>
      <c r="R1348" s="11" t="s">
        <v>628</v>
      </c>
      <c r="S1348" s="11" t="s">
        <v>629</v>
      </c>
      <c r="T1348" s="105" t="s">
        <v>1</v>
      </c>
      <c r="U1348" s="98"/>
      <c r="V1348" s="51">
        <v>46252</v>
      </c>
      <c r="W1348" s="49" t="s">
        <v>1564</v>
      </c>
      <c r="X1348" s="154" t="s">
        <v>2</v>
      </c>
      <c r="Y1348" s="154">
        <v>0</v>
      </c>
    </row>
    <row r="1349" spans="1:25" ht="13" customHeight="1">
      <c r="A1349" s="11">
        <v>1343</v>
      </c>
      <c r="B1349" s="11">
        <v>206868289</v>
      </c>
      <c r="C1349" s="88" t="s">
        <v>2869</v>
      </c>
      <c r="D1349" s="11" t="s">
        <v>2908</v>
      </c>
      <c r="E1349" s="11" t="s">
        <v>31</v>
      </c>
      <c r="F1349" s="11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2938</v>
      </c>
      <c r="M1349" s="11" t="s">
        <v>2939</v>
      </c>
      <c r="N1349" s="11" t="s">
        <v>89</v>
      </c>
      <c r="O1349" s="11" t="s">
        <v>37</v>
      </c>
      <c r="P1349" s="11" t="s">
        <v>80</v>
      </c>
      <c r="Q1349" s="11" t="s">
        <v>81</v>
      </c>
      <c r="R1349" s="11" t="s">
        <v>624</v>
      </c>
      <c r="S1349" s="11" t="s">
        <v>625</v>
      </c>
      <c r="T1349" s="105" t="s">
        <v>1</v>
      </c>
      <c r="U1349" s="98"/>
      <c r="V1349" s="51">
        <v>46252</v>
      </c>
      <c r="W1349" s="49" t="s">
        <v>1563</v>
      </c>
      <c r="X1349" s="154" t="s">
        <v>2</v>
      </c>
      <c r="Y1349" s="154">
        <v>0</v>
      </c>
    </row>
    <row r="1350" spans="1:25" ht="13" customHeight="1">
      <c r="A1350" s="11">
        <v>1344</v>
      </c>
      <c r="B1350" s="11">
        <v>206605136</v>
      </c>
      <c r="C1350" s="88" t="s">
        <v>2870</v>
      </c>
      <c r="D1350" s="11" t="s">
        <v>2909</v>
      </c>
      <c r="E1350" s="11" t="s">
        <v>31</v>
      </c>
      <c r="F1350" s="11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2939</v>
      </c>
      <c r="M1350" s="11" t="s">
        <v>2940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1057</v>
      </c>
      <c r="S1350" s="11" t="s">
        <v>2657</v>
      </c>
      <c r="T1350" s="105" t="s">
        <v>10</v>
      </c>
      <c r="U1350" s="98"/>
      <c r="V1350" s="51">
        <v>46252</v>
      </c>
      <c r="W1350" s="49" t="s">
        <v>1564</v>
      </c>
      <c r="X1350" s="154" t="s">
        <v>2948</v>
      </c>
      <c r="Y1350" s="154">
        <v>0</v>
      </c>
    </row>
    <row r="1351" spans="1:25" ht="13" customHeight="1">
      <c r="A1351" s="11">
        <v>1345</v>
      </c>
      <c r="B1351" s="11">
        <v>206886736</v>
      </c>
      <c r="C1351" s="88" t="s">
        <v>2871</v>
      </c>
      <c r="D1351" s="11" t="s">
        <v>2910</v>
      </c>
      <c r="E1351" s="11" t="s">
        <v>31</v>
      </c>
      <c r="F1351" s="11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2940</v>
      </c>
      <c r="M1351" s="11" t="s">
        <v>78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1057</v>
      </c>
      <c r="S1351" s="11" t="s">
        <v>2657</v>
      </c>
      <c r="T1351" s="105" t="s">
        <v>10</v>
      </c>
      <c r="U1351" s="98"/>
      <c r="V1351" s="51">
        <v>46252</v>
      </c>
      <c r="W1351" s="49" t="s">
        <v>1565</v>
      </c>
      <c r="X1351" s="154" t="s">
        <v>2948</v>
      </c>
      <c r="Y1351" s="154">
        <v>0</v>
      </c>
    </row>
    <row r="1352" spans="1:25" ht="13" customHeight="1">
      <c r="A1352" s="11">
        <v>1346</v>
      </c>
      <c r="B1352" s="11">
        <v>206868002</v>
      </c>
      <c r="C1352" s="88" t="s">
        <v>2872</v>
      </c>
      <c r="D1352" s="11" t="s">
        <v>2911</v>
      </c>
      <c r="E1352" s="11" t="s">
        <v>31</v>
      </c>
      <c r="F1352" s="11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2937</v>
      </c>
      <c r="M1352" s="11" t="s">
        <v>2934</v>
      </c>
      <c r="N1352" s="11" t="s">
        <v>89</v>
      </c>
      <c r="O1352" s="11" t="s">
        <v>37</v>
      </c>
      <c r="P1352" s="11" t="s">
        <v>80</v>
      </c>
      <c r="Q1352" s="11" t="s">
        <v>81</v>
      </c>
      <c r="R1352" s="11" t="s">
        <v>624</v>
      </c>
      <c r="S1352" s="11" t="s">
        <v>625</v>
      </c>
      <c r="T1352" s="105" t="s">
        <v>1</v>
      </c>
      <c r="U1352" s="98"/>
      <c r="V1352" s="51">
        <v>46252</v>
      </c>
      <c r="W1352" s="49" t="s">
        <v>1563</v>
      </c>
      <c r="X1352" s="154" t="s">
        <v>2</v>
      </c>
      <c r="Y1352" s="154">
        <v>0</v>
      </c>
    </row>
    <row r="1353" spans="1:25" ht="13" customHeight="1">
      <c r="A1353" s="11">
        <v>1347</v>
      </c>
      <c r="B1353" s="11">
        <v>206884029</v>
      </c>
      <c r="C1353" s="88" t="s">
        <v>2873</v>
      </c>
      <c r="D1353" s="11" t="s">
        <v>2912</v>
      </c>
      <c r="E1353" s="11" t="s">
        <v>31</v>
      </c>
      <c r="F1353" s="11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2934</v>
      </c>
      <c r="M1353" s="11" t="s">
        <v>2935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1057</v>
      </c>
      <c r="S1353" s="11" t="s">
        <v>2657</v>
      </c>
      <c r="T1353" s="105" t="s">
        <v>1</v>
      </c>
      <c r="U1353" s="98"/>
      <c r="V1353" s="51">
        <v>46252</v>
      </c>
      <c r="W1353" s="49" t="s">
        <v>1565</v>
      </c>
      <c r="X1353" s="154" t="s">
        <v>2</v>
      </c>
      <c r="Y1353" s="154">
        <v>0</v>
      </c>
    </row>
    <row r="1354" spans="1:25" ht="13" customHeight="1">
      <c r="A1354" s="11">
        <v>1348</v>
      </c>
      <c r="B1354" s="11">
        <v>206890216</v>
      </c>
      <c r="C1354" s="88" t="s">
        <v>2874</v>
      </c>
      <c r="D1354" s="11" t="s">
        <v>2913</v>
      </c>
      <c r="E1354" s="11" t="s">
        <v>31</v>
      </c>
      <c r="F1354" s="11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2935</v>
      </c>
      <c r="M1354" s="11" t="s">
        <v>2936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1057</v>
      </c>
      <c r="S1354" s="11" t="s">
        <v>2657</v>
      </c>
      <c r="T1354" s="105" t="s">
        <v>1</v>
      </c>
      <c r="U1354" s="98"/>
      <c r="V1354" s="51">
        <v>46252</v>
      </c>
      <c r="W1354" s="49" t="s">
        <v>1564</v>
      </c>
      <c r="X1354" s="154" t="s">
        <v>2</v>
      </c>
      <c r="Y1354" s="154">
        <v>0</v>
      </c>
    </row>
    <row r="1355" spans="1:25" ht="13" customHeight="1">
      <c r="A1355" s="11">
        <v>1349</v>
      </c>
      <c r="B1355" s="11">
        <v>205252539</v>
      </c>
      <c r="C1355" s="88" t="s">
        <v>2875</v>
      </c>
      <c r="D1355" s="11" t="s">
        <v>2914</v>
      </c>
      <c r="E1355" s="11" t="s">
        <v>31</v>
      </c>
      <c r="F1355" s="11" t="s">
        <v>74</v>
      </c>
      <c r="G1355" s="11" t="s">
        <v>64</v>
      </c>
      <c r="H1355" s="11" t="s">
        <v>75</v>
      </c>
      <c r="I1355" s="11">
        <v>1299</v>
      </c>
      <c r="J1355" s="11" t="s">
        <v>39</v>
      </c>
      <c r="K1355" s="11" t="s">
        <v>76</v>
      </c>
      <c r="L1355" s="11" t="s">
        <v>2936</v>
      </c>
      <c r="M1355" s="11" t="s">
        <v>2938</v>
      </c>
      <c r="N1355" s="11" t="s">
        <v>89</v>
      </c>
      <c r="O1355" s="11" t="s">
        <v>37</v>
      </c>
      <c r="P1355" s="11" t="s">
        <v>80</v>
      </c>
      <c r="Q1355" s="11" t="s">
        <v>96</v>
      </c>
      <c r="R1355" s="11" t="s">
        <v>1057</v>
      </c>
      <c r="S1355" s="11" t="s">
        <v>2657</v>
      </c>
      <c r="T1355" s="105" t="s">
        <v>1</v>
      </c>
      <c r="U1355" s="98"/>
      <c r="V1355" s="51">
        <v>46252</v>
      </c>
      <c r="W1355" s="49" t="s">
        <v>1564</v>
      </c>
      <c r="X1355" s="154" t="s">
        <v>2</v>
      </c>
      <c r="Y1355" s="154" t="s">
        <v>2941</v>
      </c>
    </row>
    <row r="1356" spans="1:25" ht="13" customHeight="1">
      <c r="A1356" s="11">
        <v>1350</v>
      </c>
      <c r="B1356" s="11">
        <v>205627233</v>
      </c>
      <c r="C1356" s="88" t="s">
        <v>2876</v>
      </c>
      <c r="D1356" s="11" t="s">
        <v>2915</v>
      </c>
      <c r="E1356" s="11" t="s">
        <v>31</v>
      </c>
      <c r="F1356" s="11" t="s">
        <v>74</v>
      </c>
      <c r="G1356" s="11" t="s">
        <v>64</v>
      </c>
      <c r="H1356" s="11" t="s">
        <v>75</v>
      </c>
      <c r="I1356" s="11">
        <v>1299</v>
      </c>
      <c r="J1356" s="11" t="s">
        <v>39</v>
      </c>
      <c r="K1356" s="11" t="s">
        <v>76</v>
      </c>
      <c r="L1356" s="11" t="s">
        <v>2938</v>
      </c>
      <c r="M1356" s="11" t="s">
        <v>2939</v>
      </c>
      <c r="N1356" s="11" t="s">
        <v>89</v>
      </c>
      <c r="O1356" s="11" t="s">
        <v>37</v>
      </c>
      <c r="P1356" s="11" t="s">
        <v>80</v>
      </c>
      <c r="Q1356" s="11" t="s">
        <v>96</v>
      </c>
      <c r="R1356" s="11" t="s">
        <v>1057</v>
      </c>
      <c r="S1356" s="11" t="s">
        <v>2657</v>
      </c>
      <c r="T1356" s="105" t="s">
        <v>1</v>
      </c>
      <c r="U1356" s="98"/>
      <c r="V1356" s="51">
        <v>46252</v>
      </c>
      <c r="W1356" s="49" t="s">
        <v>1564</v>
      </c>
      <c r="X1356" s="154" t="s">
        <v>2</v>
      </c>
      <c r="Y1356" s="154">
        <v>0</v>
      </c>
    </row>
    <row r="1357" spans="1:25" ht="13" customHeight="1">
      <c r="A1357" s="11">
        <v>1351</v>
      </c>
      <c r="B1357" s="11">
        <v>205996133</v>
      </c>
      <c r="C1357" s="88" t="s">
        <v>2877</v>
      </c>
      <c r="D1357" s="11" t="s">
        <v>2916</v>
      </c>
      <c r="E1357" s="11" t="s">
        <v>31</v>
      </c>
      <c r="F1357" s="11" t="s">
        <v>74</v>
      </c>
      <c r="G1357" s="11" t="s">
        <v>64</v>
      </c>
      <c r="H1357" s="11" t="s">
        <v>75</v>
      </c>
      <c r="I1357" s="11">
        <v>1299</v>
      </c>
      <c r="J1357" s="11" t="s">
        <v>39</v>
      </c>
      <c r="K1357" s="11" t="s">
        <v>76</v>
      </c>
      <c r="L1357" s="11" t="s">
        <v>2939</v>
      </c>
      <c r="M1357" s="11" t="s">
        <v>2940</v>
      </c>
      <c r="N1357" s="11" t="s">
        <v>89</v>
      </c>
      <c r="O1357" s="11" t="s">
        <v>37</v>
      </c>
      <c r="P1357" s="11" t="s">
        <v>80</v>
      </c>
      <c r="Q1357" s="11" t="s">
        <v>81</v>
      </c>
      <c r="R1357" s="11" t="s">
        <v>624</v>
      </c>
      <c r="S1357" s="11" t="s">
        <v>625</v>
      </c>
      <c r="T1357" s="105" t="s">
        <v>10</v>
      </c>
      <c r="U1357" s="98"/>
      <c r="V1357" s="51">
        <v>46252</v>
      </c>
      <c r="W1357" s="49" t="s">
        <v>1564</v>
      </c>
      <c r="X1357" s="154" t="s">
        <v>2948</v>
      </c>
      <c r="Y1357" s="154">
        <v>0</v>
      </c>
    </row>
    <row r="1358" spans="1:25" ht="13" customHeight="1">
      <c r="A1358" s="11">
        <v>1352</v>
      </c>
      <c r="B1358" s="11">
        <v>206491340</v>
      </c>
      <c r="C1358" s="88" t="s">
        <v>2878</v>
      </c>
      <c r="D1358" s="11" t="s">
        <v>2917</v>
      </c>
      <c r="E1358" s="11" t="s">
        <v>31</v>
      </c>
      <c r="F1358" s="11" t="s">
        <v>74</v>
      </c>
      <c r="G1358" s="11" t="s">
        <v>64</v>
      </c>
      <c r="H1358" s="11" t="s">
        <v>75</v>
      </c>
      <c r="I1358" s="11">
        <v>1299</v>
      </c>
      <c r="J1358" s="11" t="s">
        <v>39</v>
      </c>
      <c r="K1358" s="11" t="s">
        <v>76</v>
      </c>
      <c r="L1358" s="11" t="s">
        <v>2940</v>
      </c>
      <c r="M1358" s="11" t="s">
        <v>78</v>
      </c>
      <c r="N1358" s="11" t="s">
        <v>89</v>
      </c>
      <c r="O1358" s="11" t="s">
        <v>37</v>
      </c>
      <c r="P1358" s="11" t="s">
        <v>80</v>
      </c>
      <c r="Q1358" s="11" t="s">
        <v>96</v>
      </c>
      <c r="R1358" s="11" t="s">
        <v>1057</v>
      </c>
      <c r="S1358" s="11" t="s">
        <v>2657</v>
      </c>
      <c r="T1358" s="105" t="s">
        <v>10</v>
      </c>
      <c r="U1358" s="98"/>
      <c r="V1358" s="51">
        <v>46252</v>
      </c>
      <c r="W1358" s="49" t="s">
        <v>1564</v>
      </c>
      <c r="X1358" s="154" t="s">
        <v>2948</v>
      </c>
      <c r="Y1358" s="154" t="s">
        <v>2941</v>
      </c>
    </row>
    <row r="1359" spans="1:25" ht="13" customHeight="1">
      <c r="A1359" s="11">
        <v>1353</v>
      </c>
      <c r="B1359" s="11">
        <v>206607035</v>
      </c>
      <c r="C1359" s="88" t="s">
        <v>2879</v>
      </c>
      <c r="D1359" s="11" t="s">
        <v>2918</v>
      </c>
      <c r="E1359" s="11" t="s">
        <v>31</v>
      </c>
      <c r="F1359" s="11" t="s">
        <v>74</v>
      </c>
      <c r="G1359" s="11" t="s">
        <v>64</v>
      </c>
      <c r="H1359" s="11" t="s">
        <v>75</v>
      </c>
      <c r="I1359" s="11">
        <v>1299</v>
      </c>
      <c r="J1359" s="11" t="s">
        <v>39</v>
      </c>
      <c r="K1359" s="11" t="s">
        <v>76</v>
      </c>
      <c r="L1359" s="11" t="s">
        <v>2937</v>
      </c>
      <c r="M1359" s="11" t="s">
        <v>2934</v>
      </c>
      <c r="N1359" s="11" t="s">
        <v>89</v>
      </c>
      <c r="O1359" s="11" t="s">
        <v>37</v>
      </c>
      <c r="P1359" s="11" t="s">
        <v>80</v>
      </c>
      <c r="Q1359" s="11" t="s">
        <v>96</v>
      </c>
      <c r="R1359" s="11" t="s">
        <v>1057</v>
      </c>
      <c r="S1359" s="11" t="s">
        <v>2657</v>
      </c>
      <c r="T1359" s="105" t="s">
        <v>1</v>
      </c>
      <c r="U1359" s="98"/>
      <c r="V1359" s="51">
        <v>46252</v>
      </c>
      <c r="W1359" s="49" t="s">
        <v>1564</v>
      </c>
      <c r="X1359" s="154" t="s">
        <v>2</v>
      </c>
      <c r="Y1359" s="154">
        <v>0</v>
      </c>
    </row>
    <row r="1360" spans="1:25" ht="13" customHeight="1">
      <c r="A1360" s="11">
        <v>1354</v>
      </c>
      <c r="B1360" s="11">
        <v>206868006</v>
      </c>
      <c r="C1360" s="88" t="s">
        <v>2880</v>
      </c>
      <c r="D1360" s="11" t="s">
        <v>2919</v>
      </c>
      <c r="E1360" s="11" t="s">
        <v>31</v>
      </c>
      <c r="F1360" s="11" t="s">
        <v>74</v>
      </c>
      <c r="G1360" s="11" t="s">
        <v>64</v>
      </c>
      <c r="H1360" s="11" t="s">
        <v>75</v>
      </c>
      <c r="I1360" s="11">
        <v>1299</v>
      </c>
      <c r="J1360" s="11" t="s">
        <v>39</v>
      </c>
      <c r="K1360" s="11" t="s">
        <v>76</v>
      </c>
      <c r="L1360" s="11" t="s">
        <v>2934</v>
      </c>
      <c r="M1360" s="11" t="s">
        <v>2935</v>
      </c>
      <c r="N1360" s="11" t="s">
        <v>89</v>
      </c>
      <c r="O1360" s="11" t="s">
        <v>37</v>
      </c>
      <c r="P1360" s="11" t="s">
        <v>80</v>
      </c>
      <c r="Q1360" s="11" t="s">
        <v>81</v>
      </c>
      <c r="R1360" s="11" t="s">
        <v>624</v>
      </c>
      <c r="S1360" s="11" t="s">
        <v>625</v>
      </c>
      <c r="T1360" s="105" t="s">
        <v>1</v>
      </c>
      <c r="U1360" s="98"/>
      <c r="V1360" s="51">
        <v>46252</v>
      </c>
      <c r="W1360" s="49" t="s">
        <v>1563</v>
      </c>
      <c r="X1360" s="154" t="s">
        <v>2</v>
      </c>
      <c r="Y1360" s="154">
        <v>0</v>
      </c>
    </row>
    <row r="1361" spans="1:25" ht="13" customHeight="1">
      <c r="A1361" s="11">
        <v>1355</v>
      </c>
      <c r="B1361" s="11">
        <v>206886731</v>
      </c>
      <c r="C1361" s="88" t="s">
        <v>2881</v>
      </c>
      <c r="D1361" s="11" t="s">
        <v>2920</v>
      </c>
      <c r="E1361" s="11" t="s">
        <v>31</v>
      </c>
      <c r="F1361" s="11" t="s">
        <v>74</v>
      </c>
      <c r="G1361" s="11" t="s">
        <v>64</v>
      </c>
      <c r="H1361" s="11" t="s">
        <v>75</v>
      </c>
      <c r="I1361" s="11">
        <v>1299</v>
      </c>
      <c r="J1361" s="11" t="s">
        <v>39</v>
      </c>
      <c r="K1361" s="11" t="s">
        <v>76</v>
      </c>
      <c r="L1361" s="11" t="s">
        <v>2935</v>
      </c>
      <c r="M1361" s="11" t="s">
        <v>2936</v>
      </c>
      <c r="N1361" s="11" t="s">
        <v>89</v>
      </c>
      <c r="O1361" s="11" t="s">
        <v>37</v>
      </c>
      <c r="P1361" s="11" t="s">
        <v>80</v>
      </c>
      <c r="Q1361" s="11" t="s">
        <v>96</v>
      </c>
      <c r="R1361" s="11" t="s">
        <v>1057</v>
      </c>
      <c r="S1361" s="11" t="s">
        <v>2657</v>
      </c>
      <c r="T1361" s="105" t="s">
        <v>1</v>
      </c>
      <c r="U1361" s="98"/>
      <c r="V1361" s="51">
        <v>46252</v>
      </c>
      <c r="W1361" s="49" t="s">
        <v>1564</v>
      </c>
      <c r="X1361" s="154" t="s">
        <v>2</v>
      </c>
      <c r="Y1361" s="154">
        <v>0</v>
      </c>
    </row>
    <row r="1362" spans="1:25" ht="13" customHeight="1">
      <c r="A1362" s="11">
        <v>1356</v>
      </c>
      <c r="B1362" s="11">
        <v>206136719</v>
      </c>
      <c r="C1362" s="88" t="s">
        <v>2882</v>
      </c>
      <c r="D1362" s="11" t="s">
        <v>2921</v>
      </c>
      <c r="E1362" s="11" t="s">
        <v>31</v>
      </c>
      <c r="F1362" s="11" t="s">
        <v>74</v>
      </c>
      <c r="G1362" s="11" t="s">
        <v>64</v>
      </c>
      <c r="H1362" s="11" t="s">
        <v>75</v>
      </c>
      <c r="I1362" s="11">
        <v>1299</v>
      </c>
      <c r="J1362" s="11" t="s">
        <v>39</v>
      </c>
      <c r="K1362" s="11" t="s">
        <v>76</v>
      </c>
      <c r="L1362" s="11" t="s">
        <v>2937</v>
      </c>
      <c r="M1362" s="11" t="s">
        <v>2934</v>
      </c>
      <c r="N1362" s="11" t="s">
        <v>89</v>
      </c>
      <c r="O1362" s="11" t="s">
        <v>37</v>
      </c>
      <c r="P1362" s="11" t="s">
        <v>80</v>
      </c>
      <c r="Q1362" s="11" t="s">
        <v>96</v>
      </c>
      <c r="R1362" s="11" t="s">
        <v>1057</v>
      </c>
      <c r="S1362" s="11" t="s">
        <v>2657</v>
      </c>
      <c r="T1362" s="105" t="s">
        <v>1</v>
      </c>
      <c r="U1362" s="98"/>
      <c r="V1362" s="51">
        <v>46252</v>
      </c>
      <c r="W1362" s="49" t="s">
        <v>1563</v>
      </c>
      <c r="X1362" s="154" t="s">
        <v>2</v>
      </c>
      <c r="Y1362" s="154">
        <v>0</v>
      </c>
    </row>
    <row r="1363" spans="1:25" ht="13" customHeight="1">
      <c r="A1363" s="11">
        <v>1357</v>
      </c>
      <c r="B1363" s="11">
        <v>206191926</v>
      </c>
      <c r="C1363" s="88" t="s">
        <v>2883</v>
      </c>
      <c r="D1363" s="11" t="s">
        <v>2922</v>
      </c>
      <c r="E1363" s="11" t="s">
        <v>31</v>
      </c>
      <c r="F1363" s="11" t="s">
        <v>74</v>
      </c>
      <c r="G1363" s="11" t="s">
        <v>64</v>
      </c>
      <c r="H1363" s="11" t="s">
        <v>75</v>
      </c>
      <c r="I1363" s="11">
        <v>1299</v>
      </c>
      <c r="J1363" s="11" t="s">
        <v>39</v>
      </c>
      <c r="K1363" s="11" t="s">
        <v>76</v>
      </c>
      <c r="L1363" s="11" t="s">
        <v>2934</v>
      </c>
      <c r="M1363" s="11" t="s">
        <v>2935</v>
      </c>
      <c r="N1363" s="11" t="s">
        <v>89</v>
      </c>
      <c r="O1363" s="11" t="s">
        <v>37</v>
      </c>
      <c r="P1363" s="11" t="s">
        <v>80</v>
      </c>
      <c r="Q1363" s="11" t="s">
        <v>96</v>
      </c>
      <c r="R1363" s="11" t="s">
        <v>624</v>
      </c>
      <c r="S1363" s="11" t="s">
        <v>625</v>
      </c>
      <c r="T1363" s="105" t="s">
        <v>1</v>
      </c>
      <c r="U1363" s="98"/>
      <c r="V1363" s="51">
        <v>46252</v>
      </c>
      <c r="W1363" s="49" t="s">
        <v>1565</v>
      </c>
      <c r="X1363" s="154" t="s">
        <v>2</v>
      </c>
      <c r="Y1363" s="154">
        <v>0</v>
      </c>
    </row>
    <row r="1364" spans="1:25" ht="13" customHeight="1">
      <c r="A1364" s="11">
        <v>1358</v>
      </c>
      <c r="B1364" s="11">
        <v>206250638</v>
      </c>
      <c r="C1364" s="88" t="s">
        <v>2884</v>
      </c>
      <c r="D1364" s="11" t="s">
        <v>2923</v>
      </c>
      <c r="E1364" s="11" t="s">
        <v>31</v>
      </c>
      <c r="F1364" s="11" t="s">
        <v>74</v>
      </c>
      <c r="G1364" s="11" t="s">
        <v>64</v>
      </c>
      <c r="H1364" s="11" t="s">
        <v>75</v>
      </c>
      <c r="I1364" s="11">
        <v>1299</v>
      </c>
      <c r="J1364" s="11" t="s">
        <v>39</v>
      </c>
      <c r="K1364" s="11" t="s">
        <v>76</v>
      </c>
      <c r="L1364" s="11" t="s">
        <v>2935</v>
      </c>
      <c r="M1364" s="11" t="s">
        <v>2936</v>
      </c>
      <c r="N1364" s="11" t="s">
        <v>89</v>
      </c>
      <c r="O1364" s="11" t="s">
        <v>37</v>
      </c>
      <c r="P1364" s="11" t="s">
        <v>80</v>
      </c>
      <c r="Q1364" s="11" t="s">
        <v>81</v>
      </c>
      <c r="R1364" s="11" t="s">
        <v>624</v>
      </c>
      <c r="S1364" s="11" t="s">
        <v>625</v>
      </c>
      <c r="T1364" s="105" t="s">
        <v>1</v>
      </c>
      <c r="U1364" s="98"/>
      <c r="V1364" s="51">
        <v>46252</v>
      </c>
      <c r="W1364" s="49" t="s">
        <v>1563</v>
      </c>
      <c r="X1364" s="154" t="s">
        <v>2</v>
      </c>
      <c r="Y1364" s="154">
        <v>0</v>
      </c>
    </row>
    <row r="1365" spans="1:25" ht="13" customHeight="1">
      <c r="A1365" s="11">
        <v>1359</v>
      </c>
      <c r="B1365" s="11">
        <v>205853893</v>
      </c>
      <c r="C1365" s="88" t="s">
        <v>2885</v>
      </c>
      <c r="D1365" s="11" t="s">
        <v>2924</v>
      </c>
      <c r="E1365" s="11" t="s">
        <v>31</v>
      </c>
      <c r="F1365" s="11" t="s">
        <v>74</v>
      </c>
      <c r="G1365" s="11" t="s">
        <v>64</v>
      </c>
      <c r="H1365" s="11" t="s">
        <v>75</v>
      </c>
      <c r="I1365" s="11">
        <v>1299</v>
      </c>
      <c r="J1365" s="11" t="s">
        <v>39</v>
      </c>
      <c r="K1365" s="11" t="s">
        <v>76</v>
      </c>
      <c r="L1365" s="11" t="s">
        <v>2936</v>
      </c>
      <c r="M1365" s="11" t="s">
        <v>2938</v>
      </c>
      <c r="N1365" s="49" t="s">
        <v>79</v>
      </c>
      <c r="O1365" s="11" t="s">
        <v>37</v>
      </c>
      <c r="P1365" s="11" t="s">
        <v>80</v>
      </c>
      <c r="Q1365" s="11" t="s">
        <v>96</v>
      </c>
      <c r="R1365" s="11" t="s">
        <v>624</v>
      </c>
      <c r="S1365" s="11" t="s">
        <v>625</v>
      </c>
      <c r="T1365" s="105" t="s">
        <v>1</v>
      </c>
      <c r="U1365" s="98"/>
      <c r="V1365" s="51">
        <v>46252</v>
      </c>
      <c r="W1365" s="49" t="s">
        <v>1564</v>
      </c>
      <c r="X1365" s="154" t="s">
        <v>2</v>
      </c>
      <c r="Y1365" s="154">
        <v>0</v>
      </c>
    </row>
    <row r="1366" spans="1:25" ht="13" customHeight="1">
      <c r="A1366" s="11">
        <v>1360</v>
      </c>
      <c r="B1366" s="11">
        <v>206926976</v>
      </c>
      <c r="C1366" s="88" t="s">
        <v>2886</v>
      </c>
      <c r="D1366" s="11" t="s">
        <v>2925</v>
      </c>
      <c r="E1366" s="11" t="s">
        <v>31</v>
      </c>
      <c r="F1366" s="11" t="s">
        <v>74</v>
      </c>
      <c r="G1366" s="11" t="s">
        <v>64</v>
      </c>
      <c r="H1366" s="11" t="s">
        <v>75</v>
      </c>
      <c r="I1366" s="11">
        <v>1299</v>
      </c>
      <c r="J1366" s="11" t="s">
        <v>39</v>
      </c>
      <c r="K1366" s="11" t="s">
        <v>76</v>
      </c>
      <c r="L1366" s="11" t="s">
        <v>2938</v>
      </c>
      <c r="M1366" s="11" t="s">
        <v>2939</v>
      </c>
      <c r="N1366" s="11" t="s">
        <v>89</v>
      </c>
      <c r="O1366" s="11" t="s">
        <v>37</v>
      </c>
      <c r="P1366" s="11" t="s">
        <v>80</v>
      </c>
      <c r="Q1366" s="11" t="s">
        <v>81</v>
      </c>
      <c r="R1366" s="11" t="s">
        <v>624</v>
      </c>
      <c r="S1366" s="11" t="s">
        <v>625</v>
      </c>
      <c r="T1366" s="105" t="s">
        <v>1</v>
      </c>
      <c r="U1366" s="98"/>
      <c r="V1366" s="51">
        <v>46252</v>
      </c>
      <c r="W1366" s="49" t="s">
        <v>1563</v>
      </c>
      <c r="X1366" s="154" t="s">
        <v>2</v>
      </c>
      <c r="Y1366" s="154" t="s">
        <v>2941</v>
      </c>
    </row>
    <row r="1367" spans="1:25" ht="13" customHeight="1">
      <c r="A1367" s="11">
        <v>1361</v>
      </c>
      <c r="B1367" s="11">
        <v>206250613</v>
      </c>
      <c r="C1367" s="88" t="s">
        <v>2887</v>
      </c>
      <c r="D1367" s="11" t="s">
        <v>2926</v>
      </c>
      <c r="E1367" s="11" t="s">
        <v>31</v>
      </c>
      <c r="F1367" s="11" t="s">
        <v>74</v>
      </c>
      <c r="G1367" s="11" t="s">
        <v>64</v>
      </c>
      <c r="H1367" s="11" t="s">
        <v>75</v>
      </c>
      <c r="I1367" s="11">
        <v>1299</v>
      </c>
      <c r="J1367" s="11" t="s">
        <v>39</v>
      </c>
      <c r="K1367" s="11" t="s">
        <v>76</v>
      </c>
      <c r="L1367" s="11" t="s">
        <v>2939</v>
      </c>
      <c r="M1367" s="11" t="s">
        <v>2940</v>
      </c>
      <c r="N1367" s="11" t="s">
        <v>89</v>
      </c>
      <c r="O1367" s="11" t="s">
        <v>37</v>
      </c>
      <c r="P1367" s="11" t="s">
        <v>80</v>
      </c>
      <c r="Q1367" s="11" t="s">
        <v>81</v>
      </c>
      <c r="R1367" s="11" t="s">
        <v>624</v>
      </c>
      <c r="S1367" s="11" t="s">
        <v>625</v>
      </c>
      <c r="T1367" s="105" t="s">
        <v>10</v>
      </c>
      <c r="U1367" s="98"/>
      <c r="V1367" s="51">
        <v>46252</v>
      </c>
      <c r="W1367" s="49" t="s">
        <v>1563</v>
      </c>
      <c r="X1367" s="154" t="s">
        <v>2948</v>
      </c>
      <c r="Y1367" s="154">
        <v>0</v>
      </c>
    </row>
    <row r="1368" spans="1:25" ht="13" customHeight="1">
      <c r="A1368" s="11">
        <v>1362</v>
      </c>
      <c r="B1368" s="11">
        <v>206890218</v>
      </c>
      <c r="C1368" s="88" t="s">
        <v>2888</v>
      </c>
      <c r="D1368" s="11" t="s">
        <v>2927</v>
      </c>
      <c r="E1368" s="11" t="s">
        <v>31</v>
      </c>
      <c r="F1368" s="11" t="s">
        <v>74</v>
      </c>
      <c r="G1368" s="11" t="s">
        <v>64</v>
      </c>
      <c r="H1368" s="11" t="s">
        <v>75</v>
      </c>
      <c r="I1368" s="11">
        <v>1299</v>
      </c>
      <c r="J1368" s="11" t="s">
        <v>39</v>
      </c>
      <c r="K1368" s="11" t="s">
        <v>76</v>
      </c>
      <c r="L1368" s="11" t="s">
        <v>2940</v>
      </c>
      <c r="M1368" s="11" t="s">
        <v>78</v>
      </c>
      <c r="N1368" s="11" t="s">
        <v>89</v>
      </c>
      <c r="O1368" s="11" t="s">
        <v>37</v>
      </c>
      <c r="P1368" s="11" t="s">
        <v>80</v>
      </c>
      <c r="Q1368" s="11" t="s">
        <v>96</v>
      </c>
      <c r="R1368" s="11" t="s">
        <v>624</v>
      </c>
      <c r="S1368" s="11" t="s">
        <v>625</v>
      </c>
      <c r="T1368" s="105" t="s">
        <v>10</v>
      </c>
      <c r="U1368" s="98"/>
      <c r="V1368" s="51">
        <v>46252</v>
      </c>
      <c r="W1368" s="49" t="s">
        <v>1563</v>
      </c>
      <c r="X1368" s="154" t="s">
        <v>2948</v>
      </c>
      <c r="Y1368" s="154">
        <v>0</v>
      </c>
    </row>
    <row r="1369" spans="1:25" ht="13" customHeight="1">
      <c r="A1369" s="11">
        <v>1363</v>
      </c>
      <c r="B1369" s="11">
        <v>205853884</v>
      </c>
      <c r="C1369" s="88" t="s">
        <v>2889</v>
      </c>
      <c r="D1369" s="11" t="s">
        <v>2928</v>
      </c>
      <c r="E1369" s="11" t="s">
        <v>31</v>
      </c>
      <c r="F1369" s="11" t="s">
        <v>74</v>
      </c>
      <c r="G1369" s="11" t="s">
        <v>64</v>
      </c>
      <c r="H1369" s="11" t="s">
        <v>75</v>
      </c>
      <c r="I1369" s="11">
        <v>1299</v>
      </c>
      <c r="J1369" s="11" t="s">
        <v>39</v>
      </c>
      <c r="K1369" s="11" t="s">
        <v>76</v>
      </c>
      <c r="L1369" s="11" t="s">
        <v>2937</v>
      </c>
      <c r="M1369" s="11" t="s">
        <v>2934</v>
      </c>
      <c r="N1369" s="11" t="s">
        <v>89</v>
      </c>
      <c r="O1369" s="11" t="s">
        <v>37</v>
      </c>
      <c r="P1369" s="11" t="s">
        <v>80</v>
      </c>
      <c r="Q1369" s="11" t="s">
        <v>96</v>
      </c>
      <c r="R1369" s="11" t="s">
        <v>624</v>
      </c>
      <c r="S1369" s="11" t="s">
        <v>625</v>
      </c>
      <c r="T1369" s="105" t="s">
        <v>1</v>
      </c>
      <c r="U1369" s="98"/>
      <c r="V1369" s="51">
        <v>46252</v>
      </c>
      <c r="W1369" s="49" t="s">
        <v>1564</v>
      </c>
      <c r="X1369" s="154" t="s">
        <v>2</v>
      </c>
      <c r="Y1369" s="154">
        <v>0</v>
      </c>
    </row>
    <row r="1370" spans="1:25" ht="13" customHeight="1">
      <c r="A1370" s="11">
        <v>1364</v>
      </c>
      <c r="B1370" s="11">
        <v>206886516</v>
      </c>
      <c r="C1370" s="88" t="s">
        <v>2890</v>
      </c>
      <c r="D1370" s="11" t="s">
        <v>2929</v>
      </c>
      <c r="E1370" s="11" t="s">
        <v>31</v>
      </c>
      <c r="F1370" s="11" t="s">
        <v>74</v>
      </c>
      <c r="G1370" s="11" t="s">
        <v>64</v>
      </c>
      <c r="H1370" s="11" t="s">
        <v>75</v>
      </c>
      <c r="I1370" s="11">
        <v>1299</v>
      </c>
      <c r="J1370" s="11" t="s">
        <v>39</v>
      </c>
      <c r="K1370" s="11" t="s">
        <v>76</v>
      </c>
      <c r="L1370" s="11" t="s">
        <v>2934</v>
      </c>
      <c r="M1370" s="11" t="s">
        <v>2935</v>
      </c>
      <c r="N1370" s="11" t="s">
        <v>89</v>
      </c>
      <c r="O1370" s="11" t="s">
        <v>37</v>
      </c>
      <c r="P1370" s="11" t="s">
        <v>80</v>
      </c>
      <c r="Q1370" s="11" t="s">
        <v>96</v>
      </c>
      <c r="R1370" s="11" t="s">
        <v>624</v>
      </c>
      <c r="S1370" s="11" t="s">
        <v>625</v>
      </c>
      <c r="T1370" s="105" t="s">
        <v>1</v>
      </c>
      <c r="U1370" s="98"/>
      <c r="V1370" s="51">
        <v>46252</v>
      </c>
      <c r="W1370" s="49" t="s">
        <v>1563</v>
      </c>
      <c r="X1370" s="154" t="s">
        <v>2</v>
      </c>
      <c r="Y1370" s="154">
        <v>0</v>
      </c>
    </row>
    <row r="1371" spans="1:25" ht="13" customHeight="1">
      <c r="A1371" s="11">
        <v>1365</v>
      </c>
      <c r="B1371" s="11">
        <v>206239531</v>
      </c>
      <c r="C1371" s="88" t="s">
        <v>2891</v>
      </c>
      <c r="D1371" s="11" t="s">
        <v>2930</v>
      </c>
      <c r="E1371" s="11" t="s">
        <v>31</v>
      </c>
      <c r="F1371" s="11" t="s">
        <v>74</v>
      </c>
      <c r="G1371" s="11" t="s">
        <v>64</v>
      </c>
      <c r="H1371" s="11" t="s">
        <v>75</v>
      </c>
      <c r="I1371" s="11">
        <v>1299</v>
      </c>
      <c r="J1371" s="11" t="s">
        <v>39</v>
      </c>
      <c r="K1371" s="11" t="s">
        <v>76</v>
      </c>
      <c r="L1371" s="11" t="s">
        <v>2935</v>
      </c>
      <c r="M1371" s="11" t="s">
        <v>2936</v>
      </c>
      <c r="N1371" s="11" t="s">
        <v>89</v>
      </c>
      <c r="O1371" s="11" t="s">
        <v>37</v>
      </c>
      <c r="P1371" s="11" t="s">
        <v>80</v>
      </c>
      <c r="Q1371" s="11" t="s">
        <v>81</v>
      </c>
      <c r="R1371" s="11" t="s">
        <v>624</v>
      </c>
      <c r="S1371" s="11" t="s">
        <v>625</v>
      </c>
      <c r="T1371" s="105" t="s">
        <v>1</v>
      </c>
      <c r="U1371" s="98"/>
      <c r="V1371" s="51">
        <v>46252</v>
      </c>
      <c r="W1371" s="49" t="s">
        <v>1563</v>
      </c>
      <c r="X1371" s="154" t="s">
        <v>2</v>
      </c>
      <c r="Y1371" s="154">
        <v>0</v>
      </c>
    </row>
    <row r="1372" spans="1:25" ht="13" customHeight="1">
      <c r="A1372" s="11">
        <v>1366</v>
      </c>
      <c r="B1372" s="11">
        <v>205280267</v>
      </c>
      <c r="C1372" s="88" t="s">
        <v>2892</v>
      </c>
      <c r="D1372" s="11" t="s">
        <v>2931</v>
      </c>
      <c r="E1372" s="11" t="s">
        <v>31</v>
      </c>
      <c r="F1372" s="11" t="s">
        <v>74</v>
      </c>
      <c r="G1372" s="11" t="s">
        <v>64</v>
      </c>
      <c r="H1372" s="11" t="s">
        <v>75</v>
      </c>
      <c r="I1372" s="11">
        <v>1299</v>
      </c>
      <c r="J1372" s="11" t="s">
        <v>39</v>
      </c>
      <c r="K1372" s="11" t="s">
        <v>76</v>
      </c>
      <c r="L1372" s="11" t="s">
        <v>2936</v>
      </c>
      <c r="M1372" s="11" t="s">
        <v>2938</v>
      </c>
      <c r="N1372" s="11" t="s">
        <v>89</v>
      </c>
      <c r="O1372" s="11" t="s">
        <v>37</v>
      </c>
      <c r="P1372" s="11" t="s">
        <v>80</v>
      </c>
      <c r="Q1372" s="11" t="s">
        <v>96</v>
      </c>
      <c r="R1372" s="11" t="s">
        <v>624</v>
      </c>
      <c r="S1372" s="11" t="s">
        <v>625</v>
      </c>
      <c r="T1372" s="105" t="s">
        <v>1</v>
      </c>
      <c r="U1372" s="98"/>
      <c r="V1372" s="51">
        <v>46252</v>
      </c>
      <c r="W1372" s="49" t="s">
        <v>1563</v>
      </c>
      <c r="X1372" s="154" t="s">
        <v>2</v>
      </c>
      <c r="Y1372" s="154">
        <v>0</v>
      </c>
    </row>
    <row r="1373" spans="1:25" ht="13" customHeight="1">
      <c r="A1373" s="11">
        <v>1367</v>
      </c>
      <c r="B1373" s="11">
        <v>206192282</v>
      </c>
      <c r="C1373" s="88" t="s">
        <v>2893</v>
      </c>
      <c r="D1373" s="11" t="s">
        <v>2932</v>
      </c>
      <c r="E1373" s="11" t="s">
        <v>31</v>
      </c>
      <c r="F1373" s="11" t="s">
        <v>74</v>
      </c>
      <c r="G1373" s="11" t="s">
        <v>64</v>
      </c>
      <c r="H1373" s="11" t="s">
        <v>75</v>
      </c>
      <c r="I1373" s="11">
        <v>1299</v>
      </c>
      <c r="J1373" s="11" t="s">
        <v>39</v>
      </c>
      <c r="K1373" s="11" t="s">
        <v>76</v>
      </c>
      <c r="L1373" s="11" t="s">
        <v>2938</v>
      </c>
      <c r="M1373" s="11" t="s">
        <v>2939</v>
      </c>
      <c r="N1373" s="49" t="s">
        <v>79</v>
      </c>
      <c r="O1373" s="11" t="s">
        <v>37</v>
      </c>
      <c r="P1373" s="11" t="s">
        <v>80</v>
      </c>
      <c r="Q1373" s="11" t="s">
        <v>96</v>
      </c>
      <c r="R1373" s="11" t="s">
        <v>624</v>
      </c>
      <c r="S1373" s="11" t="s">
        <v>625</v>
      </c>
      <c r="T1373" s="105" t="s">
        <v>1</v>
      </c>
      <c r="U1373" s="98"/>
      <c r="V1373" s="51">
        <v>46252</v>
      </c>
      <c r="W1373" s="49" t="s">
        <v>1564</v>
      </c>
      <c r="X1373" s="154" t="s">
        <v>2</v>
      </c>
      <c r="Y1373" s="154">
        <v>0</v>
      </c>
    </row>
    <row r="1374" spans="1:25" ht="13" customHeight="1">
      <c r="A1374" s="11">
        <v>1368</v>
      </c>
      <c r="B1374" s="11">
        <v>204869099</v>
      </c>
      <c r="C1374" s="88" t="s">
        <v>2894</v>
      </c>
      <c r="D1374" s="11" t="s">
        <v>2933</v>
      </c>
      <c r="E1374" s="11" t="s">
        <v>31</v>
      </c>
      <c r="F1374" s="11" t="s">
        <v>74</v>
      </c>
      <c r="G1374" s="11" t="s">
        <v>64</v>
      </c>
      <c r="H1374" s="11" t="s">
        <v>75</v>
      </c>
      <c r="I1374" s="11">
        <v>1299</v>
      </c>
      <c r="J1374" s="11" t="s">
        <v>39</v>
      </c>
      <c r="K1374" s="11" t="s">
        <v>76</v>
      </c>
      <c r="L1374" s="11" t="s">
        <v>2939</v>
      </c>
      <c r="M1374" s="11" t="s">
        <v>2940</v>
      </c>
      <c r="N1374" s="11" t="s">
        <v>89</v>
      </c>
      <c r="O1374" s="11" t="s">
        <v>37</v>
      </c>
      <c r="P1374" s="11" t="s">
        <v>80</v>
      </c>
      <c r="Q1374" s="11" t="s">
        <v>87</v>
      </c>
      <c r="R1374" s="11" t="s">
        <v>624</v>
      </c>
      <c r="S1374" s="11" t="s">
        <v>625</v>
      </c>
      <c r="T1374" s="105" t="s">
        <v>10</v>
      </c>
      <c r="U1374" s="98"/>
      <c r="V1374" s="51">
        <v>46252</v>
      </c>
      <c r="W1374" s="49" t="s">
        <v>1564</v>
      </c>
      <c r="X1374" s="154" t="s">
        <v>2948</v>
      </c>
      <c r="Y1374" s="154">
        <v>0</v>
      </c>
    </row>
    <row r="1376" spans="1:25" ht="13" customHeight="1">
      <c r="R1376" s="56"/>
      <c r="T1376"/>
    </row>
    <row r="1377" spans="18:20" ht="13" customHeight="1">
      <c r="R1377" s="56"/>
      <c r="T1377"/>
    </row>
    <row r="1378" spans="18:20" ht="13" customHeight="1">
      <c r="R1378" s="56"/>
      <c r="T1378"/>
    </row>
    <row r="1379" spans="18:20" ht="13" customHeight="1">
      <c r="R1379" s="56"/>
      <c r="T1379"/>
    </row>
    <row r="1380" spans="18:20" ht="13" customHeight="1">
      <c r="R1380" s="56"/>
      <c r="T1380"/>
    </row>
    <row r="1381" spans="18:20" ht="13" customHeight="1">
      <c r="R1381" s="56"/>
      <c r="T1381"/>
    </row>
    <row r="1382" spans="18:20" ht="13" customHeight="1">
      <c r="R1382" s="56"/>
      <c r="T1382"/>
    </row>
    <row r="1383" spans="18:20" ht="13" customHeight="1">
      <c r="R1383" s="56"/>
      <c r="T1383"/>
    </row>
    <row r="1384" spans="18:20" ht="13" customHeight="1">
      <c r="R1384" s="56"/>
      <c r="T1384"/>
    </row>
    <row r="1385" spans="18:20" ht="13" customHeight="1">
      <c r="S1385" s="56"/>
      <c r="T1385"/>
    </row>
  </sheetData>
  <phoneticPr fontId="11" type="noConversion"/>
  <conditionalFormatting sqref="A6">
    <cfRule type="duplicateValues" dxfId="1973" priority="46507"/>
  </conditionalFormatting>
  <conditionalFormatting sqref="B1:B6">
    <cfRule type="duplicateValues" dxfId="1972" priority="72114"/>
    <cfRule type="duplicateValues" dxfId="1971" priority="72115"/>
    <cfRule type="duplicateValues" dxfId="1970" priority="72116"/>
  </conditionalFormatting>
  <conditionalFormatting sqref="B1:B6 B1375:B1048576">
    <cfRule type="duplicateValues" dxfId="1969" priority="632"/>
  </conditionalFormatting>
  <conditionalFormatting sqref="B6">
    <cfRule type="duplicateValues" dxfId="1968" priority="68901"/>
    <cfRule type="duplicateValues" dxfId="1967" priority="68902"/>
    <cfRule type="duplicateValues" dxfId="1966" priority="68903"/>
  </conditionalFormatting>
  <conditionalFormatting sqref="B1:B6">
    <cfRule type="duplicateValues" dxfId="1965" priority="69003"/>
  </conditionalFormatting>
  <conditionalFormatting sqref="C1">
    <cfRule type="duplicateValues" dxfId="1964" priority="14454"/>
    <cfRule type="duplicateValues" dxfId="1963" priority="14455"/>
    <cfRule type="duplicateValues" dxfId="1962" priority="14456"/>
    <cfRule type="duplicateValues" dxfId="1961" priority="14457"/>
    <cfRule type="duplicateValues" dxfId="1960" priority="14458"/>
    <cfRule type="duplicateValues" dxfId="1959" priority="14459"/>
    <cfRule type="duplicateValues" dxfId="1958" priority="14460"/>
    <cfRule type="duplicateValues" dxfId="1957" priority="14461"/>
    <cfRule type="duplicateValues" dxfId="1956" priority="14462"/>
    <cfRule type="duplicateValues" dxfId="1955" priority="14463"/>
    <cfRule type="duplicateValues" dxfId="1954" priority="14464"/>
    <cfRule type="duplicateValues" dxfId="1953" priority="14465"/>
    <cfRule type="duplicateValues" dxfId="1952" priority="14466"/>
    <cfRule type="duplicateValues" dxfId="1951" priority="14467"/>
    <cfRule type="duplicateValues" dxfId="1950" priority="14468"/>
    <cfRule type="duplicateValues" dxfId="1949" priority="14469"/>
    <cfRule type="duplicateValues" dxfId="1948" priority="14470"/>
  </conditionalFormatting>
  <conditionalFormatting sqref="C1:C6">
    <cfRule type="duplicateValues" dxfId="1947" priority="72132"/>
    <cfRule type="duplicateValues" dxfId="1946" priority="72133"/>
  </conditionalFormatting>
  <conditionalFormatting sqref="C2:C6">
    <cfRule type="duplicateValues" dxfId="1945" priority="48513"/>
    <cfRule type="duplicateValues" dxfId="1944" priority="48514"/>
    <cfRule type="duplicateValues" dxfId="1943" priority="48515"/>
    <cfRule type="duplicateValues" dxfId="1942" priority="48516"/>
    <cfRule type="duplicateValues" dxfId="1941" priority="48607"/>
    <cfRule type="duplicateValues" dxfId="1940" priority="48608"/>
    <cfRule type="duplicateValues" dxfId="1939" priority="48609"/>
    <cfRule type="duplicateValues" dxfId="1938" priority="48610"/>
    <cfRule type="duplicateValues" dxfId="1937" priority="48611"/>
    <cfRule type="duplicateValues" dxfId="1936" priority="48612"/>
    <cfRule type="duplicateValues" dxfId="1935" priority="48613"/>
    <cfRule type="duplicateValues" dxfId="1934" priority="48614"/>
    <cfRule type="duplicateValues" dxfId="1933" priority="48624"/>
    <cfRule type="duplicateValues" dxfId="1932" priority="49619"/>
    <cfRule type="duplicateValues" dxfId="1931" priority="66950"/>
  </conditionalFormatting>
  <conditionalFormatting sqref="C6">
    <cfRule type="duplicateValues" dxfId="1930" priority="48517"/>
    <cfRule type="duplicateValues" dxfId="1929" priority="48518"/>
    <cfRule type="duplicateValues" dxfId="1928" priority="48519"/>
  </conditionalFormatting>
  <conditionalFormatting sqref="C1:C6">
    <cfRule type="duplicateValues" dxfId="1927" priority="68993"/>
  </conditionalFormatting>
  <conditionalFormatting sqref="C6:D6">
    <cfRule type="duplicateValues" dxfId="1926" priority="69100"/>
  </conditionalFormatting>
  <conditionalFormatting sqref="D1 C2:D6 B1:B6">
    <cfRule type="duplicateValues" dxfId="1925" priority="69101"/>
  </conditionalFormatting>
  <conditionalFormatting sqref="D6">
    <cfRule type="duplicateValues" dxfId="1924" priority="69104"/>
  </conditionalFormatting>
  <conditionalFormatting sqref="S1:S3 U13:U41 U178 U189 U217 U232 U290:U292 U296 U316 U390 U422 U486 U511 T731 U795 U869 U986 U1009 U1013 U1044 U1129 U1175 U1177 U1190 U1196:U1197 T1202 U1209 T1230 T1232:U1233 U1243 U1247 U1272 U1276 U1312:U1313 T728:T729 T1200 T355:T356 T435:T436 T438 T440 T442 T677:T678 T680:T681 T712:T714 T720:T722 T733 T748 T362:T364 T366:T374 T425:T426 T428:T429 T349:T353 T431:T433 T709:T710 T739:T741 T785:T787 T1225 T358:T360 T703:T704 T716:T718 T743:T746 T751:T753 R1376:R1384 T1386:T1048576 S1385 T7:T347 T376:T407 T412:T423 T589:T595 T599:T601 T604:T619 T625:T626 T628:T644 T646:T657 T660:T672 T683:T699 T755:T783 T789:T817 T1043:T1061 T1064:T1093 T1096:T1169 T1171:T1172 T1174:T1198 T1204:T1217 T1232:T1240 T1242:T1282 T1284:T1375 T445:T586 T819:T867 T869:T1041">
    <cfRule type="containsText" dxfId="1923" priority="46482" operator="containsText" text="SL">
      <formula>NOT(ISERROR(SEARCH("SL",R1)))</formula>
    </cfRule>
  </conditionalFormatting>
  <conditionalFormatting sqref="S1:S3 U13:U41 T48:U48 T90:U90 U178 U217 U232 U290:U292 U296 U316 U390 U422 U486 U511 U795 U869 U986 U1009 U1013 U1044 U1129 U1175 U1177 U1190 U1196:U1197 U1209 U1232:U1233 U1243 U1247 U1272 U1276 U1312:U1313 T1331:U1331 T1338:U1338 T1357:U1357 T61:U61 T92:U93 T113:U113 T124:U124 T278:U279 T312:U312 T316:T321 T315:U315 T323 T322:U322 T324:U324 T363:U364 T372:U373 T420:U420 T426:U426 T428:U428 T445:U445 T509:T511 T508:U508 T512:U512 T539:U539 T552:U552 T589:U589 T696:U696 T786:U786 T817:U817 T912:U912 T1015:U1015 T1043:U1043 T1118:U1118 T1128:U1128 T1153:U1153 T1318:U1318 R1376:R1384 T1386:T1048576 S1385 T189:U189 T201:U201 T336:U336 T400:U400 T453:U453 T735:U735 T759:U759 T762:U762 T792:U792 T806:U806 T850:U850 T1234:U1235 T1279:U1279 T1284:U1284 T1336:U1336 T1355:U1355 T1366:U1366 T7:T92 T94:T112 T114:T123 T125:T277 T280:T311 T313:T314 T325:T362 T365:T371 T374:T419 T421:T425 T427 T429:T444 T513:T538 T540:T551 T553:T588 T590:T695 T697:T785 T787:T816 T869:T911 T913:T1014 T1044:T1061 T1064:T1093 T1096:T1117 T1119:T1127 T1129:T1152 T1154:T1233 T1235:T1317 T1319:T1375 T446:T507 T819:T867 T1016:T1041">
    <cfRule type="containsText" dxfId="1922" priority="46485" operator="containsText" text="P">
      <formula>NOT(ISERROR(SEARCH("P",R1)))</formula>
    </cfRule>
  </conditionalFormatting>
  <conditionalFormatting sqref="S1:S3 U13:U41 U178 U189 U217 U232 U290:U292 U296 U316 U390 U422 U486 U511 U795 U869 U986 U1009 U1013 U1044 U1129 U1175 U1177 U1190 U1196:U1197 T1202 U1209 T1230 T1232:U1233 U1243 U1247 U1272 U1276 U1312:U1313 T1200 T1225 R1376:R1384 T1386:T1048576 S1385 T1043:T1061 T1064:T1093 T1096:T1169 T1171:T1172 T1174:T1198 T1204:T1217 T1232:T1240 T1242:T1282 T1284:T1375 T7:T817 T819:T867 T869:T1041">
    <cfRule type="containsText" dxfId="1921" priority="46483" operator="containsText" text="EL">
      <formula>NOT(ISERROR(SEARCH("EL",R1)))</formula>
    </cfRule>
    <cfRule type="containsText" dxfId="1920" priority="46484" operator="containsText" text="PL">
      <formula>NOT(ISERROR(SEARCH("PL",R1)))</formula>
    </cfRule>
  </conditionalFormatting>
  <conditionalFormatting sqref="S1:S3 U13:U41 U290:U292 U296 U1312:U1313 U178 U189 U217 U232 U316 U390 U422 U486 U511 U795 U869 U986 U1009 U1013 U1044 U1129 U1175 U1177 U1190 U1196:U1197 U1209 T1232:U1233 U1243 U1247 U1272 U1276 T1202 T1230 T1200 T1225 R1376:R1384 T1386:T1048576 S1385 T1043:T1061 T1064:T1093 T1096:T1169 T1171:T1172 T1174:T1198 T1204:T1217 T1232:T1240 T1242:T1282 T1284:T1375 T7:T817 T819:T867 T869:T1041">
    <cfRule type="containsText" dxfId="1919" priority="46481" operator="containsText" text="AB">
      <formula>NOT(ISERROR(SEARCH("AB",R1)))</formula>
    </cfRule>
  </conditionalFormatting>
  <conditionalFormatting sqref="R1376:R1384 T1386:T1048576 S1385 T469:T817 T847:T867 T1043:T1061 T1064:T1093 T1096:T1280 T1283:T1375 T7:T467 T819:T845 T869:T1041">
    <cfRule type="containsText" dxfId="1918" priority="691" operator="containsText" text="ABWI">
      <formula>NOT(ISERROR(SEARCH("ABWI",R7)))</formula>
    </cfRule>
  </conditionalFormatting>
  <conditionalFormatting sqref="R1376:R1384 T1386:T1048576 S1385 T469:T817 T847:T867 T1043:T1061 T1064:T1093 T1096:T1280 T1283:T1375 T7:T467 T819:T845 T869:T1041">
    <cfRule type="containsText" dxfId="1917" priority="690" operator="containsText" text="OFF">
      <formula>NOT(ISERROR(SEARCH("OFF",R7)))</formula>
    </cfRule>
  </conditionalFormatting>
  <conditionalFormatting sqref="T337:T338 T358 T402 T432:T433 T436 T440 T615:T616 T618 T643 T653:T654 T656 T662 T677:T678 T681 T684 T698 T709 T712 T718 T722 T733 T740 T743 T748 T751:T752">
    <cfRule type="containsText" dxfId="1916" priority="836" operator="containsText" text="PL">
      <formula>NOT(ISERROR(SEARCH("PL",T337)))</formula>
    </cfRule>
  </conditionalFormatting>
  <conditionalFormatting sqref="T337:T338 T358 T402 T432:T433 T436 T440 T615:T616 T618 T643 T653:T654 T656 T677:T678 T681 T684 T698 T709 T712 T718 T722 T733 T740 T743 T748 T751:T752">
    <cfRule type="containsText" dxfId="1915" priority="837" operator="containsText" text="P">
      <formula>NOT(ISERROR(SEARCH("P",T337)))</formula>
    </cfRule>
  </conditionalFormatting>
  <conditionalFormatting sqref="T337:T338 T432:T433 T436 T440 T615:T616 T618 T662 T677:T678 T681 T684 T698 T709 T712 T718 T722 T743 T643 T748 T751:T752 T358 T402 T653:T654 T656 T733 T740">
    <cfRule type="containsText" dxfId="1914" priority="835" operator="containsText" text="EL">
      <formula>NOT(ISERROR(SEARCH("EL",T337)))</formula>
    </cfRule>
  </conditionalFormatting>
  <conditionalFormatting sqref="T339 T343 T346:T347 T349:T352 T355:T356 T361:T362 T366:T371 T377:T379 T381:T384 T386 T388:T394 T396 T398:T399 T404:T406 T413:T419 T423 T425 T429 T442 T446 T645:T648 T660:T661 T720 T727 T731">
    <cfRule type="containsText" dxfId="1913" priority="696" operator="containsText" text="P">
      <formula>NOT(ISERROR(SEARCH("P",T339)))</formula>
    </cfRule>
  </conditionalFormatting>
  <conditionalFormatting sqref="T339 T343 T346:T347 T349:T352 T355:T356 T361:T362 T366:T371 T377:T379 T381:T384 T386 T388:T394 T396 T398:T399 T404:T406 T413:T419 T423 T425 T429 T442 T446 T645:T648 T660:T662 T720 T727 T731">
    <cfRule type="containsText" dxfId="1912" priority="694" operator="containsText" text="EL">
      <formula>NOT(ISERROR(SEARCH("EL",T339)))</formula>
    </cfRule>
    <cfRule type="containsText" dxfId="1911" priority="695" operator="containsText" text="PL">
      <formula>NOT(ISERROR(SEARCH("PL",T339)))</formula>
    </cfRule>
  </conditionalFormatting>
  <conditionalFormatting sqref="T339 T343:T352 T355:T356 T358:T362 T366:T371 T377:T379 T381:T399 T423 T425 T429 T442 T446 T645:T662 T720 T727:T734 T374:T375 T401:T419 T736:T740">
    <cfRule type="containsText" dxfId="1910" priority="693" operator="containsText" text="SL">
      <formula>NOT(ISERROR(SEARCH("SL",T339)))</formula>
    </cfRule>
  </conditionalFormatting>
  <conditionalFormatting sqref="T345 T385 T625 T638 T652 T683 T685:T687 T690 T703 T721 T728 T819:T827 T836:T848 T872:T879 T881:T890 T934:T938 T961:T969 T1096:T1103 T1109:T1117 T1141:T1147 T1154 T1119:T1121">
    <cfRule type="containsText" dxfId="1909" priority="843" operator="containsText" text="PL">
      <formula>NOT(ISERROR(SEARCH("PL",T345)))</formula>
    </cfRule>
    <cfRule type="containsText" dxfId="1908" priority="844" operator="containsText" text="P">
      <formula>NOT(ISERROR(SEARCH("P",T345)))</formula>
    </cfRule>
  </conditionalFormatting>
  <conditionalFormatting sqref="T345 T385 T625 T638 T652 T683 T685:T687 T690 T703 T721 T819:T827 T836:T848 T872:T879 T881:T890 T934:T938 T961:T969 T1096:T1103 T1109:T1117 T1141:T1147 T1154 T728 T1119:T1121">
    <cfRule type="containsText" dxfId="1907" priority="842" operator="containsText" text="EL">
      <formula>NOT(ISERROR(SEARCH("EL",T345)))</formula>
    </cfRule>
  </conditionalFormatting>
  <conditionalFormatting sqref="T345:T362 T377:T399 T438:T443 T605:T628 T638:T662 T668:T695 T733:T734 T739:T758 T772:T785 T547:T551 T763:T770 T793:T805 T809:T810 T812:T816 T831:T849 T859:T867 T895:T911 T933:T939 T942:T1006 T1008:T1014 T1023:T1026 T1028:T1041 T1044 T1046:T1061 T1064:T1093 T1137:T1152 T1154:T1157 T1159:T1160 T1163:T1169 T927:T929 T931 T1174:T1228 T1299:T1309 T630:T636 T566:T588 T1230:T1233 T1240:T1253 T1283 T1171:T1172 T1236 T1238 T1255:T1262 T1272:T1278 T1290:T1291 T1293:T1297 T1312:T1317 T1321:T1335 T1351:T1354 T1358:T1365 T1368:T1373 T591:T598 T600 T602:T603 T365:T371 T374 T401:T419 T421:T425 T427 T429:T436 T553:T564 T697:T723 T760:T761 T787:T789 T807 T819:T829 T851:T857 T913:T925 T1016:T1021 T1119:T1127 T1129:T1133 T1280 T1285:T1288 T1319 T1337:T1349 T1356 T869:T893 T1096:T1117">
    <cfRule type="containsText" dxfId="1906" priority="841" operator="containsText" text="SL">
      <formula>NOT(ISERROR(SEARCH("SL",T345)))</formula>
    </cfRule>
  </conditionalFormatting>
  <conditionalFormatting sqref="T351 T390 T399 T404 T413 T438 T475 T492 T526 T542 T555 T563 T628 T630 T639 T648 T651 T660 T662 T671 T689 T691 T693 T752 T756 T761 T774 T779 T781 T798:T799 T805 T810 T849 T851 T860 T863 T870 T884 T887 T891 T896 T939 T954 T970 T972 T974 T977 T1004 T1017:T1019 T1029 T1036 T1041 T1044 T1047 T1073 T1081 T1089 T1098 T1112 T1116 T1148 T1150 T1156 T1160 T1162:T1163 T1166">
    <cfRule type="containsText" dxfId="1905" priority="615" operator="containsText" text="PL">
      <formula>NOT(ISERROR(SEARCH("PL",T351)))</formula>
    </cfRule>
  </conditionalFormatting>
  <conditionalFormatting sqref="T351 T390 T399 T404 T413 T438 T563 T628 T630 T639 T648 T651 T660 T671 T691 T693 T752 T756">
    <cfRule type="containsText" dxfId="1904" priority="616" operator="containsText" text="P">
      <formula>NOT(ISERROR(SEARCH("P",T351)))</formula>
    </cfRule>
  </conditionalFormatting>
  <conditionalFormatting sqref="T351 T390 T399 T475 T492 T526 T542 T555 T563 T689 T691 T693 T756 T761 T774 T779 T781 T798:T799 T805 T810 T849 T851 T860 T863 T870 T884 T887 T891 T896 T939 T954 T970 T972 T974 T977 T1004 T1017:T1019 T1029 T1036 T1041 T1044 T1047 T1073 T1081 T1089 T1098 T1112 T1116 T1148 T1150 T1156 T1160 T1162:T1163 T1166 T438 T404 T413 T639 T662 T628 T630 T752 T648 T651 T660 T671">
    <cfRule type="containsText" dxfId="1903" priority="614" operator="containsText" text="EL">
      <formula>NOT(ISERROR(SEARCH("EL",T351)))</formula>
    </cfRule>
  </conditionalFormatting>
  <conditionalFormatting sqref="T959 T984 T998:T1006 T1010 T1014 T1017 T1050:T1058 T1060 T1065 T1070:T1071 T1176 T1178 T1182 T1184 T1191:T1192 T1194:T1195 T1256:T1262 T1265:T1266 T1269 T1273:T1275 T1277:T1278 T1292:T1294 T1297:T1298 T1303:T1307 T1310 T1328:T1330 T1332 T1280">
    <cfRule type="containsText" dxfId="1902" priority="977" operator="containsText" text="PL">
      <formula>NOT(ISERROR(SEARCH("PL",T959)))</formula>
    </cfRule>
    <cfRule type="containsText" dxfId="1901" priority="978" operator="containsText" text="P">
      <formula>NOT(ISERROR(SEARCH("P",T959)))</formula>
    </cfRule>
  </conditionalFormatting>
  <conditionalFormatting sqref="T374:T375">
    <cfRule type="containsText" dxfId="1900" priority="444" operator="containsText" text="SL">
      <formula>NOT(ISERROR(SEARCH("SL",T374)))</formula>
    </cfRule>
  </conditionalFormatting>
  <conditionalFormatting sqref="T424:T425 T1204 T438 T563 T628:T631 T634:T643 T690:T693 T748:T756 T427">
    <cfRule type="containsText" dxfId="1899" priority="707" operator="containsText" text="SL">
      <formula>NOT(ISERROR(SEARCH("SL",T424)))</formula>
    </cfRule>
  </conditionalFormatting>
  <conditionalFormatting sqref="T425 T438 T519 T549 T563 T572 T693 T720 T1169 T1184 T1198 T1202 T1205:T1206 T1208:T1210 T1212:T1213 T1225 T1246 T1302 T1307">
    <cfRule type="containsText" dxfId="1898" priority="497" operator="containsText" text="P">
      <formula>NOT(ISERROR(SEARCH("P",T425)))</formula>
    </cfRule>
  </conditionalFormatting>
  <conditionalFormatting sqref="T425 T438 T519 T549 T563 T572 T693 T720 T1169 T1184 T1198 T1202 T1205:T1206 T1208:T1210 T1212:T1213 T1225 T1246 T1302 T1307:T1308">
    <cfRule type="containsText" dxfId="1897" priority="496" operator="containsText" text="PL">
      <formula>NOT(ISERROR(SEARCH("PL",T425)))</formula>
    </cfRule>
  </conditionalFormatting>
  <conditionalFormatting sqref="T425 T437:T438 T720">
    <cfRule type="containsText" dxfId="1896" priority="498" operator="containsText" text="SL">
      <formula>NOT(ISERROR(SEARCH("SL",T425)))</formula>
    </cfRule>
  </conditionalFormatting>
  <conditionalFormatting sqref="T438 T563 T628 T630:T631 T639 T651 T691:T693 T756 T1204">
    <cfRule type="containsText" dxfId="1895" priority="709" operator="containsText" text="PL">
      <formula>NOT(ISERROR(SEARCH("PL",T438)))</formula>
    </cfRule>
    <cfRule type="containsText" dxfId="1894" priority="710" operator="containsText" text="P">
      <formula>NOT(ISERROR(SEARCH("P",T438)))</formula>
    </cfRule>
  </conditionalFormatting>
  <conditionalFormatting sqref="T438 T563 T628 T630:T631 T639 T691:T693 T756 T1204 T651">
    <cfRule type="containsText" dxfId="1893" priority="708" operator="containsText" text="EL">
      <formula>NOT(ISERROR(SEARCH("EL",T438)))</formula>
    </cfRule>
  </conditionalFormatting>
  <conditionalFormatting sqref="T468">
    <cfRule type="containsText" dxfId="1892" priority="434" operator="containsText" text="OFF">
      <formula>NOT(ISERROR(SEARCH("OFF",T468)))</formula>
    </cfRule>
    <cfRule type="containsText" dxfId="1891" priority="435" operator="containsText" text="ABWI">
      <formula>NOT(ISERROR(SEARCH("ABWI",T468)))</formula>
    </cfRule>
  </conditionalFormatting>
  <conditionalFormatting sqref="T475 T492 T526 T542 T555 T664:T665 T761 T774 T779 T781 T798:T799 T805 T810 T849 T851 T860 T863 T870 T884 T887 T891 T896 T915 T918 T929 T939 T954 T970 T972 T974 T977 T1004 T1017:T1019 T1029 T1036 T1041 T1044 T1047 T1073 T1081 T1089 T1098 T1112 T1116 T1127 T1133 T1148 T1150 T1156 T1160 T1162:T1163 T1166 T1196 T1250 T1281 T1302 T1320 T1325 T1331 T1338 T1342 T1362 T1365 T1372">
    <cfRule type="containsText" dxfId="1890" priority="612" operator="containsText" text="AB">
      <formula>NOT(ISERROR(SEARCH("AB",T475)))</formula>
    </cfRule>
  </conditionalFormatting>
  <conditionalFormatting sqref="T475 T492 T526 T542 T555 T761 T774 T779 T781 T798:T799 T805 T810 T849 T851 T860 T863 T870 T884 T887 T891 T896 T939 T954 T970 T972 T974 T977 T1004 T1017:T1019 T1029 T1036 T1041 T1044 T1047 T1073 T1081 T1089 T1098 T1112 T1116 T1148 T1150 T1156 T1160 T1162:T1163 T1166 T689 T563 T693 T351 T390 T399 T691 T756">
    <cfRule type="containsText" dxfId="1889" priority="613" operator="containsText" text="SL">
      <formula>NOT(ISERROR(SEARCH("SL",T351)))</formula>
    </cfRule>
  </conditionalFormatting>
  <conditionalFormatting sqref="T475 T492 T542 T664:T665 T774 T781 T798:T799 T805 T849 T851 T860 T863 T887 T896 T918 T954 T970 T972 T974 T1004 T1017 T1029 T1073 T1081 T1112 T1116 T1127 T1150 T1156 T1166 T1325 T1338 T1342 T1362 T1365 T1372">
    <cfRule type="containsText" dxfId="1888" priority="570" operator="containsText" text="ABWI">
      <formula>NOT(ISERROR(SEARCH("ABWI",T475)))</formula>
    </cfRule>
  </conditionalFormatting>
  <conditionalFormatting sqref="T475 T492 T542 T664:T665 T774 T781 T798:T799 T805 T849 T851 T860 T863 T887 T896 T918 T954 T970 T972 T974 T1004 T1017 T1029 T1073 T1081 T1112 T1116 T1127 T1150 T1156 T1166 T1325:T1329 T1331:T1335 T1340:T1342 T1350:T1354 T1357:T1362 T1364:T1365 T1367:T1372 T1281:T1282 T761 T810 T915 T929 T1133 T1160 T1162 T1337:T1338">
    <cfRule type="containsText" dxfId="1887" priority="571" operator="containsText" text="AB">
      <formula>NOT(ISERROR(SEARCH("AB",T475)))</formula>
    </cfRule>
  </conditionalFormatting>
  <conditionalFormatting sqref="T475 T492 T542 T689 T761 T774 T781 T798:T799 T805 T810 T849 T851 T860 T863 T887 T896 T954 T970 T972 T974 T1004 T1017 T1029 T1073 T1081 T1112 T1116 T1150 T1156 T1160 T1162 T1166">
    <cfRule type="containsText" dxfId="1886" priority="573" operator="containsText" text="EL">
      <formula>NOT(ISERROR(SEARCH("EL",T475)))</formula>
    </cfRule>
    <cfRule type="containsText" dxfId="1885" priority="574" operator="containsText" text="PL">
      <formula>NOT(ISERROR(SEARCH("PL",T475)))</formula>
    </cfRule>
  </conditionalFormatting>
  <conditionalFormatting sqref="T475 T492 T542 T761 T774 T781 T798:T799 T805 T810 T849 T851 T860 T863 T887 T896 T954 T970 T972 T974 T1004 T1017 T1029 T1073 T1081 T1112 T1116 T1150 T1156 T1160 T1162 T1166 T689">
    <cfRule type="containsText" dxfId="1884" priority="572" operator="containsText" text="SL">
      <formula>NOT(ISERROR(SEARCH("SL",T475)))</formula>
    </cfRule>
  </conditionalFormatting>
  <conditionalFormatting sqref="T475:T477 T492:T493 T526 T542:T546 T555 T664:T665 T761 T774:T776 T779 T781 T795:T802 T805 T808:T811 T845:T849 T858:T863 T869:T873 T878:T896 T914:T918 T929:T933 T936:T944 T952:T954 T969:T972 T974:T977 T1003:T1007 T1017:T1019 T1029 T1034:T1039 T1041 T1044:T1045 T1047:T1050 T1064:T1066 T1073:T1074 T1081 T1088:T1090 T1098 T1112:T1114 T1116:T1117 T1119:T1127 T1129:T1137 T1147:T1148 T1150:T1151 T1156:T1166 T1181:T1216 T1250 T1281:T1283 T1302 T1320 T1325 T1331 T1338:T1354 T763:T765 T851:T852 T1285:T1287 T1356:T1365 T1367:T1374">
    <cfRule type="containsText" dxfId="1883" priority="611" operator="containsText" text="ABWI">
      <formula>NOT(ISERROR(SEARCH("ABWI",T475)))</formula>
    </cfRule>
  </conditionalFormatting>
  <conditionalFormatting sqref="T519 T549 T563 T572 T693 T1184 T1205:T1206 T1246 T1302 T1307:T1308 T1202 T1208:T1210 T1212:T1213 T1198 T1225 T1169 T438 T425 T720">
    <cfRule type="containsText" dxfId="1882" priority="495" operator="containsText" text="EL">
      <formula>NOT(ISERROR(SEARCH("EL",T425)))</formula>
    </cfRule>
  </conditionalFormatting>
  <conditionalFormatting sqref="T519 T549 T563 T572 T693 T1184 T1205:T1206 T1246 T1302 T1307:T1308">
    <cfRule type="containsText" dxfId="1881" priority="494" operator="containsText" text="SL">
      <formula>NOT(ISERROR(SEARCH("SL",T519)))</formula>
    </cfRule>
  </conditionalFormatting>
  <conditionalFormatting sqref="T546 T761 T808 T810:T811 T846 T858 T894 T915:T916 T929:T930 T938 T1007 T1045 T1125 T1133:T1134 T1147 T1158 T1160:T1162 T1281:T1282 T1340 T1344 T1350 T1357 T1367 T1374">
    <cfRule type="containsText" dxfId="1880" priority="525" operator="containsText" text="ABWI">
      <formula>NOT(ISERROR(SEARCH("ABWI",T546)))</formula>
    </cfRule>
  </conditionalFormatting>
  <conditionalFormatting sqref="T546 T761 T808 T810:T811 T846 T858 T894 T915:T916 T929:T930 T938 T1007 T1045 T1125 T1133:T1134 T1147 T1158 T1160:T1162 T1340 T1344 T1350 T1357 T1367 T1374 T1281:T1282">
    <cfRule type="containsText" dxfId="1879" priority="524" operator="containsText" text="OFF">
      <formula>NOT(ISERROR(SEARCH("OFF",T546)))</formula>
    </cfRule>
  </conditionalFormatting>
  <conditionalFormatting sqref="T546 T808 T811 T846 T858 T894 T916 T930 T938 T941 T1007 T1045 T1125 T1134 T1147 T1158 T1161:T1162 T1340 T1344 T1350 T1357 T1367 T1374">
    <cfRule type="containsText" dxfId="1878" priority="479" operator="containsText" text="ABWI">
      <formula>NOT(ISERROR(SEARCH("ABWI",T546)))</formula>
    </cfRule>
  </conditionalFormatting>
  <conditionalFormatting sqref="T546 T808 T811 T858 T894 T916 T930 T1007 T1045 T1125 T1134 T1158 T1161 T1282 T1340 T1344 T1350 T1357 T1367 T1374 T941 T771 T790:T791 T830 T926 T1022 T1027 T1259 T1273 T1310:T1312 T1332">
    <cfRule type="containsText" dxfId="1877" priority="526" operator="containsText" text="SL">
      <formula>NOT(ISERROR(SEARCH("SL",T546)))</formula>
    </cfRule>
  </conditionalFormatting>
  <conditionalFormatting sqref="T546 T846 T1045 T1125 T1147">
    <cfRule type="containsText" dxfId="1876" priority="405" operator="containsText" text="OFF">
      <formula>NOT(ISERROR(SEARCH("OFF",T546)))</formula>
    </cfRule>
    <cfRule type="containsText" dxfId="1875" priority="406" operator="containsText" text="ABWI">
      <formula>NOT(ISERROR(SEARCH("ABWI",T546)))</formula>
    </cfRule>
  </conditionalFormatting>
  <conditionalFormatting sqref="T546 T846 T1045 T1125 T1147 T808 T811 T858 T894 T916 T930 T938 T941 T1007 T1134 T1158 T1161:T1162 T1340 T1344 T1350 T1357 T1367 T1374">
    <cfRule type="containsText" dxfId="1874" priority="478" operator="containsText" text="OFF">
      <formula>NOT(ISERROR(SEARCH("OFF",T546)))</formula>
    </cfRule>
  </conditionalFormatting>
  <conditionalFormatting sqref="T546">
    <cfRule type="containsText" dxfId="1873" priority="1038" operator="containsText" text="Miss SOS">
      <formula>NOT(ISERROR(SEARCH("Miss SOS",T546)))</formula>
    </cfRule>
    <cfRule type="containsText" dxfId="1872" priority="1039" operator="containsText" text="ABWI">
      <formula>NOT(ISERROR(SEARCH("ABWI",T546)))</formula>
    </cfRule>
    <cfRule type="containsText" dxfId="1871" priority="1040" operator="containsText" text="OFF">
      <formula>NOT(ISERROR(SEARCH("OFF",T546)))</formula>
    </cfRule>
    <cfRule type="containsText" dxfId="1870" priority="1041" operator="containsText" text="AB">
      <formula>NOT(ISERROR(SEARCH("AB",T546)))</formula>
    </cfRule>
    <cfRule type="containsText" dxfId="1869" priority="1042" operator="containsText" text="SL">
      <formula>NOT(ISERROR(SEARCH("SL",T546)))</formula>
    </cfRule>
    <cfRule type="containsText" dxfId="1868" priority="1043" operator="containsText" text="EL">
      <formula>NOT(ISERROR(SEARCH("EL",T546)))</formula>
    </cfRule>
    <cfRule type="containsText" dxfId="1867" priority="1044" operator="containsText" text="PL">
      <formula>NOT(ISERROR(SEARCH("PL",T546)))</formula>
    </cfRule>
    <cfRule type="containsText" dxfId="1866" priority="1045" operator="containsText" text="P">
      <formula>NOT(ISERROR(SEARCH("P",T546)))</formula>
    </cfRule>
    <cfRule type="containsText" dxfId="1865" priority="1046" operator="containsText" text="AB">
      <formula>NOT(ISERROR(SEARCH("AB",T546)))</formula>
    </cfRule>
    <cfRule type="containsText" dxfId="1864" priority="1047" operator="containsText" text="SL">
      <formula>NOT(ISERROR(SEARCH("SL",T546)))</formula>
    </cfRule>
    <cfRule type="containsText" dxfId="1863" priority="1048" operator="containsText" text="EL">
      <formula>NOT(ISERROR(SEARCH("EL",T546)))</formula>
    </cfRule>
    <cfRule type="containsText" dxfId="1862" priority="1049" operator="containsText" text="PL">
      <formula>NOT(ISERROR(SEARCH("PL",T546)))</formula>
    </cfRule>
  </conditionalFormatting>
  <conditionalFormatting sqref="T572 T609:T610 T671:T672 T787 T1187:T1189 T1233 T1248 T1250:T1253 T1282 T1285">
    <cfRule type="containsText" dxfId="1861" priority="701" operator="containsText" text="EL">
      <formula>NOT(ISERROR(SEARCH("EL",T572)))</formula>
    </cfRule>
    <cfRule type="containsText" dxfId="1860" priority="702" operator="containsText" text="PL">
      <formula>NOT(ISERROR(SEARCH("PL",T572)))</formula>
    </cfRule>
    <cfRule type="containsText" dxfId="1859" priority="703" operator="containsText" text="P">
      <formula>NOT(ISERROR(SEARCH("P",T572)))</formula>
    </cfRule>
  </conditionalFormatting>
  <conditionalFormatting sqref="T634:T635">
    <cfRule type="containsText" dxfId="1858" priority="748" operator="containsText" text="PL">
      <formula>NOT(ISERROR(SEARCH("PL",T634)))</formula>
    </cfRule>
  </conditionalFormatting>
  <conditionalFormatting sqref="T634:T635">
    <cfRule type="containsText" dxfId="1857" priority="749" operator="containsText" text="P">
      <formula>NOT(ISERROR(SEARCH("P",T634)))</formula>
    </cfRule>
  </conditionalFormatting>
  <conditionalFormatting sqref="T662:T665 T667 T670 T787:T788">
    <cfRule type="containsText" dxfId="1856" priority="832" operator="containsText" text="ABWI">
      <formula>NOT(ISERROR(SEARCH("ABWI",T662)))</formula>
    </cfRule>
    <cfRule type="containsText" dxfId="1855" priority="833" operator="containsText" text="AB">
      <formula>NOT(ISERROR(SEARCH("AB",T662)))</formula>
    </cfRule>
  </conditionalFormatting>
  <conditionalFormatting sqref="T662:T668 T670 T430:T444 T468 T473:T507 T531:T538 T712:T731 T337 T615:T616 T618 T677:T678 T681 T684:T688 T697:T698 T709 T743 T446:T452 T454:T462 T509:T511 T513:T529 T540:T545">
    <cfRule type="containsText" dxfId="1854" priority="834" operator="containsText" text="SL">
      <formula>NOT(ISERROR(SEARCH("SL",T337)))</formula>
    </cfRule>
  </conditionalFormatting>
  <conditionalFormatting sqref="T664:T665 T475 T492 T542 T774 T781 T798:T799 T805 T849 T851 T860 T863 T887 T896 T918 T954 T970 T972 T974 T1004 T1017 T1029 T1073 T1081 T1112 T1116 T1127 T1150 T1156 T1166 T1325 T1338 T1342 T1362 T1365 T1372">
    <cfRule type="containsText" dxfId="1853" priority="569" operator="containsText" text="OFF">
      <formula>NOT(ISERROR(SEARCH("OFF",T475)))</formula>
    </cfRule>
  </conditionalFormatting>
  <conditionalFormatting sqref="T680">
    <cfRule type="containsText" dxfId="1852" priority="849" operator="containsText" text="EL">
      <formula>NOT(ISERROR(SEARCH("EL",T680)))</formula>
    </cfRule>
    <cfRule type="containsText" dxfId="1851" priority="850" operator="containsText" text="PL">
      <formula>NOT(ISERROR(SEARCH("PL",T680)))</formula>
    </cfRule>
    <cfRule type="containsText" dxfId="1850" priority="851" operator="containsText" text="P">
      <formula>NOT(ISERROR(SEARCH("P",T680)))</formula>
    </cfRule>
  </conditionalFormatting>
  <conditionalFormatting sqref="T634:T635">
    <cfRule type="containsText" dxfId="1849" priority="747" operator="containsText" text="EL">
      <formula>NOT(ISERROR(SEARCH("EL",T634)))</formula>
    </cfRule>
  </conditionalFormatting>
  <conditionalFormatting sqref="T1281:T1282">
    <cfRule type="containsText" dxfId="1848" priority="387" operator="containsText" text="OFF">
      <formula>NOT(ISERROR(SEARCH("OFF",T1281)))</formula>
    </cfRule>
    <cfRule type="containsText" dxfId="1847" priority="388" operator="containsText" text="ABWI">
      <formula>NOT(ISERROR(SEARCH("ABWI",T1281)))</formula>
    </cfRule>
  </conditionalFormatting>
  <conditionalFormatting sqref="T770:T783 T802:T805 T814 T816 T824:T828 T830:T847 T857:T865 T867 T872:T875 T883:T893 T895:T908 T915:T922 T924:T931 T935:T941 T943 T949:T959 T961:T969 T976:T984 T987:T988 T990:T994 T996 T999:T1006 T1010 T1014 T1018:T1031 T1034:T1038 T1041 T1044:T1045 T1047:T1050 T1052:T1058 T1060:T1061 T1064 T1071:T1089 T1092:T1093 T1096:T1103 T1108:T1115 T1117 T1120:T1121 T1124:T1127 T1130:T1139 T1141:T1145 T1147:T1151 T1154 T1156:T1168 T1176 T1178 T1183:T1184 T1186:T1189 T1194:T1195 T1217 T1233 T1243:T1246 T1290:T1291 T1311:T1317 T1321:T1330 T807:T812 T819:T822 T1319">
    <cfRule type="containsText" dxfId="1846" priority="1347" operator="containsText" text="EL">
      <formula>NOT(ISERROR(SEARCH("EL",T770)))</formula>
    </cfRule>
  </conditionalFormatting>
  <conditionalFormatting sqref="T770:T783 T802:T805 T830:T848 T857:T865 T867 T872:T875 T883:T893 T895:T908 T915:T922 T924:T931 T935:T947 T949:T959 T961:T969 T976:T984 T987:T996 T999:T1006 T1010 T1014 T1018:T1031 T1034:T1038 T1041 T1044:T1045 T1047:T1050 T1052:T1058 T1060:T1061 T1064 T1071:T1089 T1092:T1093 T1096:T1103 T1108:T1115 T1117 T1120:T1121 T1124:T1127 T1130:T1134 T1136:T1139 T1141:T1145 T1147:T1151 T1154 T1156:T1168 T1176 T1178 T1183:T1184 T1186:T1189 T1194:T1195 T1217 T1233 T1243:T1246 T1290:T1291 T1311:T1317 T1321:T1330 T1256:T1257 T807:T816 T819:T828 T1319">
    <cfRule type="containsText" dxfId="1845" priority="1348" operator="containsText" text="PL">
      <formula>NOT(ISERROR(SEARCH("PL",T770)))</formula>
    </cfRule>
  </conditionalFormatting>
  <conditionalFormatting sqref="T771 T811 T826 T830 T916 T930 T938 T984 T1045 T1105:T1107 T1109 T1125 T1134 T1141 T1147 T1151 T1154 T1158 T1161 T1273 T1282">
    <cfRule type="containsText" dxfId="1844" priority="1341" operator="containsText" text="SL">
      <formula>NOT(ISERROR(SEARCH("SL",T771)))</formula>
    </cfRule>
    <cfRule type="containsText" dxfId="1843" priority="1342" operator="containsText" text="EL">
      <formula>NOT(ISERROR(SEARCH("EL",T771)))</formula>
    </cfRule>
    <cfRule type="containsText" dxfId="1842" priority="1343" operator="containsText" text="PL">
      <formula>NOT(ISERROR(SEARCH("PL",T771)))</formula>
    </cfRule>
    <cfRule type="containsText" dxfId="1841" priority="1344" operator="containsText" text="P">
      <formula>NOT(ISERROR(SEARCH("P",T771)))</formula>
    </cfRule>
  </conditionalFormatting>
  <conditionalFormatting sqref="T775:T776 T804:T805 T832:T848 T858:T859 T861 T872:T873 T877:T882 T884:T887 T893 T935:T947 T961:T969 T987:T996 T1113 T1115:T1117 T1154 T1178 T1244 T1285 T1321 T1339:T1340 T1362 T807:T816 T819:T828 T1119:T1121">
    <cfRule type="containsText" dxfId="1840" priority="1337" operator="containsText" text="EL">
      <formula>NOT(ISERROR(SEARCH("EL",T775)))</formula>
    </cfRule>
  </conditionalFormatting>
  <conditionalFormatting sqref="T775:T776 T804:T805 T858:T859 T861 T893 T935:T947 T987:T996 T1113 T1178 T1244 T1285 T1321 T1339:T1340 T1362 T832:T848 T877:T882 T961:T969 T1115:T1117 T1154 T872:T873 T884:T887 T807:T816 T819:T828 T1119:T1121">
    <cfRule type="containsText" dxfId="1839" priority="1336" operator="containsText" text="SL">
      <formula>NOT(ISERROR(SEARCH("SL",T775)))</formula>
    </cfRule>
  </conditionalFormatting>
  <conditionalFormatting sqref="T775:T776 T808:T809 T858:T859 T861 T893 T941 T991 T1113 T1178 T1244 T1248 T1250:T1253 T1285 T1321 T1339:T1341 T1362">
    <cfRule type="containsText" dxfId="1838" priority="1339" operator="containsText" text="P">
      <formula>NOT(ISERROR(SEARCH("P",T775)))</formula>
    </cfRule>
  </conditionalFormatting>
  <conditionalFormatting sqref="T775:T776 T808:T809 T858:T859 T861 T893 T941 T991 T1113 T1178 T1244 T1285 T1321 T1339:T1341 T1362 T1248 T1250:T1253">
    <cfRule type="containsText" dxfId="1837" priority="1338" operator="containsText" text="PL">
      <formula>NOT(ISERROR(SEARCH("PL",T775)))</formula>
    </cfRule>
  </conditionalFormatting>
  <conditionalFormatting sqref="T796 T857:T865 T867 T875:T880 T889:T893 T895:T900 T905:T911 T914:T922 T925:T931 T950:T952 T980:T984 T998:T1006 T1010 T1014 T1017:T1022 T1027:T1032 T1034:T1041 T1044:T1058 T1105:T1106 T1147:T1151 T1156:T1168 T1176 T1178 T1182:T1183 T1191:T1192 T1194:T1195 T1233 T1244:T1246 T1248 T1250:T1253 T1255:T1257 T1311:T1317 T1070:T1086 T1319 T869">
    <cfRule type="containsText" dxfId="1836" priority="1287" operator="containsText" text="P">
      <formula>NOT(ISERROR(SEARCH("P",T796)))</formula>
    </cfRule>
  </conditionalFormatting>
  <conditionalFormatting sqref="T796 T857:T865 T867 T875:T880 T889:T893 T895:T900 T905:T911 T914:T922 T925:T931 T950:T952 T980:T984 T998:T1006 T1010 T1014 T1017:T1022 T1027:T1032 T1034:T1041 T1044:T1058 T1105:T1106 T1147:T1151 T1156:T1168 T1176 T1178 T1182:T1183 T1191:T1192 T1194:T1195 T1233 T1244:T1246 T1248 T1250:T1253 T1255:T1257 T1311:T1317 T1124:T1127 T1130:T1139 T1319 T869">
    <cfRule type="containsText" dxfId="1835" priority="1286" operator="containsText" text="PL">
      <formula>NOT(ISERROR(SEARCH("PL",T796)))</formula>
    </cfRule>
  </conditionalFormatting>
  <conditionalFormatting sqref="T796 T857:T865 T867 T875:T880 T889:T893 T895:T900 T905:T911 T914:T922 T925:T931 T950:T952 T980:T984 T998:T1006 T1010 T1014 T1017:T1022 T1027:T1032 T1034:T1041 T1044:T1058 T1105:T1106 T1147:T1151 T1156:T1168 T1176 T1178 T1182:T1183 T1191:T1192 T1194:T1195 T1233 T1244:T1246 T1248 T1250:T1253 T1255:T1257 T1311:T1317 T1319 T869">
    <cfRule type="containsText" dxfId="1834" priority="1284" operator="containsText" text="SL">
      <formula>NOT(ISERROR(SEARCH("SL",T796)))</formula>
    </cfRule>
    <cfRule type="containsText" dxfId="1833" priority="1285" operator="containsText" text="EL">
      <formula>NOT(ISERROR(SEARCH("EL",T796)))</formula>
    </cfRule>
  </conditionalFormatting>
  <conditionalFormatting sqref="T796:T802 T829:T832 T877:T882 T1060:T1061 T1087:T1092 T1214:T1215 T1285 T1287:T1288 T1290:T1291 T1332:T1334 T1351:T1352 T1365 T1367:T1369">
    <cfRule type="containsText" dxfId="1832" priority="1297" operator="containsText" text="P">
      <formula>NOT(ISERROR(SEARCH("P",T796)))</formula>
    </cfRule>
  </conditionalFormatting>
  <conditionalFormatting sqref="T796:T802 T829:T832 T1060:T1061 T1087:T1092 T1214:T1215 T1248 T1250:T1253 T1255:T1257 T1285 T1290:T1291 T1331:T1335 T1350:T1354 T1365 T1287:T1288 T1337 T1356 T1367:T1374">
    <cfRule type="containsText" dxfId="1831" priority="1295" operator="containsText" text="EL">
      <formula>NOT(ISERROR(SEARCH("EL",T796)))</formula>
    </cfRule>
  </conditionalFormatting>
  <conditionalFormatting sqref="T796:T802 T829:T832 T1060:T1061 T1087:T1092 T1214:T1215 T1248 T1250:T1253 T1255:T1257 T1285 T1290:T1291 T1331:T1335 T1350:T1354 T1365 T1337 T1356 T1367:T1374">
    <cfRule type="containsText" dxfId="1830" priority="1294" operator="containsText" text="SL">
      <formula>NOT(ISERROR(SEARCH("SL",T796)))</formula>
    </cfRule>
  </conditionalFormatting>
  <conditionalFormatting sqref="T796:T802 T829:T832 T1060:T1061 T1087:T1092 T1214:T1215 T1285 T1287:T1288 T1290:T1291 T1332:T1334 T1351:T1352 T1365 T877:T882 T1367:T1369">
    <cfRule type="containsText" dxfId="1829" priority="1296" operator="containsText" text="PL">
      <formula>NOT(ISERROR(SEARCH("PL",T796)))</formula>
    </cfRule>
  </conditionalFormatting>
  <conditionalFormatting sqref="T796:T802 T989 T1090 T1116:T1117 T1243">
    <cfRule type="containsText" dxfId="1828" priority="1136" operator="containsText" text="P">
      <formula>NOT(ISERROR(SEARCH("P",T796)))</formula>
    </cfRule>
  </conditionalFormatting>
  <conditionalFormatting sqref="T796:T802 T1248 T1250:T1253 T1255:T1257 T1087:T1092 T1290:T1291 T1331:T1335 T1350:T1354 T1365 T829:T832 T1060:T1061 T1214:T1215 T1285 T1337 T1356 T1367:T1374">
    <cfRule type="containsText" dxfId="1827" priority="1293" operator="containsText" text="AB">
      <formula>NOT(ISERROR(SEARCH("AB",T796)))</formula>
    </cfRule>
  </conditionalFormatting>
  <conditionalFormatting sqref="T798:T802">
    <cfRule type="containsText" dxfId="1826" priority="1268" operator="containsText" text="AB">
      <formula>NOT(ISERROR(SEARCH("AB",T798)))</formula>
    </cfRule>
    <cfRule type="containsText" dxfId="1825" priority="1269" operator="containsText" text="SL">
      <formula>NOT(ISERROR(SEARCH("SL",T798)))</formula>
    </cfRule>
    <cfRule type="containsText" dxfId="1824" priority="1270" operator="containsText" text="EL">
      <formula>NOT(ISERROR(SEARCH("EL",T798)))</formula>
    </cfRule>
    <cfRule type="containsText" dxfId="1823" priority="1271" operator="containsText" text="PL">
      <formula>NOT(ISERROR(SEARCH("PL",T798)))</formula>
    </cfRule>
    <cfRule type="containsText" dxfId="1822" priority="1272" operator="containsText" text="P">
      <formula>NOT(ISERROR(SEARCH("P",T798)))</formula>
    </cfRule>
  </conditionalFormatting>
  <conditionalFormatting sqref="T801:T802 T881 T989 T1090 T1116:T1117 T1243">
    <cfRule type="containsText" dxfId="1821" priority="1134" operator="containsText" text="EL">
      <formula>NOT(ISERROR(SEARCH("EL",T801)))</formula>
    </cfRule>
    <cfRule type="containsText" dxfId="1820" priority="1135" operator="containsText" text="PL">
      <formula>NOT(ISERROR(SEARCH("PL",T801)))</formula>
    </cfRule>
  </conditionalFormatting>
  <conditionalFormatting sqref="T801:T802 T881 T989 T1090 T1116:T1117">
    <cfRule type="containsText" dxfId="1819" priority="1133" operator="containsText" text="SL">
      <formula>NOT(ISERROR(SEARCH("SL",T801)))</formula>
    </cfRule>
  </conditionalFormatting>
  <conditionalFormatting sqref="T802:T805 T814 T857:T865 T867 T895:T908 T915:T922 T924:T931 T943 T949:T959 T976:T984 T987:T988 T990:T994 T999:T1006 T1010 T1014 T1018:T1031 T1034:T1038 T1041 T1044:T1045 T1047:T1050 T1052:T1058 T1060:T1061 T1064 T1071:T1089 T1092:T1093 T1108:T1115 T1117 T1120:T1121 T1124:T1127 T1130:T1134 T1136:T1139 T1147:T1151 T1156:T1168 T1176 T1178 T1183:T1184 T1186:T1189 T1194:T1195 T1217 T1233 T1243:T1246 T1256:T1257 T1290:T1291 T1311:T1317 T1321:T1330 T807:T812 T1319">
    <cfRule type="containsText" dxfId="1818" priority="1349" operator="containsText" text="P">
      <formula>NOT(ISERROR(SEARCH("P",T802)))</formula>
    </cfRule>
  </conditionalFormatting>
  <conditionalFormatting sqref="T802:T805 T814 T857:T865 T867 T895:T908 T915:T922 T924:T931 T943 T949:T959 T976:T984 T987:T988 T990:T994 T999:T1006 T1010 T1014 T1018:T1031 T1034:T1038 T1041 T1044:T1045 T1047:T1050 T1052:T1058 T1060:T1061 T1064 T1071:T1089 T1092:T1093 T1108:T1115 T1117 T1120:T1121 T1130:T1139 T1147:T1151 T1156:T1168 T1176 T1178 T1183:T1184 T1186:T1189 T1194:T1195 T1217 T1233 T1243:T1246 T1290:T1291 T1311:T1317 T1321:T1330 T770:T785 T824:T828 T830:T847 T935:T941 T1124:T1127 T1141:T1145 T1154 T883:T893 T816 T872:T875 T961:T969 T996 T1096:T1103 T787:T788 T807:T812 T819:T822 T1319">
    <cfRule type="containsText" dxfId="1817" priority="1346" operator="containsText" text="SL">
      <formula>NOT(ISERROR(SEARCH("SL",T770)))</formula>
    </cfRule>
  </conditionalFormatting>
  <conditionalFormatting sqref="T802:T805 T915:T922 T924:T931 T976:T984 T1044:T1045 T1108:T1115 T1130:T1134 T1147:T1151 T1156:T1168 T857:T865 T990:T994 T1178 T1243:T1246 T1321:T1330 T814 T943 T987:T988 T1117 T1120:T1121 T1071:T1089 T1136:T1139 T1311:T1317 T1018:T1031 T1064 T1186:T1189 T895:T908 T949:T959 T1060:T1061 T1092:T1093 T1290:T1291 T867 T999:T1006 T1010 T1014 T1034:T1038 T1041 T1047:T1050 T1052:T1058 T1176 T1183:T1184 T1194:T1195 T1233 T1217 T807:T812 T1319">
    <cfRule type="containsText" dxfId="1816" priority="1345" operator="containsText" text="AB">
      <formula>NOT(ISERROR(SEARCH("AB",T802)))</formula>
    </cfRule>
  </conditionalFormatting>
  <conditionalFormatting sqref="T804:T805 T808:T811 T816 T828 T830 T832:T837 T858:T865 T867 T890:T893 T895:T900 T903:T904 T906 T909 T914:T916 T918 T921 T941:T948 T950:T954 T958:T959 T987:T996 T1022 T1027 T1029 T1032 T1037:T1041 T1045 T1060:T1061 T1064:T1065 T1070:T1073 T1076 T1081 T1085:T1092 T1096 T1105:T1109 T1112:T1117 T1125 T1127 T1130:T1134 T1145:T1151 T1158:T1168 T1214:T1217 T1243:T1246 T1312:T1317 T1321:T1325 T1334:T1335 T1339:T1344 T1351:T1354 T1358:T1365 T1119:T1121 T1319 T1356 T1367:T1374 T869">
    <cfRule type="containsText" dxfId="1815" priority="1158" operator="containsText" text="PL">
      <formula>NOT(ISERROR(SEARCH("PL",T804)))</formula>
    </cfRule>
    <cfRule type="containsText" dxfId="1814" priority="1159" operator="containsText" text="P">
      <formula>NOT(ISERROR(SEARCH("P",T804)))</formula>
    </cfRule>
  </conditionalFormatting>
  <conditionalFormatting sqref="T804:T805 T808:T811 T816 T828 T830 T832:T837 T858:T865 T867 T890:T893 T895:T900 T903:T904 T906 T909 T941:T948 T950:T954 T958:T959 T987:T996 T1022 T1027 T1029 T1032 T1037:T1041 T1045 T1060:T1061 T1064:T1065 T1070:T1073 T1076 T1081 T1085:T1092 T1096 T1105:T1109 T1112:T1114 T1127 T1130:T1134 T1145:T1151 T1158:T1168 T1214:T1217 T1243:T1246 T1358:T1365 T914:T916 T918 T921 T1125 T1312:T1317 T1321:T1325 T1334:T1335 T1339:T1344 T1351:T1354 T1319 T1356 T1367:T1374 T869">
    <cfRule type="containsText" dxfId="1813" priority="1157" operator="containsText" text="EL">
      <formula>NOT(ISERROR(SEARCH("EL",T804)))</formula>
    </cfRule>
  </conditionalFormatting>
  <conditionalFormatting sqref="T804:T805 T808:T811 T816 T828 T830 T832:T837 T858:T865 T867 T890:T893 T895:T900 T903:T904 T906 T909 T941:T948 T950:T954 T958:T959 T987:T996 T1022 T1027 T1029 T1032 T1037:T1041 T1045 T1060:T1061 T1064:T1065 T1070:T1073 T1076 T1081 T1085:T1092 T1096 T1105:T1109 T1112:T1114 T1127 T1130:T1134 T1145:T1151 T1158:T1168 T1214:T1217 T1243:T1246 T1358:T1365 T1367:T1374 T869">
    <cfRule type="containsText" dxfId="1812" priority="1156" operator="containsText" text="SL">
      <formula>NOT(ISERROR(SEARCH("SL",T804)))</formula>
    </cfRule>
  </conditionalFormatting>
  <conditionalFormatting sqref="T807:T808 T811:T816 T916:T917 T919:T922 T926:T928 T954:T959 T1014 T1082:T1085 T1134:T1136 T1151 T1262:T1266">
    <cfRule type="containsText" dxfId="1811" priority="1196" operator="containsText" text="SL">
      <formula>NOT(ISERROR(SEARCH("SL",T807)))</formula>
    </cfRule>
    <cfRule type="containsText" dxfId="1810" priority="1197" operator="containsText" text="EL">
      <formula>NOT(ISERROR(SEARCH("EL",T807)))</formula>
    </cfRule>
    <cfRule type="containsText" dxfId="1809" priority="1198" operator="containsText" text="PL">
      <formula>NOT(ISERROR(SEARCH("PL",T807)))</formula>
    </cfRule>
    <cfRule type="containsText" dxfId="1808" priority="1199" operator="containsText" text="P">
      <formula>NOT(ISERROR(SEARCH("P",T807)))</formula>
    </cfRule>
  </conditionalFormatting>
  <conditionalFormatting sqref="T811 T826 T938 T1154 T1282 T1105:T1107 T1109 T1273 T830 T916 T930 T984 T1045 T1147 T1151 T1158 T1161 T1125 T1134 T1141 T771">
    <cfRule type="containsText" dxfId="1807" priority="1340" operator="containsText" text="AB">
      <formula>NOT(ISERROR(SEARCH("AB",T771)))</formula>
    </cfRule>
  </conditionalFormatting>
  <conditionalFormatting sqref="T813 T829:T831 T857:T858 T902:T911 T938:T948 T1017:T1028 T1044:T1048 T1074:T1080 T1124:T1126 T1268:T1270 T1290 T1324 T1327:T1328">
    <cfRule type="containsText" dxfId="1806" priority="1178" operator="containsText" text="PL">
      <formula>NOT(ISERROR(SEARCH("PL",T813)))</formula>
    </cfRule>
    <cfRule type="containsText" dxfId="1805" priority="1179" operator="containsText" text="P">
      <formula>NOT(ISERROR(SEARCH("P",T813)))</formula>
    </cfRule>
  </conditionalFormatting>
  <conditionalFormatting sqref="T813 T829:T831 T857:T858 T902:T911 T938:T948 T1017:T1028 T1044:T1048 T1074:T1080 T1124:T1126 T1268:T1270 T1324 T1327:T1328 T1290">
    <cfRule type="containsText" dxfId="1804" priority="1177" operator="containsText" text="EL">
      <formula>NOT(ISERROR(SEARCH("EL",T813)))</formula>
    </cfRule>
  </conditionalFormatting>
  <conditionalFormatting sqref="T813 T829:T831 T857:T858 T902:T911 T938:T948 T1017:T1028 T1044:T1048 T1074:T1080 T1124:T1126 T1268:T1270 T1324 T1327:T1328">
    <cfRule type="containsText" dxfId="1803" priority="1176" operator="containsText" text="SL">
      <formula>NOT(ISERROR(SEARCH("SL",T813)))</formula>
    </cfRule>
  </conditionalFormatting>
  <conditionalFormatting sqref="T822 T878 T961:T962 T976:T978 T1021:T1025 T1055 T1092:T1093 T1186:T1189 T1248 T1252 T1290 T1315 T1333:T1335 T1339:T1346 T1337 T1096">
    <cfRule type="containsText" dxfId="1802" priority="1279" operator="containsText" text="SL">
      <formula>NOT(ISERROR(SEARCH("SL",T822)))</formula>
    </cfRule>
    <cfRule type="containsText" dxfId="1801" priority="1280" operator="containsText" text="EL">
      <formula>NOT(ISERROR(SEARCH("EL",T822)))</formula>
    </cfRule>
    <cfRule type="containsText" dxfId="1800" priority="1281" operator="containsText" text="PL">
      <formula>NOT(ISERROR(SEARCH("PL",T822)))</formula>
    </cfRule>
    <cfRule type="containsText" dxfId="1799" priority="1282" operator="containsText" text="P">
      <formula>NOT(ISERROR(SEARCH("P",T822)))</formula>
    </cfRule>
  </conditionalFormatting>
  <conditionalFormatting sqref="T869 T976:T984 T1093">
    <cfRule type="containsText" dxfId="1798" priority="989" operator="containsText" text="SL">
      <formula>NOT(ISERROR(SEARCH("SL",T869)))</formula>
    </cfRule>
    <cfRule type="containsText" dxfId="1797" priority="990" operator="containsText" text="EL">
      <formula>NOT(ISERROR(SEARCH("EL",T869)))</formula>
    </cfRule>
    <cfRule type="containsText" dxfId="1796" priority="991" operator="containsText" text="PL">
      <formula>NOT(ISERROR(SEARCH("PL",T869)))</formula>
    </cfRule>
    <cfRule type="containsText" dxfId="1795" priority="992" operator="containsText" text="P">
      <formula>NOT(ISERROR(SEARCH("P",T869)))</formula>
    </cfRule>
  </conditionalFormatting>
  <conditionalFormatting sqref="T875:T880 T1017:T1022 T1044:T1058 T1248 T1250:T1253 T1311:T1317 T925:T931 T980:T984 T1156:T1168 T914:T922 T1014 T1147:T1151 T857:T865 T905:T911 T1027:T1032 T1034:T1041 T1182:T1183 T1244:T1246 T867 T889:T893 T895:T900 T950:T952 T1105:T1106 T796 T998:T1006 T1010 T1176 T1178 T1191:T1192 T1194:T1195 T1255:T1257 T1233 T1319 T869">
    <cfRule type="containsText" dxfId="1794" priority="1283" operator="containsText" text="AB">
      <formula>NOT(ISERROR(SEARCH("AB",T796)))</formula>
    </cfRule>
  </conditionalFormatting>
  <conditionalFormatting sqref="T881 T1116:T1117 T801:T802 T989 T1090">
    <cfRule type="containsText" dxfId="1793" priority="1132" operator="containsText" text="AB">
      <formula>NOT(ISERROR(SEARCH("AB",T801)))</formula>
    </cfRule>
  </conditionalFormatting>
  <conditionalFormatting sqref="T900:T902 T924:T926 T955:T959 T1106:T1107 T1109:T1111 T1265:T1266 T1273:T1275 T1277:T1278 T1300 T1280">
    <cfRule type="containsText" dxfId="1792" priority="1307" operator="containsText" text="SL">
      <formula>NOT(ISERROR(SEARCH("SL",T900)))</formula>
    </cfRule>
    <cfRule type="containsText" dxfId="1791" priority="1308" operator="containsText" text="EL">
      <formula>NOT(ISERROR(SEARCH("EL",T900)))</formula>
    </cfRule>
    <cfRule type="containsText" dxfId="1790" priority="1309" operator="containsText" text="PL">
      <formula>NOT(ISERROR(SEARCH("PL",T900)))</formula>
    </cfRule>
    <cfRule type="containsText" dxfId="1789" priority="1310" operator="containsText" text="P">
      <formula>NOT(ISERROR(SEARCH("P",T900)))</formula>
    </cfRule>
  </conditionalFormatting>
  <conditionalFormatting sqref="T900:T902 T924:T926 T1106:T1107 T955:T959 T1265:T1266 T1109:T1111 T1273:T1275 T1277:T1278 T1300 T1280">
    <cfRule type="containsText" dxfId="1788" priority="1306" operator="containsText" text="AB">
      <formula>NOT(ISERROR(SEARCH("AB",T900)))</formula>
    </cfRule>
  </conditionalFormatting>
  <conditionalFormatting sqref="T910:T911 T948:T949 T1050:T1051 T1215 T1253 T1332:T1333 T1351">
    <cfRule type="containsText" dxfId="1787" priority="1356" operator="containsText" text="SL">
      <formula>NOT(ISERROR(SEARCH("SL",T910)))</formula>
    </cfRule>
    <cfRule type="containsText" dxfId="1786" priority="1357" operator="containsText" text="EL">
      <formula>NOT(ISERROR(SEARCH("EL",T910)))</formula>
    </cfRule>
    <cfRule type="containsText" dxfId="1785" priority="1358" operator="containsText" text="PL">
      <formula>NOT(ISERROR(SEARCH("PL",T910)))</formula>
    </cfRule>
    <cfRule type="containsText" dxfId="1784" priority="1359" operator="containsText" text="P">
      <formula>NOT(ISERROR(SEARCH("P",T910)))</formula>
    </cfRule>
  </conditionalFormatting>
  <conditionalFormatting sqref="T1212 T1249">
    <cfRule type="containsText" dxfId="1783" priority="606" operator="containsText" text="SL">
      <formula>NOT(ISERROR(SEARCH("SL",T1212)))</formula>
    </cfRule>
    <cfRule type="containsText" dxfId="1782" priority="607" operator="containsText" text="EL">
      <formula>NOT(ISERROR(SEARCH("EL",T1212)))</formula>
    </cfRule>
    <cfRule type="containsText" dxfId="1781" priority="608" operator="containsText" text="PL">
      <formula>NOT(ISERROR(SEARCH("PL",T1212)))</formula>
    </cfRule>
    <cfRule type="containsText" dxfId="1780" priority="609" operator="containsText" text="P">
      <formula>NOT(ISERROR(SEARCH("P",T1212)))</formula>
    </cfRule>
  </conditionalFormatting>
  <conditionalFormatting sqref="T913:T933 T1119:T1127 T447:T448 T454 T460:T461 T476:T477 T480:T481 T484 T490 T493 T498 T501:T502 T504 T511 T518:T519 T522 T533 T536 T538 T543:T546 T549 T553 T557 T559 T562:T588 T757:T758 T763:T765 T770:T772 T775:T776 T790:T791 T795:T797 T800:T802 T808:T809 T811 T813:T814 T816 T819:T823 T825:T826 T828:T834 T836:T837 T839:T841 T845:T848 T852 T856 T858:T859 T861:T862 T866 T869 T871:T873 T876 T878:T883 T885:T886 T888:T890 T892:T895 T899:T901 T903:T904 T906 T909 T936:T938 T940:T944 T946:T947 T950 T952:T953 T956:T962 T964:T965 T969 T971 T975:T976 T979:T980 T982 T985:T986 T988 T990:T996 T998 T1000 T1003 T1005:T1007 T1009 T1013:T1014 T1021:T1022 T1027 T1032 T1034:T1035 T1037:T1039 T1045 T1048:T1050 T1052 T1054:T1057 T1059:T1060 T1064:T1066 T1070:T1071 T1074 T1076 T1085:T1086 T1088 T1090 T1092:T1093 T1096 T1102:T1106 T1109 T1113:T1114 T1117 T1143:T1145 T1147 T1151 T1154 T1157:T1159 T1161 T1164:T1165 T365 T385 T1169:T1233 T513 T590:T611 T793 T1129:T1141 T1236:T1278 T1280:T1283 T1285:T1317 T1319:T1335 T1337:T1354 T1356:T1365 T1367:T1374">
    <cfRule type="containsText" dxfId="1779" priority="1385" operator="containsText" text="SL">
      <formula>NOT(ISERROR(SEARCH("SL",T365)))</formula>
    </cfRule>
  </conditionalFormatting>
  <conditionalFormatting sqref="T913:T922 T924:T932 T1123:T1127 T1175:T1189 T1191:T1192 T1194:T1196 T1204 T1214:T1217 T1230 T1233 T1243:T1248 T1250:T1278 T1285:T1317 T790:T791 T934:T972 T1044:T1061 T974:T1014 T1064:T1093 T1105:T1117 T1141:T1152 T761 T531:T538 T757:T758 T447:T452 T468 T473:T507 T518:T529 T454:T462 T509:T511 T513 T540:T551 T553:T562 T763:T783 T793:T805 T807:T816 T819:T849 T851:T867 T1016:T1041 T1119:T1121 T1129:T1139 T1154:T1168 T1280:T1282 T1319:T1335 T1337:T1354 T1356:T1365 T1367:T1374 T869:T911 T1096:T1103">
    <cfRule type="containsText" dxfId="1778" priority="1383" operator="containsText" text="ABWI">
      <formula>NOT(ISERROR(SEARCH("ABWI",T447)))</formula>
    </cfRule>
  </conditionalFormatting>
  <conditionalFormatting sqref="T913:T922 T924:T932 T1123:T1127 T1175:T1189 T1191:T1192 T1194:T1196 T1204 T1214:T1217 T1230 T1233 T1243:T1248 T1250:T1278 T1285:T1317 T1129:T1139 T1280:T1282 T1319:T1335 T1337:T1354 T1356:T1365 T1367:T1374">
    <cfRule type="containsText" dxfId="1777" priority="1384" operator="containsText" text="AB">
      <formula>NOT(ISERROR(SEARCH("AB",T913)))</formula>
    </cfRule>
  </conditionalFormatting>
  <conditionalFormatting sqref="T924:T926 T929:T932 T934 T1120:T1121 T1136:T1139 T1141 T1214:T1215">
    <cfRule type="containsText" dxfId="1776" priority="760" operator="containsText" text="EL">
      <formula>NOT(ISERROR(SEARCH("EL",T924)))</formula>
    </cfRule>
    <cfRule type="containsText" dxfId="1775" priority="761" operator="containsText" text="PL">
      <formula>NOT(ISERROR(SEARCH("PL",T924)))</formula>
    </cfRule>
    <cfRule type="containsText" dxfId="1774" priority="762" operator="containsText" text="P">
      <formula>NOT(ISERROR(SEARCH("P",T924)))</formula>
    </cfRule>
  </conditionalFormatting>
  <conditionalFormatting sqref="T930 T984 T1064:T1065 T1070:T1086 T1161 T1311:T1313 T1319 T1321:T1330 T1340 T1351:T1354 T1358:T1365 T1356 T1367:T1374">
    <cfRule type="containsText" dxfId="1773" priority="1274" operator="containsText" text="SL">
      <formula>NOT(ISERROR(SEARCH("SL",T930)))</formula>
    </cfRule>
    <cfRule type="containsText" dxfId="1772" priority="1275" operator="containsText" text="EL">
      <formula>NOT(ISERROR(SEARCH("EL",T930)))</formula>
    </cfRule>
    <cfRule type="containsText" dxfId="1771" priority="1276" operator="containsText" text="PL">
      <formula>NOT(ISERROR(SEARCH("PL",T930)))</formula>
    </cfRule>
  </conditionalFormatting>
  <conditionalFormatting sqref="T930 T984 T1064:T1065 T1161 T1311:T1313 T1319 T1321:T1330 T1340 T1351:T1354 T1358:T1365 T1356 T1367:T1374">
    <cfRule type="containsText" dxfId="1770" priority="1277" operator="containsText" text="P">
      <formula>NOT(ISERROR(SEARCH("P",T930)))</formula>
    </cfRule>
  </conditionalFormatting>
  <conditionalFormatting sqref="T932">
    <cfRule type="containsText" dxfId="1769" priority="399" operator="containsText" text="OFF">
      <formula>NOT(ISERROR(SEARCH("OFF",T932)))</formula>
    </cfRule>
    <cfRule type="containsText" dxfId="1768" priority="400" operator="containsText" text="ABWI">
      <formula>NOT(ISERROR(SEARCH("ABWI",T932)))</formula>
    </cfRule>
  </conditionalFormatting>
  <conditionalFormatting sqref="T940:T941">
    <cfRule type="containsText" dxfId="1767" priority="491" operator="containsText" text="OFF">
      <formula>NOT(ISERROR(SEARCH("OFF",T940)))</formula>
    </cfRule>
    <cfRule type="containsText" dxfId="1766" priority="492" operator="containsText" text="ABWI">
      <formula>NOT(ISERROR(SEARCH("ABWI",T940)))</formula>
    </cfRule>
  </conditionalFormatting>
  <conditionalFormatting sqref="T948:T949 T1050:T1051 T1253 T1215 T1332:T1333 T1351 T910:T911">
    <cfRule type="containsText" dxfId="1765" priority="1355" operator="containsText" text="AB">
      <formula>NOT(ISERROR(SEARCH("AB",T910)))</formula>
    </cfRule>
  </conditionalFormatting>
  <conditionalFormatting sqref="T954:T959 T1262:T1266 T811:T816 T807:T808 T916:T917 T919:T922 T1082:T1085 T1134:T1136 T1151 T1014 T926:T928">
    <cfRule type="containsText" dxfId="1764" priority="1195" operator="containsText" text="AB">
      <formula>NOT(ISERROR(SEARCH("AB",T807)))</formula>
    </cfRule>
  </conditionalFormatting>
  <conditionalFormatting sqref="T956 T1265 T1344:T1345">
    <cfRule type="containsText" dxfId="1763" priority="1181" operator="containsText" text="SL">
      <formula>NOT(ISERROR(SEARCH("SL",T956)))</formula>
    </cfRule>
    <cfRule type="containsText" dxfId="1762" priority="1182" operator="containsText" text="EL">
      <formula>NOT(ISERROR(SEARCH("EL",T956)))</formula>
    </cfRule>
    <cfRule type="containsText" dxfId="1761" priority="1183" operator="containsText" text="PL">
      <formula>NOT(ISERROR(SEARCH("PL",T956)))</formula>
    </cfRule>
    <cfRule type="containsText" dxfId="1760" priority="1184" operator="containsText" text="P">
      <formula>NOT(ISERROR(SEARCH("P",T956)))</formula>
    </cfRule>
  </conditionalFormatting>
  <conditionalFormatting sqref="T959 T984 T998:T1006 T1010 T1014 T1017 T1050:T1058 T1060 T1065 T1070:T1071 T1265:T1266 T1269 T1292:T1294 T1297:T1298 T1303:T1307 T1310 T1176 T1178 T1182 T1184 T1191:T1192 T1194:T1195 T1256:T1262 T1273:T1275 T1277:T1278 T1328:T1330 T1332 T1280">
    <cfRule type="containsText" dxfId="1759" priority="976" operator="containsText" text="EL">
      <formula>NOT(ISERROR(SEARCH("EL",T959)))</formula>
    </cfRule>
  </conditionalFormatting>
  <conditionalFormatting sqref="T959 T984 T998:T1006 T1010 T1014 T1017 T1050:T1058 T1060 T1065 T1070:T1071 T1265:T1266 T1292:T1294 T1297:T1298 T1303:T1307 T1310 T1269">
    <cfRule type="containsText" dxfId="1758" priority="975" operator="containsText" text="SL">
      <formula>NOT(ISERROR(SEARCH("SL",T959)))</formula>
    </cfRule>
  </conditionalFormatting>
  <conditionalFormatting sqref="T976:T984 T869 T1093">
    <cfRule type="containsText" dxfId="1757" priority="988" operator="containsText" text="AB">
      <formula>NOT(ISERROR(SEARCH("AB",T869)))</formula>
    </cfRule>
  </conditionalFormatting>
  <conditionalFormatting sqref="T987:T996 T1085:T1092 T1243:T1246 T1037:T1041 T1158:T1168 T1358:T1365 T867 T1096 T958:T959 T1060:T1061 T1064:T1065 T1070:T1073 T1127 T1130:T1134 T832:T837 T890:T893 T1105:T1109 T1112:T1114 T1145:T1151 T804:T805 T808:T811 T816 T828 T858:T865 T895:T900 T903:T904 T906 T909 T941:T948 T950:T954 T1029 T1032 T1076 T1081 T1214:T1217 T830 T1022 T1027 T1045 T1367:T1374 T869">
    <cfRule type="containsText" dxfId="1756" priority="1155" operator="containsText" text="AB">
      <formula>NOT(ISERROR(SEARCH("AB",T804)))</formula>
    </cfRule>
  </conditionalFormatting>
  <conditionalFormatting sqref="T995:T996 T998:T1000 T1130">
    <cfRule type="containsText" dxfId="1755" priority="943" operator="containsText" text="EL">
      <formula>NOT(ISERROR(SEARCH("EL",T995)))</formula>
    </cfRule>
    <cfRule type="containsText" dxfId="1754" priority="944" operator="containsText" text="PL">
      <formula>NOT(ISERROR(SEARCH("PL",T995)))</formula>
    </cfRule>
    <cfRule type="containsText" dxfId="1753" priority="945" operator="containsText" text="P">
      <formula>NOT(ISERROR(SEARCH("P",T995)))</formula>
    </cfRule>
  </conditionalFormatting>
  <conditionalFormatting sqref="T995:T996 T998:T1000">
    <cfRule type="containsText" dxfId="1752" priority="941" operator="containsText" text="AB">
      <formula>NOT(ISERROR(SEARCH("AB",T995)))</formula>
    </cfRule>
    <cfRule type="containsText" dxfId="1751" priority="942" operator="containsText" text="SL">
      <formula>NOT(ISERROR(SEARCH("SL",T995)))</formula>
    </cfRule>
  </conditionalFormatting>
  <conditionalFormatting sqref="T998:T1006 T1265:T1266 T1292:T1294 T1297:T1298 T1303:T1307 T1310 T959 T984 T1010 T1014 T1017 T1050:T1058 T1060 T1065 T1070:T1071">
    <cfRule type="containsText" dxfId="1750" priority="974" operator="containsText" text="AB">
      <formula>NOT(ISERROR(SEARCH("AB",T959)))</formula>
    </cfRule>
  </conditionalFormatting>
  <conditionalFormatting sqref="T1012">
    <cfRule type="containsText" dxfId="1749" priority="793" operator="containsText" text="PL">
      <formula>NOT(ISERROR(SEARCH("PL",T1012)))</formula>
    </cfRule>
    <cfRule type="containsText" dxfId="1748" priority="794" operator="containsText" text="AB">
      <formula>NOT(ISERROR(SEARCH("AB",T1012)))</formula>
    </cfRule>
    <cfRule type="containsText" dxfId="1747" priority="795" operator="containsText" text="SL">
      <formula>NOT(ISERROR(SEARCH("SL",T1012)))</formula>
    </cfRule>
    <cfRule type="containsText" dxfId="1746" priority="796" operator="containsText" text="EL">
      <formula>NOT(ISERROR(SEARCH("EL",T1012)))</formula>
    </cfRule>
    <cfRule type="containsText" dxfId="1745" priority="797" operator="containsText" text="PL">
      <formula>NOT(ISERROR(SEARCH("PL",T1012)))</formula>
    </cfRule>
    <cfRule type="containsText" dxfId="1744" priority="798" operator="containsText" text="P">
      <formula>NOT(ISERROR(SEARCH("P",T1012)))</formula>
    </cfRule>
    <cfRule type="containsText" dxfId="1743" priority="799" operator="containsText" text="AB">
      <formula>NOT(ISERROR(SEARCH("AB",T1012)))</formula>
    </cfRule>
    <cfRule type="containsText" dxfId="1742" priority="800" operator="containsText" text="SL">
      <formula>NOT(ISERROR(SEARCH("SL",T1012)))</formula>
    </cfRule>
    <cfRule type="containsText" dxfId="1741" priority="801" operator="containsText" text="EL">
      <formula>NOT(ISERROR(SEARCH("EL",T1012)))</formula>
    </cfRule>
    <cfRule type="containsText" dxfId="1740" priority="802" operator="containsText" text="PL">
      <formula>NOT(ISERROR(SEARCH("PL",T1012)))</formula>
    </cfRule>
    <cfRule type="containsText" dxfId="1739" priority="803" operator="containsText" text="P">
      <formula>NOT(ISERROR(SEARCH("P",T1012)))</formula>
    </cfRule>
    <cfRule type="containsText" dxfId="1738" priority="810" operator="containsText" text="AB">
      <formula>NOT(ISERROR(SEARCH("AB",T1012)))</formula>
    </cfRule>
    <cfRule type="containsText" dxfId="1737" priority="811" operator="containsText" text="SL">
      <formula>NOT(ISERROR(SEARCH("SL",T1012)))</formula>
    </cfRule>
    <cfRule type="containsText" dxfId="1736" priority="812" operator="containsText" text="EL">
      <formula>NOT(ISERROR(SEARCH("EL",T1012)))</formula>
    </cfRule>
    <cfRule type="containsText" dxfId="1735" priority="813" operator="containsText" text="PL">
      <formula>NOT(ISERROR(SEARCH("PL",T1012)))</formula>
    </cfRule>
  </conditionalFormatting>
  <conditionalFormatting sqref="T1026:T1027 T1064 T1096:T1097 T1189 T1191:T1192 T1268:T1269 T1319 T1343:T1345">
    <cfRule type="containsText" dxfId="1734" priority="1319" operator="containsText" text="PL">
      <formula>NOT(ISERROR(SEARCH("PL",T1026)))</formula>
    </cfRule>
    <cfRule type="containsText" dxfId="1733" priority="1320" operator="containsText" text="P">
      <formula>NOT(ISERROR(SEARCH("P",T1026)))</formula>
    </cfRule>
  </conditionalFormatting>
  <conditionalFormatting sqref="T1026:T1027 T1064 T1096:T1103 T1189 T1191:T1192 T1268:T1269 T1319 T1343:T1345">
    <cfRule type="containsText" dxfId="1732" priority="1317" operator="containsText" text="SL">
      <formula>NOT(ISERROR(SEARCH("SL",T1026)))</formula>
    </cfRule>
    <cfRule type="containsText" dxfId="1731" priority="1318" operator="containsText" text="EL">
      <formula>NOT(ISERROR(SEARCH("EL",T1026)))</formula>
    </cfRule>
  </conditionalFormatting>
  <conditionalFormatting sqref="T1030:T1040 T1183:T1184 T1204 T1230 T1246">
    <cfRule type="containsText" dxfId="1730" priority="1173" operator="containsText" text="PL">
      <formula>NOT(ISERROR(SEARCH("PL",T1030)))</formula>
    </cfRule>
    <cfRule type="containsText" dxfId="1729" priority="1174" operator="containsText" text="P">
      <formula>NOT(ISERROR(SEARCH("P",T1030)))</formula>
    </cfRule>
  </conditionalFormatting>
  <conditionalFormatting sqref="T1030:T1040 T1183:T1184 T1204 T1246 T1230">
    <cfRule type="containsText" dxfId="1728" priority="1172" operator="containsText" text="EL">
      <formula>NOT(ISERROR(SEARCH("EL",T1030)))</formula>
    </cfRule>
  </conditionalFormatting>
  <conditionalFormatting sqref="T1030:T1040 T1183:T1184 T1204 T1246">
    <cfRule type="containsText" dxfId="1727" priority="1171" operator="containsText" text="SL">
      <formula>NOT(ISERROR(SEARCH("SL",T1030)))</formula>
    </cfRule>
  </conditionalFormatting>
  <conditionalFormatting sqref="T1030:T1040 T1246 T1183:T1184 T1204">
    <cfRule type="containsText" dxfId="1726" priority="1170" operator="containsText" text="AB">
      <formula>NOT(ISERROR(SEARCH("AB",T1030)))</formula>
    </cfRule>
  </conditionalFormatting>
  <conditionalFormatting sqref="T1040 T1088 T1168">
    <cfRule type="containsText" dxfId="1725" priority="1095" operator="containsText" text="AB">
      <formula>NOT(ISERROR(SEARCH("AB",T1040)))</formula>
    </cfRule>
    <cfRule type="containsText" dxfId="1724" priority="1096" operator="containsText" text="SL">
      <formula>NOT(ISERROR(SEARCH("SL",T1040)))</formula>
    </cfRule>
    <cfRule type="containsText" dxfId="1723" priority="1097" operator="containsText" text="EL">
      <formula>NOT(ISERROR(SEARCH("EL",T1040)))</formula>
    </cfRule>
    <cfRule type="containsText" dxfId="1722" priority="1098" operator="containsText" text="PL">
      <formula>NOT(ISERROR(SEARCH("PL",T1040)))</formula>
    </cfRule>
    <cfRule type="containsText" dxfId="1721" priority="1099" operator="containsText" text="P">
      <formula>NOT(ISERROR(SEARCH("P",T1040)))</formula>
    </cfRule>
  </conditionalFormatting>
  <conditionalFormatting sqref="T1041">
    <cfRule type="containsText" dxfId="1720" priority="422" operator="containsText" text="AB">
      <formula>NOT(ISERROR(SEARCH("AB",T1041)))</formula>
    </cfRule>
    <cfRule type="containsText" dxfId="1719" priority="423" operator="containsText" text="SL">
      <formula>NOT(ISERROR(SEARCH("SL",T1041)))</formula>
    </cfRule>
    <cfRule type="containsText" dxfId="1718" priority="424" operator="containsText" text="EL">
      <formula>NOT(ISERROR(SEARCH("EL",T1041)))</formula>
    </cfRule>
    <cfRule type="containsText" dxfId="1717" priority="425" operator="containsText" text="PL">
      <formula>NOT(ISERROR(SEARCH("PL",T1041)))</formula>
    </cfRule>
  </conditionalFormatting>
  <conditionalFormatting sqref="T1041">
    <cfRule type="containsText" dxfId="1716" priority="421" operator="containsText" text="ABWI">
      <formula>NOT(ISERROR(SEARCH("ABWI",T1041)))</formula>
    </cfRule>
  </conditionalFormatting>
  <conditionalFormatting sqref="T1041">
    <cfRule type="containsText" dxfId="1714" priority="420" operator="containsText" text="OFF">
      <formula>NOT(ISERROR(SEARCH("OFF",T1041)))</formula>
    </cfRule>
  </conditionalFormatting>
  <conditionalFormatting sqref="T1070:T1086 T1321:T1330 T1064:T1065 T1161 T1311:T1313 T1319 T1340 T1351:T1354 T1358:T1365 T984 T930 T1356 T1367:T1374">
    <cfRule type="containsText" dxfId="1713" priority="1273" operator="containsText" text="AB">
      <formula>NOT(ISERROR(SEARCH("AB",T930)))</formula>
    </cfRule>
  </conditionalFormatting>
  <conditionalFormatting sqref="T1085 T1136 T1312:T1314">
    <cfRule type="containsText" dxfId="1712" priority="1331" operator="containsText" text="SL">
      <formula>NOT(ISERROR(SEARCH("SL",T1085)))</formula>
    </cfRule>
    <cfRule type="containsText" dxfId="1711" priority="1332" operator="containsText" text="EL">
      <formula>NOT(ISERROR(SEARCH("EL",T1085)))</formula>
    </cfRule>
    <cfRule type="containsText" dxfId="1710" priority="1333" operator="containsText" text="PL">
      <formula>NOT(ISERROR(SEARCH("PL",T1085)))</formula>
    </cfRule>
    <cfRule type="containsText" dxfId="1709" priority="1334" operator="containsText" text="P">
      <formula>NOT(ISERROR(SEARCH("P",T1085)))</formula>
    </cfRule>
  </conditionalFormatting>
  <conditionalFormatting sqref="T1085 T1312:T1314 T1136">
    <cfRule type="containsText" dxfId="1708" priority="1330" operator="containsText" text="AB">
      <formula>NOT(ISERROR(SEARCH("AB",T1085)))</formula>
    </cfRule>
  </conditionalFormatting>
  <conditionalFormatting sqref="T1105:T1117 T974:T1014 T934:T972 T1141:T1152 T757:T758 T787:T788 T662:T665 T447:T452 T473:T507 T518:T529 T531:T538 T667 T670 T761 T790:T791 T1044:T1061 T1064:T1093 T468 T454:T462 T509:T511 T513 T540:T551 T553:T562 T763:T783 T793:T805 T807:T816 T819:T849 T851:T867 T1016:T1041 T1119:T1121 T1154:T1168 T869:T911 T1096:T1103">
    <cfRule type="containsText" dxfId="1707" priority="831" operator="containsText" text="OFF">
      <formula>NOT(ISERROR(SEARCH("OFF",T447)))</formula>
    </cfRule>
  </conditionalFormatting>
  <conditionalFormatting sqref="T1108">
    <cfRule type="containsText" dxfId="1706" priority="822" operator="containsText" text="PL">
      <formula>NOT(ISERROR(SEARCH("PL",T1108)))</formula>
    </cfRule>
  </conditionalFormatting>
  <conditionalFormatting sqref="T1136 T1198:T1199 T1203 T1218:T1229">
    <cfRule type="containsText" dxfId="1705" priority="486" operator="containsText" text="SL">
      <formula>NOT(ISERROR(SEARCH("SL",T1136)))</formula>
    </cfRule>
  </conditionalFormatting>
  <conditionalFormatting sqref="T1136 T1199 T1203 T1218:T1224 T365 T387 T397 T401 T430:T431 T437:T439 T443:T444 T595:T599 T601:T607 T619:T624 T648:T651 T657:T660 T670:T671 T673:T676 T699:T702 T704:T708 T715:T717 T730 T749:T750">
    <cfRule type="containsText" dxfId="1704" priority="395" operator="containsText" text="SL">
      <formula>NOT(ISERROR(SEARCH("SL",T365)))</formula>
    </cfRule>
  </conditionalFormatting>
  <conditionalFormatting sqref="T1136">
    <cfRule type="containsText" dxfId="1703" priority="393" operator="containsText" text="OFF">
      <formula>NOT(ISERROR(SEARCH("OFF",T1136)))</formula>
    </cfRule>
    <cfRule type="containsText" dxfId="1702" priority="394" operator="containsText" text="ABWI">
      <formula>NOT(ISERROR(SEARCH("ABWI",T1136)))</formula>
    </cfRule>
    <cfRule type="containsText" dxfId="1701" priority="484" operator="containsText" text="OFF">
      <formula>NOT(ISERROR(SEARCH("OFF",T1136)))</formula>
    </cfRule>
    <cfRule type="containsText" dxfId="1700" priority="485" operator="containsText" text="ABWI">
      <formula>NOT(ISERROR(SEARCH("ABWI",T1136)))</formula>
    </cfRule>
  </conditionalFormatting>
  <conditionalFormatting sqref="T1154 T1156:T1158 T1360">
    <cfRule type="containsText" dxfId="1699" priority="1006" operator="containsText" text="SL">
      <formula>NOT(ISERROR(SEARCH("SL",T1154)))</formula>
    </cfRule>
    <cfRule type="containsText" dxfId="1698" priority="1007" operator="containsText" text="EL">
      <formula>NOT(ISERROR(SEARCH("EL",T1154)))</formula>
    </cfRule>
    <cfRule type="containsText" dxfId="1697" priority="1008" operator="containsText" text="PL">
      <formula>NOT(ISERROR(SEARCH("PL",T1154)))</formula>
    </cfRule>
    <cfRule type="containsText" dxfId="1696" priority="1009" operator="containsText" text="P">
      <formula>NOT(ISERROR(SEARCH("P",T1154)))</formula>
    </cfRule>
  </conditionalFormatting>
  <conditionalFormatting sqref="T1282:T1283 T1163:T1233 T1236:T1278 T1280 T1285:T1317 T1319:T1335 T1337:T1354 T1356:T1365 T1367:T1374">
    <cfRule type="containsText" dxfId="1695" priority="692" operator="containsText" text="AB">
      <formula>NOT(ISERROR(SEARCH("AB",T1163)))</formula>
    </cfRule>
  </conditionalFormatting>
  <conditionalFormatting sqref="T1163:T1233 T1236:T1278 T1280:T1283 T1285:T1317 T1319:T1335 T1337:T1354 T1356:T1365 T1367:T1374">
    <cfRule type="containsText" dxfId="1694" priority="1386" operator="containsText" text="EL">
      <formula>NOT(ISERROR(SEARCH("EL",T1163)))</formula>
    </cfRule>
    <cfRule type="containsText" dxfId="1693" priority="1387" operator="containsText" text="PL">
      <formula>NOT(ISERROR(SEARCH("PL",T1163)))</formula>
    </cfRule>
  </conditionalFormatting>
  <conditionalFormatting sqref="T1169:T1171 T1289 T359:T361 T375 T583:T584 T626:T630 T695 T744 T752:T754">
    <cfRule type="containsText" dxfId="1692" priority="401" operator="containsText" text="SL">
      <formula>NOT(ISERROR(SEARCH("SL",T359)))</formula>
    </cfRule>
  </conditionalFormatting>
  <conditionalFormatting sqref="T1170:T1171 T1289">
    <cfRule type="containsText" dxfId="1691" priority="396" operator="containsText" text="AB">
      <formula>NOT(ISERROR(SEARCH("AB",T1170)))</formula>
    </cfRule>
    <cfRule type="containsText" dxfId="1690" priority="397" operator="containsText" text="EL">
      <formula>NOT(ISERROR(SEARCH("EL",T1170)))</formula>
    </cfRule>
    <cfRule type="containsText" dxfId="1689" priority="398" operator="containsText" text="PL">
      <formula>NOT(ISERROR(SEARCH("PL",T1170)))</formula>
    </cfRule>
  </conditionalFormatting>
  <conditionalFormatting sqref="T1171 T1201 T1211 T1231">
    <cfRule type="containsText" dxfId="1688" priority="489" operator="containsText" text="EL">
      <formula>NOT(ISERROR(SEARCH("EL",T1171)))</formula>
    </cfRule>
    <cfRule type="containsText" dxfId="1687" priority="490" operator="containsText" text="PL">
      <formula>NOT(ISERROR(SEARCH("PL",T1171)))</formula>
    </cfRule>
  </conditionalFormatting>
  <conditionalFormatting sqref="T1171 T1201:T1202 T1208:T1213 T1231">
    <cfRule type="containsText" dxfId="1686" priority="493" operator="containsText" text="SL">
      <formula>NOT(ISERROR(SEARCH("SL",T1171)))</formula>
    </cfRule>
  </conditionalFormatting>
  <conditionalFormatting sqref="T1173:T1174 T1201 T1211 T1226:T1229 T1231 T348 T353:T354 T357 T395 T403:T404 T407:T413 T421 T424 T427 T434 T441 T565 T569 T579 T581 T586:T587 T590 T592 T617 T636:T637 T639:T642 T644 T655 T662:T665 T667 T679 T682 T697 T710:T711 T719 T723:T726 T732 T741:T742 T746:T747 T784 T787:T788">
    <cfRule type="containsText" dxfId="1685" priority="407" operator="containsText" text="SL">
      <formula>NOT(ISERROR(SEARCH("SL",T348)))</formula>
    </cfRule>
  </conditionalFormatting>
  <conditionalFormatting sqref="T1173:T1174 T1201 T1211 T1226:T1229 T1231">
    <cfRule type="containsText" dxfId="1684" priority="402" operator="containsText" text="AB">
      <formula>NOT(ISERROR(SEARCH("AB",T1173)))</formula>
    </cfRule>
    <cfRule type="containsText" dxfId="1683" priority="403" operator="containsText" text="EL">
      <formula>NOT(ISERROR(SEARCH("EL",T1173)))</formula>
    </cfRule>
    <cfRule type="containsText" dxfId="1682" priority="404" operator="containsText" text="PL">
      <formula>NOT(ISERROR(SEARCH("PL",T1173)))</formula>
    </cfRule>
  </conditionalFormatting>
  <conditionalFormatting sqref="T1173:T1174 T1226:T1229 T1237:T1242 T1254">
    <cfRule type="containsText" dxfId="1681" priority="476" operator="containsText" text="EL">
      <formula>NOT(ISERROR(SEARCH("EL",T1173)))</formula>
    </cfRule>
    <cfRule type="containsText" dxfId="1680" priority="477" operator="containsText" text="PL">
      <formula>NOT(ISERROR(SEARCH("PL",T1173)))</formula>
    </cfRule>
  </conditionalFormatting>
  <conditionalFormatting sqref="T1173:T1174 T1226:T1229 T1237:T1242 T1254:T1256">
    <cfRule type="containsText" dxfId="1679" priority="475" operator="containsText" text="AB">
      <formula>NOT(ISERROR(SEARCH("AB",T1173)))</formula>
    </cfRule>
  </conditionalFormatting>
  <conditionalFormatting sqref="T1173:T1174 T1229 T1237:T1242 T1254:T1256">
    <cfRule type="containsText" dxfId="1678" priority="480" operator="containsText" text="SL">
      <formula>NOT(ISERROR(SEARCH("SL",T1173)))</formula>
    </cfRule>
  </conditionalFormatting>
  <conditionalFormatting sqref="T1181:T1216 T1302 T1281:T1283 T1331 T1338:T1354 T475:T477 T492:T493 T542:T546 T761 T774:T776 T781 T795:T802 T805 T808:T811 T845:T849 T858:T863 T878:T896 T952:T954 T969:T972 T974:T977 T1003:T1007 T1017:T1019 T1029 T1073:T1074 T1081 T1112:T1114 T1116:T1117 T1150:T1151 T1156:T1166 T664:T665 T914:T918 T929:T933 T1119:T1127 T1129:T1137 T1325 T936:T944 T1044:T1045 T1064:T1066 T1147:T1148 T1320 T1041 T526 T555 T779 T869:T873 T1034:T1039 T1047:T1050 T1088:T1090 T1098 T1250 T763:T765 T851:T852 T1285:T1287 T1356:T1365 T1367:T1374">
    <cfRule type="containsText" dxfId="1677" priority="610" operator="containsText" text="OFF">
      <formula>NOT(ISERROR(SEARCH("OFF",T475)))</formula>
    </cfRule>
  </conditionalFormatting>
  <conditionalFormatting sqref="T1186 T1239 T1292 T1296 T1298 T1301:T1302 T1308 T1310">
    <cfRule type="containsText" dxfId="1676" priority="557" operator="containsText" text="SL">
      <formula>NOT(ISERROR(SEARCH("SL",T1186)))</formula>
    </cfRule>
    <cfRule type="containsText" dxfId="1675" priority="558" operator="containsText" text="EL">
      <formula>NOT(ISERROR(SEARCH("EL",T1186)))</formula>
    </cfRule>
    <cfRule type="containsText" dxfId="1674" priority="559" operator="containsText" text="PL">
      <formula>NOT(ISERROR(SEARCH("PL",T1186)))</formula>
    </cfRule>
    <cfRule type="containsText" dxfId="1673" priority="560" operator="containsText" text="P">
      <formula>NOT(ISERROR(SEARCH("P",T1186)))</formula>
    </cfRule>
  </conditionalFormatting>
  <conditionalFormatting sqref="T1187:T1189 T1233 T1248 T1250:T1253 T1282 T1285 T572 T609:T610 T671:T672 T787">
    <cfRule type="containsText" dxfId="1672" priority="700" operator="containsText" text="SL">
      <formula>NOT(ISERROR(SEARCH("SL",T572)))</formula>
    </cfRule>
  </conditionalFormatting>
  <conditionalFormatting sqref="T1199 T1203 T1218:T1224">
    <cfRule type="containsText" dxfId="1671" priority="390" operator="containsText" text="AB">
      <formula>NOT(ISERROR(SEARCH("AB",T1199)))</formula>
    </cfRule>
    <cfRule type="containsText" dxfId="1670" priority="391" operator="containsText" text="EL">
      <formula>NOT(ISERROR(SEARCH("EL",T1199)))</formula>
    </cfRule>
    <cfRule type="containsText" dxfId="1669" priority="392" operator="containsText" text="PL">
      <formula>NOT(ISERROR(SEARCH("PL",T1199)))</formula>
    </cfRule>
    <cfRule type="containsText" dxfId="1668" priority="481" operator="containsText" text="AB">
      <formula>NOT(ISERROR(SEARCH("AB",T1199)))</formula>
    </cfRule>
    <cfRule type="containsText" dxfId="1667" priority="482" operator="containsText" text="EL">
      <formula>NOT(ISERROR(SEARCH("EL",T1199)))</formula>
    </cfRule>
    <cfRule type="containsText" dxfId="1666" priority="483" operator="containsText" text="PL">
      <formula>NOT(ISERROR(SEARCH("PL",T1199)))</formula>
    </cfRule>
  </conditionalFormatting>
  <conditionalFormatting sqref="T1201 T1211 T1231 T1171">
    <cfRule type="containsText" dxfId="1665" priority="488" operator="containsText" text="AB">
      <formula>NOT(ISERROR(SEARCH("AB",T1171)))</formula>
    </cfRule>
  </conditionalFormatting>
  <conditionalFormatting sqref="T1205 T1209 T1302">
    <cfRule type="containsText" dxfId="1664" priority="603" operator="containsText" text="EL">
      <formula>NOT(ISERROR(SEARCH("EL",T1205)))</formula>
    </cfRule>
    <cfRule type="containsText" dxfId="1663" priority="604" operator="containsText" text="PL">
      <formula>NOT(ISERROR(SEARCH("PL",T1205)))</formula>
    </cfRule>
    <cfRule type="containsText" dxfId="1662" priority="605" operator="containsText" text="P">
      <formula>NOT(ISERROR(SEARCH("P",T1205)))</formula>
    </cfRule>
  </conditionalFormatting>
  <conditionalFormatting sqref="T1205 T1302 T1209">
    <cfRule type="containsText" dxfId="1661" priority="602" operator="containsText" text="SL">
      <formula>NOT(ISERROR(SEARCH("SL",T1205)))</formula>
    </cfRule>
  </conditionalFormatting>
  <conditionalFormatting sqref="T1205">
    <cfRule type="containsText" dxfId="1660" priority="598" operator="containsText" text="SL">
      <formula>NOT(ISERROR(SEARCH("SL",T1205)))</formula>
    </cfRule>
    <cfRule type="containsText" dxfId="1659" priority="599" operator="containsText" text="EL">
      <formula>NOT(ISERROR(SEARCH("EL",T1205)))</formula>
    </cfRule>
    <cfRule type="containsText" dxfId="1658" priority="600" operator="containsText" text="PL">
      <formula>NOT(ISERROR(SEARCH("PL",T1205)))</formula>
    </cfRule>
    <cfRule type="containsText" dxfId="1657" priority="601" operator="containsText" text="P">
      <formula>NOT(ISERROR(SEARCH("P",T1205)))</formula>
    </cfRule>
  </conditionalFormatting>
  <conditionalFormatting sqref="T1214:T1215 T924:T926 T929:T932 T934 T1120:T1121 T1135:T1139 T1141">
    <cfRule type="containsText" dxfId="1656" priority="759" operator="containsText" text="SL">
      <formula>NOT(ISERROR(SEARCH("SL",T924)))</formula>
    </cfRule>
  </conditionalFormatting>
  <conditionalFormatting sqref="T1286 T1289">
    <cfRule type="containsText" dxfId="1655" priority="472" operator="containsText" text="EL">
      <formula>NOT(ISERROR(SEARCH("EL",T1286)))</formula>
    </cfRule>
    <cfRule type="containsText" dxfId="1654" priority="473" operator="containsText" text="PL">
      <formula>NOT(ISERROR(SEARCH("PL",T1286)))</formula>
    </cfRule>
  </conditionalFormatting>
  <conditionalFormatting sqref="T1286:T1287 T1289">
    <cfRule type="containsText" dxfId="1653" priority="474" operator="containsText" text="SL">
      <formula>NOT(ISERROR(SEARCH("SL",T1286)))</formula>
    </cfRule>
  </conditionalFormatting>
  <conditionalFormatting sqref="T1289 T1286:T1287">
    <cfRule type="containsText" dxfId="1652" priority="471" operator="containsText" text="AB">
      <formula>NOT(ISERROR(SEARCH("AB",T1286)))</formula>
    </cfRule>
  </conditionalFormatting>
  <conditionalFormatting sqref="T1237:T1242 T1254 T1286 T734 T736:T739">
    <cfRule type="containsText" dxfId="1651" priority="389" operator="containsText" text="SL">
      <formula>NOT(ISERROR(SEARCH("SL",T734)))</formula>
    </cfRule>
  </conditionalFormatting>
  <conditionalFormatting sqref="T1237:T1242 T1254 T1286">
    <cfRule type="containsText" dxfId="1650" priority="384" operator="containsText" text="AB">
      <formula>NOT(ISERROR(SEARCH("AB",T1237)))</formula>
    </cfRule>
    <cfRule type="containsText" dxfId="1649" priority="385" operator="containsText" text="EL">
      <formula>NOT(ISERROR(SEARCH("EL",T1237)))</formula>
    </cfRule>
    <cfRule type="containsText" dxfId="1648" priority="386" operator="containsText" text="PL">
      <formula>NOT(ISERROR(SEARCH("PL",T1237)))</formula>
    </cfRule>
  </conditionalFormatting>
  <conditionalFormatting sqref="T1239 T1292 T1296 T1298 T1300:T1301 T1310 T1308 T1186">
    <cfRule type="containsText" dxfId="1647" priority="556" operator="containsText" text="OFF">
      <formula>NOT(ISERROR(SEARCH("OFF",T1186)))</formula>
    </cfRule>
  </conditionalFormatting>
  <conditionalFormatting sqref="T1239 T1292 T1296 T1298 T1301 T1310">
    <cfRule type="containsText" dxfId="1646" priority="550" operator="containsText" text="PL">
      <formula>NOT(ISERROR(SEARCH("PL",T1239)))</formula>
    </cfRule>
  </conditionalFormatting>
  <conditionalFormatting sqref="T1239">
    <cfRule type="containsText" dxfId="1645" priority="551" operator="containsText" text="ABWI">
      <formula>NOT(ISERROR(SEARCH("ABWI",T1239)))</formula>
    </cfRule>
    <cfRule type="containsText" dxfId="1644" priority="552" operator="containsText" text="AB">
      <formula>NOT(ISERROR(SEARCH("AB",T1239)))</formula>
    </cfRule>
    <cfRule type="containsText" dxfId="1643" priority="553" operator="containsText" text="SL">
      <formula>NOT(ISERROR(SEARCH("SL",T1239)))</formula>
    </cfRule>
    <cfRule type="containsText" dxfId="1642" priority="554" operator="containsText" text="EL">
      <formula>NOT(ISERROR(SEARCH("EL",T1239)))</formula>
    </cfRule>
    <cfRule type="containsText" dxfId="1641" priority="555" operator="containsText" text="PL">
      <formula>NOT(ISERROR(SEARCH("PL",T1239)))</formula>
    </cfRule>
  </conditionalFormatting>
  <conditionalFormatting sqref="T1250:T1278 T1285:T1317 T1214:T1217 T913:T922 T924:T932 T1123:T1127 T1175:T1189 T1194:T1196 T1233 T1243:T1248 T1191:T1192 T1204 T1230 T1129:T1139 T1280:T1282 T1319:T1335 T1337:T1354 T1356:T1365 T1367:T1374">
    <cfRule type="containsText" dxfId="1640" priority="1382" operator="containsText" text="OFF">
      <formula>NOT(ISERROR(SEARCH("OFF",T913)))</formula>
    </cfRule>
  </conditionalFormatting>
  <conditionalFormatting sqref="T1255:T1256 T1282 T1287 T1290 T1312:T1313 T1315:T1317 T1322:T1323 T1326:T1329 T1331:T1335 T1344:T1348 T1350:T1354 T1357:T1361 T1364 T1367:T1371 T1374 T1319 T1337">
    <cfRule type="containsText" dxfId="1639" priority="590" operator="containsText" text="P">
      <formula>NOT(ISERROR(SEARCH("P",T1255)))</formula>
    </cfRule>
  </conditionalFormatting>
  <conditionalFormatting sqref="T1255:T1256 T1287 T1290 T1312:T1313 T1315:T1317 T1322:T1323 T1326:T1329 T1331:T1335 T1340:T1341 T1344:T1348 T1350:T1354 T1357:T1361 T1364 T1367:T1371 T1374 T1319 T1337">
    <cfRule type="containsText" dxfId="1638" priority="587" operator="containsText" text="PL">
      <formula>NOT(ISERROR(SEARCH("PL",T1255)))</formula>
    </cfRule>
    <cfRule type="containsText" dxfId="1637" priority="588" operator="containsText" text="P">
      <formula>NOT(ISERROR(SEARCH("P",T1255)))</formula>
    </cfRule>
  </conditionalFormatting>
  <conditionalFormatting sqref="T1255:T1256 T1287 T1290 T1312:T1313 T1315:T1317 T1322:T1323 T1326:T1329 T1331:T1335 T1344:T1348 T1350:T1354 T1357:T1361 T1364 T1367:T1371 T1374 T1282 T1319 T1337">
    <cfRule type="containsText" dxfId="1636" priority="589" operator="containsText" text="PL">
      <formula>NOT(ISERROR(SEARCH("PL",T1255)))</formula>
    </cfRule>
  </conditionalFormatting>
  <conditionalFormatting sqref="T1259:T1260 T1269 T1282 T1326:T1327 T1356 T1358 T1372:T1374">
    <cfRule type="containsText" dxfId="1635" priority="1315" operator="containsText" text="P">
      <formula>NOT(ISERROR(SEARCH("P",T1259)))</formula>
    </cfRule>
  </conditionalFormatting>
  <conditionalFormatting sqref="T1259:T1260 T1269 T1282 T1326:T1327 T1358 T1356 T1372:T1374">
    <cfRule type="containsText" dxfId="1634" priority="1314" operator="containsText" text="PL">
      <formula>NOT(ISERROR(SEARCH("PL",T1259)))</formula>
    </cfRule>
  </conditionalFormatting>
  <conditionalFormatting sqref="T1259:T1260 T1269 T1282 T1326:T1327 T1358">
    <cfRule type="containsText" dxfId="1633" priority="1312" operator="containsText" text="SL">
      <formula>NOT(ISERROR(SEARCH("SL",T1259)))</formula>
    </cfRule>
    <cfRule type="containsText" dxfId="1632" priority="1313" operator="containsText" text="EL">
      <formula>NOT(ISERROR(SEARCH("EL",T1259)))</formula>
    </cfRule>
  </conditionalFormatting>
  <conditionalFormatting sqref="T1259:T1260 T1326">
    <cfRule type="containsText" dxfId="1631" priority="1378" operator="containsText" text="SL">
      <formula>NOT(ISERROR(SEARCH("SL",T1259)))</formula>
    </cfRule>
    <cfRule type="containsText" dxfId="1630" priority="1379" operator="containsText" text="EL">
      <formula>NOT(ISERROR(SEARCH("EL",T1259)))</formula>
    </cfRule>
    <cfRule type="containsText" dxfId="1629" priority="1380" operator="containsText" text="PL">
      <formula>NOT(ISERROR(SEARCH("PL",T1259)))</formula>
    </cfRule>
    <cfRule type="containsText" dxfId="1628" priority="1381" operator="containsText" text="P">
      <formula>NOT(ISERROR(SEARCH("P",T1259)))</formula>
    </cfRule>
  </conditionalFormatting>
  <conditionalFormatting sqref="T1262 T1282 T1285">
    <cfRule type="containsText" dxfId="1627" priority="1373" operator="containsText" text="SL">
      <formula>NOT(ISERROR(SEARCH("SL",T1262)))</formula>
    </cfRule>
    <cfRule type="containsText" dxfId="1626" priority="1374" operator="containsText" text="EL">
      <formula>NOT(ISERROR(SEARCH("EL",T1262)))</formula>
    </cfRule>
    <cfRule type="containsText" dxfId="1625" priority="1375" operator="containsText" text="PL">
      <formula>NOT(ISERROR(SEARCH("PL",T1262)))</formula>
    </cfRule>
    <cfRule type="containsText" dxfId="1624" priority="1376" operator="containsText" text="P">
      <formula>NOT(ISERROR(SEARCH("P",T1262)))</formula>
    </cfRule>
  </conditionalFormatting>
  <conditionalFormatting sqref="T1265">
    <cfRule type="containsText" dxfId="1623" priority="923" operator="containsText" text="SL">
      <formula>NOT(ISERROR(SEARCH("SL",T1265)))</formula>
    </cfRule>
    <cfRule type="containsText" dxfId="1622" priority="924" operator="containsText" text="EL">
      <formula>NOT(ISERROR(SEARCH("EL",T1265)))</formula>
    </cfRule>
    <cfRule type="containsText" dxfId="1621" priority="925" operator="containsText" text="PL">
      <formula>NOT(ISERROR(SEARCH("PL",T1265)))</formula>
    </cfRule>
    <cfRule type="containsText" dxfId="1620" priority="926" operator="containsText" text="P">
      <formula>NOT(ISERROR(SEARCH("P",T1265)))</formula>
    </cfRule>
    <cfRule type="containsText" dxfId="1619" priority="927" operator="containsText" text="AB">
      <formula>NOT(ISERROR(SEARCH("AB",T1265)))</formula>
    </cfRule>
    <cfRule type="containsText" dxfId="1618" priority="928" operator="containsText" text="SL">
      <formula>NOT(ISERROR(SEARCH("SL",T1265)))</formula>
    </cfRule>
    <cfRule type="containsText" dxfId="1617" priority="929" operator="containsText" text="EL">
      <formula>NOT(ISERROR(SEARCH("EL",T1265)))</formula>
    </cfRule>
    <cfRule type="containsText" dxfId="1616" priority="930" operator="containsText" text="PL">
      <formula>NOT(ISERROR(SEARCH("PL",T1265)))</formula>
    </cfRule>
    <cfRule type="containsText" dxfId="1615" priority="931" operator="containsText" text="P">
      <formula>NOT(ISERROR(SEARCH("P",T1265)))</formula>
    </cfRule>
  </conditionalFormatting>
  <conditionalFormatting sqref="T1265:T1266 T1273:T1275 T1278 T1280 T1293:T1295 T1297 T1299:T1300 T1304:T1307">
    <cfRule type="containsText" dxfId="1614" priority="1368" operator="containsText" text="SL">
      <formula>NOT(ISERROR(SEARCH("SL",T1265)))</formula>
    </cfRule>
    <cfRule type="containsText" dxfId="1613" priority="1369" operator="containsText" text="EL">
      <formula>NOT(ISERROR(SEARCH("EL",T1265)))</formula>
    </cfRule>
    <cfRule type="containsText" dxfId="1612" priority="1370" operator="containsText" text="PL">
      <formula>NOT(ISERROR(SEARCH("PL",T1265)))</formula>
    </cfRule>
    <cfRule type="containsText" dxfId="1611" priority="1371" operator="containsText" text="P">
      <formula>NOT(ISERROR(SEARCH("P",T1265)))</formula>
    </cfRule>
  </conditionalFormatting>
  <conditionalFormatting sqref="T1267 T1271">
    <cfRule type="containsText" dxfId="1610" priority="365" operator="containsText" text="EL">
      <formula>NOT(ISERROR(SEARCH("EL",T1267)))</formula>
    </cfRule>
    <cfRule type="containsText" dxfId="1609" priority="366" operator="containsText" text="PL">
      <formula>NOT(ISERROR(SEARCH("PL",T1267)))</formula>
    </cfRule>
    <cfRule type="containsText" dxfId="1608" priority="367" operator="containsText" text="P">
      <formula>NOT(ISERROR(SEARCH("P",T1267)))</formula>
    </cfRule>
  </conditionalFormatting>
  <conditionalFormatting sqref="T1267:T1269 T1271">
    <cfRule type="containsText" dxfId="1607" priority="364" operator="containsText" text="SL">
      <formula>NOT(ISERROR(SEARCH("SL",T1267)))</formula>
    </cfRule>
  </conditionalFormatting>
  <conditionalFormatting sqref="T1268 T1270">
    <cfRule type="containsText" dxfId="1606" priority="539" operator="containsText" text="AB">
      <formula>NOT(ISERROR(SEARCH("AB",T1268)))</formula>
    </cfRule>
    <cfRule type="containsText" dxfId="1605" priority="540" operator="containsText" text="SL">
      <formula>NOT(ISERROR(SEARCH("SL",T1268)))</formula>
    </cfRule>
    <cfRule type="containsText" dxfId="1604" priority="541" operator="containsText" text="EL">
      <formula>NOT(ISERROR(SEARCH("EL",T1268)))</formula>
    </cfRule>
    <cfRule type="containsText" dxfId="1603" priority="542" operator="containsText" text="PL">
      <formula>NOT(ISERROR(SEARCH("PL",T1268)))</formula>
    </cfRule>
    <cfRule type="containsText" dxfId="1602" priority="543" operator="containsText" text="P">
      <formula>NOT(ISERROR(SEARCH("P",T1268)))</formula>
    </cfRule>
  </conditionalFormatting>
  <conditionalFormatting sqref="T1268:T1269 T1064 T1026:T1027 T1191:T1192 T1319 T1096:T1097 T1189 T1343:T1345">
    <cfRule type="containsText" dxfId="1601" priority="1316" operator="containsText" text="AB">
      <formula>NOT(ISERROR(SEARCH("AB",T1026)))</formula>
    </cfRule>
  </conditionalFormatting>
  <conditionalFormatting sqref="T1273:T1275 T1265:T1266 T1278 T1280 T1299:T1300 T1293:T1295 T1297 T1304:T1307">
    <cfRule type="containsText" dxfId="1600" priority="1367" operator="containsText" text="AB">
      <formula>NOT(ISERROR(SEARCH("AB",T1265)))</formula>
    </cfRule>
  </conditionalFormatting>
  <conditionalFormatting sqref="T1281:T1282">
    <cfRule type="containsText" dxfId="1599" priority="469" operator="containsText" text="OFF">
      <formula>NOT(ISERROR(SEARCH("OFF",T1281)))</formula>
    </cfRule>
    <cfRule type="containsText" dxfId="1598" priority="470" operator="containsText" text="ABWI">
      <formula>NOT(ISERROR(SEARCH("ABWI",T1281)))</formula>
    </cfRule>
  </conditionalFormatting>
  <conditionalFormatting sqref="T1282 T1285 T1262">
    <cfRule type="containsText" dxfId="1597" priority="1372" operator="containsText" text="AB">
      <formula>NOT(ISERROR(SEARCH("AB",T1262)))</formula>
    </cfRule>
  </conditionalFormatting>
  <conditionalFormatting sqref="T1282 T1287 T1322:T1323 T1326:T1329 T1331:T1335 T1340:T1341 T1344:T1348 T1350:T1354 T1357:T1361 T1364 T1367:T1371 T1374 T1290 T1337">
    <cfRule type="containsText" dxfId="1596" priority="580" operator="containsText" text="P">
      <formula>NOT(ISERROR(SEARCH("P",T1282)))</formula>
    </cfRule>
  </conditionalFormatting>
  <conditionalFormatting sqref="T1282 T1287 T1322:T1323 T1326:T1329 T1331:T1335 T1340:T1341 T1344:T1348 T1350:T1354 T1357:T1361 T1364 T1367:T1371 T1374 T1337">
    <cfRule type="containsText" dxfId="1595" priority="579" operator="containsText" text="PL">
      <formula>NOT(ISERROR(SEARCH("PL",T1282)))</formula>
    </cfRule>
  </conditionalFormatting>
  <conditionalFormatting sqref="T1282 T1312:T1313 T1315:T1317 T1322:T1323 T1326:T1329 T1340:T1341 T1344:T1348 T1357:T1361 T1364 T1374 T1319">
    <cfRule type="containsText" dxfId="1594" priority="582" operator="containsText" text="SL">
      <formula>NOT(ISERROR(SEARCH("SL",T1282)))</formula>
    </cfRule>
    <cfRule type="containsText" dxfId="1593" priority="583" operator="containsText" text="EL">
      <formula>NOT(ISERROR(SEARCH("EL",T1282)))</formula>
    </cfRule>
  </conditionalFormatting>
  <conditionalFormatting sqref="T1282 T1322:T1323 T1326:T1329 T1331:T1335 T1340:T1341 T1344:T1348 T1350:T1354 T1357:T1361 T1364 T1367:T1371 T1374 T1287 T1337">
    <cfRule type="containsText" dxfId="1592" priority="578" operator="containsText" text="EL">
      <formula>NOT(ISERROR(SEARCH("EL",T1282)))</formula>
    </cfRule>
  </conditionalFormatting>
  <conditionalFormatting sqref="T1282 T1322:T1323 T1326:T1329 T1340:T1341 T1344:T1348 T1357:T1361 T1364 T1374 T1312:T1313 T1315:T1317 T1319">
    <cfRule type="containsText" dxfId="1591" priority="581" operator="containsText" text="AB">
      <formula>NOT(ISERROR(SEARCH("AB",T1282)))</formula>
    </cfRule>
  </conditionalFormatting>
  <conditionalFormatting sqref="T1285 T858:T859 T861 T893 T1178 T1244 T1339:T1340 T1321 T1362 T808:T809 T941 T991 T1113 T775:T776">
    <cfRule type="containsText" dxfId="1590" priority="1335" operator="containsText" text="AB">
      <formula>NOT(ISERROR(SEARCH("AB",T775)))</formula>
    </cfRule>
  </conditionalFormatting>
  <conditionalFormatting sqref="T1287 T1290 T1312:T1313 T1315:T1317 T1322:T1323 T1326:T1329 T1331:T1335 T1340:T1341 T1344:T1348 T1350:T1354 T1357:T1361 T1364 T1367:T1371 T1374 T1255:T1256 T1319 T1337">
    <cfRule type="containsText" dxfId="1589" priority="586" operator="containsText" text="EL">
      <formula>NOT(ISERROR(SEARCH("EL",T1255)))</formula>
    </cfRule>
  </conditionalFormatting>
  <conditionalFormatting sqref="T1287 T1290 T1312:T1313 T1315:T1317 T1322:T1323 T1326:T1329 T1331:T1335 T1340:T1341 T1344:T1348 T1350:T1354 T1357:T1361 T1364 T1367:T1371 T1374 T1319 T1337">
    <cfRule type="containsText" dxfId="1588" priority="585" operator="containsText" text="SL">
      <formula>NOT(ISERROR(SEARCH("SL",T1287)))</formula>
    </cfRule>
  </conditionalFormatting>
  <conditionalFormatting sqref="T1289">
    <cfRule type="containsText" dxfId="1587" priority="514" operator="containsText" text="OFF">
      <formula>NOT(ISERROR(SEARCH("OFF",T1289)))</formula>
    </cfRule>
    <cfRule type="containsText" dxfId="1586" priority="515" operator="containsText" text="ABWI">
      <formula>NOT(ISERROR(SEARCH("ABWI",T1289)))</formula>
    </cfRule>
    <cfRule type="containsText" dxfId="1585" priority="516" operator="containsText" text="AB">
      <formula>NOT(ISERROR(SEARCH("AB",T1289)))</formula>
    </cfRule>
    <cfRule type="containsText" dxfId="1584" priority="517" operator="containsText" text="OFF">
      <formula>NOT(ISERROR(SEARCH("OFF",T1289)))</formula>
    </cfRule>
    <cfRule type="containsText" dxfId="1583" priority="518" operator="containsText" text="ABWI">
      <formula>NOT(ISERROR(SEARCH("ABWI",T1289)))</formula>
    </cfRule>
  </conditionalFormatting>
  <conditionalFormatting sqref="T1289:T1290">
    <cfRule type="containsText" dxfId="1582" priority="519" operator="containsText" text="AB">
      <formula>NOT(ISERROR(SEARCH("AB",T1289)))</formula>
    </cfRule>
    <cfRule type="containsText" dxfId="1581" priority="521" operator="containsText" text="SL">
      <formula>NOT(ISERROR(SEARCH("SL",T1289)))</formula>
    </cfRule>
    <cfRule type="containsText" dxfId="1580" priority="522" operator="containsText" text="EL">
      <formula>NOT(ISERROR(SEARCH("EL",T1289)))</formula>
    </cfRule>
    <cfRule type="containsText" dxfId="1579" priority="523" operator="containsText" text="PL">
      <formula>NOT(ISERROR(SEARCH("PL",T1289)))</formula>
    </cfRule>
  </conditionalFormatting>
  <conditionalFormatting sqref="T1292 T1296 T1298 T1301 T1310 T1239">
    <cfRule type="containsText" dxfId="1578" priority="549" operator="containsText" text="EL">
      <formula>NOT(ISERROR(SEARCH("EL",T1239)))</formula>
    </cfRule>
  </conditionalFormatting>
  <conditionalFormatting sqref="T1292:T1301 T1307:T1310">
    <cfRule type="containsText" dxfId="1577" priority="917" operator="containsText" text="AB">
      <formula>NOT(ISERROR(SEARCH("AB",T1292)))</formula>
    </cfRule>
    <cfRule type="containsText" dxfId="1576" priority="918" operator="containsText" text="SL">
      <formula>NOT(ISERROR(SEARCH("SL",T1292)))</formula>
    </cfRule>
    <cfRule type="containsText" dxfId="1575" priority="919" operator="containsText" text="EL">
      <formula>NOT(ISERROR(SEARCH("EL",T1292)))</formula>
    </cfRule>
    <cfRule type="containsText" dxfId="1574" priority="920" operator="containsText" text="PL">
      <formula>NOT(ISERROR(SEARCH("PL",T1292)))</formula>
    </cfRule>
    <cfRule type="containsText" dxfId="1573" priority="921" operator="containsText" text="P">
      <formula>NOT(ISERROR(SEARCH("P",T1292)))</formula>
    </cfRule>
  </conditionalFormatting>
  <conditionalFormatting sqref="T1296 T1301 T1304:T1305 T1308">
    <cfRule type="containsText" dxfId="1572" priority="914" operator="containsText" text="EL">
      <formula>NOT(ISERROR(SEARCH("EL",T1296)))</formula>
    </cfRule>
    <cfRule type="containsText" dxfId="1571" priority="915" operator="containsText" text="PL">
      <formula>NOT(ISERROR(SEARCH("PL",T1296)))</formula>
    </cfRule>
    <cfRule type="containsText" dxfId="1570" priority="916" operator="containsText" text="P">
      <formula>NOT(ISERROR(SEARCH("P",T1296)))</formula>
    </cfRule>
  </conditionalFormatting>
  <conditionalFormatting sqref="T1301 T1292 T1296 T1298">
    <cfRule type="containsText" dxfId="1569" priority="548" operator="containsText" text="SL">
      <formula>NOT(ISERROR(SEARCH("SL",T1292)))</formula>
    </cfRule>
  </conditionalFormatting>
  <conditionalFormatting sqref="T1301">
    <cfRule type="containsText" dxfId="1568" priority="545" operator="containsText" text="OFF">
      <formula>NOT(ISERROR(SEARCH("OFF",T1301)))</formula>
    </cfRule>
    <cfRule type="containsText" dxfId="1567" priority="546" operator="containsText" text="ABWI">
      <formula>NOT(ISERROR(SEARCH("ABWI",T1301)))</formula>
    </cfRule>
    <cfRule type="containsText" dxfId="1566" priority="547" operator="containsText" text="AB">
      <formula>NOT(ISERROR(SEARCH("AB",T1301)))</formula>
    </cfRule>
  </conditionalFormatting>
  <conditionalFormatting sqref="T1306">
    <cfRule type="containsText" dxfId="1565" priority="756" operator="containsText" text="OFF">
      <formula>NOT(ISERROR(SEARCH("OFF",T1306)))</formula>
    </cfRule>
    <cfRule type="containsText" dxfId="1564" priority="757" operator="containsText" text="ABWI">
      <formula>NOT(ISERROR(SEARCH("ABWI",T1306)))</formula>
    </cfRule>
  </conditionalFormatting>
  <conditionalFormatting sqref="T1312:T1313 T1315:T1317 T1322:T1323 T1326:T1329 T1340:T1341 T1344:T1348 T1357:T1361 T1364 T1374 T1287 T1290 T1331:T1335 T1350:T1354 T1367:T1371 T1319 T1337">
    <cfRule type="containsText" dxfId="1563" priority="584" operator="containsText" text="AB">
      <formula>NOT(ISERROR(SEARCH("AB",T1287)))</formula>
    </cfRule>
  </conditionalFormatting>
  <conditionalFormatting sqref="T1320">
    <cfRule type="containsText" dxfId="1562" priority="507" operator="containsText" text="OFF">
      <formula>NOT(ISERROR(SEARCH("OFF",T1320)))</formula>
    </cfRule>
    <cfRule type="containsText" dxfId="1561" priority="508" operator="containsText" text="ABWI">
      <formula>NOT(ISERROR(SEARCH("ABWI",T1320)))</formula>
    </cfRule>
    <cfRule type="containsText" dxfId="1560" priority="509" operator="containsText" text="AB">
      <formula>NOT(ISERROR(SEARCH("AB",T1320)))</formula>
    </cfRule>
  </conditionalFormatting>
  <conditionalFormatting sqref="T1322:T1323 T1344:T1348 T1374 T1282 T1326:T1329 T1331:T1335 T1340:T1341 T1350:T1354 T1357:T1361 T1364 T1367:T1371 T1337">
    <cfRule type="containsText" dxfId="1559" priority="577" operator="containsText" text="SL">
      <formula>NOT(ISERROR(SEARCH("SL",T1282)))</formula>
    </cfRule>
  </conditionalFormatting>
  <conditionalFormatting sqref="T1324 T1327:T1328 T829:T831 T857:T858 T902:T911 T938:T948 T1017:T1028 T1044:T1048 T1074:T1080 T1124:T1126 T1268:T1270 T813">
    <cfRule type="containsText" dxfId="1558" priority="1175" operator="containsText" text="AB">
      <formula>NOT(ISERROR(SEARCH("AB",T813)))</formula>
    </cfRule>
  </conditionalFormatting>
  <conditionalFormatting sqref="T1324 T1328">
    <cfRule type="containsText" dxfId="1557" priority="1160" operator="containsText" text="AB">
      <formula>NOT(ISERROR(SEARCH("AB",T1324)))</formula>
    </cfRule>
    <cfRule type="containsText" dxfId="1556" priority="1161" operator="containsText" text="SL">
      <formula>NOT(ISERROR(SEARCH("SL",T1324)))</formula>
    </cfRule>
    <cfRule type="containsText" dxfId="1555" priority="1162" operator="containsText" text="EL">
      <formula>NOT(ISERROR(SEARCH("EL",T1324)))</formula>
    </cfRule>
    <cfRule type="containsText" dxfId="1554" priority="1163" operator="containsText" text="PL">
      <formula>NOT(ISERROR(SEARCH("PL",T1324)))</formula>
    </cfRule>
    <cfRule type="containsText" dxfId="1553" priority="1164" operator="containsText" text="P">
      <formula>NOT(ISERROR(SEARCH("P",T1324)))</formula>
    </cfRule>
  </conditionalFormatting>
  <conditionalFormatting sqref="T1326 T1259:T1260">
    <cfRule type="containsText" dxfId="1552" priority="1377" operator="containsText" text="AB">
      <formula>NOT(ISERROR(SEARCH("AB",T1259)))</formula>
    </cfRule>
  </conditionalFormatting>
  <conditionalFormatting sqref="T1326:T1327 T1358 T1269 T1259:T1260 T1282">
    <cfRule type="containsText" dxfId="1551" priority="1311" operator="containsText" text="AB">
      <formula>NOT(ISERROR(SEARCH("AB",T1259)))</formula>
    </cfRule>
  </conditionalFormatting>
  <conditionalFormatting sqref="T1339:T1346 T1021:T1025 T1290 T1092:T1093 T1315 T1333:T1335 T976:T978 T1055 T822 T878 T961:T962 T1186:T1189 T1248 T1252 T1337 T1096">
    <cfRule type="containsText" dxfId="1550" priority="1278" operator="containsText" text="AB">
      <formula>NOT(ISERROR(SEARCH("AB",T822)))</formula>
    </cfRule>
  </conditionalFormatting>
  <conditionalFormatting sqref="T1344:T1345 T1265 T956">
    <cfRule type="containsText" dxfId="1549" priority="1180" operator="containsText" text="AB">
      <formula>NOT(ISERROR(SEARCH("AB",T956)))</formula>
    </cfRule>
  </conditionalFormatting>
  <conditionalFormatting sqref="T1344:T1348 T1374 T1322:T1323">
    <cfRule type="containsText" dxfId="1548" priority="576" operator="containsText" text="AB">
      <formula>NOT(ISERROR(SEARCH("AB",T1322)))</formula>
    </cfRule>
  </conditionalFormatting>
  <conditionalFormatting sqref="T1360 T1154 T1156:T1158">
    <cfRule type="containsText" dxfId="1547" priority="1005" operator="containsText" text="AB">
      <formula>NOT(ISERROR(SEARCH("AB",T1154)))</formula>
    </cfRule>
  </conditionalFormatting>
  <conditionalFormatting sqref="T1360">
    <cfRule type="containsText" dxfId="1546" priority="1001" operator="containsText" text="OFF">
      <formula>NOT(ISERROR(SEARCH("OFF",T1360)))</formula>
    </cfRule>
    <cfRule type="containsText" dxfId="1545" priority="1002" operator="containsText" text="ABWI">
      <formula>NOT(ISERROR(SEARCH("ABWI",T1360)))</formula>
    </cfRule>
    <cfRule type="containsText" dxfId="1544" priority="1003" operator="containsText" text="OFF">
      <formula>NOT(ISERROR(SEARCH("OFF",T1360)))</formula>
    </cfRule>
    <cfRule type="containsText" dxfId="1543" priority="1004" operator="containsText" text="ABWI">
      <formula>NOT(ISERROR(SEARCH("ABWI",T1360)))</formula>
    </cfRule>
    <cfRule type="containsText" dxfId="1542" priority="1010" operator="containsText" text="Miss SOS">
      <formula>NOT(ISERROR(SEARCH("Miss SOS",T1360)))</formula>
    </cfRule>
    <cfRule type="containsText" dxfId="1541" priority="1011" operator="containsText" text="ABWI">
      <formula>NOT(ISERROR(SEARCH("ABWI",T1360)))</formula>
    </cfRule>
  </conditionalFormatting>
  <conditionalFormatting sqref="U390 U422 U486 U795 U869 U986 U1009 U1013 U1175 U1177 U1190 U1196:U1197 U1209 U1243 U1247 U1272 U1276 U315:U316 U322 U324 U508 U511:U512 U786 U817 U1043:U1044 U1128:U1129 S1376:S1384 U1386:U1048576 T1385 U1:U253 U1232:U1235 U1284 U1358:U1375 U255:U297">
    <cfRule type="containsText" dxfId="1540" priority="1921" operator="containsText" text="Miss SOS">
      <formula>NOT(ISERROR(SEARCH("Miss SOS",S1)))</formula>
    </cfRule>
  </conditionalFormatting>
  <conditionalFormatting sqref="U13:U41 U43:U54 U82 U84 U100 U108 U115 U130:U131 U133 U138:U139 U143 U145 U147 U149 U159 U164:U166 U169 U178 U203 U207 U217 U225 U232 U234 U242:U244 U246 U252 U261 U263:U268 U272:U273 U294:U296 U390 U422 U486 U795 U869 U986 U1009 U1013 U1175 U1177 U1190 U1196:U1197 U1209 U1243 U1247 U1272 U1276 U1312:U1313 U249:U250 U290:U292 U68:U76 U270 U281:U284 U78 T1333:T1335 T1339:T1345 T1347:T1350 T1353:T1354 T1358:T1365 U56:U62 U93:U94 U189 U255 U278:U279 U315:U316 U322 U324 U508 U511:U512 U786 U817 U1043:U1044 U1128:U1129 U1232:U1235 U1284 T1337 T1356 T1367:T1368">
    <cfRule type="containsText" dxfId="1539" priority="5751" operator="containsText" text="OFF">
      <formula>NOT(ISERROR(SEARCH("OFF",T13)))</formula>
    </cfRule>
  </conditionalFormatting>
  <conditionalFormatting sqref="U43:U47 U49:U54 U56:U60 U62 U64:U66 U68 U70:U76 U82 U84 U94 U100 U108 U115 U131 U133 U138:U139 U143 U145 U147 U149 U159 U164:U166 U169 U203 U207 U225 U234 U242:U244 U246 U255 U261 U263:U266 U268 U270 U272:U273 U281:U284 U294:U296 U1312">
    <cfRule type="containsText" dxfId="1538" priority="5756" operator="containsText" text="P">
      <formula>NOT(ISERROR(SEARCH("P",U43)))</formula>
    </cfRule>
  </conditionalFormatting>
  <conditionalFormatting sqref="U43:U47 U49:U54 U56:U62 U64:U66 U68 U70:U76 U82 U84 U94 U100 U108 U115 U131 U133 U138:U139 U143 U145 U147 U149 U159 U164:U166 U169 U203 U207 U225 U234 U242:U244 U246 U255 U261 U263:U266 U268 U270 U272:U273 U281:U284 U294:U296 U1312">
    <cfRule type="containsText" dxfId="1537" priority="5753" operator="containsText" text="SL">
      <formula>NOT(ISERROR(SEARCH("SL",U43)))</formula>
    </cfRule>
    <cfRule type="containsText" dxfId="1536" priority="5754" operator="containsText" text="EL">
      <formula>NOT(ISERROR(SEARCH("EL",U43)))</formula>
    </cfRule>
    <cfRule type="containsText" dxfId="1535" priority="5755" operator="containsText" text="PL">
      <formula>NOT(ISERROR(SEARCH("PL",U43)))</formula>
    </cfRule>
  </conditionalFormatting>
  <conditionalFormatting sqref="U43:U47 U49:U54 U56:U62 U68 U70:U76 U82 U84 U94 U100 U108 U115 U131 U133 U138:U139 U143 U145 U147 U149 U159 U164:U166 U169 U203 U207 U225 U234 U242:U244 U246 U255 U261 U263:U266 U268 U270 U272:U273 U281:U284 U294:U296 U1312 U64:U66">
    <cfRule type="containsText" dxfId="1534" priority="5752" operator="containsText" text="AB">
      <formula>NOT(ISERROR(SEARCH("AB",U43)))</formula>
    </cfRule>
  </conditionalFormatting>
  <conditionalFormatting sqref="U48 U1330:U1331 U1338 U1357 U61 U90:U93 U201">
    <cfRule type="containsText" dxfId="1533" priority="753" operator="containsText" text="SL">
      <formula>NOT(ISERROR(SEARCH("SL",U48)))</formula>
    </cfRule>
    <cfRule type="containsText" dxfId="1532" priority="754" operator="containsText" text="EL">
      <formula>NOT(ISERROR(SEARCH("EL",U48)))</formula>
    </cfRule>
    <cfRule type="containsText" dxfId="1531" priority="755" operator="containsText" text="PL">
      <formula>NOT(ISERROR(SEARCH("PL",U48)))</formula>
    </cfRule>
  </conditionalFormatting>
  <conditionalFormatting sqref="U64:U66 T1319:T1329">
    <cfRule type="containsText" dxfId="1530" priority="12596" operator="containsText" text="OFF">
      <formula>NOT(ISERROR(SEARCH("OFF",T64)))</formula>
    </cfRule>
  </conditionalFormatting>
  <conditionalFormatting sqref="U64:U66 T1333:T1335 T1339:T1345 T1347:T1350 T1353:T1354 T1358:T1365 T1337 T1356 T1367:T1368">
    <cfRule type="containsText" dxfId="1529" priority="12372" operator="containsText" text="ABWI">
      <formula>NOT(ISERROR(SEARCH("ABWI",T64)))</formula>
    </cfRule>
  </conditionalFormatting>
  <conditionalFormatting sqref="U68 U71:U72 U74:U76 U106 U111 U266 U270 U281:U282 U289">
    <cfRule type="containsText" dxfId="1528" priority="2922" operator="containsText" text="ABWI">
      <formula>NOT(ISERROR(SEARCH("ABWI",U68)))</formula>
    </cfRule>
  </conditionalFormatting>
  <conditionalFormatting sqref="U69 U122 U130 U185 U205 U230 U252 U267 U1346 U1351:U1352 U1369 U91 U1330">
    <cfRule type="containsText" dxfId="1527" priority="1304" operator="containsText" text="P">
      <formula>NOT(ISERROR(SEARCH("P",U69)))</formula>
    </cfRule>
  </conditionalFormatting>
  <conditionalFormatting sqref="U69 U122 U130 U185 U205 U230 U252 U267 U1346 U1351:U1352 U1369">
    <cfRule type="containsText" dxfId="1526" priority="1301" operator="containsText" text="SL">
      <formula>NOT(ISERROR(SEARCH("SL",U69)))</formula>
    </cfRule>
    <cfRule type="containsText" dxfId="1525" priority="1302" operator="containsText" text="EL">
      <formula>NOT(ISERROR(SEARCH("EL",U69)))</formula>
    </cfRule>
    <cfRule type="containsText" dxfId="1524" priority="1303" operator="containsText" text="PL">
      <formula>NOT(ISERROR(SEARCH("PL",U69)))</formula>
    </cfRule>
  </conditionalFormatting>
  <conditionalFormatting sqref="U69 U122 U185 U205 U230 U1346 U1351:U1352 U1369 U130 U252 U267">
    <cfRule type="containsText" dxfId="1523" priority="1300" operator="containsText" text="AB">
      <formula>NOT(ISERROR(SEARCH("AB",U69)))</formula>
    </cfRule>
  </conditionalFormatting>
  <conditionalFormatting sqref="U70:U71 U82 U94 U100 U108 U139 U149 U165:U166 U246 U255 U265:U266 U32:U38 U40 U249:U250 U291:U292 S1:S3">
    <cfRule type="containsText" dxfId="1522" priority="46480" operator="containsText" text="ABWI">
      <formula>NOT(ISERROR(SEARCH("ABWI",S1)))</formula>
    </cfRule>
  </conditionalFormatting>
  <conditionalFormatting sqref="U73 U226 U290 U185 U205 U208">
    <cfRule type="containsText" dxfId="1521" priority="1119" operator="containsText" text="ABWI">
      <formula>NOT(ISERROR(SEARCH("ABWI",U73)))</formula>
    </cfRule>
  </conditionalFormatting>
  <conditionalFormatting sqref="U73 U226 U290">
    <cfRule type="containsText" dxfId="1520" priority="1115" operator="containsText" text="SL">
      <formula>NOT(ISERROR(SEARCH("SL",U73)))</formula>
    </cfRule>
    <cfRule type="containsText" dxfId="1519" priority="1116" operator="containsText" text="EL">
      <formula>NOT(ISERROR(SEARCH("EL",U73)))</formula>
    </cfRule>
    <cfRule type="containsText" dxfId="1518" priority="1117" operator="containsText" text="PL">
      <formula>NOT(ISERROR(SEARCH("PL",U73)))</formula>
    </cfRule>
    <cfRule type="containsText" dxfId="1517" priority="1118" operator="containsText" text="P">
      <formula>NOT(ISERROR(SEARCH("P",U73)))</formula>
    </cfRule>
  </conditionalFormatting>
  <conditionalFormatting sqref="U76:U78 U105 U141 U146 U156 U209">
    <cfRule type="containsText" dxfId="1516" priority="500" operator="containsText" text="ABWI">
      <formula>NOT(ISERROR(SEARCH("ABWI",U76)))</formula>
    </cfRule>
  </conditionalFormatting>
  <conditionalFormatting sqref="U77 U105 U141 U146 U156 U208:U209">
    <cfRule type="containsText" dxfId="1515" priority="501" operator="containsText" text="OFF">
      <formula>NOT(ISERROR(SEARCH("OFF",U77)))</formula>
    </cfRule>
  </conditionalFormatting>
  <conditionalFormatting sqref="U77:U78 U105 U138 U141 U146 U156 U208:U209">
    <cfRule type="containsText" dxfId="1514" priority="503" operator="containsText" text="SL">
      <formula>NOT(ISERROR(SEARCH("SL",U77)))</formula>
    </cfRule>
    <cfRule type="containsText" dxfId="1513" priority="504" operator="containsText" text="EL">
      <formula>NOT(ISERROR(SEARCH("EL",U77)))</formula>
    </cfRule>
    <cfRule type="containsText" dxfId="1512" priority="505" operator="containsText" text="PL">
      <formula>NOT(ISERROR(SEARCH("PL",U77)))</formula>
    </cfRule>
    <cfRule type="containsText" dxfId="1511" priority="506" operator="containsText" text="P">
      <formula>NOT(ISERROR(SEARCH("P",U77)))</formula>
    </cfRule>
  </conditionalFormatting>
  <conditionalFormatting sqref="U77:U78 U105 U141 U146 U156 U208:U209 U138">
    <cfRule type="containsText" dxfId="1510" priority="502" operator="containsText" text="AB">
      <formula>NOT(ISERROR(SEARCH("AB",U77)))</formula>
    </cfRule>
  </conditionalFormatting>
  <conditionalFormatting sqref="U81:U89 U131:U163 U114:U121 U123 U107:U110 U112 U271:U272 U287 U165:U184 U125:U129">
    <cfRule type="containsText" dxfId="1509" priority="3863" operator="containsText" text="Miss SOS">
      <formula>NOT(ISERROR(SEARCH("Miss SOS",U81)))</formula>
    </cfRule>
  </conditionalFormatting>
  <conditionalFormatting sqref="U82 U149">
    <cfRule type="containsText" dxfId="1508" priority="3825" operator="containsText" text="ABWI">
      <formula>NOT(ISERROR(SEARCH("ABWI",U82)))</formula>
    </cfRule>
  </conditionalFormatting>
  <conditionalFormatting sqref="U87:U89 U91 U94:U95">
    <cfRule type="containsText" dxfId="1507" priority="5749" operator="containsText" text="P">
      <formula>NOT(ISERROR(SEARCH("P",U87)))</formula>
    </cfRule>
  </conditionalFormatting>
  <conditionalFormatting sqref="U87:U89 U91:U92 U94:U95">
    <cfRule type="containsText" dxfId="1506" priority="5743" operator="containsText" text="ABWI">
      <formula>NOT(ISERROR(SEARCH("ABWI",U87)))</formula>
    </cfRule>
    <cfRule type="containsText" dxfId="1505" priority="5744" operator="containsText" text="OFF">
      <formula>NOT(ISERROR(SEARCH("OFF",U87)))</formula>
    </cfRule>
    <cfRule type="containsText" dxfId="1504" priority="5745" operator="containsText" text="AB">
      <formula>NOT(ISERROR(SEARCH("AB",U87)))</formula>
    </cfRule>
    <cfRule type="containsText" dxfId="1503" priority="5746" operator="containsText" text="SL">
      <formula>NOT(ISERROR(SEARCH("SL",U87)))</formula>
    </cfRule>
    <cfRule type="containsText" dxfId="1502" priority="5747" operator="containsText" text="EL">
      <formula>NOT(ISERROR(SEARCH("EL",U87)))</formula>
    </cfRule>
    <cfRule type="containsText" dxfId="1501" priority="5748" operator="containsText" text="PL">
      <formula>NOT(ISERROR(SEARCH("PL",U87)))</formula>
    </cfRule>
  </conditionalFormatting>
  <conditionalFormatting sqref="U1330:U1331 U1338 U1357 U48 U61 U90:U93 U201">
    <cfRule type="containsText" dxfId="1500" priority="752" operator="containsText" text="AB">
      <formula>NOT(ISERROR(SEARCH("AB",U48)))</formula>
    </cfRule>
  </conditionalFormatting>
  <conditionalFormatting sqref="U90:U92 U201 U1330:U1331 U1338 U1357">
    <cfRule type="containsText" dxfId="1499" priority="751" operator="containsText" text="OFF">
      <formula>NOT(ISERROR(SEARCH("OFF",U90)))</formula>
    </cfRule>
  </conditionalFormatting>
  <conditionalFormatting sqref="U91 U41 U283:U284">
    <cfRule type="containsText" dxfId="1498" priority="1470" operator="containsText" text="ABWI">
      <formula>NOT(ISERROR(SEARCH("ABWI",U41)))</formula>
    </cfRule>
  </conditionalFormatting>
  <conditionalFormatting sqref="U100 U108 U217 U246 U169 U294:U296 U82 U84 U115 U130:U131 U133 U138:U139 U143 U145 U147 U149 U159 U164:U166 U178 U272:U273 U261 U263:U268 U13:U31 U34 U36:U37 U39 U43:U54 U203 U207 U225 U232 U234 U242:U244 U252 U390 U422 U486 U795 U869 U986 U1009 U1013 U1175 U1177 U1190 U1196:U1197 U1209 U1243 U1247 U1272 U1276 U1312:U1313 U56:U62 U93:U94 U189 U255 U278:U279 U315:U316 U322 U324 U508 U511:U512 U786 U817 U1043:U1044 U1128:U1129 U1232:U1235 U1284">
    <cfRule type="containsText" dxfId="1497" priority="5750" operator="containsText" text="ABWI">
      <formula>NOT(ISERROR(SEARCH("ABWI",U13)))</formula>
    </cfRule>
  </conditionalFormatting>
  <conditionalFormatting sqref="U97:U112 U191 U213 U216:U217 U220:U222 U240 U246">
    <cfRule type="containsText" dxfId="1496" priority="4850" operator="containsText" text="AB">
      <formula>NOT(ISERROR(SEARCH("AB",U97)))</formula>
    </cfRule>
    <cfRule type="containsText" dxfId="1495" priority="4851" operator="containsText" text="SL">
      <formula>NOT(ISERROR(SEARCH("SL",U97)))</formula>
    </cfRule>
    <cfRule type="containsText" dxfId="1494" priority="4852" operator="containsText" text="EL">
      <formula>NOT(ISERROR(SEARCH("EL",U97)))</formula>
    </cfRule>
    <cfRule type="containsText" dxfId="1493" priority="4853" operator="containsText" text="PL">
      <formula>NOT(ISERROR(SEARCH("PL",U97)))</formula>
    </cfRule>
    <cfRule type="containsText" dxfId="1492" priority="4854" operator="containsText" text="P">
      <formula>NOT(ISERROR(SEARCH("P",U97)))</formula>
    </cfRule>
  </conditionalFormatting>
  <conditionalFormatting sqref="U97:U112 U191 U213 U216:U217 U240 U246 U220:U222">
    <cfRule type="containsText" dxfId="1491" priority="4849" operator="containsText" text="OFF">
      <formula>NOT(ISERROR(SEARCH("OFF",U97)))</formula>
    </cfRule>
  </conditionalFormatting>
  <conditionalFormatting sqref="U198">
    <cfRule type="containsText" dxfId="1490" priority="1360" operator="containsText" text="OFF">
      <formula>NOT(ISERROR(SEARCH("OFF",U198)))</formula>
    </cfRule>
    <cfRule type="containsText" dxfId="1489" priority="1362" operator="containsText" text="AB">
      <formula>NOT(ISERROR(SEARCH("AB",U198)))</formula>
    </cfRule>
    <cfRule type="containsText" dxfId="1488" priority="1363" operator="containsText" text="SL">
      <formula>NOT(ISERROR(SEARCH("SL",U198)))</formula>
    </cfRule>
    <cfRule type="containsText" dxfId="1487" priority="1364" operator="containsText" text="EL">
      <formula>NOT(ISERROR(SEARCH("EL",U198)))</formula>
    </cfRule>
    <cfRule type="containsText" dxfId="1486" priority="1365" operator="containsText" text="PL">
      <formula>NOT(ISERROR(SEARCH("PL",U198)))</formula>
    </cfRule>
    <cfRule type="containsText" dxfId="1485" priority="1366" operator="containsText" text="P">
      <formula>NOT(ISERROR(SEARCH("P",U198)))</formula>
    </cfRule>
  </conditionalFormatting>
  <conditionalFormatting sqref="U114 U198">
    <cfRule type="containsText" dxfId="1484" priority="1361" operator="containsText" text="ABWI">
      <formula>NOT(ISERROR(SEARCH("ABWI",U114)))</formula>
    </cfRule>
  </conditionalFormatting>
  <conditionalFormatting sqref="U114 U280">
    <cfRule type="containsText" dxfId="1483" priority="1622" operator="containsText" text="OFF">
      <formula>NOT(ISERROR(SEARCH("OFF",U114)))</formula>
    </cfRule>
    <cfRule type="containsText" dxfId="1482" priority="1623" operator="containsText" text="AB">
      <formula>NOT(ISERROR(SEARCH("AB",U114)))</formula>
    </cfRule>
    <cfRule type="containsText" dxfId="1481" priority="1624" operator="containsText" text="SL">
      <formula>NOT(ISERROR(SEARCH("SL",U114)))</formula>
    </cfRule>
    <cfRule type="containsText" dxfId="1480" priority="1625" operator="containsText" text="EL">
      <formula>NOT(ISERROR(SEARCH("EL",U114)))</formula>
    </cfRule>
    <cfRule type="containsText" dxfId="1479" priority="1626" operator="containsText" text="PL">
      <formula>NOT(ISERROR(SEARCH("PL",U114)))</formula>
    </cfRule>
    <cfRule type="containsText" dxfId="1478" priority="1627" operator="containsText" text="P">
      <formula>NOT(ISERROR(SEARCH("P",U114)))</formula>
    </cfRule>
  </conditionalFormatting>
  <conditionalFormatting sqref="U122 U185:U186 U205 U230 U280 U1346 U1351:U1352 U1369 U69:U70">
    <cfRule type="containsText" dxfId="1477" priority="1299" operator="containsText" text="ABWI">
      <formula>NOT(ISERROR(SEARCH("ABWI",U69)))</formula>
    </cfRule>
  </conditionalFormatting>
  <conditionalFormatting sqref="U189 U195">
    <cfRule type="containsText" dxfId="1476" priority="563" operator="containsText" text="OFF">
      <formula>NOT(ISERROR(SEARCH("OFF",U189)))</formula>
    </cfRule>
    <cfRule type="containsText" dxfId="1475" priority="564" operator="containsText" text="AB">
      <formula>NOT(ISERROR(SEARCH("AB",U189)))</formula>
    </cfRule>
    <cfRule type="containsText" dxfId="1474" priority="565" operator="containsText" text="SL">
      <formula>NOT(ISERROR(SEARCH("SL",U189)))</formula>
    </cfRule>
    <cfRule type="containsText" dxfId="1473" priority="566" operator="containsText" text="EL">
      <formula>NOT(ISERROR(SEARCH("EL",U189)))</formula>
    </cfRule>
    <cfRule type="containsText" dxfId="1472" priority="567" operator="containsText" text="PL">
      <formula>NOT(ISERROR(SEARCH("PL",U189)))</formula>
    </cfRule>
  </conditionalFormatting>
  <conditionalFormatting sqref="U195 U189">
    <cfRule type="containsText" dxfId="1471" priority="562" operator="containsText" text="ABWI">
      <formula>NOT(ISERROR(SEARCH("ABWI",U189)))</formula>
    </cfRule>
  </conditionalFormatting>
  <conditionalFormatting sqref="U195">
    <cfRule type="containsText" dxfId="1470" priority="463" operator="containsText" text="OFF">
      <formula>NOT(ISERROR(SEARCH("OFF",U195)))</formula>
    </cfRule>
    <cfRule type="containsText" dxfId="1469" priority="464" operator="containsText" text="AB">
      <formula>NOT(ISERROR(SEARCH("AB",U195)))</formula>
    </cfRule>
    <cfRule type="containsText" dxfId="1468" priority="465" operator="containsText" text="SL">
      <formula>NOT(ISERROR(SEARCH("SL",U195)))</formula>
    </cfRule>
    <cfRule type="containsText" dxfId="1467" priority="466" operator="containsText" text="EL">
      <formula>NOT(ISERROR(SEARCH("EL",U195)))</formula>
    </cfRule>
    <cfRule type="containsText" dxfId="1466" priority="467" operator="containsText" text="PL">
      <formula>NOT(ISERROR(SEARCH("PL",U195)))</formula>
    </cfRule>
    <cfRule type="containsText" dxfId="1465" priority="468" operator="containsText" text="P">
      <formula>NOT(ISERROR(SEARCH("P",U195)))</formula>
    </cfRule>
    <cfRule type="containsText" dxfId="1464" priority="568" operator="containsText" text="P">
      <formula>NOT(ISERROR(SEARCH("P",U195)))</formula>
    </cfRule>
  </conditionalFormatting>
  <conditionalFormatting sqref="U130:U131">
    <cfRule type="containsText" dxfId="1463" priority="418" operator="containsText" text="Miss SOS">
      <formula>NOT(ISERROR(SEARCH("Miss SOS",U130)))</formula>
    </cfRule>
  </conditionalFormatting>
  <conditionalFormatting sqref="U165">
    <cfRule type="containsText" dxfId="1462" priority="3572" operator="containsText" text="OFF">
      <formula>NOT(ISERROR(SEARCH("OFF",U165)))</formula>
    </cfRule>
    <cfRule type="containsText" dxfId="1461" priority="3573" operator="containsText" text="AB">
      <formula>NOT(ISERROR(SEARCH("AB",U165)))</formula>
    </cfRule>
    <cfRule type="containsText" dxfId="1460" priority="3574" operator="containsText" text="SL">
      <formula>NOT(ISERROR(SEARCH("SL",U165)))</formula>
    </cfRule>
    <cfRule type="containsText" dxfId="1459" priority="3575" operator="containsText" text="EL">
      <formula>NOT(ISERROR(SEARCH("EL",U165)))</formula>
    </cfRule>
    <cfRule type="containsText" dxfId="1458" priority="3576" operator="containsText" text="PL">
      <formula>NOT(ISERROR(SEARCH("PL",U165)))</formula>
    </cfRule>
    <cfRule type="containsText" dxfId="1457" priority="3577" operator="containsText" text="P">
      <formula>NOT(ISERROR(SEARCH("P",U165)))</formula>
    </cfRule>
  </conditionalFormatting>
  <conditionalFormatting sqref="U165:U166 U186:U188 U206:U214 U190:U197 U268:U269">
    <cfRule type="containsText" dxfId="1456" priority="1652" operator="containsText" text="Miss SOS">
      <formula>NOT(ISERROR(SEARCH("Miss SOS",U165)))</formula>
    </cfRule>
  </conditionalFormatting>
  <conditionalFormatting sqref="U165:U166">
    <cfRule type="containsText" dxfId="1455" priority="3247" operator="containsText" text="ABWI">
      <formula>NOT(ISERROR(SEARCH("ABWI",U165)))</formula>
    </cfRule>
  </conditionalFormatting>
  <conditionalFormatting sqref="U168:U169">
    <cfRule type="containsText" dxfId="1454" priority="4399" operator="containsText" text="ABWI">
      <formula>NOT(ISERROR(SEARCH("ABWI",U168)))</formula>
    </cfRule>
    <cfRule type="containsText" dxfId="1453" priority="4400" operator="containsText" text="OFF">
      <formula>NOT(ISERROR(SEARCH("OFF",U168)))</formula>
    </cfRule>
    <cfRule type="containsText" dxfId="1452" priority="4401" operator="containsText" text="AB">
      <formula>NOT(ISERROR(SEARCH("AB",U168)))</formula>
    </cfRule>
    <cfRule type="containsText" dxfId="1451" priority="4402" operator="containsText" text="SL">
      <formula>NOT(ISERROR(SEARCH("SL",U168)))</formula>
    </cfRule>
    <cfRule type="containsText" dxfId="1450" priority="4403" operator="containsText" text="EL">
      <formula>NOT(ISERROR(SEARCH("EL",U168)))</formula>
    </cfRule>
    <cfRule type="containsText" dxfId="1449" priority="4404" operator="containsText" text="PL">
      <formula>NOT(ISERROR(SEARCH("PL",U168)))</formula>
    </cfRule>
    <cfRule type="containsText" dxfId="1448" priority="4405" operator="containsText" text="P">
      <formula>NOT(ISERROR(SEARCH("P",U168)))</formula>
    </cfRule>
  </conditionalFormatting>
  <conditionalFormatting sqref="U172 U174 U228 U275:U276">
    <cfRule type="containsText" dxfId="1447" priority="4629" operator="containsText" text="ABWI">
      <formula>NOT(ISERROR(SEARCH("ABWI",U172)))</formula>
    </cfRule>
    <cfRule type="containsText" dxfId="1446" priority="4630" operator="containsText" text="OFF">
      <formula>NOT(ISERROR(SEARCH("OFF",U172)))</formula>
    </cfRule>
    <cfRule type="containsText" dxfId="1445" priority="4631" operator="containsText" text="AB">
      <formula>NOT(ISERROR(SEARCH("AB",U172)))</formula>
    </cfRule>
    <cfRule type="containsText" dxfId="1444" priority="4632" operator="containsText" text="SL">
      <formula>NOT(ISERROR(SEARCH("SL",U172)))</formula>
    </cfRule>
    <cfRule type="containsText" dxfId="1443" priority="4633" operator="containsText" text="EL">
      <formula>NOT(ISERROR(SEARCH("EL",U172)))</formula>
    </cfRule>
    <cfRule type="containsText" dxfId="1442" priority="4634" operator="containsText" text="PL">
      <formula>NOT(ISERROR(SEARCH("PL",U172)))</formula>
    </cfRule>
    <cfRule type="containsText" dxfId="1441" priority="4635" operator="containsText" text="P">
      <formula>NOT(ISERROR(SEARCH("P",U172)))</formula>
    </cfRule>
  </conditionalFormatting>
  <conditionalFormatting sqref="U180 U226:U227 U392 U491 U496 U561 U634 U922 U945 U1025 U1180 U1214">
    <cfRule type="containsText" dxfId="1440" priority="417" operator="containsText" text="OFF">
      <formula>NOT(ISERROR(SEARCH("OFF",U180)))</formula>
    </cfRule>
  </conditionalFormatting>
  <conditionalFormatting sqref="U180 U227 U255 U392 U491 U496 U561 U634 U922 U945 U1025 U1180 U1214">
    <cfRule type="containsText" dxfId="1439" priority="411" operator="containsText" text="AB">
      <formula>NOT(ISERROR(SEARCH("AB",U180)))</formula>
    </cfRule>
    <cfRule type="containsText" dxfId="1438" priority="412" operator="containsText" text="SL">
      <formula>NOT(ISERROR(SEARCH("SL",U180)))</formula>
    </cfRule>
    <cfRule type="containsText" dxfId="1437" priority="413" operator="containsText" text="EL">
      <formula>NOT(ISERROR(SEARCH("EL",U180)))</formula>
    </cfRule>
    <cfRule type="containsText" dxfId="1436" priority="414" operator="containsText" text="PL">
      <formula>NOT(ISERROR(SEARCH("PL",U180)))</formula>
    </cfRule>
    <cfRule type="containsText" dxfId="1435" priority="415" operator="containsText" text="P">
      <formula>NOT(ISERROR(SEARCH("P",U180)))</formula>
    </cfRule>
  </conditionalFormatting>
  <conditionalFormatting sqref="U180 U227 U255">
    <cfRule type="containsText" dxfId="1434" priority="409" operator="containsText" text="Miss SOS">
      <formula>NOT(ISERROR(SEARCH("Miss SOS",U180)))</formula>
    </cfRule>
  </conditionalFormatting>
  <conditionalFormatting sqref="U180 U227 U392 U491 U496 U561 U634 U922 U945 U1025 U1180 U1214">
    <cfRule type="containsText" dxfId="1433" priority="416" operator="containsText" text="ABWI">
      <formula>NOT(ISERROR(SEARCH("ABWI",U180)))</formula>
    </cfRule>
  </conditionalFormatting>
  <conditionalFormatting sqref="U185 U205 U1369 U1346 U1351:U1352 U122 U230">
    <cfRule type="containsText" dxfId="1432" priority="1298" operator="containsText" text="OFF">
      <formula>NOT(ISERROR(SEARCH("OFF",U122)))</formula>
    </cfRule>
  </conditionalFormatting>
  <conditionalFormatting sqref="U185 U205">
    <cfRule type="containsText" dxfId="1431" priority="1113" operator="containsText" text="OFF">
      <formula>NOT(ISERROR(SEARCH("OFF",U185)))</formula>
    </cfRule>
  </conditionalFormatting>
  <conditionalFormatting sqref="U186 U274 U280 U165">
    <cfRule type="containsText" dxfId="1430" priority="1651" operator="containsText" text="ABWI">
      <formula>NOT(ISERROR(SEARCH("ABWI",U165)))</formula>
    </cfRule>
  </conditionalFormatting>
  <conditionalFormatting sqref="U186 U274 U280">
    <cfRule type="containsText" dxfId="1429" priority="1646" operator="containsText" text="AB">
      <formula>NOT(ISERROR(SEARCH("AB",U186)))</formula>
    </cfRule>
    <cfRule type="containsText" dxfId="1428" priority="1647" operator="containsText" text="SL">
      <formula>NOT(ISERROR(SEARCH("SL",U186)))</formula>
    </cfRule>
    <cfRule type="containsText" dxfId="1427" priority="1648" operator="containsText" text="EL">
      <formula>NOT(ISERROR(SEARCH("EL",U186)))</formula>
    </cfRule>
    <cfRule type="containsText" dxfId="1426" priority="1649" operator="containsText" text="PL">
      <formula>NOT(ISERROR(SEARCH("PL",U186)))</formula>
    </cfRule>
    <cfRule type="containsText" dxfId="1425" priority="1650" operator="containsText" text="P">
      <formula>NOT(ISERROR(SEARCH("P",U186)))</formula>
    </cfRule>
  </conditionalFormatting>
  <conditionalFormatting sqref="U189 U199:U204 U848 U995 U1237 U1254 U1281 U1286 U195">
    <cfRule type="containsText" dxfId="1424" priority="383" operator="containsText" text="Miss SOS">
      <formula>NOT(ISERROR(SEARCH("Miss SOS",U189)))</formula>
    </cfRule>
  </conditionalFormatting>
  <conditionalFormatting sqref="U189 U201 U848 U995 U1237 U1254 U1281 U1286">
    <cfRule type="containsText" dxfId="1423" priority="376" operator="containsText" text="OFF">
      <formula>NOT(ISERROR(SEARCH("OFF",U189)))</formula>
    </cfRule>
    <cfRule type="containsText" dxfId="1422" priority="377" operator="containsText" text="AB">
      <formula>NOT(ISERROR(SEARCH("AB",U189)))</formula>
    </cfRule>
    <cfRule type="containsText" dxfId="1421" priority="378" operator="containsText" text="SL">
      <formula>NOT(ISERROR(SEARCH("SL",U189)))</formula>
    </cfRule>
    <cfRule type="containsText" dxfId="1420" priority="379" operator="containsText" text="EL">
      <formula>NOT(ISERROR(SEARCH("EL",U189)))</formula>
    </cfRule>
    <cfRule type="containsText" dxfId="1419" priority="380" operator="containsText" text="PL">
      <formula>NOT(ISERROR(SEARCH("PL",U189)))</formula>
    </cfRule>
    <cfRule type="containsText" dxfId="1418" priority="381" operator="containsText" text="P">
      <formula>NOT(ISERROR(SEARCH("P",U189)))</formula>
    </cfRule>
  </conditionalFormatting>
  <conditionalFormatting sqref="U195">
    <cfRule type="containsText" dxfId="1417" priority="462" operator="containsText" text="ABWI">
      <formula>NOT(ISERROR(SEARCH("ABWI",U195)))</formula>
    </cfRule>
  </conditionalFormatting>
  <conditionalFormatting sqref="U199">
    <cfRule type="containsText" dxfId="1416" priority="5067" operator="containsText" text="ABWI">
      <formula>NOT(ISERROR(SEARCH("ABWI",U199)))</formula>
    </cfRule>
    <cfRule type="containsText" dxfId="1415" priority="5068" operator="containsText" text="OFF">
      <formula>NOT(ISERROR(SEARCH("OFF",U199)))</formula>
    </cfRule>
    <cfRule type="containsText" dxfId="1414" priority="5069" operator="containsText" text="AB">
      <formula>NOT(ISERROR(SEARCH("AB",U199)))</formula>
    </cfRule>
    <cfRule type="containsText" dxfId="1413" priority="5070" operator="containsText" text="SL">
      <formula>NOT(ISERROR(SEARCH("SL",U199)))</formula>
    </cfRule>
    <cfRule type="containsText" dxfId="1412" priority="5071" operator="containsText" text="EL">
      <formula>NOT(ISERROR(SEARCH("EL",U199)))</formula>
    </cfRule>
    <cfRule type="containsText" dxfId="1411" priority="5072" operator="containsText" text="PL">
      <formula>NOT(ISERROR(SEARCH("PL",U199)))</formula>
    </cfRule>
    <cfRule type="containsText" dxfId="1410" priority="5073" operator="containsText" text="P">
      <formula>NOT(ISERROR(SEARCH("P",U199)))</formula>
    </cfRule>
  </conditionalFormatting>
  <conditionalFormatting sqref="U201 U848 U995 U1237 U1254 U1281 U1286 U189">
    <cfRule type="containsText" dxfId="1409" priority="375" operator="containsText" text="ABWI">
      <formula>NOT(ISERROR(SEARCH("ABWI",U189)))</formula>
    </cfRule>
  </conditionalFormatting>
  <conditionalFormatting sqref="U201 U848 U995 U1237 U1254 U1281 U1286">
    <cfRule type="containsText" dxfId="1408" priority="370" operator="containsText" text="OFF">
      <formula>NOT(ISERROR(SEARCH("OFF",U201)))</formula>
    </cfRule>
    <cfRule type="containsText" dxfId="1407" priority="371" operator="containsText" text="AB">
      <formula>NOT(ISERROR(SEARCH("AB",U201)))</formula>
    </cfRule>
    <cfRule type="containsText" dxfId="1406" priority="372" operator="containsText" text="SL">
      <formula>NOT(ISERROR(SEARCH("SL",U201)))</formula>
    </cfRule>
    <cfRule type="containsText" dxfId="1405" priority="373" operator="containsText" text="EL">
      <formula>NOT(ISERROR(SEARCH("EL",U201)))</formula>
    </cfRule>
    <cfRule type="containsText" dxfId="1404" priority="374" operator="containsText" text="PL">
      <formula>NOT(ISERROR(SEARCH("PL",U201)))</formula>
    </cfRule>
  </conditionalFormatting>
  <conditionalFormatting sqref="U215:U219 U245:U249 U286:U289 U292:U297">
    <cfRule type="containsText" dxfId="1403" priority="4398" operator="containsText" text="Miss SOS">
      <formula>NOT(ISERROR(SEARCH("Miss SOS",U215)))</formula>
    </cfRule>
  </conditionalFormatting>
  <conditionalFormatting sqref="U216:U217 U246 U107:U110 U112 U97:U105 U191 U213 U240">
    <cfRule type="containsText" dxfId="1402" priority="4848" operator="containsText" text="ABWI">
      <formula>NOT(ISERROR(SEARCH("ABWI",U97)))</formula>
    </cfRule>
  </conditionalFormatting>
  <conditionalFormatting sqref="U217 U296">
    <cfRule type="containsText" dxfId="1401" priority="591" operator="containsText" text="ABWI">
      <formula>NOT(ISERROR(SEARCH("ABWI",U217)))</formula>
    </cfRule>
    <cfRule type="containsText" dxfId="1400" priority="593" operator="containsText" text="AB">
      <formula>NOT(ISERROR(SEARCH("AB",U217)))</formula>
    </cfRule>
    <cfRule type="containsText" dxfId="1399" priority="594" operator="containsText" text="SL">
      <formula>NOT(ISERROR(SEARCH("SL",U217)))</formula>
    </cfRule>
    <cfRule type="containsText" dxfId="1398" priority="595" operator="containsText" text="EL">
      <formula>NOT(ISERROR(SEARCH("EL",U217)))</formula>
    </cfRule>
    <cfRule type="containsText" dxfId="1397" priority="596" operator="containsText" text="PL">
      <formula>NOT(ISERROR(SEARCH("PL",U217)))</formula>
    </cfRule>
    <cfRule type="containsText" dxfId="1396" priority="597" operator="containsText" text="P">
      <formula>NOT(ISERROR(SEARCH("P",U217)))</formula>
    </cfRule>
  </conditionalFormatting>
  <conditionalFormatting sqref="U217 U296">
    <cfRule type="containsText" dxfId="1395" priority="592" operator="containsText" text="OFF">
      <formula>NOT(ISERROR(SEARCH("OFF",U217)))</formula>
    </cfRule>
  </conditionalFormatting>
  <conditionalFormatting sqref="U219 U246 U289">
    <cfRule type="containsText" dxfId="1394" priority="3865" operator="containsText" text="OFF">
      <formula>NOT(ISERROR(SEARCH("OFF",U219)))</formula>
    </cfRule>
    <cfRule type="containsText" dxfId="1393" priority="3866" operator="containsText" text="AB">
      <formula>NOT(ISERROR(SEARCH("AB",U219)))</formula>
    </cfRule>
    <cfRule type="containsText" dxfId="1392" priority="3867" operator="containsText" text="SL">
      <formula>NOT(ISERROR(SEARCH("SL",U219)))</formula>
    </cfRule>
    <cfRule type="containsText" dxfId="1391" priority="3868" operator="containsText" text="EL">
      <formula>NOT(ISERROR(SEARCH("EL",U219)))</formula>
    </cfRule>
    <cfRule type="containsText" dxfId="1390" priority="3869" operator="containsText" text="PL">
      <formula>NOT(ISERROR(SEARCH("PL",U219)))</formula>
    </cfRule>
    <cfRule type="containsText" dxfId="1389" priority="3870" operator="containsText" text="P">
      <formula>NOT(ISERROR(SEARCH("P",U219)))</formula>
    </cfRule>
  </conditionalFormatting>
  <conditionalFormatting sqref="U219 U246">
    <cfRule type="containsText" dxfId="1388" priority="3842" operator="containsText" text="AB">
      <formula>NOT(ISERROR(SEARCH("AB",U219)))</formula>
    </cfRule>
    <cfRule type="containsText" dxfId="1387" priority="3843" operator="containsText" text="SL">
      <formula>NOT(ISERROR(SEARCH("SL",U219)))</formula>
    </cfRule>
    <cfRule type="containsText" dxfId="1386" priority="3844" operator="containsText" text="EL">
      <formula>NOT(ISERROR(SEARCH("EL",U219)))</formula>
    </cfRule>
    <cfRule type="containsText" dxfId="1385" priority="3845" operator="containsText" text="PL">
      <formula>NOT(ISERROR(SEARCH("PL",U219)))</formula>
    </cfRule>
    <cfRule type="containsText" dxfId="1384" priority="3846" operator="containsText" text="P">
      <formula>NOT(ISERROR(SEARCH("P",U219)))</formula>
    </cfRule>
    <cfRule type="containsText" dxfId="1383" priority="3847" operator="containsText" text="ABWI">
      <formula>NOT(ISERROR(SEARCH("ABWI",U219)))</formula>
    </cfRule>
  </conditionalFormatting>
  <conditionalFormatting sqref="U219:U222 U246 U289 U295">
    <cfRule type="containsText" dxfId="1382" priority="3871" operator="containsText" text="ABWI">
      <formula>NOT(ISERROR(SEARCH("ABWI",U219)))</formula>
    </cfRule>
  </conditionalFormatting>
  <conditionalFormatting sqref="U226 U73 U290">
    <cfRule type="containsText" dxfId="1381" priority="1114" operator="containsText" text="AB">
      <formula>NOT(ISERROR(SEARCH("AB",U73)))</formula>
    </cfRule>
  </conditionalFormatting>
  <conditionalFormatting sqref="U246 U219">
    <cfRule type="containsText" dxfId="1380" priority="3841" operator="containsText" text="OFF">
      <formula>NOT(ISERROR(SEARCH("OFF",U219)))</formula>
    </cfRule>
  </conditionalFormatting>
  <conditionalFormatting sqref="U246">
    <cfRule type="containsText" dxfId="1379" priority="3254" operator="containsText" text="Miss SOS">
      <formula>NOT(ISERROR(SEARCH("Miss SOS",U246)))</formula>
    </cfRule>
    <cfRule type="containsText" dxfId="1378" priority="3571" operator="containsText" text="ABWI">
      <formula>NOT(ISERROR(SEARCH("ABWI",U246)))</formula>
    </cfRule>
    <cfRule type="containsText" dxfId="1377" priority="3776" operator="containsText" text="Miss SOS">
      <formula>NOT(ISERROR(SEARCH("Miss SOS",U246)))</formula>
    </cfRule>
  </conditionalFormatting>
  <conditionalFormatting sqref="U249:U250 U274 U280 U285 U1306">
    <cfRule type="containsText" dxfId="1376" priority="1908" operator="containsText" text="SL">
      <formula>NOT(ISERROR(SEARCH("SL",U249)))</formula>
    </cfRule>
    <cfRule type="containsText" dxfId="1375" priority="1909" operator="containsText" text="EL">
      <formula>NOT(ISERROR(SEARCH("EL",U249)))</formula>
    </cfRule>
    <cfRule type="containsText" dxfId="1374" priority="1910" operator="containsText" text="PL">
      <formula>NOT(ISERROR(SEARCH("PL",U249)))</formula>
    </cfRule>
    <cfRule type="containsText" dxfId="1373" priority="1911" operator="containsText" text="P">
      <formula>NOT(ISERROR(SEARCH("P",U249)))</formula>
    </cfRule>
  </conditionalFormatting>
  <conditionalFormatting sqref="U250 U274 U280 U285 U1306">
    <cfRule type="containsText" dxfId="1372" priority="1912" operator="containsText" text="ABWI">
      <formula>NOT(ISERROR(SEARCH("ABWI",U250)))</formula>
    </cfRule>
  </conditionalFormatting>
  <conditionalFormatting sqref="U250:U251 U291">
    <cfRule type="containsText" dxfId="1371" priority="1905" operator="containsText" text="Miss SOS">
      <formula>NOT(ISERROR(SEARCH("Miss SOS",U250)))</formula>
    </cfRule>
  </conditionalFormatting>
  <conditionalFormatting sqref="U265:U266 U253 U94:U105 U255:U263">
    <cfRule type="containsText" dxfId="1370" priority="3211" operator="containsText" text="Miss SOS">
      <formula>NOT(ISERROR(SEARCH("Miss SOS",U94)))</formula>
    </cfRule>
  </conditionalFormatting>
  <conditionalFormatting sqref="U274 U280 U186">
    <cfRule type="containsText" dxfId="1369" priority="1645" operator="containsText" text="OFF">
      <formula>NOT(ISERROR(SEARCH("OFF",U186)))</formula>
    </cfRule>
  </conditionalFormatting>
  <conditionalFormatting sqref="U274 U280 U285 U1306 U249:U250">
    <cfRule type="containsText" dxfId="1368" priority="1907" operator="containsText" text="AB">
      <formula>NOT(ISERROR(SEARCH("AB",U249)))</formula>
    </cfRule>
  </conditionalFormatting>
  <conditionalFormatting sqref="U274 U280 U1306 U285">
    <cfRule type="containsText" dxfId="1367" priority="1906" operator="containsText" text="OFF">
      <formula>NOT(ISERROR(SEARCH("OFF",U274)))</formula>
    </cfRule>
  </conditionalFormatting>
  <conditionalFormatting sqref="U280 U274">
    <cfRule type="containsText" dxfId="1366" priority="1644" operator="containsText" text="ABWI">
      <formula>NOT(ISERROR(SEARCH("ABWI",U274)))</formula>
    </cfRule>
  </conditionalFormatting>
  <conditionalFormatting sqref="U280 U285">
    <cfRule type="containsText" dxfId="1365" priority="1914" operator="containsText" text="OFF">
      <formula>NOT(ISERROR(SEARCH("OFF",U280)))</formula>
    </cfRule>
    <cfRule type="containsText" dxfId="1364" priority="1915" operator="containsText" text="AB">
      <formula>NOT(ISERROR(SEARCH("AB",U280)))</formula>
    </cfRule>
    <cfRule type="containsText" dxfId="1363" priority="1916" operator="containsText" text="SL">
      <formula>NOT(ISERROR(SEARCH("SL",U280)))</formula>
    </cfRule>
    <cfRule type="containsText" dxfId="1362" priority="1917" operator="containsText" text="EL">
      <formula>NOT(ISERROR(SEARCH("EL",U280)))</formula>
    </cfRule>
    <cfRule type="containsText" dxfId="1361" priority="1918" operator="containsText" text="PL">
      <formula>NOT(ISERROR(SEARCH("PL",U280)))</formula>
    </cfRule>
    <cfRule type="containsText" dxfId="1360" priority="1919" operator="containsText" text="P">
      <formula>NOT(ISERROR(SEARCH("P",U280)))</formula>
    </cfRule>
    <cfRule type="containsText" dxfId="1359" priority="1920" operator="containsText" text="ABWI">
      <formula>NOT(ISERROR(SEARCH("ABWI",U280)))</formula>
    </cfRule>
  </conditionalFormatting>
  <conditionalFormatting sqref="U291 U131 U43 U51 U59 U62 U242 U263">
    <cfRule type="containsText" dxfId="1358" priority="1913" operator="containsText" text="ABWI">
      <formula>NOT(ISERROR(SEARCH("ABWI",U43)))</formula>
    </cfRule>
  </conditionalFormatting>
  <conditionalFormatting sqref="U296">
    <cfRule type="containsText" dxfId="1357" priority="932" operator="containsText" text="ABWI">
      <formula>NOT(ISERROR(SEARCH("ABWI",U296)))</formula>
    </cfRule>
    <cfRule type="containsText" dxfId="1356" priority="933" operator="containsText" text="OFF">
      <formula>NOT(ISERROR(SEARCH("OFF",U296)))</formula>
    </cfRule>
    <cfRule type="containsText" dxfId="1355" priority="934" operator="containsText" text="AB">
      <formula>NOT(ISERROR(SEARCH("AB",U296)))</formula>
    </cfRule>
    <cfRule type="containsText" dxfId="1354" priority="935" operator="containsText" text="SL">
      <formula>NOT(ISERROR(SEARCH("SL",U296)))</formula>
    </cfRule>
    <cfRule type="containsText" dxfId="1353" priority="936" operator="containsText" text="EL">
      <formula>NOT(ISERROR(SEARCH("EL",U296)))</formula>
    </cfRule>
    <cfRule type="containsText" dxfId="1352" priority="937" operator="containsText" text="PL">
      <formula>NOT(ISERROR(SEARCH("PL",U296)))</formula>
    </cfRule>
    <cfRule type="containsText" dxfId="1351" priority="938" operator="containsText" text="P">
      <formula>NOT(ISERROR(SEARCH("P",U296)))</formula>
    </cfRule>
  </conditionalFormatting>
  <conditionalFormatting sqref="U848 U995 U1237 U1254 U1281 U1286 U201">
    <cfRule type="containsText" dxfId="1350" priority="369" operator="containsText" text="ABWI">
      <formula>NOT(ISERROR(SEARCH("ABWI",U201)))</formula>
    </cfRule>
  </conditionalFormatting>
  <conditionalFormatting sqref="U848 U995 U1237 U1254 U1281 U1286">
    <cfRule type="containsText" dxfId="1349" priority="368" operator="containsText" text="Miss SOS">
      <formula>NOT(ISERROR(SEARCH("Miss SOS",U848)))</formula>
    </cfRule>
  </conditionalFormatting>
  <conditionalFormatting sqref="U392 U491 U496 U561 U634 U922 U945 U1025 U1180 U1214">
    <cfRule type="containsText" dxfId="1348" priority="408" operator="containsText" text="Miss SOS">
      <formula>NOT(ISERROR(SEARCH("Miss SOS",U392)))</formula>
    </cfRule>
  </conditionalFormatting>
  <conditionalFormatting sqref="U1306:U1317 U1329:U1335 U1319:U1327 U1337:U1354 U1356:U1357">
    <cfRule type="containsText" dxfId="1347" priority="487" operator="containsText" text="Miss SOS">
      <formula>NOT(ISERROR(SEARCH("Miss SOS",U1306)))</formula>
    </cfRule>
  </conditionalFormatting>
  <conditionalFormatting sqref="U1309">
    <cfRule type="containsText" dxfId="1346" priority="2906" operator="containsText" text="ABWI">
      <formula>NOT(ISERROR(SEARCH("ABWI",U1309)))</formula>
    </cfRule>
    <cfRule type="containsText" dxfId="1345" priority="2907" operator="containsText" text="OFF">
      <formula>NOT(ISERROR(SEARCH("OFF",U1309)))</formula>
    </cfRule>
    <cfRule type="containsText" dxfId="1344" priority="2908" operator="containsText" text="AB">
      <formula>NOT(ISERROR(SEARCH("AB",U1309)))</formula>
    </cfRule>
    <cfRule type="containsText" dxfId="1343" priority="2909" operator="containsText" text="SL">
      <formula>NOT(ISERROR(SEARCH("SL",U1309)))</formula>
    </cfRule>
    <cfRule type="containsText" dxfId="1342" priority="2910" operator="containsText" text="EL">
      <formula>NOT(ISERROR(SEARCH("EL",U1309)))</formula>
    </cfRule>
    <cfRule type="containsText" dxfId="1341" priority="2911" operator="containsText" text="PL">
      <formula>NOT(ISERROR(SEARCH("PL",U1309)))</formula>
    </cfRule>
    <cfRule type="containsText" dxfId="1340" priority="2912" operator="containsText" text="P">
      <formula>NOT(ISERROR(SEARCH("P",U1309)))</formula>
    </cfRule>
    <cfRule type="containsText" dxfId="1339" priority="2913" operator="containsText" text="ABWI">
      <formula>NOT(ISERROR(SEARCH("ABWI",U1309)))</formula>
    </cfRule>
  </conditionalFormatting>
  <conditionalFormatting sqref="U1330">
    <cfRule type="containsText" dxfId="1338" priority="1494" operator="containsText" text="ABWI">
      <formula>NOT(ISERROR(SEARCH("ABWI",U1330)))</formula>
    </cfRule>
  </conditionalFormatting>
  <conditionalFormatting sqref="U1331 U1338 U1357 U201 U90 U92">
    <cfRule type="containsText" dxfId="1337" priority="750" operator="containsText" text="ABWI">
      <formula>NOT(ISERROR(SEARCH("ABWI",U90)))</formula>
    </cfRule>
  </conditionalFormatting>
  <conditionalFormatting sqref="B888:C904">
    <cfRule type="duplicateValues" dxfId="1336" priority="362"/>
    <cfRule type="duplicateValues" dxfId="1335" priority="363"/>
  </conditionalFormatting>
  <conditionalFormatting sqref="B7:B1320">
    <cfRule type="duplicateValues" dxfId="1334" priority="360"/>
    <cfRule type="duplicateValues" dxfId="1333" priority="361"/>
  </conditionalFormatting>
  <conditionalFormatting sqref="B7:B1335">
    <cfRule type="duplicateValues" dxfId="1332" priority="359"/>
  </conditionalFormatting>
  <conditionalFormatting sqref="B7:B1374">
    <cfRule type="duplicateValues" dxfId="1331" priority="358"/>
  </conditionalFormatting>
  <conditionalFormatting sqref="B7:B1374">
    <cfRule type="duplicateValues" dxfId="1330" priority="357"/>
  </conditionalFormatting>
  <conditionalFormatting sqref="B591">
    <cfRule type="duplicateValues" dxfId="1329" priority="356"/>
  </conditionalFormatting>
  <conditionalFormatting sqref="B948">
    <cfRule type="duplicateValues" dxfId="1328" priority="355"/>
  </conditionalFormatting>
  <conditionalFormatting sqref="B949 B912:B947">
    <cfRule type="duplicateValues" dxfId="1327" priority="354"/>
  </conditionalFormatting>
  <conditionalFormatting sqref="B950:B968">
    <cfRule type="duplicateValues" dxfId="1326" priority="353"/>
  </conditionalFormatting>
  <conditionalFormatting sqref="B982">
    <cfRule type="duplicateValues" dxfId="1325" priority="352"/>
  </conditionalFormatting>
  <conditionalFormatting sqref="B983:B1023 B969:B981">
    <cfRule type="duplicateValues" dxfId="1324" priority="351"/>
  </conditionalFormatting>
  <conditionalFormatting sqref="B1024:B1066">
    <cfRule type="duplicateValues" dxfId="1323" priority="350"/>
  </conditionalFormatting>
  <conditionalFormatting sqref="B1067:B1088">
    <cfRule type="duplicateValues" dxfId="1322" priority="349"/>
  </conditionalFormatting>
  <conditionalFormatting sqref="B1089:B1101">
    <cfRule type="duplicateValues" dxfId="1321" priority="348"/>
  </conditionalFormatting>
  <conditionalFormatting sqref="B1102:B1108">
    <cfRule type="duplicateValues" dxfId="1320" priority="347"/>
  </conditionalFormatting>
  <conditionalFormatting sqref="B1109:B1131">
    <cfRule type="duplicateValues" dxfId="1319" priority="346"/>
  </conditionalFormatting>
  <conditionalFormatting sqref="B1132:B1140">
    <cfRule type="duplicateValues" dxfId="1318" priority="345"/>
  </conditionalFormatting>
  <conditionalFormatting sqref="B1141">
    <cfRule type="duplicateValues" dxfId="1317" priority="344"/>
  </conditionalFormatting>
  <conditionalFormatting sqref="B1142:B1168">
    <cfRule type="duplicateValues" dxfId="1316" priority="343"/>
  </conditionalFormatting>
  <conditionalFormatting sqref="B1169">
    <cfRule type="duplicateValues" dxfId="1315" priority="342"/>
  </conditionalFormatting>
  <conditionalFormatting sqref="B1170:B1188">
    <cfRule type="duplicateValues" dxfId="1314" priority="341"/>
  </conditionalFormatting>
  <conditionalFormatting sqref="B1189:B1214">
    <cfRule type="duplicateValues" dxfId="1313" priority="340"/>
  </conditionalFormatting>
  <conditionalFormatting sqref="B1215:B1216">
    <cfRule type="duplicateValues" dxfId="1312" priority="339"/>
  </conditionalFormatting>
  <conditionalFormatting sqref="B1217:B1231">
    <cfRule type="duplicateValues" dxfId="1311" priority="331"/>
    <cfRule type="duplicateValues" dxfId="1310" priority="332"/>
    <cfRule type="duplicateValues" dxfId="1309" priority="333"/>
    <cfRule type="duplicateValues" dxfId="1308" priority="334"/>
    <cfRule type="duplicateValues" dxfId="1307" priority="335"/>
    <cfRule type="duplicateValues" dxfId="1306" priority="336"/>
    <cfRule type="duplicateValues" dxfId="1305" priority="337"/>
    <cfRule type="duplicateValues" dxfId="1304" priority="338"/>
  </conditionalFormatting>
  <conditionalFormatting sqref="B1232:B1233">
    <cfRule type="duplicateValues" dxfId="1303" priority="330"/>
  </conditionalFormatting>
  <conditionalFormatting sqref="B1234">
    <cfRule type="duplicateValues" dxfId="1302" priority="329"/>
  </conditionalFormatting>
  <conditionalFormatting sqref="B1235">
    <cfRule type="duplicateValues" dxfId="1301" priority="328"/>
  </conditionalFormatting>
  <conditionalFormatting sqref="B1236:B1238">
    <cfRule type="duplicateValues" dxfId="1300" priority="327"/>
  </conditionalFormatting>
  <conditionalFormatting sqref="B1242:B1286">
    <cfRule type="duplicateValues" dxfId="1299" priority="325"/>
    <cfRule type="duplicateValues" dxfId="1298" priority="326"/>
  </conditionalFormatting>
  <conditionalFormatting sqref="B1321:B1335">
    <cfRule type="duplicateValues" dxfId="1297" priority="322"/>
    <cfRule type="duplicateValues" dxfId="1296" priority="323"/>
    <cfRule type="duplicateValues" dxfId="1295" priority="324"/>
  </conditionalFormatting>
  <conditionalFormatting sqref="B862:C871">
    <cfRule type="duplicateValues" dxfId="1294" priority="321"/>
  </conditionalFormatting>
  <conditionalFormatting sqref="B872:C887">
    <cfRule type="duplicateValues" dxfId="1293" priority="319"/>
    <cfRule type="duplicateValues" dxfId="1292" priority="320"/>
  </conditionalFormatting>
  <conditionalFormatting sqref="B905:C908">
    <cfRule type="duplicateValues" dxfId="1291" priority="317"/>
    <cfRule type="duplicateValues" dxfId="1290" priority="318"/>
  </conditionalFormatting>
  <conditionalFormatting sqref="B909:C911">
    <cfRule type="duplicateValues" dxfId="1289" priority="315"/>
    <cfRule type="duplicateValues" dxfId="1288" priority="316"/>
  </conditionalFormatting>
  <conditionalFormatting sqref="B1239:C1239">
    <cfRule type="duplicateValues" dxfId="1287" priority="313"/>
    <cfRule type="duplicateValues" dxfId="1286" priority="314"/>
  </conditionalFormatting>
  <conditionalFormatting sqref="B1240:C1240">
    <cfRule type="duplicateValues" dxfId="1285" priority="311"/>
    <cfRule type="duplicateValues" dxfId="1284" priority="312"/>
  </conditionalFormatting>
  <conditionalFormatting sqref="B1241:C1241">
    <cfRule type="duplicateValues" dxfId="1283" priority="309"/>
    <cfRule type="duplicateValues" dxfId="1282" priority="310"/>
  </conditionalFormatting>
  <conditionalFormatting sqref="B1242:D1286">
    <cfRule type="duplicateValues" dxfId="1281" priority="307"/>
    <cfRule type="duplicateValues" dxfId="1280" priority="308"/>
  </conditionalFormatting>
  <conditionalFormatting sqref="C912:C949">
    <cfRule type="duplicateValues" dxfId="1279" priority="305"/>
    <cfRule type="duplicateValues" dxfId="1278" priority="306"/>
  </conditionalFormatting>
  <conditionalFormatting sqref="C950:C968">
    <cfRule type="duplicateValues" dxfId="1277" priority="301"/>
    <cfRule type="duplicateValues" dxfId="1276" priority="302"/>
    <cfRule type="duplicateValues" dxfId="1275" priority="303"/>
    <cfRule type="duplicateValues" dxfId="1274" priority="304"/>
  </conditionalFormatting>
  <conditionalFormatting sqref="C971">
    <cfRule type="duplicateValues" dxfId="1273" priority="297"/>
    <cfRule type="duplicateValues" dxfId="1272" priority="298"/>
    <cfRule type="duplicateValues" dxfId="1271" priority="299"/>
    <cfRule type="duplicateValues" dxfId="1270" priority="300"/>
  </conditionalFormatting>
  <conditionalFormatting sqref="C982">
    <cfRule type="duplicateValues" dxfId="1269" priority="293"/>
    <cfRule type="duplicateValues" dxfId="1268" priority="294"/>
    <cfRule type="duplicateValues" dxfId="1267" priority="295"/>
    <cfRule type="duplicateValues" dxfId="1266" priority="296"/>
  </conditionalFormatting>
  <conditionalFormatting sqref="C985">
    <cfRule type="duplicateValues" dxfId="1265" priority="289"/>
    <cfRule type="duplicateValues" dxfId="1264" priority="290"/>
    <cfRule type="duplicateValues" dxfId="1263" priority="291"/>
    <cfRule type="duplicateValues" dxfId="1262" priority="292"/>
  </conditionalFormatting>
  <conditionalFormatting sqref="C993">
    <cfRule type="duplicateValues" dxfId="1261" priority="285"/>
    <cfRule type="duplicateValues" dxfId="1260" priority="286"/>
    <cfRule type="duplicateValues" dxfId="1259" priority="287"/>
    <cfRule type="duplicateValues" dxfId="1258" priority="288"/>
  </conditionalFormatting>
  <conditionalFormatting sqref="C994:C996 C983:C984 C969:C970 C986:C992 C972:C981">
    <cfRule type="duplicateValues" dxfId="1257" priority="281"/>
    <cfRule type="duplicateValues" dxfId="1256" priority="282"/>
    <cfRule type="duplicateValues" dxfId="1255" priority="283"/>
    <cfRule type="duplicateValues" dxfId="1254" priority="284"/>
  </conditionalFormatting>
  <conditionalFormatting sqref="C1222">
    <cfRule type="duplicateValues" dxfId="1253" priority="274"/>
    <cfRule type="duplicateValues" dxfId="1252" priority="275"/>
    <cfRule type="duplicateValues" dxfId="1251" priority="276"/>
    <cfRule type="duplicateValues" dxfId="1250" priority="277"/>
    <cfRule type="duplicateValues" dxfId="1249" priority="278"/>
    <cfRule type="duplicateValues" dxfId="1248" priority="279"/>
    <cfRule type="duplicateValues" dxfId="1247" priority="280"/>
  </conditionalFormatting>
  <conditionalFormatting sqref="C1223:C1231 C7:C1221">
    <cfRule type="duplicateValues" dxfId="1246" priority="271"/>
    <cfRule type="duplicateValues" dxfId="1245" priority="272"/>
    <cfRule type="duplicateValues" dxfId="1244" priority="273"/>
  </conditionalFormatting>
  <conditionalFormatting sqref="C1224:C1231 C7:C911">
    <cfRule type="duplicateValues" dxfId="1243" priority="270"/>
  </conditionalFormatting>
  <conditionalFormatting sqref="C1224:C1231 C7:C949">
    <cfRule type="duplicateValues" dxfId="1242" priority="268"/>
    <cfRule type="duplicateValues" dxfId="1241" priority="269"/>
  </conditionalFormatting>
  <conditionalFormatting sqref="C1224:C1231">
    <cfRule type="duplicateValues" dxfId="1240" priority="266"/>
    <cfRule type="duplicateValues" dxfId="1239" priority="267"/>
  </conditionalFormatting>
  <conditionalFormatting sqref="C1232:C1233">
    <cfRule type="duplicateValues" dxfId="1238" priority="258"/>
    <cfRule type="duplicateValues" dxfId="1237" priority="259"/>
    <cfRule type="duplicateValues" dxfId="1236" priority="260"/>
    <cfRule type="duplicateValues" dxfId="1235" priority="261"/>
    <cfRule type="duplicateValues" dxfId="1234" priority="262"/>
    <cfRule type="duplicateValues" dxfId="1233" priority="263"/>
    <cfRule type="duplicateValues" dxfId="1232" priority="264"/>
    <cfRule type="duplicateValues" dxfId="1231" priority="265"/>
  </conditionalFormatting>
  <conditionalFormatting sqref="C1234">
    <cfRule type="duplicateValues" dxfId="1230" priority="250"/>
    <cfRule type="duplicateValues" dxfId="1229" priority="251"/>
    <cfRule type="duplicateValues" dxfId="1228" priority="252"/>
    <cfRule type="duplicateValues" dxfId="1227" priority="253"/>
    <cfRule type="duplicateValues" dxfId="1226" priority="254"/>
    <cfRule type="duplicateValues" dxfId="1225" priority="255"/>
    <cfRule type="duplicateValues" dxfId="1224" priority="256"/>
    <cfRule type="duplicateValues" dxfId="1223" priority="257"/>
  </conditionalFormatting>
  <conditionalFormatting sqref="C1235">
    <cfRule type="duplicateValues" dxfId="1222" priority="242"/>
    <cfRule type="duplicateValues" dxfId="1221" priority="243"/>
    <cfRule type="duplicateValues" dxfId="1220" priority="244"/>
    <cfRule type="duplicateValues" dxfId="1219" priority="245"/>
    <cfRule type="duplicateValues" dxfId="1218" priority="246"/>
    <cfRule type="duplicateValues" dxfId="1217" priority="247"/>
    <cfRule type="duplicateValues" dxfId="1216" priority="248"/>
    <cfRule type="duplicateValues" dxfId="1215" priority="249"/>
  </conditionalFormatting>
  <conditionalFormatting sqref="C1236:C1238">
    <cfRule type="duplicateValues" dxfId="1214" priority="234"/>
    <cfRule type="duplicateValues" dxfId="1213" priority="235"/>
    <cfRule type="duplicateValues" dxfId="1212" priority="236"/>
    <cfRule type="duplicateValues" dxfId="1211" priority="237"/>
    <cfRule type="duplicateValues" dxfId="1210" priority="238"/>
    <cfRule type="duplicateValues" dxfId="1209" priority="239"/>
    <cfRule type="duplicateValues" dxfId="1208" priority="240"/>
    <cfRule type="duplicateValues" dxfId="1207" priority="241"/>
  </conditionalFormatting>
  <conditionalFormatting sqref="C1239">
    <cfRule type="duplicateValues" dxfId="1206" priority="228"/>
    <cfRule type="duplicateValues" dxfId="1205" priority="229"/>
    <cfRule type="duplicateValues" dxfId="1204" priority="230"/>
    <cfRule type="duplicateValues" dxfId="1203" priority="231"/>
    <cfRule type="duplicateValues" dxfId="1202" priority="232"/>
    <cfRule type="duplicateValues" dxfId="1201" priority="233"/>
  </conditionalFormatting>
  <conditionalFormatting sqref="C1240:C1286">
    <cfRule type="duplicateValues" dxfId="1200" priority="222"/>
    <cfRule type="duplicateValues" dxfId="1199" priority="223"/>
    <cfRule type="duplicateValues" dxfId="1198" priority="224"/>
    <cfRule type="duplicateValues" dxfId="1197" priority="225"/>
    <cfRule type="duplicateValues" dxfId="1196" priority="226"/>
    <cfRule type="duplicateValues" dxfId="1195" priority="227"/>
  </conditionalFormatting>
  <conditionalFormatting sqref="C1242:C1286">
    <cfRule type="duplicateValues" dxfId="1194" priority="221"/>
  </conditionalFormatting>
  <conditionalFormatting sqref="C1321">
    <cfRule type="duplicateValues" dxfId="1193" priority="214"/>
    <cfRule type="duplicateValues" dxfId="1192" priority="215"/>
    <cfRule type="duplicateValues" dxfId="1191" priority="216"/>
    <cfRule type="duplicateValues" dxfId="1190" priority="217"/>
    <cfRule type="duplicateValues" dxfId="1189" priority="218"/>
    <cfRule type="duplicateValues" dxfId="1188" priority="219"/>
    <cfRule type="duplicateValues" dxfId="1187" priority="220"/>
  </conditionalFormatting>
  <conditionalFormatting sqref="C1322:D1335 C7:C1320">
    <cfRule type="duplicateValues" dxfId="1186" priority="212"/>
    <cfRule type="duplicateValues" dxfId="1185" priority="213"/>
  </conditionalFormatting>
  <conditionalFormatting sqref="D7:D1220">
    <cfRule type="duplicateValues" dxfId="1184" priority="211"/>
  </conditionalFormatting>
  <conditionalFormatting sqref="D621:D815 C621:C871 B592:B871 B512:B590 C512:D620 B7:D511">
    <cfRule type="duplicateValues" dxfId="1183" priority="210"/>
  </conditionalFormatting>
  <conditionalFormatting sqref="D816:D949">
    <cfRule type="duplicateValues" dxfId="1182" priority="209"/>
  </conditionalFormatting>
  <conditionalFormatting sqref="D950:D968">
    <cfRule type="duplicateValues" dxfId="1181" priority="208"/>
  </conditionalFormatting>
  <conditionalFormatting sqref="D1232:D1233">
    <cfRule type="duplicateValues" dxfId="1180" priority="200"/>
    <cfRule type="duplicateValues" dxfId="1179" priority="201"/>
    <cfRule type="duplicateValues" dxfId="1178" priority="202"/>
    <cfRule type="duplicateValues" dxfId="1177" priority="203"/>
    <cfRule type="duplicateValues" dxfId="1176" priority="204"/>
    <cfRule type="duplicateValues" dxfId="1175" priority="205"/>
    <cfRule type="duplicateValues" dxfId="1174" priority="206"/>
    <cfRule type="duplicateValues" dxfId="1173" priority="207"/>
  </conditionalFormatting>
  <conditionalFormatting sqref="D1234">
    <cfRule type="duplicateValues" dxfId="1172" priority="192"/>
    <cfRule type="duplicateValues" dxfId="1171" priority="193"/>
    <cfRule type="duplicateValues" dxfId="1170" priority="194"/>
    <cfRule type="duplicateValues" dxfId="1169" priority="195"/>
    <cfRule type="duplicateValues" dxfId="1168" priority="196"/>
    <cfRule type="duplicateValues" dxfId="1167" priority="197"/>
    <cfRule type="duplicateValues" dxfId="1166" priority="198"/>
    <cfRule type="duplicateValues" dxfId="1165" priority="199"/>
  </conditionalFormatting>
  <conditionalFormatting sqref="D1235">
    <cfRule type="duplicateValues" dxfId="1164" priority="184"/>
    <cfRule type="duplicateValues" dxfId="1163" priority="185"/>
    <cfRule type="duplicateValues" dxfId="1162" priority="186"/>
    <cfRule type="duplicateValues" dxfId="1161" priority="187"/>
    <cfRule type="duplicateValues" dxfId="1160" priority="188"/>
    <cfRule type="duplicateValues" dxfId="1159" priority="189"/>
    <cfRule type="duplicateValues" dxfId="1158" priority="190"/>
    <cfRule type="duplicateValues" dxfId="1157" priority="191"/>
  </conditionalFormatting>
  <conditionalFormatting sqref="D1236:D1238">
    <cfRule type="duplicateValues" dxfId="1156" priority="176"/>
    <cfRule type="duplicateValues" dxfId="1155" priority="177"/>
    <cfRule type="duplicateValues" dxfId="1154" priority="178"/>
    <cfRule type="duplicateValues" dxfId="1153" priority="179"/>
    <cfRule type="duplicateValues" dxfId="1152" priority="180"/>
    <cfRule type="duplicateValues" dxfId="1151" priority="181"/>
    <cfRule type="duplicateValues" dxfId="1150" priority="182"/>
    <cfRule type="duplicateValues" dxfId="1149" priority="183"/>
  </conditionalFormatting>
  <conditionalFormatting sqref="D1239">
    <cfRule type="duplicateValues" dxfId="1148" priority="174"/>
    <cfRule type="duplicateValues" dxfId="1147" priority="175"/>
  </conditionalFormatting>
  <conditionalFormatting sqref="D1240:D1286">
    <cfRule type="duplicateValues" dxfId="1146" priority="172"/>
    <cfRule type="duplicateValues" dxfId="1145" priority="173"/>
  </conditionalFormatting>
  <conditionalFormatting sqref="D1242:D1286">
    <cfRule type="duplicateValues" dxfId="1144" priority="164"/>
    <cfRule type="duplicateValues" dxfId="1143" priority="165"/>
    <cfRule type="duplicateValues" dxfId="1142" priority="166"/>
    <cfRule type="duplicateValues" dxfId="1141" priority="167"/>
    <cfRule type="duplicateValues" dxfId="1140" priority="168"/>
    <cfRule type="duplicateValues" dxfId="1139" priority="169"/>
    <cfRule type="duplicateValues" dxfId="1138" priority="170"/>
    <cfRule type="duplicateValues" dxfId="1137" priority="171"/>
  </conditionalFormatting>
  <conditionalFormatting sqref="T468">
    <cfRule type="containsText" dxfId="1136" priority="163" operator="containsText" text="ABWI">
      <formula>NOT(ISERROR(SEARCH("ABWI",T468)))</formula>
    </cfRule>
  </conditionalFormatting>
  <conditionalFormatting sqref="T468">
    <cfRule type="containsText" dxfId="1135" priority="162" operator="containsText" text="OFF">
      <formula>NOT(ISERROR(SEARCH("OFF",T468)))</formula>
    </cfRule>
  </conditionalFormatting>
  <conditionalFormatting sqref="T1228 T1220:T1221 T737 T725 T701 T675">
    <cfRule type="containsText" dxfId="1134" priority="161" operator="containsText" text="SL">
      <formula>NOT(ISERROR(SEARCH("SL",T675)))</formula>
    </cfRule>
  </conditionalFormatting>
  <conditionalFormatting sqref="T1228 T1220:T1221">
    <cfRule type="containsText" dxfId="1133" priority="159" operator="containsText" text="EL">
      <formula>NOT(ISERROR(SEARCH("EL",T1220)))</formula>
    </cfRule>
    <cfRule type="containsText" dxfId="1132" priority="160" operator="containsText" text="PL">
      <formula>NOT(ISERROR(SEARCH("PL",T1220)))</formula>
    </cfRule>
  </conditionalFormatting>
  <conditionalFormatting sqref="T1228 T1220:T1221">
    <cfRule type="containsText" dxfId="1131" priority="158" operator="containsText" text="AB">
      <formula>NOT(ISERROR(SEARCH("AB",T1220)))</formula>
    </cfRule>
  </conditionalFormatting>
  <conditionalFormatting sqref="T1223 T603">
    <cfRule type="containsText" dxfId="1130" priority="157" operator="containsText" text="SL">
      <formula>NOT(ISERROR(SEARCH("SL",T603)))</formula>
    </cfRule>
  </conditionalFormatting>
  <conditionalFormatting sqref="T1223">
    <cfRule type="containsText" dxfId="1129" priority="155" operator="containsText" text="EL">
      <formula>NOT(ISERROR(SEARCH("EL",T1223)))</formula>
    </cfRule>
    <cfRule type="containsText" dxfId="1128" priority="156" operator="containsText" text="PL">
      <formula>NOT(ISERROR(SEARCH("PL",T1223)))</formula>
    </cfRule>
  </conditionalFormatting>
  <conditionalFormatting sqref="T1223">
    <cfRule type="containsText" dxfId="1127" priority="154" operator="containsText" text="AB">
      <formula>NOT(ISERROR(SEARCH("AB",T1223)))</formula>
    </cfRule>
  </conditionalFormatting>
  <conditionalFormatting sqref="U157">
    <cfRule type="containsText" dxfId="1126" priority="148" operator="containsText" text="OFF">
      <formula>NOT(ISERROR(SEARCH("OFF",U157)))</formula>
    </cfRule>
  </conditionalFormatting>
  <conditionalFormatting sqref="U157">
    <cfRule type="containsText" dxfId="1125" priority="153" operator="containsText" text="P">
      <formula>NOT(ISERROR(SEARCH("P",U157)))</formula>
    </cfRule>
  </conditionalFormatting>
  <conditionalFormatting sqref="U157">
    <cfRule type="containsText" dxfId="1124" priority="150" operator="containsText" text="SL">
      <formula>NOT(ISERROR(SEARCH("SL",U157)))</formula>
    </cfRule>
    <cfRule type="containsText" dxfId="1123" priority="151" operator="containsText" text="EL">
      <formula>NOT(ISERROR(SEARCH("EL",U157)))</formula>
    </cfRule>
    <cfRule type="containsText" dxfId="1122" priority="152" operator="containsText" text="PL">
      <formula>NOT(ISERROR(SEARCH("PL",U157)))</formula>
    </cfRule>
  </conditionalFormatting>
  <conditionalFormatting sqref="U157">
    <cfRule type="containsText" dxfId="1121" priority="149" operator="containsText" text="AB">
      <formula>NOT(ISERROR(SEARCH("AB",U157)))</formula>
    </cfRule>
  </conditionalFormatting>
  <conditionalFormatting sqref="U157">
    <cfRule type="containsText" dxfId="1120" priority="147" operator="containsText" text="ABWI">
      <formula>NOT(ISERROR(SEARCH("ABWI",U157)))</formula>
    </cfRule>
  </conditionalFormatting>
  <conditionalFormatting sqref="U680 U173:U174">
    <cfRule type="containsText" dxfId="1119" priority="141" operator="containsText" text="OFF">
      <formula>NOT(ISERROR(SEARCH("OFF",U173)))</formula>
    </cfRule>
  </conditionalFormatting>
  <conditionalFormatting sqref="U680 U173:U174">
    <cfRule type="containsText" dxfId="1118" priority="146" operator="containsText" text="P">
      <formula>NOT(ISERROR(SEARCH("P",U173)))</formula>
    </cfRule>
  </conditionalFormatting>
  <conditionalFormatting sqref="U680 U173:U174">
    <cfRule type="containsText" dxfId="1117" priority="143" operator="containsText" text="SL">
      <formula>NOT(ISERROR(SEARCH("SL",U173)))</formula>
    </cfRule>
    <cfRule type="containsText" dxfId="1116" priority="144" operator="containsText" text="EL">
      <formula>NOT(ISERROR(SEARCH("EL",U173)))</formula>
    </cfRule>
    <cfRule type="containsText" dxfId="1115" priority="145" operator="containsText" text="PL">
      <formula>NOT(ISERROR(SEARCH("PL",U173)))</formula>
    </cfRule>
  </conditionalFormatting>
  <conditionalFormatting sqref="U680 U173:U174">
    <cfRule type="containsText" dxfId="1114" priority="142" operator="containsText" text="AB">
      <formula>NOT(ISERROR(SEARCH("AB",U173)))</formula>
    </cfRule>
  </conditionalFormatting>
  <conditionalFormatting sqref="U680 U173:U174">
    <cfRule type="containsText" dxfId="1113" priority="140" operator="containsText" text="ABWI">
      <formula>NOT(ISERROR(SEARCH("ABWI",U173)))</formula>
    </cfRule>
  </conditionalFormatting>
  <conditionalFormatting sqref="U680">
    <cfRule type="containsText" dxfId="1112" priority="138" operator="containsText" text="Miss SOS">
      <formula>NOT(ISERROR(SEARCH("Miss SOS",U680)))</formula>
    </cfRule>
  </conditionalFormatting>
  <conditionalFormatting sqref="U680">
    <cfRule type="containsText" dxfId="1111" priority="139" operator="containsText" text="Miss SOS">
      <formula>NOT(ISERROR(SEARCH("Miss SOS",U680)))</formula>
    </cfRule>
  </conditionalFormatting>
  <conditionalFormatting sqref="T1252 T1247 T1244 T1241 T1230:T1231 T1215 T1212 T1210 T1207 T1202:T1205 T1198 T1194:T1196 T1188 T1182:T1183 T1179 T1175 T1173">
    <cfRule type="containsText" dxfId="1110" priority="137" operator="containsText" text="SL">
      <formula>NOT(ISERROR(SEARCH("SL",T1173)))</formula>
    </cfRule>
  </conditionalFormatting>
  <conditionalFormatting sqref="T1252 T1247 T1244 T1241 T1230:T1231 T1215 T1212 T1210 T1207 T1202:T1205 T1198 T1194:T1196 T1188 T1182:T1183 T1179 T1175 T1173">
    <cfRule type="containsText" dxfId="1109" priority="134" operator="containsText" text="AB">
      <formula>NOT(ISERROR(SEARCH("AB",T1173)))</formula>
    </cfRule>
    <cfRule type="containsText" dxfId="1108" priority="135" operator="containsText" text="EL">
      <formula>NOT(ISERROR(SEARCH("EL",T1173)))</formula>
    </cfRule>
    <cfRule type="containsText" dxfId="1107" priority="136" operator="containsText" text="PL">
      <formula>NOT(ISERROR(SEARCH("PL",T1173)))</formula>
    </cfRule>
  </conditionalFormatting>
  <conditionalFormatting sqref="U1318 U1153 U1118 U1015 U912 U696 U589 U552 U539 U445 U428 U426 U420 U372:U373 U363:U364 U312 U124 U113 U201 U336 U400 U453 U735 U759 U762 U792 U806 U850 U1279 U1336 U1355 U1366">
    <cfRule type="containsText" dxfId="1106" priority="133" operator="containsText" text="OFF">
      <formula>NOT(ISERROR(SEARCH("OFF",U113)))</formula>
    </cfRule>
  </conditionalFormatting>
  <conditionalFormatting sqref="U1318 U1153 U1128 U1118 U1043 U1015 U912 U817 U786 U696 U589 U552 U539 U512 U508 U445 U428 U426 U420 U372:U373 U363:U364 U324 U322 U315 U312 U278:U279 U124 U113 U189 U336 U400 U453 U735 U759 U762 U792 U806 U850 U1234:U1235 U1279 U1284 U1336 U1355 U1366">
    <cfRule type="containsText" dxfId="1105" priority="129" operator="containsText" text="SL">
      <formula>NOT(ISERROR(SEARCH("SL",U113)))</formula>
    </cfRule>
    <cfRule type="containsText" dxfId="1104" priority="130" operator="containsText" text="EL">
      <formula>NOT(ISERROR(SEARCH("EL",U113)))</formula>
    </cfRule>
    <cfRule type="containsText" dxfId="1103" priority="131" operator="containsText" text="PL">
      <formula>NOT(ISERROR(SEARCH("PL",U113)))</formula>
    </cfRule>
  </conditionalFormatting>
  <conditionalFormatting sqref="U1318 U1153 U1128 U1118 U1043 U1015 U912 U817 U786 U696 U589 U552 U539 U512 U508 U445 U428 U426 U420 U372:U373 U363:U364 U324 U322 U315 U312 U278:U279 U124 U113 U189 U336 U400 U453 U735 U759 U762 U792 U806 U850 U1234:U1235 U1279 U1284 U1336 U1355 U1366">
    <cfRule type="containsText" dxfId="1102" priority="128" operator="containsText" text="AB">
      <formula>NOT(ISERROR(SEARCH("AB",U113)))</formula>
    </cfRule>
  </conditionalFormatting>
  <conditionalFormatting sqref="U1318 U1153 U1118 U1015 U912 U696 U589 U552 U539 U445 U428 U426 U420 U372:U373 U363:U364 U312 U124 U113 U201 U336 U400 U453 U735 U759 U762 U792 U806 U850 U1279 U1336 U1355 U1366">
    <cfRule type="containsText" dxfId="1101" priority="132" operator="containsText" text="ABWI">
      <formula>NOT(ISERROR(SEARCH("ABWI",U113)))</formula>
    </cfRule>
  </conditionalFormatting>
  <conditionalFormatting sqref="U1355 U1336 U1318 U1279 U1153 U1118 U1015 U912 U850 U806 U792 U762 U759 U735 U696 U589 U552 U539 U453 U445 U428 U426 U420 U400 U372:U373 U363:U364 U336 U312">
    <cfRule type="containsText" dxfId="1100" priority="127" operator="containsText" text="Miss SOS">
      <formula>NOT(ISERROR(SEARCH("Miss SOS",U312)))</formula>
    </cfRule>
  </conditionalFormatting>
  <conditionalFormatting sqref="T735">
    <cfRule type="containsText" dxfId="1099" priority="126" operator="containsText" text="SL">
      <formula>NOT(ISERROR(SEARCH("SL",T735)))</formula>
    </cfRule>
  </conditionalFormatting>
  <conditionalFormatting sqref="T1237 T642">
    <cfRule type="containsText" dxfId="1098" priority="125" operator="containsText" text="SL">
      <formula>NOT(ISERROR(SEARCH("SL",T642)))</formula>
    </cfRule>
  </conditionalFormatting>
  <conditionalFormatting sqref="T1237">
    <cfRule type="containsText" dxfId="1097" priority="123" operator="containsText" text="EL">
      <formula>NOT(ISERROR(SEARCH("EL",T1237)))</formula>
    </cfRule>
    <cfRule type="containsText" dxfId="1096" priority="124" operator="containsText" text="PL">
      <formula>NOT(ISERROR(SEARCH("PL",T1237)))</formula>
    </cfRule>
  </conditionalFormatting>
  <conditionalFormatting sqref="T1237">
    <cfRule type="containsText" dxfId="1095" priority="122" operator="containsText" text="AB">
      <formula>NOT(ISERROR(SEARCH("AB",T1237)))</formula>
    </cfRule>
  </conditionalFormatting>
  <conditionalFormatting sqref="T1220:T1221 T737 T725 T701 T675">
    <cfRule type="containsText" dxfId="1094" priority="121" operator="containsText" text="SL">
      <formula>NOT(ISERROR(SEARCH("SL",T675)))</formula>
    </cfRule>
  </conditionalFormatting>
  <conditionalFormatting sqref="T1220:T1221">
    <cfRule type="containsText" dxfId="1093" priority="119" operator="containsText" text="EL">
      <formula>NOT(ISERROR(SEARCH("EL",T1220)))</formula>
    </cfRule>
    <cfRule type="containsText" dxfId="1092" priority="120" operator="containsText" text="PL">
      <formula>NOT(ISERROR(SEARCH("PL",T1220)))</formula>
    </cfRule>
  </conditionalFormatting>
  <conditionalFormatting sqref="T1220:T1221">
    <cfRule type="containsText" dxfId="1091" priority="118" operator="containsText" text="AB">
      <formula>NOT(ISERROR(SEARCH("AB",T1220)))</formula>
    </cfRule>
  </conditionalFormatting>
  <conditionalFormatting sqref="T603">
    <cfRule type="containsText" dxfId="1090" priority="117" operator="containsText" text="SL">
      <formula>NOT(ISERROR(SEARCH("SL",T603)))</formula>
    </cfRule>
  </conditionalFormatting>
  <conditionalFormatting sqref="C1:C1375 C1386:C1048576">
    <cfRule type="duplicateValues" dxfId="1089" priority="102"/>
  </conditionalFormatting>
  <conditionalFormatting sqref="C1:C1375 C1386:C1048576">
    <cfRule type="duplicateValues" dxfId="1088" priority="101"/>
  </conditionalFormatting>
  <conditionalFormatting sqref="T735">
    <cfRule type="containsText" dxfId="1003" priority="16" operator="containsText" text="SL">
      <formula>NOT(ISERROR(SEARCH("SL",T735)))</formula>
    </cfRule>
  </conditionalFormatting>
  <conditionalFormatting sqref="U1284 U1235 U189">
    <cfRule type="containsText" dxfId="1002" priority="15" operator="containsText" text="OFF">
      <formula>NOT(ISERROR(SEARCH("OFF",U189)))</formula>
    </cfRule>
  </conditionalFormatting>
  <conditionalFormatting sqref="U1284 U1235 U189">
    <cfRule type="containsText" dxfId="1001" priority="14" operator="containsText" text="ABWI">
      <formula>NOT(ISERROR(SEARCH("ABWI",U189)))</formula>
    </cfRule>
  </conditionalFormatting>
  <conditionalFormatting sqref="U201">
    <cfRule type="containsText" dxfId="1000" priority="11" operator="containsText" text="SL">
      <formula>NOT(ISERROR(SEARCH("SL",U201)))</formula>
    </cfRule>
    <cfRule type="containsText" dxfId="999" priority="12" operator="containsText" text="EL">
      <formula>NOT(ISERROR(SEARCH("EL",U201)))</formula>
    </cfRule>
    <cfRule type="containsText" dxfId="998" priority="13" operator="containsText" text="PL">
      <formula>NOT(ISERROR(SEARCH("PL",U201)))</formula>
    </cfRule>
  </conditionalFormatting>
  <conditionalFormatting sqref="U201">
    <cfRule type="containsText" dxfId="997" priority="10" operator="containsText" text="AB">
      <formula>NOT(ISERROR(SEARCH("AB",U201)))</formula>
    </cfRule>
  </conditionalFormatting>
  <conditionalFormatting sqref="U1355 U1336 U1279 U850 U806 U792 U762 U759 U735 U453 U400 U336">
    <cfRule type="containsText" dxfId="996" priority="9" operator="containsText" text="Miss SOS">
      <formula>NOT(ISERROR(SEARCH("Miss SOS",U336)))</formula>
    </cfRule>
  </conditionalFormatting>
  <conditionalFormatting sqref="T788 T784 T754 T749:T750 T747 T742 T738 T736 T734 T732 T726 T723:T724 T715 T711 T705:T708 T702 T700 T682 T679 T676 T673:T674 T658:T659 T645 T627 T620:T622 T602 T596:T598 T587:T588 T443:T444 T439 T437 T434 T430 T427 T424 T408:T411 T375 T365 T361 T357 T354 T348">
    <cfRule type="containsText" dxfId="993" priority="8" operator="containsText" text="SL">
      <formula>NOT(ISERROR(SEARCH("SL",T348)))</formula>
    </cfRule>
  </conditionalFormatting>
  <conditionalFormatting sqref="T1229 T1226:T1227 T1224 T1222 T1218:T1219 T1201 T1199 T1094:T1095 T1062:T1063 T1042 T868 T818">
    <cfRule type="containsText" dxfId="992" priority="4" operator="containsText" text="SL">
      <formula>NOT(ISERROR(SEARCH("SL",T818)))</formula>
    </cfRule>
  </conditionalFormatting>
  <conditionalFormatting sqref="T1094:T1095 T1062:T1063 T1042 T868 T818">
    <cfRule type="containsText" dxfId="991" priority="7" operator="containsText" text="P">
      <formula>NOT(ISERROR(SEARCH("P",T818)))</formula>
    </cfRule>
  </conditionalFormatting>
  <conditionalFormatting sqref="T1229 T1226:T1227 T1224 T1222 T1218:T1219 T1201 T1199 T1094:T1095 T1062:T1063 T1042 T868 T818">
    <cfRule type="containsText" dxfId="990" priority="5" operator="containsText" text="EL">
      <formula>NOT(ISERROR(SEARCH("EL",T818)))</formula>
    </cfRule>
    <cfRule type="containsText" dxfId="989" priority="6" operator="containsText" text="PL">
      <formula>NOT(ISERROR(SEARCH("PL",T818)))</formula>
    </cfRule>
  </conditionalFormatting>
  <conditionalFormatting sqref="T1229 T1226:T1227 T1224 T1222 T1218:T1219 T1201 T1199 T1094:T1095 T1062:T1063 T1042 T868 T818">
    <cfRule type="containsText" dxfId="988" priority="3" operator="containsText" text="AB">
      <formula>NOT(ISERROR(SEARCH("AB",T818)))</formula>
    </cfRule>
  </conditionalFormatting>
  <conditionalFormatting sqref="T1094:T1095 T1062:T1063 T1042 T868 T846 T818">
    <cfRule type="containsText" dxfId="987" priority="2" operator="containsText" text="ABWI">
      <formula>NOT(ISERROR(SEARCH("ABWI",T818)))</formula>
    </cfRule>
  </conditionalFormatting>
  <conditionalFormatting sqref="T1094:T1095 T1062:T1063 T1042 T868 T846 T818">
    <cfRule type="containsText" dxfId="986" priority="1" operator="containsText" text="OFF">
      <formula>NOT(ISERROR(SEARCH("OFF",T818)))</formula>
    </cfRule>
  </conditionalFormatting>
  <hyperlinks>
    <hyperlink ref="C387" r:id="rId1" display="https://admindirectory.corp.amazon.com/users/ssegilbe" xr:uid="{F73D0F39-A9DD-49DB-B8F1-47621207E75D}"/>
    <hyperlink ref="C309" r:id="rId2" display="https://admindirectory.corp.amazon.com/users/andebayi" xr:uid="{44B84305-4DE3-443B-A2B1-7F5EFFD2039E}"/>
    <hyperlink ref="C529" r:id="rId3" display="https://admindirectory.corp.amazon.com/users/adebugar" xr:uid="{6B52F6D4-E9A3-4F69-8017-CC14ECBF67B5}"/>
    <hyperlink ref="C572" r:id="rId4" display="https://admindirectory.corp.amazon.com/users/tadekizi" xr:uid="{FB123D16-0320-4B55-B4BB-7345BEF16CA0}"/>
    <hyperlink ref="C378" r:id="rId5" display="https://admindirectory.corp.amazon.com/users/kasobfra" xr:uid="{A26675DC-6A75-4E41-AED8-BCA7335FD75D}"/>
    <hyperlink ref="C534" r:id="rId6" display="https://admindirectory.corp.amazon.com/users/keizokre" xr:uid="{8CCF48C3-3B91-407E-8EE3-4EF705EE3237}"/>
    <hyperlink ref="C402" r:id="rId7" display="https://admindirectory.corp.amazon.com/users/isandyam" xr:uid="{BD3117F6-1F73-4C45-829C-CDB99248678E}"/>
    <hyperlink ref="D319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75D3D788-44FE-4EB5-85FD-AA03551C2A22}"/>
    <hyperlink ref="D590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7618CC32-8370-4E0D-840A-205BE499F567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SALUDO DIMAFELIX, ALLYZA ASHLEY [C]</cp:lastModifiedBy>
  <cp:lastPrinted>2026-08-29T08:08:34Z</cp:lastPrinted>
  <dcterms:created xsi:type="dcterms:W3CDTF">2015-06-05T18:17:20Z</dcterms:created>
  <dcterms:modified xsi:type="dcterms:W3CDTF">2026-08-29T18:30:19Z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